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prochazka\src\OES_Foundation_model\external_data\Source\"/>
    </mc:Choice>
  </mc:AlternateContent>
  <xr:revisionPtr revIDLastSave="0" documentId="13_ncr:1_{C2D631BB-5E92-4D8E-849B-9E6DC8C44DCC}" xr6:coauthVersionLast="47" xr6:coauthVersionMax="47" xr10:uidLastSave="{00000000-0000-0000-0000-000000000000}"/>
  <bookViews>
    <workbookView xWindow="3075" yWindow="3075" windowWidth="38700" windowHeight="15345" xr2:uid="{00000000-000D-0000-FFFF-FFFF00000000}"/>
  </bookViews>
  <sheets>
    <sheet name="README" sheetId="1" r:id="rId1"/>
    <sheet name="AtomicWeights" sheetId="2" r:id="rId2"/>
    <sheet name="Factors" sheetId="3" r:id="rId3"/>
    <sheet name="Oxides_typical" sheetId="4" r:id="rId4"/>
    <sheet name="Oxides_min" sheetId="5" r:id="rId5"/>
    <sheet name="Oxides_max" sheetId="6" r:id="rId6"/>
    <sheet name="Concentrations" sheetId="7" r:id="rId7"/>
    <sheet name="Uncertainties" sheetId="8" r:id="rId8"/>
    <sheet name="Elements_typical" sheetId="9" r:id="rId9"/>
    <sheet name="Sources" sheetId="10" r:id="rId10"/>
    <sheet name="Orig_Main REE Minerals" sheetId="11" r:id="rId11"/>
    <sheet name="Orig_Additional Minerals"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26" i="6" l="1"/>
  <c r="AX25" i="6"/>
  <c r="AX24" i="6"/>
  <c r="AX23" i="6"/>
  <c r="AX22" i="6"/>
  <c r="AX21" i="6"/>
  <c r="AX20" i="6"/>
  <c r="AX19" i="6"/>
  <c r="AX18" i="6"/>
  <c r="AX17" i="6"/>
  <c r="AX16" i="6"/>
  <c r="AX15" i="6"/>
  <c r="AX14" i="6"/>
  <c r="AX13" i="6"/>
  <c r="AX12" i="6"/>
  <c r="AX11" i="6"/>
  <c r="AX10" i="6"/>
  <c r="AX9" i="6"/>
  <c r="AX8" i="6"/>
  <c r="AX7" i="6"/>
  <c r="AX6" i="6"/>
  <c r="AX5" i="6"/>
  <c r="AX4" i="6"/>
  <c r="AX3" i="6"/>
  <c r="AX2" i="6"/>
  <c r="AX26" i="5"/>
  <c r="AX25" i="5"/>
  <c r="AX24" i="5"/>
  <c r="AX23" i="5"/>
  <c r="AX22" i="5"/>
  <c r="AX21" i="5"/>
  <c r="AX20" i="5"/>
  <c r="AX19" i="5"/>
  <c r="AX18" i="5"/>
  <c r="AX17" i="5"/>
  <c r="AX16" i="5"/>
  <c r="AX15" i="5"/>
  <c r="AX14" i="5"/>
  <c r="AX13" i="5"/>
  <c r="AX12" i="5"/>
  <c r="AX11" i="5"/>
  <c r="AX10" i="5"/>
  <c r="AX9" i="5"/>
  <c r="AX8" i="5"/>
  <c r="AX7" i="5"/>
  <c r="AX6" i="5"/>
  <c r="AX5" i="5"/>
  <c r="AX4" i="5"/>
  <c r="AX3" i="5"/>
  <c r="AX2" i="5"/>
  <c r="AX26" i="4"/>
  <c r="AX25" i="4"/>
  <c r="AX24" i="4"/>
  <c r="AX23" i="4"/>
  <c r="AX22" i="4"/>
  <c r="AX21" i="4"/>
  <c r="AX20" i="4"/>
  <c r="AX19" i="4"/>
  <c r="AX18" i="4"/>
  <c r="AX17" i="4"/>
  <c r="AX16" i="4"/>
  <c r="AX15" i="4"/>
  <c r="AX14" i="4"/>
  <c r="AX13" i="4"/>
  <c r="AX12" i="4"/>
  <c r="AX11" i="4"/>
  <c r="AX10" i="4"/>
  <c r="AX9" i="4"/>
  <c r="AX8" i="4"/>
  <c r="AX7" i="4"/>
  <c r="AX6" i="4"/>
  <c r="AX5" i="4"/>
  <c r="AX4" i="4"/>
  <c r="AX3" i="4"/>
  <c r="AX2" i="4"/>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J54" i="3"/>
  <c r="I54" i="3"/>
  <c r="H54" i="3"/>
  <c r="G54" i="3"/>
  <c r="F54" i="3"/>
  <c r="E54" i="3"/>
  <c r="D54" i="3"/>
  <c r="C54" i="3"/>
  <c r="B54" i="3"/>
  <c r="AW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J53" i="3"/>
  <c r="I53" i="3"/>
  <c r="H53" i="3"/>
  <c r="G53" i="3"/>
  <c r="F53" i="3"/>
  <c r="E53" i="3"/>
  <c r="D53" i="3"/>
  <c r="C53" i="3"/>
  <c r="B53" i="3"/>
  <c r="AW52" i="3"/>
  <c r="AV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J52" i="3"/>
  <c r="I52" i="3"/>
  <c r="H52" i="3"/>
  <c r="G52" i="3"/>
  <c r="F52" i="3"/>
  <c r="E52" i="3"/>
  <c r="D52" i="3"/>
  <c r="C52" i="3"/>
  <c r="B52" i="3"/>
  <c r="AW51" i="3"/>
  <c r="AV51" i="3"/>
  <c r="AU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J51" i="3"/>
  <c r="I51" i="3"/>
  <c r="H51" i="3"/>
  <c r="G51" i="3"/>
  <c r="F51" i="3"/>
  <c r="E51" i="3"/>
  <c r="D51" i="3"/>
  <c r="C51" i="3"/>
  <c r="B51" i="3"/>
  <c r="AW50" i="3"/>
  <c r="AV50" i="3"/>
  <c r="AU50" i="3"/>
  <c r="AT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J50" i="3"/>
  <c r="I50" i="3"/>
  <c r="H50" i="3"/>
  <c r="G50" i="3"/>
  <c r="F50" i="3"/>
  <c r="E50" i="3"/>
  <c r="D50" i="3"/>
  <c r="C50" i="3"/>
  <c r="B50" i="3"/>
  <c r="AW49" i="3"/>
  <c r="AV49" i="3"/>
  <c r="AU49" i="3"/>
  <c r="AT49" i="3"/>
  <c r="AS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J49" i="3"/>
  <c r="I49" i="3"/>
  <c r="H49" i="3"/>
  <c r="G49" i="3"/>
  <c r="F49" i="3"/>
  <c r="E49" i="3"/>
  <c r="D49" i="3"/>
  <c r="C49" i="3"/>
  <c r="B49" i="3"/>
  <c r="AW48" i="3"/>
  <c r="AV48" i="3"/>
  <c r="AU48" i="3"/>
  <c r="AT48" i="3"/>
  <c r="AS48" i="3"/>
  <c r="AR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J48" i="3"/>
  <c r="I48" i="3"/>
  <c r="H48" i="3"/>
  <c r="G48" i="3"/>
  <c r="F48" i="3"/>
  <c r="E48" i="3"/>
  <c r="D48" i="3"/>
  <c r="C48" i="3"/>
  <c r="B48" i="3"/>
  <c r="AW47" i="3"/>
  <c r="AV47" i="3"/>
  <c r="AU47" i="3"/>
  <c r="AT47" i="3"/>
  <c r="AS47" i="3"/>
  <c r="AR47" i="3"/>
  <c r="AQ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J47" i="3"/>
  <c r="I47" i="3"/>
  <c r="H47" i="3"/>
  <c r="G47" i="3"/>
  <c r="F47" i="3"/>
  <c r="E47" i="3"/>
  <c r="D47" i="3"/>
  <c r="C47" i="3"/>
  <c r="B47" i="3"/>
  <c r="AW46" i="3"/>
  <c r="AV46" i="3"/>
  <c r="AU46" i="3"/>
  <c r="AT46" i="3"/>
  <c r="AS46" i="3"/>
  <c r="AR46" i="3"/>
  <c r="AQ46" i="3"/>
  <c r="AP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J46" i="3"/>
  <c r="I46" i="3"/>
  <c r="H46" i="3"/>
  <c r="G46" i="3"/>
  <c r="F46" i="3"/>
  <c r="E46" i="3"/>
  <c r="D46" i="3"/>
  <c r="C46" i="3"/>
  <c r="B46" i="3"/>
  <c r="AW45" i="3"/>
  <c r="AV45" i="3"/>
  <c r="AU45" i="3"/>
  <c r="AT45" i="3"/>
  <c r="AS45" i="3"/>
  <c r="AR45" i="3"/>
  <c r="AQ45" i="3"/>
  <c r="AP45" i="3"/>
  <c r="AO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J45" i="3"/>
  <c r="I45" i="3"/>
  <c r="H45" i="3"/>
  <c r="G45" i="3"/>
  <c r="F45" i="3"/>
  <c r="E45" i="3"/>
  <c r="D45" i="3"/>
  <c r="C45" i="3"/>
  <c r="B45" i="3"/>
  <c r="AW44" i="3"/>
  <c r="AV44" i="3"/>
  <c r="AU44" i="3"/>
  <c r="AT44" i="3"/>
  <c r="AS44" i="3"/>
  <c r="AR44" i="3"/>
  <c r="AQ44" i="3"/>
  <c r="AP44" i="3"/>
  <c r="AO44" i="3"/>
  <c r="AN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J44" i="3"/>
  <c r="I44" i="3"/>
  <c r="H44" i="3"/>
  <c r="G44" i="3"/>
  <c r="F44" i="3"/>
  <c r="E44" i="3"/>
  <c r="D44" i="3"/>
  <c r="C44" i="3"/>
  <c r="B44" i="3"/>
  <c r="AW43" i="3"/>
  <c r="AV43" i="3"/>
  <c r="AU43" i="3"/>
  <c r="AT43" i="3"/>
  <c r="AS43" i="3"/>
  <c r="AR43" i="3"/>
  <c r="AQ43" i="3"/>
  <c r="AP43" i="3"/>
  <c r="AO43" i="3"/>
  <c r="AN43" i="3"/>
  <c r="AM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J43" i="3"/>
  <c r="I43" i="3"/>
  <c r="H43" i="3"/>
  <c r="G43" i="3"/>
  <c r="F43" i="3"/>
  <c r="E43" i="3"/>
  <c r="D43" i="3"/>
  <c r="C43" i="3"/>
  <c r="B43" i="3"/>
  <c r="AW42" i="3"/>
  <c r="AV42" i="3"/>
  <c r="AU42" i="3"/>
  <c r="AT42" i="3"/>
  <c r="AS42" i="3"/>
  <c r="AR42" i="3"/>
  <c r="AQ42" i="3"/>
  <c r="AP42" i="3"/>
  <c r="AO42" i="3"/>
  <c r="AN42" i="3"/>
  <c r="AM42" i="3"/>
  <c r="AL42" i="3"/>
  <c r="AJ42" i="3"/>
  <c r="AI42" i="3"/>
  <c r="AH42" i="3"/>
  <c r="AG42" i="3"/>
  <c r="AF42" i="3"/>
  <c r="AE42" i="3"/>
  <c r="AD42" i="3"/>
  <c r="AC42" i="3"/>
  <c r="AB42" i="3"/>
  <c r="AA42" i="3"/>
  <c r="Z42" i="3"/>
  <c r="Y42" i="3"/>
  <c r="X42" i="3"/>
  <c r="W42" i="3"/>
  <c r="V42" i="3"/>
  <c r="U42" i="3"/>
  <c r="T42" i="3"/>
  <c r="S42" i="3"/>
  <c r="R42" i="3"/>
  <c r="Q42" i="3"/>
  <c r="P42" i="3"/>
  <c r="O42" i="3"/>
  <c r="N42" i="3"/>
  <c r="M42" i="3"/>
  <c r="L42" i="3"/>
  <c r="K42" i="3"/>
  <c r="J42" i="3"/>
  <c r="I42" i="3"/>
  <c r="H42" i="3"/>
  <c r="G42" i="3"/>
  <c r="F42" i="3"/>
  <c r="E42" i="3"/>
  <c r="D42" i="3"/>
  <c r="C42" i="3"/>
  <c r="B42" i="3"/>
  <c r="AW41" i="3"/>
  <c r="AV41" i="3"/>
  <c r="AU41" i="3"/>
  <c r="AT41" i="3"/>
  <c r="AS41" i="3"/>
  <c r="AR41" i="3"/>
  <c r="AQ41" i="3"/>
  <c r="AP41" i="3"/>
  <c r="AO41" i="3"/>
  <c r="AN41" i="3"/>
  <c r="AM41" i="3"/>
  <c r="AL41" i="3"/>
  <c r="AK41" i="3"/>
  <c r="AH41" i="3"/>
  <c r="AG41" i="3"/>
  <c r="AF41" i="3"/>
  <c r="AE41" i="3"/>
  <c r="AD41" i="3"/>
  <c r="AC41" i="3"/>
  <c r="AB41" i="3"/>
  <c r="AA41" i="3"/>
  <c r="Z41" i="3"/>
  <c r="Y41" i="3"/>
  <c r="X41" i="3"/>
  <c r="W41" i="3"/>
  <c r="V41" i="3"/>
  <c r="U41" i="3"/>
  <c r="T41" i="3"/>
  <c r="S41" i="3"/>
  <c r="R41" i="3"/>
  <c r="Q41" i="3"/>
  <c r="P41" i="3"/>
  <c r="O41" i="3"/>
  <c r="N41" i="3"/>
  <c r="M41" i="3"/>
  <c r="L41" i="3"/>
  <c r="K41" i="3"/>
  <c r="J41" i="3"/>
  <c r="I41" i="3"/>
  <c r="H41" i="3"/>
  <c r="G41" i="3"/>
  <c r="F41" i="3"/>
  <c r="E41" i="3"/>
  <c r="D41" i="3"/>
  <c r="C41" i="3"/>
  <c r="B41" i="3"/>
  <c r="AW40" i="3"/>
  <c r="AV40" i="3"/>
  <c r="AU40" i="3"/>
  <c r="AT40" i="3"/>
  <c r="AS40" i="3"/>
  <c r="AR40" i="3"/>
  <c r="AQ40" i="3"/>
  <c r="AP40" i="3"/>
  <c r="AO40" i="3"/>
  <c r="AN40" i="3"/>
  <c r="AM40" i="3"/>
  <c r="AL40" i="3"/>
  <c r="AK40" i="3"/>
  <c r="AJ40" i="3"/>
  <c r="AI40" i="3"/>
  <c r="AG40" i="3"/>
  <c r="AF40" i="3"/>
  <c r="AE40" i="3"/>
  <c r="AD40" i="3"/>
  <c r="AC40" i="3"/>
  <c r="AB40" i="3"/>
  <c r="AA40" i="3"/>
  <c r="Z40" i="3"/>
  <c r="Y40" i="3"/>
  <c r="X40" i="3"/>
  <c r="W40" i="3"/>
  <c r="V40" i="3"/>
  <c r="U40" i="3"/>
  <c r="T40" i="3"/>
  <c r="S40" i="3"/>
  <c r="R40" i="3"/>
  <c r="Q40" i="3"/>
  <c r="P40" i="3"/>
  <c r="O40" i="3"/>
  <c r="N40" i="3"/>
  <c r="M40" i="3"/>
  <c r="L40" i="3"/>
  <c r="K40" i="3"/>
  <c r="J40" i="3"/>
  <c r="I40" i="3"/>
  <c r="H40" i="3"/>
  <c r="G40" i="3"/>
  <c r="F40" i="3"/>
  <c r="E40" i="3"/>
  <c r="D40" i="3"/>
  <c r="C40" i="3"/>
  <c r="B40" i="3"/>
  <c r="AW39" i="3"/>
  <c r="AV39" i="3"/>
  <c r="AU39" i="3"/>
  <c r="AT39" i="3"/>
  <c r="AS39" i="3"/>
  <c r="AR39" i="3"/>
  <c r="AQ39" i="3"/>
  <c r="AP39" i="3"/>
  <c r="AO39" i="3"/>
  <c r="AN39" i="3"/>
  <c r="AM39" i="3"/>
  <c r="AL39" i="3"/>
  <c r="AK39" i="3"/>
  <c r="AJ39" i="3"/>
  <c r="AI39" i="3"/>
  <c r="AH39" i="3"/>
  <c r="AF39" i="3"/>
  <c r="AE39" i="3"/>
  <c r="AD39" i="3"/>
  <c r="AC39" i="3"/>
  <c r="AB39" i="3"/>
  <c r="AA39" i="3"/>
  <c r="Z39" i="3"/>
  <c r="Y39" i="3"/>
  <c r="X39" i="3"/>
  <c r="W39" i="3"/>
  <c r="V39" i="3"/>
  <c r="U39" i="3"/>
  <c r="T39" i="3"/>
  <c r="S39" i="3"/>
  <c r="R39" i="3"/>
  <c r="Q39" i="3"/>
  <c r="P39" i="3"/>
  <c r="O39" i="3"/>
  <c r="N39" i="3"/>
  <c r="M39" i="3"/>
  <c r="L39" i="3"/>
  <c r="K39" i="3"/>
  <c r="J39" i="3"/>
  <c r="I39" i="3"/>
  <c r="H39" i="3"/>
  <c r="G39" i="3"/>
  <c r="F39" i="3"/>
  <c r="E39" i="3"/>
  <c r="D39" i="3"/>
  <c r="C39" i="3"/>
  <c r="B39" i="3"/>
  <c r="AW38" i="3"/>
  <c r="AV38" i="3"/>
  <c r="AU38" i="3"/>
  <c r="AT38" i="3"/>
  <c r="AS38" i="3"/>
  <c r="AR38" i="3"/>
  <c r="AQ38" i="3"/>
  <c r="AP38" i="3"/>
  <c r="AO38" i="3"/>
  <c r="AN38" i="3"/>
  <c r="AM38" i="3"/>
  <c r="AL38" i="3"/>
  <c r="AK38" i="3"/>
  <c r="AJ38" i="3"/>
  <c r="AI38" i="3"/>
  <c r="AH38" i="3"/>
  <c r="AG38" i="3"/>
  <c r="AE38" i="3"/>
  <c r="AD38" i="3"/>
  <c r="AC38" i="3"/>
  <c r="AB38" i="3"/>
  <c r="AA38" i="3"/>
  <c r="Z38" i="3"/>
  <c r="Y38" i="3"/>
  <c r="X38" i="3"/>
  <c r="W38" i="3"/>
  <c r="V38" i="3"/>
  <c r="U38" i="3"/>
  <c r="T38" i="3"/>
  <c r="S38" i="3"/>
  <c r="R38" i="3"/>
  <c r="Q38" i="3"/>
  <c r="P38" i="3"/>
  <c r="O38" i="3"/>
  <c r="N38" i="3"/>
  <c r="M38" i="3"/>
  <c r="L38" i="3"/>
  <c r="K38" i="3"/>
  <c r="J38" i="3"/>
  <c r="I38" i="3"/>
  <c r="H38" i="3"/>
  <c r="G38" i="3"/>
  <c r="F38" i="3"/>
  <c r="E38" i="3"/>
  <c r="D38" i="3"/>
  <c r="C38" i="3"/>
  <c r="B38" i="3"/>
  <c r="AW37" i="3"/>
  <c r="AV37" i="3"/>
  <c r="AU37" i="3"/>
  <c r="AT37" i="3"/>
  <c r="AS37" i="3"/>
  <c r="AR37" i="3"/>
  <c r="AQ37" i="3"/>
  <c r="AP37" i="3"/>
  <c r="AO37" i="3"/>
  <c r="AN37" i="3"/>
  <c r="AM37" i="3"/>
  <c r="AL37" i="3"/>
  <c r="AK37" i="3"/>
  <c r="AJ37" i="3"/>
  <c r="AI37" i="3"/>
  <c r="AH37" i="3"/>
  <c r="AG37" i="3"/>
  <c r="AF37" i="3"/>
  <c r="AD37" i="3"/>
  <c r="AC37" i="3"/>
  <c r="AB37" i="3"/>
  <c r="AA37" i="3"/>
  <c r="Z37" i="3"/>
  <c r="Y37" i="3"/>
  <c r="X37" i="3"/>
  <c r="W37" i="3"/>
  <c r="V37" i="3"/>
  <c r="U37" i="3"/>
  <c r="T37" i="3"/>
  <c r="S37" i="3"/>
  <c r="R37" i="3"/>
  <c r="Q37" i="3"/>
  <c r="P37" i="3"/>
  <c r="O37" i="3"/>
  <c r="N37" i="3"/>
  <c r="M37" i="3"/>
  <c r="L37" i="3"/>
  <c r="K37" i="3"/>
  <c r="J37" i="3"/>
  <c r="I37" i="3"/>
  <c r="H37" i="3"/>
  <c r="G37" i="3"/>
  <c r="F37" i="3"/>
  <c r="E37" i="3"/>
  <c r="D37" i="3"/>
  <c r="C37" i="3"/>
  <c r="B37" i="3"/>
  <c r="AW36" i="3"/>
  <c r="AV36" i="3"/>
  <c r="AU36" i="3"/>
  <c r="AT36" i="3"/>
  <c r="AS36" i="3"/>
  <c r="AR36" i="3"/>
  <c r="AQ36" i="3"/>
  <c r="AP36" i="3"/>
  <c r="AO36" i="3"/>
  <c r="AN36" i="3"/>
  <c r="AM36" i="3"/>
  <c r="AL36" i="3"/>
  <c r="AK36" i="3"/>
  <c r="AJ36" i="3"/>
  <c r="AI36" i="3"/>
  <c r="AH36" i="3"/>
  <c r="AG36" i="3"/>
  <c r="AF36" i="3"/>
  <c r="AE36" i="3"/>
  <c r="AC36" i="3"/>
  <c r="AB36" i="3"/>
  <c r="AA36" i="3"/>
  <c r="Z36" i="3"/>
  <c r="Y36" i="3"/>
  <c r="X36" i="3"/>
  <c r="W36" i="3"/>
  <c r="V36" i="3"/>
  <c r="U36" i="3"/>
  <c r="T36" i="3"/>
  <c r="S36" i="3"/>
  <c r="R36" i="3"/>
  <c r="Q36" i="3"/>
  <c r="P36" i="3"/>
  <c r="O36" i="3"/>
  <c r="N36" i="3"/>
  <c r="M36" i="3"/>
  <c r="L36" i="3"/>
  <c r="K36" i="3"/>
  <c r="J36" i="3"/>
  <c r="I36" i="3"/>
  <c r="H36" i="3"/>
  <c r="G36" i="3"/>
  <c r="F36" i="3"/>
  <c r="E36" i="3"/>
  <c r="D36" i="3"/>
  <c r="C36" i="3"/>
  <c r="B36" i="3"/>
  <c r="AW35" i="3"/>
  <c r="AV35" i="3"/>
  <c r="AU35" i="3"/>
  <c r="AT35" i="3"/>
  <c r="AS35" i="3"/>
  <c r="AR35" i="3"/>
  <c r="AQ35" i="3"/>
  <c r="AP35" i="3"/>
  <c r="AO35" i="3"/>
  <c r="AN35" i="3"/>
  <c r="AM35" i="3"/>
  <c r="AL35" i="3"/>
  <c r="AK35" i="3"/>
  <c r="AJ35" i="3"/>
  <c r="AI35" i="3"/>
  <c r="AH35" i="3"/>
  <c r="AG35" i="3"/>
  <c r="AF35" i="3"/>
  <c r="AE35" i="3"/>
  <c r="AD35" i="3"/>
  <c r="AB35" i="3"/>
  <c r="AA35" i="3"/>
  <c r="Z35" i="3"/>
  <c r="Y35" i="3"/>
  <c r="X35" i="3"/>
  <c r="W35" i="3"/>
  <c r="V35" i="3"/>
  <c r="U35" i="3"/>
  <c r="T35" i="3"/>
  <c r="S35" i="3"/>
  <c r="R35" i="3"/>
  <c r="Q35" i="3"/>
  <c r="P35" i="3"/>
  <c r="O35" i="3"/>
  <c r="N35" i="3"/>
  <c r="M35" i="3"/>
  <c r="L35" i="3"/>
  <c r="K35" i="3"/>
  <c r="J35" i="3"/>
  <c r="I35" i="3"/>
  <c r="H35" i="3"/>
  <c r="G35" i="3"/>
  <c r="F35" i="3"/>
  <c r="E35" i="3"/>
  <c r="D35" i="3"/>
  <c r="C35" i="3"/>
  <c r="B35" i="3"/>
  <c r="AW34" i="3"/>
  <c r="AV34" i="3"/>
  <c r="AU34" i="3"/>
  <c r="AT34" i="3"/>
  <c r="AS34" i="3"/>
  <c r="AR34" i="3"/>
  <c r="AQ34" i="3"/>
  <c r="AP34" i="3"/>
  <c r="AO34" i="3"/>
  <c r="AN34" i="3"/>
  <c r="AM34" i="3"/>
  <c r="AL34" i="3"/>
  <c r="AK34" i="3"/>
  <c r="AJ34" i="3"/>
  <c r="AI34" i="3"/>
  <c r="AH34" i="3"/>
  <c r="AG34" i="3"/>
  <c r="AF34" i="3"/>
  <c r="AE34" i="3"/>
  <c r="AD34" i="3"/>
  <c r="AC34" i="3"/>
  <c r="AA34" i="3"/>
  <c r="Z34" i="3"/>
  <c r="Y34" i="3"/>
  <c r="X34" i="3"/>
  <c r="W34" i="3"/>
  <c r="V34" i="3"/>
  <c r="U34" i="3"/>
  <c r="T34" i="3"/>
  <c r="S34" i="3"/>
  <c r="R34" i="3"/>
  <c r="Q34" i="3"/>
  <c r="P34" i="3"/>
  <c r="O34" i="3"/>
  <c r="N34" i="3"/>
  <c r="M34" i="3"/>
  <c r="L34" i="3"/>
  <c r="K34" i="3"/>
  <c r="J34" i="3"/>
  <c r="I34" i="3"/>
  <c r="H34" i="3"/>
  <c r="G34" i="3"/>
  <c r="F34" i="3"/>
  <c r="E34" i="3"/>
  <c r="D34" i="3"/>
  <c r="C34" i="3"/>
  <c r="B34" i="3"/>
  <c r="AW33" i="3"/>
  <c r="AV33" i="3"/>
  <c r="AU33" i="3"/>
  <c r="AT33" i="3"/>
  <c r="AS33" i="3"/>
  <c r="AR33" i="3"/>
  <c r="AQ33" i="3"/>
  <c r="AP33" i="3"/>
  <c r="AO33" i="3"/>
  <c r="AN33" i="3"/>
  <c r="AM33" i="3"/>
  <c r="AL33" i="3"/>
  <c r="AK33" i="3"/>
  <c r="AJ33" i="3"/>
  <c r="AI33" i="3"/>
  <c r="AH33" i="3"/>
  <c r="AG33" i="3"/>
  <c r="AF33" i="3"/>
  <c r="AE33" i="3"/>
  <c r="AD33" i="3"/>
  <c r="AC33" i="3"/>
  <c r="AB33" i="3"/>
  <c r="Z33" i="3"/>
  <c r="Y33" i="3"/>
  <c r="X33" i="3"/>
  <c r="W33" i="3"/>
  <c r="V33" i="3"/>
  <c r="U33" i="3"/>
  <c r="T33" i="3"/>
  <c r="S33" i="3"/>
  <c r="R33" i="3"/>
  <c r="Q33" i="3"/>
  <c r="P33" i="3"/>
  <c r="O33" i="3"/>
  <c r="N33" i="3"/>
  <c r="M33" i="3"/>
  <c r="L33" i="3"/>
  <c r="K33" i="3"/>
  <c r="J33" i="3"/>
  <c r="I33" i="3"/>
  <c r="H33" i="3"/>
  <c r="G33" i="3"/>
  <c r="F33" i="3"/>
  <c r="E33" i="3"/>
  <c r="D33" i="3"/>
  <c r="C33" i="3"/>
  <c r="B33" i="3"/>
  <c r="AW32" i="3"/>
  <c r="AV32" i="3"/>
  <c r="AU32" i="3"/>
  <c r="AT32" i="3"/>
  <c r="AS32" i="3"/>
  <c r="AR32" i="3"/>
  <c r="AQ32" i="3"/>
  <c r="AP32" i="3"/>
  <c r="AO32" i="3"/>
  <c r="AN32" i="3"/>
  <c r="AM32" i="3"/>
  <c r="AL32" i="3"/>
  <c r="AK32" i="3"/>
  <c r="AJ32" i="3"/>
  <c r="AI32" i="3"/>
  <c r="AH32" i="3"/>
  <c r="AG32" i="3"/>
  <c r="AF32" i="3"/>
  <c r="AE32" i="3"/>
  <c r="AD32" i="3"/>
  <c r="AC32" i="3"/>
  <c r="AB32" i="3"/>
  <c r="AA32" i="3"/>
  <c r="Y32" i="3"/>
  <c r="X32" i="3"/>
  <c r="W32" i="3"/>
  <c r="V32" i="3"/>
  <c r="U32" i="3"/>
  <c r="T32" i="3"/>
  <c r="S32" i="3"/>
  <c r="R32" i="3"/>
  <c r="Q32" i="3"/>
  <c r="P32" i="3"/>
  <c r="O32" i="3"/>
  <c r="N32" i="3"/>
  <c r="M32" i="3"/>
  <c r="L32" i="3"/>
  <c r="K32" i="3"/>
  <c r="J32" i="3"/>
  <c r="I32" i="3"/>
  <c r="H32" i="3"/>
  <c r="G32" i="3"/>
  <c r="F32" i="3"/>
  <c r="E32" i="3"/>
  <c r="D32" i="3"/>
  <c r="C32" i="3"/>
  <c r="B32" i="3"/>
  <c r="AW31" i="3"/>
  <c r="AV31" i="3"/>
  <c r="AU31" i="3"/>
  <c r="AT31" i="3"/>
  <c r="AS31" i="3"/>
  <c r="AR31" i="3"/>
  <c r="AQ31" i="3"/>
  <c r="AP31" i="3"/>
  <c r="AO31" i="3"/>
  <c r="AN31" i="3"/>
  <c r="AM31" i="3"/>
  <c r="AL31" i="3"/>
  <c r="AK31" i="3"/>
  <c r="AJ31" i="3"/>
  <c r="AI31" i="3"/>
  <c r="AH31" i="3"/>
  <c r="AG31" i="3"/>
  <c r="AF31" i="3"/>
  <c r="AE31" i="3"/>
  <c r="AD31" i="3"/>
  <c r="AC31" i="3"/>
  <c r="AB31" i="3"/>
  <c r="AA31" i="3"/>
  <c r="Z31" i="3"/>
  <c r="X31" i="3"/>
  <c r="W31" i="3"/>
  <c r="V31" i="3"/>
  <c r="U31" i="3"/>
  <c r="T31" i="3"/>
  <c r="S31" i="3"/>
  <c r="R31" i="3"/>
  <c r="Q31" i="3"/>
  <c r="P31" i="3"/>
  <c r="O31" i="3"/>
  <c r="N31" i="3"/>
  <c r="M31" i="3"/>
  <c r="L31" i="3"/>
  <c r="K31" i="3"/>
  <c r="J31" i="3"/>
  <c r="I31" i="3"/>
  <c r="H31" i="3"/>
  <c r="G31" i="3"/>
  <c r="F31" i="3"/>
  <c r="E31" i="3"/>
  <c r="D31" i="3"/>
  <c r="C31" i="3"/>
  <c r="B31"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W30" i="3"/>
  <c r="V30" i="3"/>
  <c r="U30" i="3"/>
  <c r="T30" i="3"/>
  <c r="S30" i="3"/>
  <c r="R30" i="3"/>
  <c r="Q30" i="3"/>
  <c r="P30" i="3"/>
  <c r="O30" i="3"/>
  <c r="N30" i="3"/>
  <c r="M30" i="3"/>
  <c r="L30" i="3"/>
  <c r="K30" i="3"/>
  <c r="J30" i="3"/>
  <c r="I30" i="3"/>
  <c r="H30" i="3"/>
  <c r="G30" i="3"/>
  <c r="F30" i="3"/>
  <c r="E30" i="3"/>
  <c r="D30" i="3"/>
  <c r="C30" i="3"/>
  <c r="B30"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V29" i="3"/>
  <c r="U29" i="3"/>
  <c r="T29" i="3"/>
  <c r="S29" i="3"/>
  <c r="R29" i="3"/>
  <c r="Q29" i="3"/>
  <c r="P29" i="3"/>
  <c r="O29" i="3"/>
  <c r="N29" i="3"/>
  <c r="M29" i="3"/>
  <c r="L29" i="3"/>
  <c r="K29" i="3"/>
  <c r="J29" i="3"/>
  <c r="I29" i="3"/>
  <c r="H29" i="3"/>
  <c r="G29" i="3"/>
  <c r="F29" i="3"/>
  <c r="E29" i="3"/>
  <c r="D29" i="3"/>
  <c r="C29" i="3"/>
  <c r="B29"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U28" i="3"/>
  <c r="T28" i="3"/>
  <c r="S28" i="3"/>
  <c r="R28" i="3"/>
  <c r="Q28" i="3"/>
  <c r="P28" i="3"/>
  <c r="O28" i="3"/>
  <c r="N28" i="3"/>
  <c r="M28" i="3"/>
  <c r="L28" i="3"/>
  <c r="K28" i="3"/>
  <c r="J28" i="3"/>
  <c r="I28" i="3"/>
  <c r="H28" i="3"/>
  <c r="G28" i="3"/>
  <c r="F28" i="3"/>
  <c r="E28" i="3"/>
  <c r="D28" i="3"/>
  <c r="C28" i="3"/>
  <c r="B28"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T27" i="3"/>
  <c r="S27" i="3"/>
  <c r="R27" i="3"/>
  <c r="Q27" i="3"/>
  <c r="P27" i="3"/>
  <c r="O27" i="3"/>
  <c r="N27" i="3"/>
  <c r="M27" i="3"/>
  <c r="L27" i="3"/>
  <c r="K27" i="3"/>
  <c r="J27" i="3"/>
  <c r="I27" i="3"/>
  <c r="H27" i="3"/>
  <c r="G27" i="3"/>
  <c r="F27" i="3"/>
  <c r="E27" i="3"/>
  <c r="D27" i="3"/>
  <c r="C27" i="3"/>
  <c r="B27"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S26" i="3"/>
  <c r="R26" i="3"/>
  <c r="Q26" i="3"/>
  <c r="P26" i="3"/>
  <c r="O26" i="3"/>
  <c r="N26" i="3"/>
  <c r="M26" i="3"/>
  <c r="L26" i="3"/>
  <c r="K26" i="3"/>
  <c r="J26" i="3"/>
  <c r="I26" i="3"/>
  <c r="H26" i="3"/>
  <c r="G26" i="3"/>
  <c r="F26" i="3"/>
  <c r="E26" i="3"/>
  <c r="D26" i="3"/>
  <c r="C26" i="3"/>
  <c r="B26"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R25" i="3"/>
  <c r="Q25" i="3"/>
  <c r="P25" i="3"/>
  <c r="O25" i="3"/>
  <c r="N25" i="3"/>
  <c r="M25" i="3"/>
  <c r="L25" i="3"/>
  <c r="K25" i="3"/>
  <c r="J25" i="3"/>
  <c r="I25" i="3"/>
  <c r="H25" i="3"/>
  <c r="G25" i="3"/>
  <c r="F25" i="3"/>
  <c r="E25" i="3"/>
  <c r="D25" i="3"/>
  <c r="C25" i="3"/>
  <c r="B25"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Q24" i="3"/>
  <c r="P24" i="3"/>
  <c r="O24" i="3"/>
  <c r="N24" i="3"/>
  <c r="M24" i="3"/>
  <c r="L24" i="3"/>
  <c r="K24" i="3"/>
  <c r="J24" i="3"/>
  <c r="I24" i="3"/>
  <c r="H24" i="3"/>
  <c r="G24" i="3"/>
  <c r="F24" i="3"/>
  <c r="E24" i="3"/>
  <c r="D24" i="3"/>
  <c r="C24" i="3"/>
  <c r="B24"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P23" i="3"/>
  <c r="O23" i="3"/>
  <c r="N23" i="3"/>
  <c r="M23" i="3"/>
  <c r="L23" i="3"/>
  <c r="K23" i="3"/>
  <c r="J23" i="3"/>
  <c r="I23" i="3"/>
  <c r="H23" i="3"/>
  <c r="G23" i="3"/>
  <c r="F23" i="3"/>
  <c r="E23" i="3"/>
  <c r="D23" i="3"/>
  <c r="C23" i="3"/>
  <c r="B23"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O22" i="3"/>
  <c r="N22" i="3"/>
  <c r="M22" i="3"/>
  <c r="L22" i="3"/>
  <c r="K22" i="3"/>
  <c r="J22" i="3"/>
  <c r="I22" i="3"/>
  <c r="H22" i="3"/>
  <c r="G22" i="3"/>
  <c r="F22" i="3"/>
  <c r="E22" i="3"/>
  <c r="D22" i="3"/>
  <c r="C22" i="3"/>
  <c r="B22"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N21" i="3"/>
  <c r="M21" i="3"/>
  <c r="L21" i="3"/>
  <c r="K21" i="3"/>
  <c r="J21" i="3"/>
  <c r="I21" i="3"/>
  <c r="H21" i="3"/>
  <c r="G21" i="3"/>
  <c r="F21" i="3"/>
  <c r="E21" i="3"/>
  <c r="D21" i="3"/>
  <c r="C21" i="3"/>
  <c r="B21"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M20" i="3"/>
  <c r="L20" i="3"/>
  <c r="K20" i="3"/>
  <c r="J20" i="3"/>
  <c r="I20" i="3"/>
  <c r="H20" i="3"/>
  <c r="G20" i="3"/>
  <c r="F20" i="3"/>
  <c r="E20" i="3"/>
  <c r="D20" i="3"/>
  <c r="C20" i="3"/>
  <c r="B20"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L19" i="3"/>
  <c r="K19" i="3"/>
  <c r="J19" i="3"/>
  <c r="I19" i="3"/>
  <c r="H19" i="3"/>
  <c r="G19" i="3"/>
  <c r="F19" i="3"/>
  <c r="E19" i="3"/>
  <c r="D19" i="3"/>
  <c r="C19" i="3"/>
  <c r="B19"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K18" i="3"/>
  <c r="J18" i="3"/>
  <c r="I18" i="3"/>
  <c r="H18" i="3"/>
  <c r="G18" i="3"/>
  <c r="F18" i="3"/>
  <c r="E18" i="3"/>
  <c r="D18" i="3"/>
  <c r="C18" i="3"/>
  <c r="B18"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J17" i="3"/>
  <c r="I17" i="3"/>
  <c r="H17" i="3"/>
  <c r="G17" i="3"/>
  <c r="F17" i="3"/>
  <c r="E17" i="3"/>
  <c r="D17" i="3"/>
  <c r="C17" i="3"/>
  <c r="B17"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H16" i="3"/>
  <c r="G16" i="3"/>
  <c r="F16" i="3"/>
  <c r="E16" i="3"/>
  <c r="D16" i="3"/>
  <c r="C16" i="3"/>
  <c r="B16"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E15" i="3"/>
  <c r="D15" i="3"/>
  <c r="C15" i="3"/>
  <c r="B15"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J14" i="3"/>
  <c r="I14" i="3"/>
  <c r="H14" i="3"/>
  <c r="F14" i="3"/>
  <c r="E14" i="3"/>
  <c r="D14" i="3"/>
  <c r="C14" i="3"/>
  <c r="B14"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J13" i="3"/>
  <c r="I13" i="3"/>
  <c r="H13" i="3"/>
  <c r="G13" i="3"/>
  <c r="E13" i="3"/>
  <c r="D13" i="3"/>
  <c r="C13" i="3"/>
  <c r="B13"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J12" i="3"/>
  <c r="I12" i="3"/>
  <c r="H12" i="3"/>
  <c r="G12" i="3"/>
  <c r="F12" i="3"/>
  <c r="D12" i="3"/>
  <c r="C12" i="3"/>
  <c r="B12"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J11" i="3"/>
  <c r="I11" i="3"/>
  <c r="H11" i="3"/>
  <c r="G11" i="3"/>
  <c r="F11" i="3"/>
  <c r="E11" i="3"/>
  <c r="C11" i="3"/>
  <c r="B11"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J10" i="3"/>
  <c r="I10" i="3"/>
  <c r="H10" i="3"/>
  <c r="G10" i="3"/>
  <c r="F10" i="3"/>
  <c r="E10" i="3"/>
  <c r="D10" i="3"/>
  <c r="B10" i="3"/>
  <c r="B9" i="3"/>
  <c r="AV6" i="3"/>
  <c r="AV9" i="3" s="1"/>
  <c r="AS6" i="3"/>
  <c r="AS9" i="3" s="1"/>
  <c r="AF6" i="3"/>
  <c r="AF9" i="3" s="1"/>
  <c r="AC6" i="3"/>
  <c r="AY15" i="6" s="1"/>
  <c r="AB6" i="3"/>
  <c r="AB9" i="3" s="1"/>
  <c r="AA6" i="3"/>
  <c r="AA9" i="3" s="1"/>
  <c r="P6" i="3"/>
  <c r="P9" i="3" s="1"/>
  <c r="M6" i="3"/>
  <c r="M9" i="3" s="1"/>
  <c r="H6" i="3"/>
  <c r="H9" i="3" s="1"/>
  <c r="E6" i="3"/>
  <c r="E9" i="3" s="1"/>
  <c r="AW5" i="3"/>
  <c r="AW54" i="3" s="1"/>
  <c r="AV5" i="3"/>
  <c r="AV53" i="3" s="1"/>
  <c r="AU5" i="3"/>
  <c r="AU52" i="3" s="1"/>
  <c r="AT5" i="3"/>
  <c r="AT51" i="3" s="1"/>
  <c r="AS5" i="3"/>
  <c r="AS50" i="3" s="1"/>
  <c r="AR5" i="3"/>
  <c r="AR49" i="3" s="1"/>
  <c r="AQ5" i="3"/>
  <c r="AQ48" i="3" s="1"/>
  <c r="AP5" i="3"/>
  <c r="AP47" i="3" s="1"/>
  <c r="AO5" i="3"/>
  <c r="AO46" i="3" s="1"/>
  <c r="AN5" i="3"/>
  <c r="AN45" i="3" s="1"/>
  <c r="AM5" i="3"/>
  <c r="AM44" i="3" s="1"/>
  <c r="AL5" i="3"/>
  <c r="AL43" i="3" s="1"/>
  <c r="AK5" i="3"/>
  <c r="AK42" i="3" s="1"/>
  <c r="AJ5" i="3"/>
  <c r="AJ41" i="3" s="1"/>
  <c r="AI5" i="3"/>
  <c r="AI41" i="3" s="1"/>
  <c r="AH5" i="3"/>
  <c r="AH40" i="3" s="1"/>
  <c r="AG5" i="3"/>
  <c r="AG39" i="3" s="1"/>
  <c r="AF5" i="3"/>
  <c r="AF38" i="3" s="1"/>
  <c r="AE5" i="3"/>
  <c r="AE37" i="3" s="1"/>
  <c r="AD5" i="3"/>
  <c r="AD36" i="3" s="1"/>
  <c r="AC5" i="3"/>
  <c r="AC35" i="3" s="1"/>
  <c r="AB5" i="3"/>
  <c r="AB34" i="3" s="1"/>
  <c r="AA5" i="3"/>
  <c r="AA33" i="3" s="1"/>
  <c r="Z5" i="3"/>
  <c r="Z32" i="3" s="1"/>
  <c r="Y5" i="3"/>
  <c r="Y31" i="3" s="1"/>
  <c r="X5" i="3"/>
  <c r="X30" i="3" s="1"/>
  <c r="W5" i="3"/>
  <c r="W29" i="3" s="1"/>
  <c r="V5" i="3"/>
  <c r="V28" i="3" s="1"/>
  <c r="U5" i="3"/>
  <c r="U27" i="3" s="1"/>
  <c r="T5" i="3"/>
  <c r="T26" i="3" s="1"/>
  <c r="S5" i="3"/>
  <c r="S25" i="3" s="1"/>
  <c r="R5" i="3"/>
  <c r="R24" i="3" s="1"/>
  <c r="Q5" i="3"/>
  <c r="Q23" i="3" s="1"/>
  <c r="P5" i="3"/>
  <c r="P22" i="3" s="1"/>
  <c r="O5" i="3"/>
  <c r="O21" i="3" s="1"/>
  <c r="N5" i="3"/>
  <c r="N20" i="3" s="1"/>
  <c r="M5" i="3"/>
  <c r="M19" i="3" s="1"/>
  <c r="L5" i="3"/>
  <c r="L18" i="3" s="1"/>
  <c r="K5" i="3"/>
  <c r="K17" i="3" s="1"/>
  <c r="J5" i="3"/>
  <c r="J16" i="3" s="1"/>
  <c r="I5" i="3"/>
  <c r="I16" i="3" s="1"/>
  <c r="H5" i="3"/>
  <c r="G5" i="3"/>
  <c r="G14" i="3" s="1"/>
  <c r="F5" i="3"/>
  <c r="F13" i="3" s="1"/>
  <c r="E5" i="3"/>
  <c r="E12" i="3" s="1"/>
  <c r="D5" i="3"/>
  <c r="D11" i="3" s="1"/>
  <c r="C5" i="3"/>
  <c r="C10" i="3" s="1"/>
  <c r="AK6" i="3" l="1"/>
  <c r="AK9" i="3" s="1"/>
  <c r="AN6" i="3"/>
  <c r="AN9" i="3" s="1"/>
  <c r="C6" i="3"/>
  <c r="C9" i="3" s="1"/>
  <c r="X6" i="3"/>
  <c r="X9" i="3" s="1"/>
  <c r="AQ6" i="3"/>
  <c r="AQ9" i="3" s="1"/>
  <c r="H9" i="7"/>
  <c r="U8" i="7"/>
  <c r="AE2" i="7"/>
  <c r="AL9" i="7"/>
  <c r="AY24" i="5"/>
  <c r="O22" i="7"/>
  <c r="AT9" i="7"/>
  <c r="AY7" i="6"/>
  <c r="AZ7" i="6" s="1"/>
  <c r="AZ15" i="6"/>
  <c r="F7" i="7"/>
  <c r="J5" i="7"/>
  <c r="N7" i="7"/>
  <c r="W8" i="7"/>
  <c r="AZ9" i="4"/>
  <c r="AZ23" i="6"/>
  <c r="E8" i="7"/>
  <c r="K6" i="3"/>
  <c r="K9" i="3" s="1"/>
  <c r="AY20" i="6"/>
  <c r="AZ20" i="6" s="1"/>
  <c r="AE14" i="7"/>
  <c r="AY9" i="4"/>
  <c r="AY23" i="6"/>
  <c r="F9" i="7"/>
  <c r="H3" i="7"/>
  <c r="AL2" i="8"/>
  <c r="AY17" i="4"/>
  <c r="AZ17" i="4" s="1"/>
  <c r="O2" i="7"/>
  <c r="P3" i="7"/>
  <c r="AT7" i="7"/>
  <c r="AY25" i="4"/>
  <c r="AZ25" i="4" s="1"/>
  <c r="AZ8" i="5"/>
  <c r="S6" i="3"/>
  <c r="S9" i="3" s="1"/>
  <c r="W2" i="7"/>
  <c r="AY8" i="5"/>
  <c r="D7" i="7"/>
  <c r="AI6" i="3"/>
  <c r="AI9" i="3" s="1"/>
  <c r="U6" i="3"/>
  <c r="U9" i="3" s="1"/>
  <c r="AE10" i="7"/>
  <c r="AT21" i="7"/>
  <c r="AY16" i="5"/>
  <c r="AZ16" i="5" s="1"/>
  <c r="AZ24" i="5"/>
  <c r="O10" i="7"/>
  <c r="Z11" i="8"/>
  <c r="AD9" i="7"/>
  <c r="AM10" i="7"/>
  <c r="AN3" i="7"/>
  <c r="AQ12" i="7"/>
  <c r="I10" i="7"/>
  <c r="L7" i="7"/>
  <c r="Q4" i="8"/>
  <c r="C21" i="9"/>
  <c r="C22" i="9"/>
  <c r="C23" i="9"/>
  <c r="C15" i="9"/>
  <c r="C24" i="9"/>
  <c r="C16" i="9"/>
  <c r="C25" i="9"/>
  <c r="C17" i="9"/>
  <c r="C26" i="9"/>
  <c r="C18" i="9"/>
  <c r="C20" i="9"/>
  <c r="C11" i="9"/>
  <c r="C19" i="9"/>
  <c r="C12" i="9"/>
  <c r="C13" i="9"/>
  <c r="C7" i="9"/>
  <c r="C8" i="9"/>
  <c r="C14" i="9"/>
  <c r="C9" i="9"/>
  <c r="C10" i="9"/>
  <c r="C26" i="8"/>
  <c r="C18" i="8"/>
  <c r="C6" i="9"/>
  <c r="C2" i="9"/>
  <c r="C19" i="8"/>
  <c r="C20" i="8"/>
  <c r="C21" i="8"/>
  <c r="C5" i="9"/>
  <c r="C4" i="9"/>
  <c r="C22" i="8"/>
  <c r="C3" i="9"/>
  <c r="C23" i="8"/>
  <c r="C24" i="8"/>
  <c r="C13" i="8"/>
  <c r="C5" i="8"/>
  <c r="C25" i="8"/>
  <c r="C14" i="8"/>
  <c r="C6" i="8"/>
  <c r="C15" i="8"/>
  <c r="C7" i="8"/>
  <c r="C16" i="8"/>
  <c r="C8" i="8"/>
  <c r="C9" i="8"/>
  <c r="C10" i="8"/>
  <c r="C17" i="8"/>
  <c r="C11" i="8"/>
  <c r="C3" i="8"/>
  <c r="C2" i="8"/>
  <c r="C19" i="7"/>
  <c r="C20" i="7"/>
  <c r="C21" i="7"/>
  <c r="C4" i="8"/>
  <c r="C22" i="7"/>
  <c r="C12" i="8"/>
  <c r="C23" i="7"/>
  <c r="C24" i="7"/>
  <c r="C25" i="7"/>
  <c r="C17" i="7"/>
  <c r="C7" i="7"/>
  <c r="C8" i="7"/>
  <c r="C9" i="7"/>
  <c r="C10" i="7"/>
  <c r="C2" i="7"/>
  <c r="C16" i="7"/>
  <c r="C11" i="7"/>
  <c r="C3" i="7"/>
  <c r="C6" i="7"/>
  <c r="C15" i="7"/>
  <c r="C12" i="7"/>
  <c r="C4" i="7"/>
  <c r="C18" i="7"/>
  <c r="C13" i="7"/>
  <c r="C5" i="7"/>
  <c r="C26" i="7"/>
  <c r="C14" i="7"/>
  <c r="G8" i="7"/>
  <c r="K6" i="7"/>
  <c r="P9" i="7"/>
  <c r="T7" i="7"/>
  <c r="Y10" i="7"/>
  <c r="AC8" i="7"/>
  <c r="AH11" i="7"/>
  <c r="AK15" i="7"/>
  <c r="AM2" i="7"/>
  <c r="AP11" i="7"/>
  <c r="AU14" i="7"/>
  <c r="S6" i="7"/>
  <c r="X18" i="7"/>
  <c r="AB7" i="7"/>
  <c r="AG10" i="7"/>
  <c r="AJ7" i="7"/>
  <c r="AO14" i="7"/>
  <c r="AS8" i="7"/>
  <c r="AU2" i="7"/>
  <c r="E18" i="7"/>
  <c r="M17" i="7"/>
  <c r="R5" i="7"/>
  <c r="V14" i="7"/>
  <c r="AA6" i="7"/>
  <c r="AF23" i="7"/>
  <c r="AI6" i="7"/>
  <c r="AN9" i="7"/>
  <c r="AR7" i="7"/>
  <c r="D13" i="7"/>
  <c r="I4" i="7"/>
  <c r="L15" i="7"/>
  <c r="Q4" i="7"/>
  <c r="U15" i="7"/>
  <c r="Z5" i="7"/>
  <c r="AD15" i="7"/>
  <c r="AM17" i="7"/>
  <c r="AQ6" i="7"/>
  <c r="AP13" i="7"/>
  <c r="AU8" i="7"/>
  <c r="G10" i="7"/>
  <c r="G2" i="7"/>
  <c r="T16" i="7"/>
  <c r="Y4" i="7"/>
  <c r="AH5" i="7"/>
  <c r="J11" i="7"/>
  <c r="N9" i="7"/>
  <c r="X3" i="7"/>
  <c r="AB19" i="7"/>
  <c r="AG4" i="7"/>
  <c r="AJ13" i="7"/>
  <c r="AO12" i="7"/>
  <c r="AP5" i="7"/>
  <c r="AS20" i="7"/>
  <c r="K16" i="7"/>
  <c r="AC16" i="7"/>
  <c r="AK6" i="7"/>
  <c r="S26" i="7"/>
  <c r="M8" i="7"/>
  <c r="R11" i="7"/>
  <c r="V9" i="7"/>
  <c r="AA12" i="7"/>
  <c r="AF3" i="7"/>
  <c r="AI12" i="7"/>
  <c r="AN11" i="7"/>
  <c r="AO4" i="7"/>
  <c r="AR13" i="7"/>
  <c r="AK8" i="7"/>
  <c r="W10" i="7"/>
  <c r="AU10" i="7"/>
  <c r="H11" i="7"/>
  <c r="P11" i="7"/>
  <c r="X11" i="7"/>
  <c r="AF11" i="7"/>
  <c r="I12" i="7"/>
  <c r="Q12" i="7"/>
  <c r="Y12" i="7"/>
  <c r="AG12" i="7"/>
  <c r="J13" i="7"/>
  <c r="R13" i="7"/>
  <c r="Z13" i="7"/>
  <c r="AH13" i="7"/>
  <c r="K14" i="7"/>
  <c r="T14" i="7"/>
  <c r="AC14" i="7"/>
  <c r="AL14" i="7"/>
  <c r="J15" i="7"/>
  <c r="S15" i="7"/>
  <c r="AB15" i="7"/>
  <c r="AT15" i="7"/>
  <c r="H16" i="7"/>
  <c r="Q16" i="7"/>
  <c r="AA16" i="7"/>
  <c r="AJ16" i="7"/>
  <c r="AT16" i="7"/>
  <c r="J17" i="7"/>
  <c r="W17" i="7"/>
  <c r="AJ17" i="7"/>
  <c r="P18" i="7"/>
  <c r="L19" i="7"/>
  <c r="AC20" i="7"/>
  <c r="P23" i="7"/>
  <c r="AG24" i="7"/>
  <c r="T2" i="8"/>
  <c r="AT3" i="8"/>
  <c r="AM8" i="8"/>
  <c r="I6" i="3"/>
  <c r="I9" i="3" s="1"/>
  <c r="Q6" i="3"/>
  <c r="Q9" i="3" s="1"/>
  <c r="Y6" i="3"/>
  <c r="Y9" i="3" s="1"/>
  <c r="AG6" i="3"/>
  <c r="AG9" i="3" s="1"/>
  <c r="AO6" i="3"/>
  <c r="AO9" i="3" s="1"/>
  <c r="AW6" i="3"/>
  <c r="AW9" i="3" s="1"/>
  <c r="AY4" i="4"/>
  <c r="AZ4" i="4" s="1"/>
  <c r="AY12" i="4"/>
  <c r="AZ12" i="4" s="1"/>
  <c r="AY20" i="4"/>
  <c r="AZ20" i="4" s="1"/>
  <c r="AY3" i="5"/>
  <c r="AZ3" i="5" s="1"/>
  <c r="AY11" i="5"/>
  <c r="AZ11" i="5" s="1"/>
  <c r="AY19" i="5"/>
  <c r="AZ19" i="5" s="1"/>
  <c r="AY2" i="6"/>
  <c r="AZ2" i="6" s="1"/>
  <c r="AY10" i="6"/>
  <c r="AZ10" i="6" s="1"/>
  <c r="AY18" i="6"/>
  <c r="AZ18" i="6" s="1"/>
  <c r="AY26" i="6"/>
  <c r="AZ26" i="6" s="1"/>
  <c r="H2" i="7"/>
  <c r="P2" i="7"/>
  <c r="X2" i="7"/>
  <c r="AF2" i="7"/>
  <c r="AN2" i="7"/>
  <c r="I3" i="7"/>
  <c r="Q3" i="7"/>
  <c r="Y3" i="7"/>
  <c r="AG3" i="7"/>
  <c r="AO3" i="7"/>
  <c r="J4" i="7"/>
  <c r="R4" i="7"/>
  <c r="Z4" i="7"/>
  <c r="AH4" i="7"/>
  <c r="AP4" i="7"/>
  <c r="K5" i="7"/>
  <c r="S5" i="7"/>
  <c r="AA5" i="7"/>
  <c r="AI5" i="7"/>
  <c r="AQ5" i="7"/>
  <c r="D6" i="7"/>
  <c r="L6" i="7"/>
  <c r="T6" i="7"/>
  <c r="AB6" i="7"/>
  <c r="AJ6" i="7"/>
  <c r="AR6" i="7"/>
  <c r="E7" i="7"/>
  <c r="M7" i="7"/>
  <c r="U7" i="7"/>
  <c r="AC7" i="7"/>
  <c r="AK7" i="7"/>
  <c r="AS7" i="7"/>
  <c r="F8" i="7"/>
  <c r="N8" i="7"/>
  <c r="V8" i="7"/>
  <c r="AD8" i="7"/>
  <c r="AL8" i="7"/>
  <c r="AT8" i="7"/>
  <c r="G9" i="7"/>
  <c r="O9" i="7"/>
  <c r="W9" i="7"/>
  <c r="AE9" i="7"/>
  <c r="AM9" i="7"/>
  <c r="AU9" i="7"/>
  <c r="H10" i="7"/>
  <c r="P10" i="7"/>
  <c r="X10" i="7"/>
  <c r="AF10" i="7"/>
  <c r="AN10" i="7"/>
  <c r="I11" i="7"/>
  <c r="Q11" i="7"/>
  <c r="Y11" i="7"/>
  <c r="AG11" i="7"/>
  <c r="AO11" i="7"/>
  <c r="J12" i="7"/>
  <c r="R12" i="7"/>
  <c r="Z12" i="7"/>
  <c r="AH12" i="7"/>
  <c r="AP12" i="7"/>
  <c r="K13" i="7"/>
  <c r="S13" i="7"/>
  <c r="AA13" i="7"/>
  <c r="AI13" i="7"/>
  <c r="AQ13" i="7"/>
  <c r="D14" i="7"/>
  <c r="L14" i="7"/>
  <c r="U14" i="7"/>
  <c r="AD14" i="7"/>
  <c r="AM14" i="7"/>
  <c r="K15" i="7"/>
  <c r="T15" i="7"/>
  <c r="AC15" i="7"/>
  <c r="AL15" i="7"/>
  <c r="AU15" i="7"/>
  <c r="I16" i="7"/>
  <c r="S16" i="7"/>
  <c r="AB16" i="7"/>
  <c r="AK16" i="7"/>
  <c r="AU16" i="7"/>
  <c r="L17" i="7"/>
  <c r="Y17" i="7"/>
  <c r="AK17" i="7"/>
  <c r="S18" i="7"/>
  <c r="T19" i="7"/>
  <c r="AK20" i="7"/>
  <c r="G22" i="7"/>
  <c r="X23" i="7"/>
  <c r="AO24" i="7"/>
  <c r="K26" i="7"/>
  <c r="AC2" i="8"/>
  <c r="H4" i="8"/>
  <c r="I10" i="8"/>
  <c r="J6" i="3"/>
  <c r="J9" i="3" s="1"/>
  <c r="R6" i="3"/>
  <c r="R9" i="3" s="1"/>
  <c r="Z6" i="3"/>
  <c r="Z9" i="3" s="1"/>
  <c r="AH6" i="3"/>
  <c r="AH9" i="3" s="1"/>
  <c r="AP6" i="3"/>
  <c r="AP9" i="3" s="1"/>
  <c r="AY7" i="4"/>
  <c r="AZ7" i="4" s="1"/>
  <c r="AY15" i="4"/>
  <c r="AZ15" i="4" s="1"/>
  <c r="AY23" i="4"/>
  <c r="AZ23" i="4" s="1"/>
  <c r="AY6" i="5"/>
  <c r="AZ6" i="5" s="1"/>
  <c r="AY14" i="5"/>
  <c r="AZ14" i="5" s="1"/>
  <c r="AY22" i="5"/>
  <c r="AZ22" i="5" s="1"/>
  <c r="AY5" i="6"/>
  <c r="AZ5" i="6" s="1"/>
  <c r="AY13" i="6"/>
  <c r="AZ13" i="6" s="1"/>
  <c r="AY21" i="6"/>
  <c r="AZ21" i="6" s="1"/>
  <c r="I2" i="7"/>
  <c r="Q2" i="7"/>
  <c r="Y2" i="7"/>
  <c r="AG2" i="7"/>
  <c r="AO2" i="7"/>
  <c r="J3" i="7"/>
  <c r="R3" i="7"/>
  <c r="Z3" i="7"/>
  <c r="AH3" i="7"/>
  <c r="AP3" i="7"/>
  <c r="K4" i="7"/>
  <c r="S4" i="7"/>
  <c r="AA4" i="7"/>
  <c r="AI4" i="7"/>
  <c r="AQ4" i="7"/>
  <c r="D5" i="7"/>
  <c r="L5" i="7"/>
  <c r="T5" i="7"/>
  <c r="AB5" i="7"/>
  <c r="AJ5" i="7"/>
  <c r="AR5" i="7"/>
  <c r="E6" i="7"/>
  <c r="M6" i="7"/>
  <c r="U6" i="7"/>
  <c r="AC6" i="7"/>
  <c r="AS6" i="7"/>
  <c r="V7" i="7"/>
  <c r="AD7" i="7"/>
  <c r="AL7" i="7"/>
  <c r="O8" i="7"/>
  <c r="AE8" i="7"/>
  <c r="AM8" i="7"/>
  <c r="X9" i="7"/>
  <c r="AF9" i="7"/>
  <c r="Q10" i="7"/>
  <c r="AO10" i="7"/>
  <c r="Z11" i="7"/>
  <c r="K12" i="7"/>
  <c r="S12" i="7"/>
  <c r="L13" i="7"/>
  <c r="T13" i="7"/>
  <c r="AB13" i="7"/>
  <c r="E14" i="7"/>
  <c r="M14" i="7"/>
  <c r="AM15" i="7"/>
  <c r="AL16" i="7"/>
  <c r="Z17" i="7"/>
  <c r="D22" i="9"/>
  <c r="D23" i="9"/>
  <c r="D24" i="9"/>
  <c r="D16" i="9"/>
  <c r="D25" i="9"/>
  <c r="D17" i="9"/>
  <c r="D26" i="9"/>
  <c r="D18" i="9"/>
  <c r="D19" i="9"/>
  <c r="D12" i="9"/>
  <c r="D13" i="9"/>
  <c r="D7" i="9"/>
  <c r="D15" i="9"/>
  <c r="D8" i="9"/>
  <c r="D14" i="9"/>
  <c r="D9" i="9"/>
  <c r="D21" i="9"/>
  <c r="D10" i="9"/>
  <c r="D6" i="9"/>
  <c r="D2" i="9"/>
  <c r="D19" i="8"/>
  <c r="D20" i="8"/>
  <c r="D11" i="9"/>
  <c r="D21" i="8"/>
  <c r="D5" i="9"/>
  <c r="D4" i="9"/>
  <c r="D22" i="8"/>
  <c r="D3" i="9"/>
  <c r="D23" i="8"/>
  <c r="D20" i="9"/>
  <c r="D24" i="8"/>
  <c r="D25" i="8"/>
  <c r="D17" i="8"/>
  <c r="D14" i="8"/>
  <c r="D6" i="8"/>
  <c r="D15" i="8"/>
  <c r="D7" i="8"/>
  <c r="D18" i="8"/>
  <c r="D16" i="8"/>
  <c r="D8" i="8"/>
  <c r="D26" i="8"/>
  <c r="D9" i="8"/>
  <c r="D10" i="8"/>
  <c r="D11" i="8"/>
  <c r="D12" i="8"/>
  <c r="D4" i="8"/>
  <c r="D5" i="8"/>
  <c r="D20" i="7"/>
  <c r="D21" i="7"/>
  <c r="D22" i="7"/>
  <c r="D23" i="7"/>
  <c r="D3" i="8"/>
  <c r="D24" i="7"/>
  <c r="D25" i="7"/>
  <c r="D13" i="8"/>
  <c r="D26" i="7"/>
  <c r="D18" i="7"/>
  <c r="E23" i="9"/>
  <c r="E15" i="9"/>
  <c r="E24" i="9"/>
  <c r="E25" i="9"/>
  <c r="E17" i="9"/>
  <c r="E26" i="9"/>
  <c r="E18" i="9"/>
  <c r="E19" i="9"/>
  <c r="E20" i="9"/>
  <c r="E5" i="9"/>
  <c r="E13" i="9"/>
  <c r="E7" i="9"/>
  <c r="E8" i="9"/>
  <c r="E14" i="9"/>
  <c r="E9" i="9"/>
  <c r="E21" i="9"/>
  <c r="E10" i="9"/>
  <c r="E16" i="9"/>
  <c r="E11" i="9"/>
  <c r="E3" i="9"/>
  <c r="E20" i="8"/>
  <c r="E22" i="9"/>
  <c r="E21" i="8"/>
  <c r="E4" i="9"/>
  <c r="E22" i="8"/>
  <c r="E23" i="8"/>
  <c r="E12" i="9"/>
  <c r="E24" i="8"/>
  <c r="E25" i="8"/>
  <c r="E26" i="8"/>
  <c r="E18" i="8"/>
  <c r="E15" i="8"/>
  <c r="E7" i="8"/>
  <c r="E6" i="9"/>
  <c r="E16" i="8"/>
  <c r="E8" i="8"/>
  <c r="E9" i="8"/>
  <c r="E10" i="8"/>
  <c r="E19" i="8"/>
  <c r="E11" i="8"/>
  <c r="E2" i="9"/>
  <c r="E17" i="8"/>
  <c r="E12" i="8"/>
  <c r="E13" i="8"/>
  <c r="E5" i="8"/>
  <c r="E14" i="8"/>
  <c r="E21" i="7"/>
  <c r="E22" i="7"/>
  <c r="E4" i="8"/>
  <c r="E23" i="7"/>
  <c r="E3" i="8"/>
  <c r="E24" i="7"/>
  <c r="E25" i="7"/>
  <c r="E26" i="7"/>
  <c r="E2" i="8"/>
  <c r="E19" i="7"/>
  <c r="F24" i="9"/>
  <c r="F16" i="9"/>
  <c r="F25" i="9"/>
  <c r="F26" i="9"/>
  <c r="F18" i="9"/>
  <c r="F19" i="9"/>
  <c r="F20" i="9"/>
  <c r="F21" i="9"/>
  <c r="F23" i="9"/>
  <c r="F13" i="9"/>
  <c r="F6" i="9"/>
  <c r="F7" i="9"/>
  <c r="F8" i="9"/>
  <c r="F15" i="9"/>
  <c r="F14" i="9"/>
  <c r="F9" i="9"/>
  <c r="F17" i="9"/>
  <c r="F10" i="9"/>
  <c r="F11" i="9"/>
  <c r="F22" i="9"/>
  <c r="F12" i="9"/>
  <c r="F4" i="9"/>
  <c r="F21" i="8"/>
  <c r="F22" i="8"/>
  <c r="F5" i="9"/>
  <c r="F23" i="8"/>
  <c r="F3" i="9"/>
  <c r="F24" i="8"/>
  <c r="F25" i="8"/>
  <c r="F26" i="8"/>
  <c r="F18" i="8"/>
  <c r="F2" i="9"/>
  <c r="F19" i="8"/>
  <c r="F16" i="8"/>
  <c r="F8" i="8"/>
  <c r="F9" i="8"/>
  <c r="F10" i="8"/>
  <c r="F11" i="8"/>
  <c r="F17" i="8"/>
  <c r="F12" i="8"/>
  <c r="F13" i="8"/>
  <c r="F20" i="8"/>
  <c r="F14" i="8"/>
  <c r="F6" i="8"/>
  <c r="F22" i="7"/>
  <c r="F7" i="8"/>
  <c r="F4" i="8"/>
  <c r="F23" i="7"/>
  <c r="F15" i="8"/>
  <c r="F3" i="8"/>
  <c r="F24" i="7"/>
  <c r="F25" i="7"/>
  <c r="F17" i="7"/>
  <c r="F26" i="7"/>
  <c r="F2" i="8"/>
  <c r="F19" i="7"/>
  <c r="F20" i="7"/>
  <c r="G25" i="9"/>
  <c r="G17" i="9"/>
  <c r="G26" i="9"/>
  <c r="G19" i="9"/>
  <c r="G20" i="9"/>
  <c r="G21" i="9"/>
  <c r="G13" i="9"/>
  <c r="G22" i="9"/>
  <c r="G24" i="9"/>
  <c r="G7" i="9"/>
  <c r="G8" i="9"/>
  <c r="G18" i="9"/>
  <c r="G15" i="9"/>
  <c r="G14" i="9"/>
  <c r="G9" i="9"/>
  <c r="G10" i="9"/>
  <c r="G11" i="9"/>
  <c r="G16" i="9"/>
  <c r="G12" i="9"/>
  <c r="G5" i="9"/>
  <c r="G23" i="9"/>
  <c r="G22" i="8"/>
  <c r="G4" i="9"/>
  <c r="G23" i="8"/>
  <c r="G3" i="9"/>
  <c r="G24" i="8"/>
  <c r="G25" i="8"/>
  <c r="G26" i="8"/>
  <c r="G2" i="9"/>
  <c r="G19" i="8"/>
  <c r="G6" i="9"/>
  <c r="G20" i="8"/>
  <c r="G21" i="8"/>
  <c r="G9" i="8"/>
  <c r="G18" i="8"/>
  <c r="G10" i="8"/>
  <c r="G11" i="8"/>
  <c r="G17" i="8"/>
  <c r="G12" i="8"/>
  <c r="G13" i="8"/>
  <c r="G5" i="8"/>
  <c r="G14" i="8"/>
  <c r="G6" i="8"/>
  <c r="G15" i="8"/>
  <c r="G7" i="8"/>
  <c r="G4" i="8"/>
  <c r="G23" i="7"/>
  <c r="G3" i="8"/>
  <c r="G24" i="7"/>
  <c r="G25" i="7"/>
  <c r="G8" i="8"/>
  <c r="G26" i="7"/>
  <c r="G18" i="7"/>
  <c r="G16" i="8"/>
  <c r="G2" i="8"/>
  <c r="G19" i="7"/>
  <c r="G20" i="7"/>
  <c r="G21" i="7"/>
  <c r="H26" i="9"/>
  <c r="H18" i="9"/>
  <c r="H20" i="9"/>
  <c r="H21" i="9"/>
  <c r="H13" i="9"/>
  <c r="H22" i="9"/>
  <c r="H14" i="9"/>
  <c r="H23" i="9"/>
  <c r="H25" i="9"/>
  <c r="H19" i="9"/>
  <c r="H8" i="9"/>
  <c r="H24" i="9"/>
  <c r="H15" i="9"/>
  <c r="H9" i="9"/>
  <c r="H10" i="9"/>
  <c r="H17" i="9"/>
  <c r="H11" i="9"/>
  <c r="H16" i="9"/>
  <c r="H12" i="9"/>
  <c r="H6" i="9"/>
  <c r="H4" i="9"/>
  <c r="H23" i="8"/>
  <c r="H7" i="9"/>
  <c r="H5" i="9"/>
  <c r="H3" i="9"/>
  <c r="H24" i="8"/>
  <c r="H25" i="8"/>
  <c r="H26" i="8"/>
  <c r="H18" i="8"/>
  <c r="H2" i="9"/>
  <c r="H19" i="8"/>
  <c r="H20" i="8"/>
  <c r="H21" i="8"/>
  <c r="H10" i="8"/>
  <c r="H11" i="8"/>
  <c r="H22" i="8"/>
  <c r="H17" i="8"/>
  <c r="H12" i="8"/>
  <c r="H13" i="8"/>
  <c r="H5" i="8"/>
  <c r="H14" i="8"/>
  <c r="H6" i="8"/>
  <c r="H15" i="8"/>
  <c r="H7" i="8"/>
  <c r="H16" i="8"/>
  <c r="H8" i="8"/>
  <c r="H3" i="8"/>
  <c r="H24" i="7"/>
  <c r="H25" i="7"/>
  <c r="H17" i="7"/>
  <c r="H26" i="7"/>
  <c r="H2" i="8"/>
  <c r="H19" i="7"/>
  <c r="H20" i="7"/>
  <c r="H9" i="8"/>
  <c r="H21" i="7"/>
  <c r="H22" i="7"/>
  <c r="I19" i="9"/>
  <c r="I21" i="9"/>
  <c r="I13" i="9"/>
  <c r="I22" i="9"/>
  <c r="I14" i="9"/>
  <c r="I23" i="9"/>
  <c r="I15" i="9"/>
  <c r="I24" i="9"/>
  <c r="I16" i="9"/>
  <c r="I25" i="9"/>
  <c r="I26" i="9"/>
  <c r="I9" i="9"/>
  <c r="I18" i="9"/>
  <c r="I10" i="9"/>
  <c r="I17" i="9"/>
  <c r="I11" i="9"/>
  <c r="I12" i="9"/>
  <c r="I20" i="9"/>
  <c r="I7" i="9"/>
  <c r="I5" i="9"/>
  <c r="I3" i="9"/>
  <c r="I24" i="8"/>
  <c r="I25" i="8"/>
  <c r="I26" i="8"/>
  <c r="I8" i="9"/>
  <c r="I2" i="9"/>
  <c r="I19" i="8"/>
  <c r="I20" i="8"/>
  <c r="I6" i="9"/>
  <c r="I21" i="8"/>
  <c r="I22" i="8"/>
  <c r="I18" i="8"/>
  <c r="I11" i="8"/>
  <c r="I17" i="8"/>
  <c r="I12" i="8"/>
  <c r="I4" i="9"/>
  <c r="I13" i="8"/>
  <c r="I5" i="8"/>
  <c r="I14" i="8"/>
  <c r="I6" i="8"/>
  <c r="I23" i="8"/>
  <c r="I15" i="8"/>
  <c r="I7" i="8"/>
  <c r="I16" i="8"/>
  <c r="I8" i="8"/>
  <c r="I9" i="8"/>
  <c r="I25" i="7"/>
  <c r="I26" i="7"/>
  <c r="I18" i="7"/>
  <c r="I2" i="8"/>
  <c r="I19" i="7"/>
  <c r="I20" i="7"/>
  <c r="I21" i="7"/>
  <c r="I22" i="7"/>
  <c r="I4" i="8"/>
  <c r="I23" i="7"/>
  <c r="I15" i="7"/>
  <c r="J20" i="9"/>
  <c r="J22" i="9"/>
  <c r="J14" i="9"/>
  <c r="J23" i="9"/>
  <c r="J15" i="9"/>
  <c r="J24" i="9"/>
  <c r="J16" i="9"/>
  <c r="J25" i="9"/>
  <c r="J17" i="9"/>
  <c r="J26" i="9"/>
  <c r="J18" i="9"/>
  <c r="J10" i="9"/>
  <c r="J11" i="9"/>
  <c r="J12" i="9"/>
  <c r="J21" i="9"/>
  <c r="J7" i="9"/>
  <c r="J8" i="9"/>
  <c r="J25" i="8"/>
  <c r="J26" i="8"/>
  <c r="J2" i="9"/>
  <c r="J19" i="8"/>
  <c r="J20" i="8"/>
  <c r="J6" i="9"/>
  <c r="J21" i="8"/>
  <c r="J9" i="9"/>
  <c r="J22" i="8"/>
  <c r="J4" i="9"/>
  <c r="J23" i="8"/>
  <c r="J19" i="9"/>
  <c r="J17" i="8"/>
  <c r="J12" i="8"/>
  <c r="J13" i="8"/>
  <c r="J13" i="9"/>
  <c r="J14" i="8"/>
  <c r="J6" i="8"/>
  <c r="J15" i="8"/>
  <c r="J7" i="8"/>
  <c r="J16" i="8"/>
  <c r="J8" i="8"/>
  <c r="J5" i="9"/>
  <c r="J9" i="8"/>
  <c r="J24" i="8"/>
  <c r="J10" i="8"/>
  <c r="J26" i="7"/>
  <c r="J11" i="8"/>
  <c r="J2" i="8"/>
  <c r="J19" i="7"/>
  <c r="J3" i="9"/>
  <c r="J18" i="8"/>
  <c r="J20" i="7"/>
  <c r="J21" i="7"/>
  <c r="J22" i="7"/>
  <c r="J4" i="8"/>
  <c r="J23" i="7"/>
  <c r="J5" i="8"/>
  <c r="J3" i="8"/>
  <c r="J24" i="7"/>
  <c r="J16" i="7"/>
  <c r="K21" i="9"/>
  <c r="K22" i="9"/>
  <c r="K23" i="9"/>
  <c r="K15" i="9"/>
  <c r="K24" i="9"/>
  <c r="K16" i="9"/>
  <c r="K25" i="9"/>
  <c r="K17" i="9"/>
  <c r="K26" i="9"/>
  <c r="K18" i="9"/>
  <c r="K11" i="9"/>
  <c r="K14" i="9"/>
  <c r="K12" i="9"/>
  <c r="K7" i="9"/>
  <c r="K20" i="9"/>
  <c r="K8" i="9"/>
  <c r="K19" i="9"/>
  <c r="K13" i="9"/>
  <c r="K9" i="9"/>
  <c r="K26" i="8"/>
  <c r="K18" i="8"/>
  <c r="K2" i="9"/>
  <c r="K19" i="8"/>
  <c r="K20" i="8"/>
  <c r="K6" i="9"/>
  <c r="K21" i="8"/>
  <c r="K22" i="8"/>
  <c r="K4" i="9"/>
  <c r="K23" i="8"/>
  <c r="K5" i="9"/>
  <c r="K3" i="9"/>
  <c r="K24" i="8"/>
  <c r="K25" i="8"/>
  <c r="K13" i="8"/>
  <c r="K5" i="8"/>
  <c r="K14" i="8"/>
  <c r="K6" i="8"/>
  <c r="K15" i="8"/>
  <c r="K7" i="8"/>
  <c r="K16" i="8"/>
  <c r="K8" i="8"/>
  <c r="K10" i="9"/>
  <c r="K9" i="8"/>
  <c r="K10" i="8"/>
  <c r="K11" i="8"/>
  <c r="K3" i="8"/>
  <c r="K2" i="8"/>
  <c r="K19" i="7"/>
  <c r="K20" i="7"/>
  <c r="K21" i="7"/>
  <c r="K12" i="8"/>
  <c r="K22" i="7"/>
  <c r="K4" i="8"/>
  <c r="K23" i="7"/>
  <c r="K24" i="7"/>
  <c r="K17" i="8"/>
  <c r="K25" i="7"/>
  <c r="K17" i="7"/>
  <c r="L22" i="9"/>
  <c r="L23" i="9"/>
  <c r="L24" i="9"/>
  <c r="L16" i="9"/>
  <c r="L25" i="9"/>
  <c r="L17" i="9"/>
  <c r="L26" i="9"/>
  <c r="L18" i="9"/>
  <c r="L19" i="9"/>
  <c r="L15" i="9"/>
  <c r="L14" i="9"/>
  <c r="L12" i="9"/>
  <c r="L21" i="9"/>
  <c r="L7" i="9"/>
  <c r="L20" i="9"/>
  <c r="L8" i="9"/>
  <c r="L13" i="9"/>
  <c r="L9" i="9"/>
  <c r="L10" i="9"/>
  <c r="L2" i="9"/>
  <c r="L19" i="8"/>
  <c r="L11" i="9"/>
  <c r="L20" i="8"/>
  <c r="L6" i="9"/>
  <c r="L21" i="8"/>
  <c r="L22" i="8"/>
  <c r="L4" i="9"/>
  <c r="L23" i="8"/>
  <c r="L5" i="9"/>
  <c r="L3" i="9"/>
  <c r="L24" i="8"/>
  <c r="L25" i="8"/>
  <c r="L17" i="8"/>
  <c r="L14" i="8"/>
  <c r="L6" i="8"/>
  <c r="L15" i="8"/>
  <c r="L7" i="8"/>
  <c r="L26" i="8"/>
  <c r="L16" i="8"/>
  <c r="L8" i="8"/>
  <c r="L9" i="8"/>
  <c r="L10" i="8"/>
  <c r="L11" i="8"/>
  <c r="L18" i="8"/>
  <c r="L12" i="8"/>
  <c r="L4" i="8"/>
  <c r="L20" i="7"/>
  <c r="L21" i="7"/>
  <c r="L22" i="7"/>
  <c r="L23" i="7"/>
  <c r="L24" i="7"/>
  <c r="L13" i="8"/>
  <c r="L5" i="8"/>
  <c r="L3" i="8"/>
  <c r="L25" i="7"/>
  <c r="L26" i="7"/>
  <c r="L18" i="7"/>
  <c r="M23" i="9"/>
  <c r="M15" i="9"/>
  <c r="M24" i="9"/>
  <c r="M25" i="9"/>
  <c r="M17" i="9"/>
  <c r="M26" i="9"/>
  <c r="M18" i="9"/>
  <c r="M19" i="9"/>
  <c r="M20" i="9"/>
  <c r="M5" i="9"/>
  <c r="M21" i="9"/>
  <c r="M7" i="9"/>
  <c r="M16" i="9"/>
  <c r="M8" i="9"/>
  <c r="M13" i="9"/>
  <c r="M9" i="9"/>
  <c r="M22" i="9"/>
  <c r="M10" i="9"/>
  <c r="M11" i="9"/>
  <c r="M3" i="9"/>
  <c r="M20" i="8"/>
  <c r="M6" i="9"/>
  <c r="M21" i="8"/>
  <c r="M22" i="8"/>
  <c r="M14" i="9"/>
  <c r="M12" i="9"/>
  <c r="M4" i="9"/>
  <c r="M23" i="8"/>
  <c r="M24" i="8"/>
  <c r="M25" i="8"/>
  <c r="M26" i="8"/>
  <c r="M18" i="8"/>
  <c r="M15" i="8"/>
  <c r="M7" i="8"/>
  <c r="M16" i="8"/>
  <c r="M8" i="8"/>
  <c r="M9" i="8"/>
  <c r="M19" i="8"/>
  <c r="M10" i="8"/>
  <c r="M2" i="9"/>
  <c r="M11" i="8"/>
  <c r="M12" i="8"/>
  <c r="M17" i="8"/>
  <c r="M13" i="8"/>
  <c r="M5" i="8"/>
  <c r="M21" i="7"/>
  <c r="M22" i="7"/>
  <c r="M23" i="7"/>
  <c r="M4" i="8"/>
  <c r="M24" i="7"/>
  <c r="M3" i="8"/>
  <c r="M25" i="7"/>
  <c r="M26" i="7"/>
  <c r="M18" i="7"/>
  <c r="M6" i="8"/>
  <c r="M2" i="8"/>
  <c r="M19" i="7"/>
  <c r="N24" i="9"/>
  <c r="N16" i="9"/>
  <c r="N25" i="9"/>
  <c r="N26" i="9"/>
  <c r="N18" i="9"/>
  <c r="N19" i="9"/>
  <c r="N20" i="9"/>
  <c r="N21" i="9"/>
  <c r="N23" i="9"/>
  <c r="N6" i="9"/>
  <c r="N17" i="9"/>
  <c r="N7" i="9"/>
  <c r="N8" i="9"/>
  <c r="N13" i="9"/>
  <c r="N9" i="9"/>
  <c r="N22" i="9"/>
  <c r="N10" i="9"/>
  <c r="N11" i="9"/>
  <c r="N14" i="9"/>
  <c r="N12" i="9"/>
  <c r="N4" i="9"/>
  <c r="N15" i="9"/>
  <c r="N21" i="8"/>
  <c r="N22" i="8"/>
  <c r="N23" i="8"/>
  <c r="N24" i="8"/>
  <c r="N5" i="9"/>
  <c r="N3" i="9"/>
  <c r="N25" i="8"/>
  <c r="N26" i="8"/>
  <c r="N18" i="8"/>
  <c r="N2" i="9"/>
  <c r="N19" i="8"/>
  <c r="N16" i="8"/>
  <c r="N8" i="8"/>
  <c r="N9" i="8"/>
  <c r="N10" i="8"/>
  <c r="N11" i="8"/>
  <c r="N12" i="8"/>
  <c r="N20" i="8"/>
  <c r="N17" i="8"/>
  <c r="N13" i="8"/>
  <c r="N5" i="8"/>
  <c r="N14" i="8"/>
  <c r="N6" i="8"/>
  <c r="N7" i="8"/>
  <c r="N22" i="7"/>
  <c r="N15" i="8"/>
  <c r="N23" i="7"/>
  <c r="N4" i="8"/>
  <c r="N24" i="7"/>
  <c r="N3" i="8"/>
  <c r="N25" i="7"/>
  <c r="N17" i="7"/>
  <c r="N26" i="7"/>
  <c r="N2" i="8"/>
  <c r="N19" i="7"/>
  <c r="N20" i="7"/>
  <c r="O25" i="9"/>
  <c r="O17" i="9"/>
  <c r="O26" i="9"/>
  <c r="O19" i="9"/>
  <c r="O20" i="9"/>
  <c r="O21" i="9"/>
  <c r="O13" i="9"/>
  <c r="O22" i="9"/>
  <c r="O24" i="9"/>
  <c r="O7" i="9"/>
  <c r="O8" i="9"/>
  <c r="O16" i="9"/>
  <c r="O9" i="9"/>
  <c r="O10" i="9"/>
  <c r="O11" i="9"/>
  <c r="O14" i="9"/>
  <c r="O12" i="9"/>
  <c r="O23" i="9"/>
  <c r="O15" i="9"/>
  <c r="O5" i="9"/>
  <c r="O6" i="9"/>
  <c r="O22" i="8"/>
  <c r="O18" i="9"/>
  <c r="O23" i="8"/>
  <c r="O4" i="9"/>
  <c r="O24" i="8"/>
  <c r="O3" i="9"/>
  <c r="O25" i="8"/>
  <c r="O26" i="8"/>
  <c r="O2" i="9"/>
  <c r="O19" i="8"/>
  <c r="O20" i="8"/>
  <c r="O9" i="8"/>
  <c r="O10" i="8"/>
  <c r="O11" i="8"/>
  <c r="O12" i="8"/>
  <c r="O17" i="8"/>
  <c r="O13" i="8"/>
  <c r="O5" i="8"/>
  <c r="O18" i="8"/>
  <c r="O14" i="8"/>
  <c r="O6" i="8"/>
  <c r="O15" i="8"/>
  <c r="O7" i="8"/>
  <c r="O23" i="7"/>
  <c r="O4" i="8"/>
  <c r="O24" i="7"/>
  <c r="O8" i="8"/>
  <c r="O3" i="8"/>
  <c r="O25" i="7"/>
  <c r="O16" i="8"/>
  <c r="O26" i="7"/>
  <c r="O18" i="7"/>
  <c r="O2" i="8"/>
  <c r="O19" i="7"/>
  <c r="O20" i="7"/>
  <c r="O21" i="7"/>
  <c r="P26" i="9"/>
  <c r="P18" i="9"/>
  <c r="P20" i="9"/>
  <c r="P21" i="9"/>
  <c r="P13" i="9"/>
  <c r="P22" i="9"/>
  <c r="P14" i="9"/>
  <c r="P23" i="9"/>
  <c r="P25" i="9"/>
  <c r="P24" i="9"/>
  <c r="P17" i="9"/>
  <c r="P8" i="9"/>
  <c r="P16" i="9"/>
  <c r="P9" i="9"/>
  <c r="P10" i="9"/>
  <c r="P11" i="9"/>
  <c r="P12" i="9"/>
  <c r="P19" i="9"/>
  <c r="P15" i="9"/>
  <c r="P6" i="9"/>
  <c r="P7" i="9"/>
  <c r="P23" i="8"/>
  <c r="P4" i="9"/>
  <c r="P24" i="8"/>
  <c r="P3" i="9"/>
  <c r="P25" i="8"/>
  <c r="P5" i="9"/>
  <c r="P26" i="8"/>
  <c r="P18" i="8"/>
  <c r="P2" i="9"/>
  <c r="P19" i="8"/>
  <c r="P20" i="8"/>
  <c r="P21" i="8"/>
  <c r="P10" i="8"/>
  <c r="P22" i="8"/>
  <c r="P11" i="8"/>
  <c r="P12" i="8"/>
  <c r="P17" i="8"/>
  <c r="P13" i="8"/>
  <c r="P5" i="8"/>
  <c r="P14" i="8"/>
  <c r="P6" i="8"/>
  <c r="P15" i="8"/>
  <c r="P7" i="8"/>
  <c r="P16" i="8"/>
  <c r="P8" i="8"/>
  <c r="P4" i="8"/>
  <c r="P24" i="7"/>
  <c r="P3" i="8"/>
  <c r="P25" i="7"/>
  <c r="P17" i="7"/>
  <c r="P26" i="7"/>
  <c r="P2" i="8"/>
  <c r="P19" i="7"/>
  <c r="P9" i="8"/>
  <c r="P20" i="7"/>
  <c r="P21" i="7"/>
  <c r="P22" i="7"/>
  <c r="P14" i="7"/>
  <c r="Q19" i="9"/>
  <c r="Q21" i="9"/>
  <c r="Q13" i="9"/>
  <c r="Q22" i="9"/>
  <c r="Q14" i="9"/>
  <c r="Q23" i="9"/>
  <c r="Q15" i="9"/>
  <c r="Q24" i="9"/>
  <c r="Q16" i="9"/>
  <c r="Q25" i="9"/>
  <c r="Q26" i="9"/>
  <c r="Q9" i="9"/>
  <c r="Q10" i="9"/>
  <c r="Q11" i="9"/>
  <c r="Q20" i="9"/>
  <c r="Q12" i="9"/>
  <c r="Q18" i="9"/>
  <c r="Q7" i="9"/>
  <c r="Q4" i="9"/>
  <c r="Q24" i="8"/>
  <c r="Q3" i="9"/>
  <c r="Q25" i="8"/>
  <c r="Q8" i="9"/>
  <c r="Q5" i="9"/>
  <c r="Q26" i="8"/>
  <c r="Q18" i="8"/>
  <c r="Q17" i="9"/>
  <c r="Q2" i="9"/>
  <c r="Q19" i="8"/>
  <c r="Q20" i="8"/>
  <c r="Q21" i="8"/>
  <c r="Q22" i="8"/>
  <c r="Q6" i="9"/>
  <c r="Q11" i="8"/>
  <c r="Q12" i="8"/>
  <c r="Q17" i="8"/>
  <c r="Q13" i="8"/>
  <c r="Q5" i="8"/>
  <c r="Q23" i="8"/>
  <c r="Q14" i="8"/>
  <c r="Q6" i="8"/>
  <c r="Q15" i="8"/>
  <c r="Q7" i="8"/>
  <c r="Q16" i="8"/>
  <c r="Q8" i="8"/>
  <c r="Q9" i="8"/>
  <c r="Q3" i="8"/>
  <c r="Q25" i="7"/>
  <c r="Q26" i="7"/>
  <c r="Q18" i="7"/>
  <c r="Q2" i="8"/>
  <c r="Q19" i="7"/>
  <c r="Q20" i="7"/>
  <c r="Q21" i="7"/>
  <c r="Q22" i="7"/>
  <c r="Q10" i="8"/>
  <c r="Q23" i="7"/>
  <c r="Q15" i="7"/>
  <c r="R20" i="9"/>
  <c r="R22" i="9"/>
  <c r="R14" i="9"/>
  <c r="R23" i="9"/>
  <c r="R15" i="9"/>
  <c r="R24" i="9"/>
  <c r="R16" i="9"/>
  <c r="R25" i="9"/>
  <c r="R17" i="9"/>
  <c r="R26" i="9"/>
  <c r="R10" i="9"/>
  <c r="R21" i="9"/>
  <c r="R11" i="9"/>
  <c r="R13" i="9"/>
  <c r="R12" i="9"/>
  <c r="R19" i="9"/>
  <c r="R18" i="9"/>
  <c r="R7" i="9"/>
  <c r="R8" i="9"/>
  <c r="R3" i="9"/>
  <c r="R25" i="8"/>
  <c r="R5" i="9"/>
  <c r="R26" i="8"/>
  <c r="R18" i="8"/>
  <c r="R2" i="9"/>
  <c r="R19" i="8"/>
  <c r="R20" i="8"/>
  <c r="R9" i="9"/>
  <c r="R21" i="8"/>
  <c r="R22" i="8"/>
  <c r="R6" i="9"/>
  <c r="R23" i="8"/>
  <c r="R12" i="8"/>
  <c r="R4" i="9"/>
  <c r="R17" i="8"/>
  <c r="R13" i="8"/>
  <c r="R14" i="8"/>
  <c r="R6" i="8"/>
  <c r="R15" i="8"/>
  <c r="R7" i="8"/>
  <c r="R16" i="8"/>
  <c r="R8" i="8"/>
  <c r="R24" i="8"/>
  <c r="R9" i="8"/>
  <c r="R10" i="8"/>
  <c r="R11" i="8"/>
  <c r="R26" i="7"/>
  <c r="R18" i="7"/>
  <c r="R2" i="8"/>
  <c r="R19" i="7"/>
  <c r="R20" i="7"/>
  <c r="R21" i="7"/>
  <c r="R5" i="8"/>
  <c r="R22" i="7"/>
  <c r="R23" i="7"/>
  <c r="R4" i="8"/>
  <c r="R24" i="7"/>
  <c r="R16" i="7"/>
  <c r="S21" i="9"/>
  <c r="S22" i="9"/>
  <c r="S23" i="9"/>
  <c r="S15" i="9"/>
  <c r="S24" i="9"/>
  <c r="S16" i="9"/>
  <c r="S25" i="9"/>
  <c r="S17" i="9"/>
  <c r="S26" i="9"/>
  <c r="S18" i="9"/>
  <c r="S11" i="9"/>
  <c r="S13" i="9"/>
  <c r="S12" i="9"/>
  <c r="S20" i="9"/>
  <c r="S19" i="9"/>
  <c r="S14" i="9"/>
  <c r="S7" i="9"/>
  <c r="S8" i="9"/>
  <c r="S9" i="9"/>
  <c r="S5" i="9"/>
  <c r="S26" i="8"/>
  <c r="S18" i="8"/>
  <c r="S2" i="9"/>
  <c r="S19" i="8"/>
  <c r="S20" i="8"/>
  <c r="S21" i="8"/>
  <c r="S22" i="8"/>
  <c r="S6" i="9"/>
  <c r="S23" i="8"/>
  <c r="S10" i="9"/>
  <c r="S4" i="9"/>
  <c r="S24" i="8"/>
  <c r="S17" i="8"/>
  <c r="S13" i="8"/>
  <c r="S5" i="8"/>
  <c r="S14" i="8"/>
  <c r="S6" i="8"/>
  <c r="S15" i="8"/>
  <c r="S7" i="8"/>
  <c r="S16" i="8"/>
  <c r="S8" i="8"/>
  <c r="S9" i="8"/>
  <c r="S10" i="8"/>
  <c r="S3" i="9"/>
  <c r="S11" i="8"/>
  <c r="S3" i="8"/>
  <c r="S2" i="8"/>
  <c r="S19" i="7"/>
  <c r="S20" i="7"/>
  <c r="S12" i="8"/>
  <c r="S21" i="7"/>
  <c r="S22" i="7"/>
  <c r="S25" i="8"/>
  <c r="S23" i="7"/>
  <c r="S4" i="8"/>
  <c r="S24" i="7"/>
  <c r="S25" i="7"/>
  <c r="S17" i="7"/>
  <c r="T22" i="9"/>
  <c r="T14" i="9"/>
  <c r="T23" i="9"/>
  <c r="T24" i="9"/>
  <c r="T16" i="9"/>
  <c r="T25" i="9"/>
  <c r="T17" i="9"/>
  <c r="T26" i="9"/>
  <c r="T18" i="9"/>
  <c r="T19" i="9"/>
  <c r="T21" i="9"/>
  <c r="T13" i="9"/>
  <c r="T12" i="9"/>
  <c r="T20" i="9"/>
  <c r="T7" i="9"/>
  <c r="T15" i="9"/>
  <c r="T8" i="9"/>
  <c r="T9" i="9"/>
  <c r="T10" i="9"/>
  <c r="T11" i="9"/>
  <c r="T2" i="9"/>
  <c r="T19" i="8"/>
  <c r="T20" i="8"/>
  <c r="T21" i="8"/>
  <c r="T22" i="8"/>
  <c r="T6" i="9"/>
  <c r="T23" i="8"/>
  <c r="T4" i="9"/>
  <c r="T24" i="8"/>
  <c r="T3" i="9"/>
  <c r="T25" i="8"/>
  <c r="T17" i="8"/>
  <c r="T14" i="8"/>
  <c r="T6" i="8"/>
  <c r="T26" i="8"/>
  <c r="T15" i="8"/>
  <c r="T7" i="8"/>
  <c r="T16" i="8"/>
  <c r="T8" i="8"/>
  <c r="T9" i="8"/>
  <c r="T5" i="9"/>
  <c r="T18" i="8"/>
  <c r="T10" i="8"/>
  <c r="T11" i="8"/>
  <c r="T12" i="8"/>
  <c r="T4" i="8"/>
  <c r="T20" i="7"/>
  <c r="T21" i="7"/>
  <c r="T22" i="7"/>
  <c r="T5" i="8"/>
  <c r="T23" i="7"/>
  <c r="T13" i="8"/>
  <c r="T24" i="7"/>
  <c r="T25" i="7"/>
  <c r="T3" i="8"/>
  <c r="T26" i="7"/>
  <c r="T18" i="7"/>
  <c r="U23" i="9"/>
  <c r="U15" i="9"/>
  <c r="U24" i="9"/>
  <c r="U25" i="9"/>
  <c r="U17" i="9"/>
  <c r="U26" i="9"/>
  <c r="U18" i="9"/>
  <c r="U19" i="9"/>
  <c r="U20" i="9"/>
  <c r="U22" i="9"/>
  <c r="U16" i="9"/>
  <c r="U5" i="9"/>
  <c r="U7" i="9"/>
  <c r="U14" i="9"/>
  <c r="U8" i="9"/>
  <c r="U9" i="9"/>
  <c r="U10" i="9"/>
  <c r="U11" i="9"/>
  <c r="U3" i="9"/>
  <c r="U20" i="8"/>
  <c r="U21" i="8"/>
  <c r="U21" i="9"/>
  <c r="U12" i="9"/>
  <c r="U22" i="8"/>
  <c r="U6" i="9"/>
  <c r="U23" i="8"/>
  <c r="U4" i="9"/>
  <c r="U24" i="8"/>
  <c r="U25" i="8"/>
  <c r="U13" i="9"/>
  <c r="U26" i="8"/>
  <c r="U18" i="8"/>
  <c r="U15" i="8"/>
  <c r="U7" i="8"/>
  <c r="U16" i="8"/>
  <c r="U8" i="8"/>
  <c r="U19" i="8"/>
  <c r="U9" i="8"/>
  <c r="U2" i="9"/>
  <c r="U10" i="8"/>
  <c r="U11" i="8"/>
  <c r="U12" i="8"/>
  <c r="U13" i="8"/>
  <c r="U5" i="8"/>
  <c r="U21" i="7"/>
  <c r="U22" i="7"/>
  <c r="U23" i="7"/>
  <c r="U24" i="7"/>
  <c r="U4" i="8"/>
  <c r="U25" i="7"/>
  <c r="U17" i="8"/>
  <c r="U6" i="8"/>
  <c r="U3" i="8"/>
  <c r="U26" i="7"/>
  <c r="U18" i="7"/>
  <c r="U14" i="8"/>
  <c r="U2" i="8"/>
  <c r="U19" i="7"/>
  <c r="V24" i="9"/>
  <c r="V16" i="9"/>
  <c r="V25" i="9"/>
  <c r="V26" i="9"/>
  <c r="V18" i="9"/>
  <c r="V19" i="9"/>
  <c r="V20" i="9"/>
  <c r="V21" i="9"/>
  <c r="V23" i="9"/>
  <c r="V6" i="9"/>
  <c r="V7" i="9"/>
  <c r="V14" i="9"/>
  <c r="V8" i="9"/>
  <c r="V22" i="9"/>
  <c r="V15" i="9"/>
  <c r="V9" i="9"/>
  <c r="V10" i="9"/>
  <c r="V11" i="9"/>
  <c r="V17" i="9"/>
  <c r="V13" i="9"/>
  <c r="V12" i="9"/>
  <c r="V4" i="9"/>
  <c r="V21" i="8"/>
  <c r="V22" i="8"/>
  <c r="V23" i="8"/>
  <c r="V24" i="8"/>
  <c r="V25" i="8"/>
  <c r="V3" i="9"/>
  <c r="V26" i="8"/>
  <c r="V18" i="8"/>
  <c r="V5" i="9"/>
  <c r="V2" i="9"/>
  <c r="V19" i="8"/>
  <c r="V16" i="8"/>
  <c r="V8" i="8"/>
  <c r="V9" i="8"/>
  <c r="V10" i="8"/>
  <c r="V11" i="8"/>
  <c r="V20" i="8"/>
  <c r="V12" i="8"/>
  <c r="V13" i="8"/>
  <c r="V5" i="8"/>
  <c r="V17" i="8"/>
  <c r="V14" i="8"/>
  <c r="V6" i="8"/>
  <c r="V15" i="8"/>
  <c r="V22" i="7"/>
  <c r="V23" i="7"/>
  <c r="V24" i="7"/>
  <c r="V4" i="8"/>
  <c r="V25" i="7"/>
  <c r="V17" i="7"/>
  <c r="V3" i="8"/>
  <c r="V26" i="7"/>
  <c r="V18" i="7"/>
  <c r="V2" i="8"/>
  <c r="V19" i="7"/>
  <c r="V20" i="7"/>
  <c r="W25" i="9"/>
  <c r="W17" i="9"/>
  <c r="W26" i="9"/>
  <c r="W19" i="9"/>
  <c r="W20" i="9"/>
  <c r="W21" i="9"/>
  <c r="W13" i="9"/>
  <c r="W22" i="9"/>
  <c r="W24" i="9"/>
  <c r="W7" i="9"/>
  <c r="W14" i="9"/>
  <c r="W8" i="9"/>
  <c r="W15" i="9"/>
  <c r="W9" i="9"/>
  <c r="W10" i="9"/>
  <c r="W18" i="9"/>
  <c r="W11" i="9"/>
  <c r="W23" i="9"/>
  <c r="W12" i="9"/>
  <c r="W5" i="9"/>
  <c r="W22" i="8"/>
  <c r="W23" i="8"/>
  <c r="W6" i="9"/>
  <c r="W24" i="8"/>
  <c r="W4" i="9"/>
  <c r="W25" i="8"/>
  <c r="W3" i="9"/>
  <c r="W26" i="8"/>
  <c r="W16" i="9"/>
  <c r="W2" i="9"/>
  <c r="W19" i="8"/>
  <c r="W20" i="8"/>
  <c r="W9" i="8"/>
  <c r="W10" i="8"/>
  <c r="W11" i="8"/>
  <c r="W18" i="8"/>
  <c r="W12" i="8"/>
  <c r="W13" i="8"/>
  <c r="W5" i="8"/>
  <c r="W17" i="8"/>
  <c r="W14" i="8"/>
  <c r="W6" i="8"/>
  <c r="W21" i="8"/>
  <c r="W15" i="8"/>
  <c r="W7" i="8"/>
  <c r="W23" i="7"/>
  <c r="W8" i="8"/>
  <c r="W24" i="7"/>
  <c r="W16" i="8"/>
  <c r="W4" i="8"/>
  <c r="W25" i="7"/>
  <c r="W3" i="8"/>
  <c r="W26" i="7"/>
  <c r="W18" i="7"/>
  <c r="W2" i="8"/>
  <c r="W19" i="7"/>
  <c r="W20" i="7"/>
  <c r="W21" i="7"/>
  <c r="X26" i="9"/>
  <c r="X18" i="9"/>
  <c r="X20" i="9"/>
  <c r="X21" i="9"/>
  <c r="X13" i="9"/>
  <c r="X22" i="9"/>
  <c r="X14" i="9"/>
  <c r="X23" i="9"/>
  <c r="X24" i="9"/>
  <c r="X25" i="9"/>
  <c r="X8" i="9"/>
  <c r="X15" i="9"/>
  <c r="X9" i="9"/>
  <c r="X19" i="9"/>
  <c r="X10" i="9"/>
  <c r="X11" i="9"/>
  <c r="X12" i="9"/>
  <c r="X17" i="9"/>
  <c r="X16" i="9"/>
  <c r="X6" i="9"/>
  <c r="X23" i="8"/>
  <c r="X24" i="8"/>
  <c r="X4" i="9"/>
  <c r="X25" i="8"/>
  <c r="X3" i="9"/>
  <c r="X26" i="8"/>
  <c r="X18" i="8"/>
  <c r="X2" i="9"/>
  <c r="X19" i="8"/>
  <c r="X5" i="9"/>
  <c r="X20" i="8"/>
  <c r="X21" i="8"/>
  <c r="X22" i="8"/>
  <c r="X10" i="8"/>
  <c r="X11" i="8"/>
  <c r="X12" i="8"/>
  <c r="X13" i="8"/>
  <c r="X5" i="8"/>
  <c r="X17" i="8"/>
  <c r="X14" i="8"/>
  <c r="X6" i="8"/>
  <c r="X15" i="8"/>
  <c r="X7" i="8"/>
  <c r="X7" i="9"/>
  <c r="X16" i="8"/>
  <c r="X8" i="8"/>
  <c r="X24" i="7"/>
  <c r="X4" i="8"/>
  <c r="X25" i="7"/>
  <c r="X17" i="7"/>
  <c r="X3" i="8"/>
  <c r="X26" i="7"/>
  <c r="X9" i="8"/>
  <c r="X2" i="8"/>
  <c r="X19" i="7"/>
  <c r="X20" i="7"/>
  <c r="X21" i="7"/>
  <c r="X22" i="7"/>
  <c r="X14" i="7"/>
  <c r="Y19" i="9"/>
  <c r="Y21" i="9"/>
  <c r="Y13" i="9"/>
  <c r="Y22" i="9"/>
  <c r="Y14" i="9"/>
  <c r="Y23" i="9"/>
  <c r="Y15" i="9"/>
  <c r="Y24" i="9"/>
  <c r="Y16" i="9"/>
  <c r="Y25" i="9"/>
  <c r="Y26" i="9"/>
  <c r="Y20" i="9"/>
  <c r="Y9" i="9"/>
  <c r="Y10" i="9"/>
  <c r="Y11" i="9"/>
  <c r="Y18" i="9"/>
  <c r="Y12" i="9"/>
  <c r="Y17" i="9"/>
  <c r="Y6" i="9"/>
  <c r="Y7" i="9"/>
  <c r="Y24" i="8"/>
  <c r="Y8" i="9"/>
  <c r="Y4" i="9"/>
  <c r="Y25" i="8"/>
  <c r="Y3" i="9"/>
  <c r="Y26" i="8"/>
  <c r="Y18" i="8"/>
  <c r="Y2" i="9"/>
  <c r="Y19" i="8"/>
  <c r="Y5" i="9"/>
  <c r="Y20" i="8"/>
  <c r="Y21" i="8"/>
  <c r="Y22" i="8"/>
  <c r="Y11" i="8"/>
  <c r="Y12" i="8"/>
  <c r="Y23" i="8"/>
  <c r="Y13" i="8"/>
  <c r="Y5" i="8"/>
  <c r="Y17" i="8"/>
  <c r="Y14" i="8"/>
  <c r="Y6" i="8"/>
  <c r="Y15" i="8"/>
  <c r="Y7" i="8"/>
  <c r="Y16" i="8"/>
  <c r="Y8" i="8"/>
  <c r="Y9" i="8"/>
  <c r="Y4" i="8"/>
  <c r="Y25" i="7"/>
  <c r="Y3" i="8"/>
  <c r="Y26" i="7"/>
  <c r="Y18" i="7"/>
  <c r="Y2" i="8"/>
  <c r="Y19" i="7"/>
  <c r="Y20" i="7"/>
  <c r="Y21" i="7"/>
  <c r="Y10" i="8"/>
  <c r="Y22" i="7"/>
  <c r="Y23" i="7"/>
  <c r="Y15" i="7"/>
  <c r="Z20" i="9"/>
  <c r="Z22" i="9"/>
  <c r="Z14" i="9"/>
  <c r="Z23" i="9"/>
  <c r="Z15" i="9"/>
  <c r="Z24" i="9"/>
  <c r="Z16" i="9"/>
  <c r="Z25" i="9"/>
  <c r="Z17" i="9"/>
  <c r="Z26" i="9"/>
  <c r="Z10" i="9"/>
  <c r="Z19" i="9"/>
  <c r="Z11" i="9"/>
  <c r="Z18" i="9"/>
  <c r="Z12" i="9"/>
  <c r="Z6" i="9"/>
  <c r="Z13" i="9"/>
  <c r="Z7" i="9"/>
  <c r="Z21" i="9"/>
  <c r="Z8" i="9"/>
  <c r="Z4" i="9"/>
  <c r="Z25" i="8"/>
  <c r="Z3" i="9"/>
  <c r="Z26" i="8"/>
  <c r="Z18" i="8"/>
  <c r="Z2" i="9"/>
  <c r="Z19" i="8"/>
  <c r="Z9" i="9"/>
  <c r="Z5" i="9"/>
  <c r="Z20" i="8"/>
  <c r="Z21" i="8"/>
  <c r="Z22" i="8"/>
  <c r="Z23" i="8"/>
  <c r="Z12" i="8"/>
  <c r="Z13" i="8"/>
  <c r="Z5" i="8"/>
  <c r="Z17" i="8"/>
  <c r="Z14" i="8"/>
  <c r="Z6" i="8"/>
  <c r="Z15" i="8"/>
  <c r="Z7" i="8"/>
  <c r="Z24" i="8"/>
  <c r="Z16" i="8"/>
  <c r="Z8" i="8"/>
  <c r="Z9" i="8"/>
  <c r="Z10" i="8"/>
  <c r="Z2" i="8"/>
  <c r="Z3" i="8"/>
  <c r="Z26" i="7"/>
  <c r="Z18" i="7"/>
  <c r="Z19" i="7"/>
  <c r="Z20" i="7"/>
  <c r="Z21" i="7"/>
  <c r="Z22" i="7"/>
  <c r="Z23" i="7"/>
  <c r="Z24" i="7"/>
  <c r="Z16" i="7"/>
  <c r="AA21" i="9"/>
  <c r="AA22" i="9"/>
  <c r="AA23" i="9"/>
  <c r="AA15" i="9"/>
  <c r="AA24" i="9"/>
  <c r="AA16" i="9"/>
  <c r="AA25" i="9"/>
  <c r="AA17" i="9"/>
  <c r="AA26" i="9"/>
  <c r="AA18" i="9"/>
  <c r="AA19" i="9"/>
  <c r="AA14" i="9"/>
  <c r="AA11" i="9"/>
  <c r="AA12" i="9"/>
  <c r="AA6" i="9"/>
  <c r="AA13" i="9"/>
  <c r="AA7" i="9"/>
  <c r="AA8" i="9"/>
  <c r="AA9" i="9"/>
  <c r="AA3" i="9"/>
  <c r="AA26" i="8"/>
  <c r="AA18" i="8"/>
  <c r="AA2" i="9"/>
  <c r="AA19" i="8"/>
  <c r="AA5" i="9"/>
  <c r="AA20" i="8"/>
  <c r="AA21" i="8"/>
  <c r="AA20" i="9"/>
  <c r="AA22" i="8"/>
  <c r="AA10" i="9"/>
  <c r="AA23" i="8"/>
  <c r="AA24" i="8"/>
  <c r="AA4" i="9"/>
  <c r="AA13" i="8"/>
  <c r="AA5" i="8"/>
  <c r="AA17" i="8"/>
  <c r="AA14" i="8"/>
  <c r="AA6" i="8"/>
  <c r="AA15" i="8"/>
  <c r="AA7" i="8"/>
  <c r="AA16" i="8"/>
  <c r="AA8" i="8"/>
  <c r="AA9" i="8"/>
  <c r="AA10" i="8"/>
  <c r="AA25" i="8"/>
  <c r="AA11" i="8"/>
  <c r="AA3" i="8"/>
  <c r="AA19" i="7"/>
  <c r="AA12" i="8"/>
  <c r="AA2" i="8"/>
  <c r="AA20" i="7"/>
  <c r="AA21" i="7"/>
  <c r="AA22" i="7"/>
  <c r="AA23" i="7"/>
  <c r="AA24" i="7"/>
  <c r="AA4" i="8"/>
  <c r="AA25" i="7"/>
  <c r="AA17" i="7"/>
  <c r="AB22" i="9"/>
  <c r="AB14" i="9"/>
  <c r="AB23" i="9"/>
  <c r="AB24" i="9"/>
  <c r="AB16" i="9"/>
  <c r="AB25" i="9"/>
  <c r="AB17" i="9"/>
  <c r="AB26" i="9"/>
  <c r="AB18" i="9"/>
  <c r="AB19" i="9"/>
  <c r="AB15" i="9"/>
  <c r="AB12" i="9"/>
  <c r="AB13" i="9"/>
  <c r="AB7" i="9"/>
  <c r="AB8" i="9"/>
  <c r="AB21" i="9"/>
  <c r="AB9" i="9"/>
  <c r="AB20" i="9"/>
  <c r="AB10" i="9"/>
  <c r="AB2" i="9"/>
  <c r="AB19" i="8"/>
  <c r="AB6" i="9"/>
  <c r="AB5" i="9"/>
  <c r="AB20" i="8"/>
  <c r="AB21" i="8"/>
  <c r="AB22" i="8"/>
  <c r="AB23" i="8"/>
  <c r="AB24" i="8"/>
  <c r="AB4" i="9"/>
  <c r="AB25" i="8"/>
  <c r="AB17" i="8"/>
  <c r="AB26" i="8"/>
  <c r="AB14" i="8"/>
  <c r="AB6" i="8"/>
  <c r="AB15" i="8"/>
  <c r="AB7" i="8"/>
  <c r="AB18" i="8"/>
  <c r="AB16" i="8"/>
  <c r="AB8" i="8"/>
  <c r="AB11" i="9"/>
  <c r="AB9" i="8"/>
  <c r="AB10" i="8"/>
  <c r="AB3" i="9"/>
  <c r="AB11" i="8"/>
  <c r="AB12" i="8"/>
  <c r="AB4" i="8"/>
  <c r="AB2" i="8"/>
  <c r="AB20" i="7"/>
  <c r="AB21" i="7"/>
  <c r="AB5" i="8"/>
  <c r="AB22" i="7"/>
  <c r="AB13" i="8"/>
  <c r="AB23" i="7"/>
  <c r="AB24" i="7"/>
  <c r="AB25" i="7"/>
  <c r="AB26" i="7"/>
  <c r="AB18" i="7"/>
  <c r="AC23" i="9"/>
  <c r="AC15" i="9"/>
  <c r="AC24" i="9"/>
  <c r="AC25" i="9"/>
  <c r="AC17" i="9"/>
  <c r="AC26" i="9"/>
  <c r="AC18" i="9"/>
  <c r="AC19" i="9"/>
  <c r="AC20" i="9"/>
  <c r="AC22" i="9"/>
  <c r="AC5" i="9"/>
  <c r="AC13" i="9"/>
  <c r="AC7" i="9"/>
  <c r="AC8" i="9"/>
  <c r="AC21" i="9"/>
  <c r="AC9" i="9"/>
  <c r="AC16" i="9"/>
  <c r="AC10" i="9"/>
  <c r="AC11" i="9"/>
  <c r="AC3" i="9"/>
  <c r="AC6" i="9"/>
  <c r="AC2" i="9"/>
  <c r="AC20" i="8"/>
  <c r="AC12" i="9"/>
  <c r="AC21" i="8"/>
  <c r="AC14" i="9"/>
  <c r="AC22" i="8"/>
  <c r="AC23" i="8"/>
  <c r="AC24" i="8"/>
  <c r="AC4" i="9"/>
  <c r="AC25" i="8"/>
  <c r="AC26" i="8"/>
  <c r="AC18" i="8"/>
  <c r="AC17" i="8"/>
  <c r="AC15" i="8"/>
  <c r="AC7" i="8"/>
  <c r="AC19" i="8"/>
  <c r="AC16" i="8"/>
  <c r="AC8" i="8"/>
  <c r="AC9" i="8"/>
  <c r="AC10" i="8"/>
  <c r="AC11" i="8"/>
  <c r="AC12" i="8"/>
  <c r="AC13" i="8"/>
  <c r="AC5" i="8"/>
  <c r="AC21" i="7"/>
  <c r="AC22" i="7"/>
  <c r="AC23" i="7"/>
  <c r="AC24" i="7"/>
  <c r="AC6" i="8"/>
  <c r="AC25" i="7"/>
  <c r="AC14" i="8"/>
  <c r="AC4" i="8"/>
  <c r="AC26" i="7"/>
  <c r="AC18" i="7"/>
  <c r="AC3" i="8"/>
  <c r="AC19" i="7"/>
  <c r="AD24" i="9"/>
  <c r="AD16" i="9"/>
  <c r="AD25" i="9"/>
  <c r="AD26" i="9"/>
  <c r="AD18" i="9"/>
  <c r="AD19" i="9"/>
  <c r="AD20" i="9"/>
  <c r="AD12" i="9"/>
  <c r="AD21" i="9"/>
  <c r="AD23" i="9"/>
  <c r="AD6" i="9"/>
  <c r="AD13" i="9"/>
  <c r="AD7" i="9"/>
  <c r="AD22" i="9"/>
  <c r="AD8" i="9"/>
  <c r="AD17" i="9"/>
  <c r="AD9" i="9"/>
  <c r="AD10" i="9"/>
  <c r="AD11" i="9"/>
  <c r="AD14" i="9"/>
  <c r="AD4" i="9"/>
  <c r="AD5" i="9"/>
  <c r="AD21" i="8"/>
  <c r="AD22" i="8"/>
  <c r="AD23" i="8"/>
  <c r="AD24" i="8"/>
  <c r="AD25" i="8"/>
  <c r="AD26" i="8"/>
  <c r="AD18" i="8"/>
  <c r="AD3" i="9"/>
  <c r="AD19" i="8"/>
  <c r="AD16" i="8"/>
  <c r="AD8" i="8"/>
  <c r="AD15" i="9"/>
  <c r="AD9" i="8"/>
  <c r="AD2" i="9"/>
  <c r="AD10" i="8"/>
  <c r="AD20" i="8"/>
  <c r="AD11" i="8"/>
  <c r="AD12" i="8"/>
  <c r="AD13" i="8"/>
  <c r="AD5" i="8"/>
  <c r="AD14" i="8"/>
  <c r="AD6" i="8"/>
  <c r="AD22" i="7"/>
  <c r="AD23" i="7"/>
  <c r="AD24" i="7"/>
  <c r="AD25" i="7"/>
  <c r="AD17" i="7"/>
  <c r="AD17" i="8"/>
  <c r="AD4" i="8"/>
  <c r="AD26" i="7"/>
  <c r="AD18" i="7"/>
  <c r="AD3" i="8"/>
  <c r="AD19" i="7"/>
  <c r="AD7" i="8"/>
  <c r="AD2" i="8"/>
  <c r="AD20" i="7"/>
  <c r="AE25" i="9"/>
  <c r="AE17" i="9"/>
  <c r="AE26" i="9"/>
  <c r="AE19" i="9"/>
  <c r="AE20" i="9"/>
  <c r="AE12" i="9"/>
  <c r="AE21" i="9"/>
  <c r="AE13" i="9"/>
  <c r="AE22" i="9"/>
  <c r="AE24" i="9"/>
  <c r="AE7" i="9"/>
  <c r="AE18" i="9"/>
  <c r="AE8" i="9"/>
  <c r="AE9" i="9"/>
  <c r="AE10" i="9"/>
  <c r="AE23" i="9"/>
  <c r="AE16" i="9"/>
  <c r="AE11" i="9"/>
  <c r="AE14" i="9"/>
  <c r="AE15" i="9"/>
  <c r="AE5" i="9"/>
  <c r="AE22" i="8"/>
  <c r="AE23" i="8"/>
  <c r="AE24" i="8"/>
  <c r="AE25" i="8"/>
  <c r="AE17" i="8"/>
  <c r="AE4" i="9"/>
  <c r="AE26" i="8"/>
  <c r="AE3" i="9"/>
  <c r="AE19" i="8"/>
  <c r="AE2" i="9"/>
  <c r="AE20" i="8"/>
  <c r="AE9" i="8"/>
  <c r="AE18" i="8"/>
  <c r="AE10" i="8"/>
  <c r="AE11" i="8"/>
  <c r="AE12" i="8"/>
  <c r="AE13" i="8"/>
  <c r="AE5" i="8"/>
  <c r="AE21" i="8"/>
  <c r="AE14" i="8"/>
  <c r="AE6" i="8"/>
  <c r="AE15" i="8"/>
  <c r="AE7" i="8"/>
  <c r="AE6" i="9"/>
  <c r="AE8" i="8"/>
  <c r="AE23" i="7"/>
  <c r="AE16" i="8"/>
  <c r="AE24" i="7"/>
  <c r="AE25" i="7"/>
  <c r="AE4" i="8"/>
  <c r="AE26" i="7"/>
  <c r="AE18" i="7"/>
  <c r="AE3" i="8"/>
  <c r="AE19" i="7"/>
  <c r="AE2" i="8"/>
  <c r="AE20" i="7"/>
  <c r="AE21" i="7"/>
  <c r="AF26" i="9"/>
  <c r="AF18" i="9"/>
  <c r="AF20" i="9"/>
  <c r="AF12" i="9"/>
  <c r="AF21" i="9"/>
  <c r="AF13" i="9"/>
  <c r="AF22" i="9"/>
  <c r="AF14" i="9"/>
  <c r="AF23" i="9"/>
  <c r="AF24" i="9"/>
  <c r="AF25" i="9"/>
  <c r="AF8" i="9"/>
  <c r="AF9" i="9"/>
  <c r="AF17" i="9"/>
  <c r="AF10" i="9"/>
  <c r="AF16" i="9"/>
  <c r="AF11" i="9"/>
  <c r="AF15" i="9"/>
  <c r="AF6" i="9"/>
  <c r="AF23" i="8"/>
  <c r="AF24" i="8"/>
  <c r="AF25" i="8"/>
  <c r="AF4" i="9"/>
  <c r="AF26" i="8"/>
  <c r="AF18" i="8"/>
  <c r="AF3" i="9"/>
  <c r="AF19" i="8"/>
  <c r="AF2" i="9"/>
  <c r="AF20" i="8"/>
  <c r="AF19" i="9"/>
  <c r="AF7" i="9"/>
  <c r="AF21" i="8"/>
  <c r="AF10" i="8"/>
  <c r="AF11" i="8"/>
  <c r="AF12" i="8"/>
  <c r="AF4" i="8"/>
  <c r="AF5" i="9"/>
  <c r="AF13" i="8"/>
  <c r="AF5" i="8"/>
  <c r="AF14" i="8"/>
  <c r="AF6" i="8"/>
  <c r="AF15" i="8"/>
  <c r="AF7" i="8"/>
  <c r="AF17" i="8"/>
  <c r="AF16" i="8"/>
  <c r="AF8" i="8"/>
  <c r="AF24" i="7"/>
  <c r="AF25" i="7"/>
  <c r="AF17" i="7"/>
  <c r="AF9" i="8"/>
  <c r="AF26" i="7"/>
  <c r="AF3" i="8"/>
  <c r="AF19" i="7"/>
  <c r="AF2" i="8"/>
  <c r="AF20" i="7"/>
  <c r="AF21" i="7"/>
  <c r="AF22" i="8"/>
  <c r="AF22" i="7"/>
  <c r="AF14" i="7"/>
  <c r="AG19" i="9"/>
  <c r="AG21" i="9"/>
  <c r="AG13" i="9"/>
  <c r="AG22" i="9"/>
  <c r="AG14" i="9"/>
  <c r="AG23" i="9"/>
  <c r="AG15" i="9"/>
  <c r="AG24" i="9"/>
  <c r="AG16" i="9"/>
  <c r="AG25" i="9"/>
  <c r="AG26" i="9"/>
  <c r="AG18" i="9"/>
  <c r="AG9" i="9"/>
  <c r="AG17" i="9"/>
  <c r="AG10" i="9"/>
  <c r="AG11" i="9"/>
  <c r="AG20" i="9"/>
  <c r="AG6" i="9"/>
  <c r="AG12" i="9"/>
  <c r="AG7" i="9"/>
  <c r="AG8" i="9"/>
  <c r="AG24" i="8"/>
  <c r="AG25" i="8"/>
  <c r="AG4" i="9"/>
  <c r="AG26" i="8"/>
  <c r="AG18" i="8"/>
  <c r="AG3" i="9"/>
  <c r="AG19" i="8"/>
  <c r="AG2" i="9"/>
  <c r="AG20" i="8"/>
  <c r="AG21" i="8"/>
  <c r="AG5" i="9"/>
  <c r="AG22" i="8"/>
  <c r="AG11" i="8"/>
  <c r="AG23" i="8"/>
  <c r="AG12" i="8"/>
  <c r="AG13" i="8"/>
  <c r="AG5" i="8"/>
  <c r="AG14" i="8"/>
  <c r="AG6" i="8"/>
  <c r="AG15" i="8"/>
  <c r="AG7" i="8"/>
  <c r="AG17" i="8"/>
  <c r="AG16" i="8"/>
  <c r="AG8" i="8"/>
  <c r="AG9" i="8"/>
  <c r="AG25" i="7"/>
  <c r="AG26" i="7"/>
  <c r="AG18" i="7"/>
  <c r="AG4" i="8"/>
  <c r="AG3" i="8"/>
  <c r="AG19" i="7"/>
  <c r="AG2" i="8"/>
  <c r="AG20" i="7"/>
  <c r="AG10" i="8"/>
  <c r="AG21" i="7"/>
  <c r="AG22" i="7"/>
  <c r="AG23" i="7"/>
  <c r="AG15" i="7"/>
  <c r="AH20" i="9"/>
  <c r="AH21" i="9"/>
  <c r="AH22" i="9"/>
  <c r="AH14" i="9"/>
  <c r="AH23" i="9"/>
  <c r="AH15" i="9"/>
  <c r="AH24" i="9"/>
  <c r="AH16" i="9"/>
  <c r="AH25" i="9"/>
  <c r="AH17" i="9"/>
  <c r="AH26" i="9"/>
  <c r="AH13" i="9"/>
  <c r="AH10" i="9"/>
  <c r="AH11" i="9"/>
  <c r="AH6" i="9"/>
  <c r="AH12" i="9"/>
  <c r="AH7" i="9"/>
  <c r="AH19" i="9"/>
  <c r="AH8" i="9"/>
  <c r="AH18" i="9"/>
  <c r="AH25" i="8"/>
  <c r="AH4" i="9"/>
  <c r="AH26" i="8"/>
  <c r="AH18" i="8"/>
  <c r="AH9" i="9"/>
  <c r="AH3" i="9"/>
  <c r="AH19" i="8"/>
  <c r="AH2" i="9"/>
  <c r="AH20" i="8"/>
  <c r="AH21" i="8"/>
  <c r="AH5" i="9"/>
  <c r="AH22" i="8"/>
  <c r="AH23" i="8"/>
  <c r="AH12" i="8"/>
  <c r="AH13" i="8"/>
  <c r="AH5" i="8"/>
  <c r="AH14" i="8"/>
  <c r="AH6" i="8"/>
  <c r="AH24" i="8"/>
  <c r="AH15" i="8"/>
  <c r="AH7" i="8"/>
  <c r="AH17" i="8"/>
  <c r="AH16" i="8"/>
  <c r="AH8" i="8"/>
  <c r="AH9" i="8"/>
  <c r="AH10" i="8"/>
  <c r="AH2" i="8"/>
  <c r="AH26" i="7"/>
  <c r="AH18" i="7"/>
  <c r="AH4" i="8"/>
  <c r="AH3" i="8"/>
  <c r="AH19" i="7"/>
  <c r="AH20" i="7"/>
  <c r="AH21" i="7"/>
  <c r="AH22" i="7"/>
  <c r="AH23" i="7"/>
  <c r="AH11" i="8"/>
  <c r="AH24" i="7"/>
  <c r="AH16" i="7"/>
  <c r="AI21" i="9"/>
  <c r="AI22" i="9"/>
  <c r="AI23" i="9"/>
  <c r="AI15" i="9"/>
  <c r="AI24" i="9"/>
  <c r="AI16" i="9"/>
  <c r="AI25" i="9"/>
  <c r="AI17" i="9"/>
  <c r="AI26" i="9"/>
  <c r="AI18" i="9"/>
  <c r="AI11" i="9"/>
  <c r="AI6" i="9"/>
  <c r="AI20" i="9"/>
  <c r="AI14" i="9"/>
  <c r="AI12" i="9"/>
  <c r="AI7" i="9"/>
  <c r="AI19" i="9"/>
  <c r="AI8" i="9"/>
  <c r="AI9" i="9"/>
  <c r="AI4" i="9"/>
  <c r="AI26" i="8"/>
  <c r="AI18" i="8"/>
  <c r="AI3" i="9"/>
  <c r="AI19" i="8"/>
  <c r="AI2" i="9"/>
  <c r="AI20" i="8"/>
  <c r="AI21" i="8"/>
  <c r="AI10" i="9"/>
  <c r="AI5" i="9"/>
  <c r="AI22" i="8"/>
  <c r="AI13" i="9"/>
  <c r="AI23" i="8"/>
  <c r="AI24" i="8"/>
  <c r="AI16" i="8"/>
  <c r="AI13" i="8"/>
  <c r="AI5" i="8"/>
  <c r="AI14" i="8"/>
  <c r="AI6" i="8"/>
  <c r="AI15" i="8"/>
  <c r="AI7" i="8"/>
  <c r="AI17" i="8"/>
  <c r="AI8" i="8"/>
  <c r="AI9" i="8"/>
  <c r="AI25" i="8"/>
  <c r="AI10" i="8"/>
  <c r="AI11" i="8"/>
  <c r="AI3" i="8"/>
  <c r="AI12" i="8"/>
  <c r="AI4" i="8"/>
  <c r="AI19" i="7"/>
  <c r="AI20" i="7"/>
  <c r="AI2" i="8"/>
  <c r="AI21" i="7"/>
  <c r="AI22" i="7"/>
  <c r="AI23" i="7"/>
  <c r="AI24" i="7"/>
  <c r="AI25" i="7"/>
  <c r="AI17" i="7"/>
  <c r="AJ22" i="9"/>
  <c r="AJ14" i="9"/>
  <c r="AJ23" i="9"/>
  <c r="AJ24" i="9"/>
  <c r="AJ16" i="9"/>
  <c r="AJ25" i="9"/>
  <c r="AJ17" i="9"/>
  <c r="AJ26" i="9"/>
  <c r="AJ18" i="9"/>
  <c r="AJ19" i="9"/>
  <c r="AJ21" i="9"/>
  <c r="AJ20" i="9"/>
  <c r="AJ12" i="9"/>
  <c r="AJ7" i="9"/>
  <c r="AJ15" i="9"/>
  <c r="AJ8" i="9"/>
  <c r="AJ9" i="9"/>
  <c r="AJ13" i="9"/>
  <c r="AJ10" i="9"/>
  <c r="AJ2" i="9"/>
  <c r="AJ3" i="9"/>
  <c r="AJ19" i="8"/>
  <c r="AJ20" i="8"/>
  <c r="AJ21" i="8"/>
  <c r="AJ5" i="9"/>
  <c r="AJ22" i="8"/>
  <c r="AJ23" i="8"/>
  <c r="AJ24" i="8"/>
  <c r="AJ11" i="9"/>
  <c r="AJ6" i="9"/>
  <c r="AJ25" i="8"/>
  <c r="AJ17" i="8"/>
  <c r="AJ18" i="8"/>
  <c r="AJ14" i="8"/>
  <c r="AJ6" i="8"/>
  <c r="AJ15" i="8"/>
  <c r="AJ7" i="8"/>
  <c r="AJ8" i="8"/>
  <c r="AJ16" i="8"/>
  <c r="AJ9" i="8"/>
  <c r="AJ10" i="8"/>
  <c r="AJ11" i="8"/>
  <c r="AJ12" i="8"/>
  <c r="AJ4" i="8"/>
  <c r="AJ3" i="8"/>
  <c r="AJ20" i="7"/>
  <c r="AJ4" i="9"/>
  <c r="AJ5" i="8"/>
  <c r="AJ2" i="8"/>
  <c r="AJ21" i="7"/>
  <c r="AJ13" i="8"/>
  <c r="AJ22" i="7"/>
  <c r="AJ26" i="8"/>
  <c r="AJ23" i="7"/>
  <c r="AJ24" i="7"/>
  <c r="AJ25" i="7"/>
  <c r="AJ26" i="7"/>
  <c r="AJ18" i="7"/>
  <c r="AK23" i="9"/>
  <c r="AK15" i="9"/>
  <c r="AK24" i="9"/>
  <c r="AK25" i="9"/>
  <c r="AK17" i="9"/>
  <c r="AK26" i="9"/>
  <c r="AK18" i="9"/>
  <c r="AK19" i="9"/>
  <c r="AK20" i="9"/>
  <c r="AK22" i="9"/>
  <c r="AK5" i="9"/>
  <c r="AK21" i="9"/>
  <c r="AK16" i="9"/>
  <c r="AK12" i="9"/>
  <c r="AK7" i="9"/>
  <c r="AK14" i="9"/>
  <c r="AK8" i="9"/>
  <c r="AK9" i="9"/>
  <c r="AK13" i="9"/>
  <c r="AK10" i="9"/>
  <c r="AK11" i="9"/>
  <c r="AK3" i="9"/>
  <c r="AK20" i="8"/>
  <c r="AK2" i="9"/>
  <c r="AK21" i="8"/>
  <c r="AK22" i="8"/>
  <c r="AK23" i="8"/>
  <c r="AK24" i="8"/>
  <c r="AK6" i="9"/>
  <c r="AK25" i="8"/>
  <c r="AK4" i="9"/>
  <c r="AK26" i="8"/>
  <c r="AK18" i="8"/>
  <c r="AK19" i="8"/>
  <c r="AK15" i="8"/>
  <c r="AK7" i="8"/>
  <c r="AK8" i="8"/>
  <c r="AK17" i="8"/>
  <c r="AK16" i="8"/>
  <c r="AK9" i="8"/>
  <c r="AK10" i="8"/>
  <c r="AK11" i="8"/>
  <c r="AK12" i="8"/>
  <c r="AK13" i="8"/>
  <c r="AK5" i="8"/>
  <c r="AK2" i="8"/>
  <c r="AK21" i="7"/>
  <c r="AK22" i="7"/>
  <c r="AK23" i="7"/>
  <c r="AK6" i="8"/>
  <c r="AK24" i="7"/>
  <c r="AK14" i="8"/>
  <c r="AK25" i="7"/>
  <c r="AK26" i="7"/>
  <c r="AK18" i="7"/>
  <c r="AK19" i="7"/>
  <c r="AL24" i="9"/>
  <c r="AL16" i="9"/>
  <c r="AL25" i="9"/>
  <c r="AL26" i="9"/>
  <c r="AL18" i="9"/>
  <c r="AL19" i="9"/>
  <c r="AL20" i="9"/>
  <c r="AL12" i="9"/>
  <c r="AL21" i="9"/>
  <c r="AL23" i="9"/>
  <c r="AL17" i="9"/>
  <c r="AL6" i="9"/>
  <c r="AL22" i="9"/>
  <c r="AL7" i="9"/>
  <c r="AL14" i="9"/>
  <c r="AL8" i="9"/>
  <c r="AL15" i="9"/>
  <c r="AL9" i="9"/>
  <c r="AL13" i="9"/>
  <c r="AL10" i="9"/>
  <c r="AL11" i="9"/>
  <c r="AL4" i="9"/>
  <c r="AL2" i="9"/>
  <c r="AL21" i="8"/>
  <c r="AL22" i="8"/>
  <c r="AL5" i="9"/>
  <c r="AL23" i="8"/>
  <c r="AL24" i="8"/>
  <c r="AL25" i="8"/>
  <c r="AL26" i="8"/>
  <c r="AL18" i="8"/>
  <c r="AL19" i="8"/>
  <c r="AL8" i="8"/>
  <c r="AL17" i="8"/>
  <c r="AL16" i="8"/>
  <c r="AL9" i="8"/>
  <c r="AL20" i="8"/>
  <c r="AL10" i="8"/>
  <c r="AL11" i="8"/>
  <c r="AL3" i="9"/>
  <c r="AL12" i="8"/>
  <c r="AL4" i="8"/>
  <c r="AL13" i="8"/>
  <c r="AL5" i="8"/>
  <c r="AL14" i="8"/>
  <c r="AL6" i="8"/>
  <c r="AL22" i="7"/>
  <c r="AL23" i="7"/>
  <c r="AL24" i="7"/>
  <c r="AL25" i="7"/>
  <c r="AL17" i="7"/>
  <c r="AL26" i="7"/>
  <c r="AL18" i="7"/>
  <c r="AL7" i="8"/>
  <c r="AL19" i="7"/>
  <c r="AL15" i="8"/>
  <c r="AL3" i="8"/>
  <c r="AL20" i="7"/>
  <c r="AM25" i="9"/>
  <c r="AM17" i="9"/>
  <c r="AM26" i="9"/>
  <c r="AM19" i="9"/>
  <c r="AM20" i="9"/>
  <c r="AM12" i="9"/>
  <c r="AM21" i="9"/>
  <c r="AM13" i="9"/>
  <c r="AM22" i="9"/>
  <c r="AM24" i="9"/>
  <c r="AM7" i="9"/>
  <c r="AM16" i="9"/>
  <c r="AM14" i="9"/>
  <c r="AM8" i="9"/>
  <c r="AM15" i="9"/>
  <c r="AM9" i="9"/>
  <c r="AM23" i="9"/>
  <c r="AM10" i="9"/>
  <c r="AM11" i="9"/>
  <c r="AM18" i="9"/>
  <c r="AM5" i="9"/>
  <c r="AM22" i="8"/>
  <c r="AM23" i="8"/>
  <c r="AM24" i="8"/>
  <c r="AM25" i="8"/>
  <c r="AM17" i="8"/>
  <c r="AM6" i="9"/>
  <c r="AM26" i="8"/>
  <c r="AM4" i="9"/>
  <c r="AM19" i="8"/>
  <c r="AM3" i="9"/>
  <c r="AM20" i="8"/>
  <c r="AM16" i="8"/>
  <c r="AM9" i="8"/>
  <c r="AM2" i="9"/>
  <c r="AM10" i="8"/>
  <c r="AM11" i="8"/>
  <c r="AM12" i="8"/>
  <c r="AM21" i="8"/>
  <c r="AM13" i="8"/>
  <c r="AM5" i="8"/>
  <c r="AM14" i="8"/>
  <c r="AM6" i="8"/>
  <c r="AM15" i="8"/>
  <c r="AM7" i="8"/>
  <c r="AM23" i="7"/>
  <c r="AM18" i="8"/>
  <c r="AM24" i="7"/>
  <c r="AM25" i="7"/>
  <c r="AM26" i="7"/>
  <c r="AM18" i="7"/>
  <c r="AM19" i="7"/>
  <c r="AM3" i="8"/>
  <c r="AM20" i="7"/>
  <c r="AM4" i="8"/>
  <c r="AM2" i="8"/>
  <c r="AM21" i="7"/>
  <c r="AN26" i="9"/>
  <c r="AN18" i="9"/>
  <c r="AN20" i="9"/>
  <c r="AN12" i="9"/>
  <c r="AN21" i="9"/>
  <c r="AN13" i="9"/>
  <c r="AN22" i="9"/>
  <c r="AN14" i="9"/>
  <c r="AN23" i="9"/>
  <c r="AN15" i="9"/>
  <c r="AN24" i="9"/>
  <c r="AN25" i="9"/>
  <c r="AN16" i="9"/>
  <c r="AN8" i="9"/>
  <c r="AN9" i="9"/>
  <c r="AN10" i="9"/>
  <c r="AN11" i="9"/>
  <c r="AN19" i="9"/>
  <c r="AN6" i="9"/>
  <c r="AN23" i="8"/>
  <c r="AN5" i="9"/>
  <c r="AN24" i="8"/>
  <c r="AN17" i="9"/>
  <c r="AN25" i="8"/>
  <c r="AN26" i="8"/>
  <c r="AN18" i="8"/>
  <c r="AN4" i="9"/>
  <c r="AN19" i="8"/>
  <c r="AN7" i="9"/>
  <c r="AN3" i="9"/>
  <c r="AN20" i="8"/>
  <c r="AN2" i="9"/>
  <c r="AN21" i="8"/>
  <c r="AN17" i="8"/>
  <c r="AN10" i="8"/>
  <c r="AN11" i="8"/>
  <c r="AN12" i="8"/>
  <c r="AN4" i="8"/>
  <c r="AN13" i="8"/>
  <c r="AN5" i="8"/>
  <c r="AN14" i="8"/>
  <c r="AN6" i="8"/>
  <c r="AN15" i="8"/>
  <c r="AN7" i="8"/>
  <c r="AN22" i="8"/>
  <c r="AN8" i="8"/>
  <c r="AN16" i="8"/>
  <c r="AN24" i="7"/>
  <c r="AN9" i="8"/>
  <c r="AN25" i="7"/>
  <c r="AN17" i="7"/>
  <c r="AN26" i="7"/>
  <c r="AN18" i="7"/>
  <c r="AN19" i="7"/>
  <c r="AN3" i="8"/>
  <c r="AN20" i="7"/>
  <c r="AN2" i="8"/>
  <c r="AN21" i="7"/>
  <c r="AN22" i="7"/>
  <c r="AN14" i="7"/>
  <c r="AO19" i="9"/>
  <c r="AO21" i="9"/>
  <c r="AO13" i="9"/>
  <c r="AO22" i="9"/>
  <c r="AO14" i="9"/>
  <c r="AO23" i="9"/>
  <c r="AO15" i="9"/>
  <c r="AO24" i="9"/>
  <c r="AO16" i="9"/>
  <c r="AO25" i="9"/>
  <c r="AO26" i="9"/>
  <c r="AO9" i="9"/>
  <c r="AO12" i="9"/>
  <c r="AO10" i="9"/>
  <c r="AO20" i="9"/>
  <c r="AO11" i="9"/>
  <c r="AO18" i="9"/>
  <c r="AO6" i="9"/>
  <c r="AO17" i="9"/>
  <c r="AO7" i="9"/>
  <c r="AO5" i="9"/>
  <c r="AO24" i="8"/>
  <c r="AO25" i="8"/>
  <c r="AO26" i="8"/>
  <c r="AO18" i="8"/>
  <c r="AO4" i="9"/>
  <c r="AO19" i="8"/>
  <c r="AO3" i="9"/>
  <c r="AO20" i="8"/>
  <c r="AO2" i="9"/>
  <c r="AO21" i="8"/>
  <c r="AO22" i="8"/>
  <c r="AO23" i="8"/>
  <c r="AO11" i="8"/>
  <c r="AO12" i="8"/>
  <c r="AO13" i="8"/>
  <c r="AO5" i="8"/>
  <c r="AO14" i="8"/>
  <c r="AO6" i="8"/>
  <c r="AO15" i="8"/>
  <c r="AO7" i="8"/>
  <c r="AO8" i="9"/>
  <c r="AO8" i="8"/>
  <c r="AO16" i="8"/>
  <c r="AO9" i="8"/>
  <c r="AO25" i="7"/>
  <c r="AO26" i="7"/>
  <c r="AO18" i="7"/>
  <c r="AO19" i="7"/>
  <c r="AO17" i="8"/>
  <c r="AO10" i="8"/>
  <c r="AO3" i="8"/>
  <c r="AO20" i="7"/>
  <c r="AO2" i="8"/>
  <c r="AO21" i="7"/>
  <c r="AO4" i="8"/>
  <c r="AO22" i="7"/>
  <c r="AO23" i="7"/>
  <c r="AO15" i="7"/>
  <c r="AP20" i="9"/>
  <c r="AP21" i="9"/>
  <c r="AP22" i="9"/>
  <c r="AP14" i="9"/>
  <c r="AP23" i="9"/>
  <c r="AP15" i="9"/>
  <c r="AP24" i="9"/>
  <c r="AP16" i="9"/>
  <c r="AP25" i="9"/>
  <c r="AP17" i="9"/>
  <c r="AP26" i="9"/>
  <c r="AP12" i="9"/>
  <c r="AP10" i="9"/>
  <c r="AP11" i="9"/>
  <c r="AP19" i="9"/>
  <c r="AP13" i="9"/>
  <c r="AP18" i="9"/>
  <c r="AP6" i="9"/>
  <c r="AP7" i="9"/>
  <c r="AP8" i="9"/>
  <c r="AP25" i="8"/>
  <c r="AP17" i="8"/>
  <c r="AP9" i="9"/>
  <c r="AP26" i="8"/>
  <c r="AP18" i="8"/>
  <c r="AP4" i="9"/>
  <c r="AP19" i="8"/>
  <c r="AP3" i="9"/>
  <c r="AP20" i="8"/>
  <c r="AP2" i="9"/>
  <c r="AP21" i="8"/>
  <c r="AP22" i="8"/>
  <c r="AP23" i="8"/>
  <c r="AP12" i="8"/>
  <c r="AP13" i="8"/>
  <c r="AP5" i="8"/>
  <c r="AP5" i="9"/>
  <c r="AP24" i="8"/>
  <c r="AP14" i="8"/>
  <c r="AP6" i="8"/>
  <c r="AP15" i="8"/>
  <c r="AP7" i="8"/>
  <c r="AP8" i="8"/>
  <c r="AP16" i="8"/>
  <c r="AP9" i="8"/>
  <c r="AP10" i="8"/>
  <c r="AP2" i="8"/>
  <c r="AP26" i="7"/>
  <c r="AP18" i="7"/>
  <c r="AP19" i="7"/>
  <c r="AP3" i="8"/>
  <c r="AP20" i="7"/>
  <c r="AP21" i="7"/>
  <c r="AP4" i="8"/>
  <c r="AP22" i="7"/>
  <c r="AP11" i="8"/>
  <c r="AP23" i="7"/>
  <c r="AP24" i="7"/>
  <c r="AP16" i="7"/>
  <c r="AQ21" i="9"/>
  <c r="AQ22" i="9"/>
  <c r="AQ23" i="9"/>
  <c r="AQ15" i="9"/>
  <c r="AQ24" i="9"/>
  <c r="AQ16" i="9"/>
  <c r="AQ25" i="9"/>
  <c r="AQ17" i="9"/>
  <c r="AQ26" i="9"/>
  <c r="AQ18" i="9"/>
  <c r="AQ14" i="9"/>
  <c r="AQ11" i="9"/>
  <c r="AQ20" i="9"/>
  <c r="AQ19" i="9"/>
  <c r="AQ13" i="9"/>
  <c r="AQ6" i="9"/>
  <c r="AQ7" i="9"/>
  <c r="AQ8" i="9"/>
  <c r="AQ9" i="9"/>
  <c r="AQ12" i="9"/>
  <c r="AQ26" i="8"/>
  <c r="AQ18" i="8"/>
  <c r="AQ4" i="9"/>
  <c r="AQ19" i="8"/>
  <c r="AQ3" i="9"/>
  <c r="AQ20" i="8"/>
  <c r="AQ10" i="9"/>
  <c r="AQ2" i="9"/>
  <c r="AQ21" i="8"/>
  <c r="AQ22" i="8"/>
  <c r="AQ23" i="8"/>
  <c r="AQ5" i="9"/>
  <c r="AQ24" i="8"/>
  <c r="AQ16" i="8"/>
  <c r="AQ13" i="8"/>
  <c r="AQ5" i="8"/>
  <c r="AQ14" i="8"/>
  <c r="AQ6" i="8"/>
  <c r="AQ15" i="8"/>
  <c r="AQ7" i="8"/>
  <c r="AQ8" i="8"/>
  <c r="AQ25" i="8"/>
  <c r="AQ9" i="8"/>
  <c r="AQ10" i="8"/>
  <c r="AQ17" i="8"/>
  <c r="AQ11" i="8"/>
  <c r="AQ3" i="8"/>
  <c r="AQ19" i="7"/>
  <c r="AQ20" i="7"/>
  <c r="AQ21" i="7"/>
  <c r="AQ4" i="8"/>
  <c r="AQ2" i="8"/>
  <c r="AQ22" i="7"/>
  <c r="AQ23" i="7"/>
  <c r="AQ24" i="7"/>
  <c r="AQ25" i="7"/>
  <c r="AQ17" i="7"/>
  <c r="AR22" i="9"/>
  <c r="AR14" i="9"/>
  <c r="AR23" i="9"/>
  <c r="AR24" i="9"/>
  <c r="AR16" i="9"/>
  <c r="AR25" i="9"/>
  <c r="AR17" i="9"/>
  <c r="AR26" i="9"/>
  <c r="AR18" i="9"/>
  <c r="AR19" i="9"/>
  <c r="AR20" i="9"/>
  <c r="AR4" i="9"/>
  <c r="AR21" i="9"/>
  <c r="AR15" i="9"/>
  <c r="AR13" i="9"/>
  <c r="AR7" i="9"/>
  <c r="AR8" i="9"/>
  <c r="AR9" i="9"/>
  <c r="AR12" i="9"/>
  <c r="AR10" i="9"/>
  <c r="AR2" i="9"/>
  <c r="AR19" i="8"/>
  <c r="AR3" i="9"/>
  <c r="AR20" i="8"/>
  <c r="AR21" i="8"/>
  <c r="AR6" i="9"/>
  <c r="AR22" i="8"/>
  <c r="AR23" i="8"/>
  <c r="AR11" i="9"/>
  <c r="AR5" i="9"/>
  <c r="AR24" i="8"/>
  <c r="AR25" i="8"/>
  <c r="AR17" i="8"/>
  <c r="AR14" i="8"/>
  <c r="AR6" i="8"/>
  <c r="AR15" i="8"/>
  <c r="AR7" i="8"/>
  <c r="AR8" i="8"/>
  <c r="AR9" i="8"/>
  <c r="AR16" i="8"/>
  <c r="AR10" i="8"/>
  <c r="AR11" i="8"/>
  <c r="AR26" i="8"/>
  <c r="AR18" i="8"/>
  <c r="AR12" i="8"/>
  <c r="AR4" i="8"/>
  <c r="AR5" i="8"/>
  <c r="AR20" i="7"/>
  <c r="AR13" i="8"/>
  <c r="AR3" i="8"/>
  <c r="AR21" i="7"/>
  <c r="AR2" i="8"/>
  <c r="AR22" i="7"/>
  <c r="AR23" i="7"/>
  <c r="AR24" i="7"/>
  <c r="AR25" i="7"/>
  <c r="AR26" i="7"/>
  <c r="AR18" i="7"/>
  <c r="AS23" i="9"/>
  <c r="AS15" i="9"/>
  <c r="AS24" i="9"/>
  <c r="AS25" i="9"/>
  <c r="AS17" i="9"/>
  <c r="AS26" i="9"/>
  <c r="AS18" i="9"/>
  <c r="AS19" i="9"/>
  <c r="AS20" i="9"/>
  <c r="AS22" i="9"/>
  <c r="AS21" i="9"/>
  <c r="AS13" i="9"/>
  <c r="AS5" i="9"/>
  <c r="AS6" i="9"/>
  <c r="AS7" i="9"/>
  <c r="AS8" i="9"/>
  <c r="AS9" i="9"/>
  <c r="AS12" i="9"/>
  <c r="AS10" i="9"/>
  <c r="AS11" i="9"/>
  <c r="AS3" i="9"/>
  <c r="AS4" i="9"/>
  <c r="AS20" i="8"/>
  <c r="AS14" i="9"/>
  <c r="AS21" i="8"/>
  <c r="AS2" i="9"/>
  <c r="AS22" i="8"/>
  <c r="AS23" i="8"/>
  <c r="AS16" i="9"/>
  <c r="AS24" i="8"/>
  <c r="AS25" i="8"/>
  <c r="AS17" i="8"/>
  <c r="AS26" i="8"/>
  <c r="AS18" i="8"/>
  <c r="AS15" i="8"/>
  <c r="AS7" i="8"/>
  <c r="AS8" i="8"/>
  <c r="AS9" i="8"/>
  <c r="AS16" i="8"/>
  <c r="AS10" i="8"/>
  <c r="AS11" i="8"/>
  <c r="AS12" i="8"/>
  <c r="AS13" i="8"/>
  <c r="AS5" i="8"/>
  <c r="AS19" i="8"/>
  <c r="AS3" i="8"/>
  <c r="AS21" i="7"/>
  <c r="AS2" i="8"/>
  <c r="AS22" i="7"/>
  <c r="AS6" i="8"/>
  <c r="AS4" i="8"/>
  <c r="AS23" i="7"/>
  <c r="AS14" i="8"/>
  <c r="AS24" i="7"/>
  <c r="AS16" i="7"/>
  <c r="AS25" i="7"/>
  <c r="AS26" i="7"/>
  <c r="AS18" i="7"/>
  <c r="AS19" i="7"/>
  <c r="AT24" i="9"/>
  <c r="AT16" i="9"/>
  <c r="AT25" i="9"/>
  <c r="AT26" i="9"/>
  <c r="AT18" i="9"/>
  <c r="AT19" i="9"/>
  <c r="AT20" i="9"/>
  <c r="AT12" i="9"/>
  <c r="AT21" i="9"/>
  <c r="AT23" i="9"/>
  <c r="AT22" i="9"/>
  <c r="AT15" i="9"/>
  <c r="AT6" i="9"/>
  <c r="AT7" i="9"/>
  <c r="AT8" i="9"/>
  <c r="AT9" i="9"/>
  <c r="AT10" i="9"/>
  <c r="AT17" i="9"/>
  <c r="AT11" i="9"/>
  <c r="AT14" i="9"/>
  <c r="AT4" i="9"/>
  <c r="AT3" i="9"/>
  <c r="AT21" i="8"/>
  <c r="AT2" i="9"/>
  <c r="AT22" i="8"/>
  <c r="AT23" i="8"/>
  <c r="AT24" i="8"/>
  <c r="AT13" i="9"/>
  <c r="AT5" i="9"/>
  <c r="AT25" i="8"/>
  <c r="AT26" i="8"/>
  <c r="AT18" i="8"/>
  <c r="AT19" i="8"/>
  <c r="AT8" i="8"/>
  <c r="AT20" i="8"/>
  <c r="AT9" i="8"/>
  <c r="AT16" i="8"/>
  <c r="AT10" i="8"/>
  <c r="AT11" i="8"/>
  <c r="AT12" i="8"/>
  <c r="AT4" i="8"/>
  <c r="AT17" i="8"/>
  <c r="AT13" i="8"/>
  <c r="AT5" i="8"/>
  <c r="AT14" i="8"/>
  <c r="AT6" i="8"/>
  <c r="AT2" i="8"/>
  <c r="AT22" i="7"/>
  <c r="AT23" i="7"/>
  <c r="AT24" i="7"/>
  <c r="AT25" i="7"/>
  <c r="AT17" i="7"/>
  <c r="AT7" i="8"/>
  <c r="AT26" i="7"/>
  <c r="AT18" i="7"/>
  <c r="AT15" i="8"/>
  <c r="AT19" i="7"/>
  <c r="AT20" i="7"/>
  <c r="AU25" i="9"/>
  <c r="AU17" i="9"/>
  <c r="AU26" i="9"/>
  <c r="AU19" i="9"/>
  <c r="AU20" i="9"/>
  <c r="AU12" i="9"/>
  <c r="AU21" i="9"/>
  <c r="AU13" i="9"/>
  <c r="AU22" i="9"/>
  <c r="AU24" i="9"/>
  <c r="AU7" i="9"/>
  <c r="AU8" i="9"/>
  <c r="AU23" i="9"/>
  <c r="AU9" i="9"/>
  <c r="AU18" i="9"/>
  <c r="AU10" i="9"/>
  <c r="AU11" i="9"/>
  <c r="AU14" i="9"/>
  <c r="AU16" i="9"/>
  <c r="AU5" i="9"/>
  <c r="AU2" i="9"/>
  <c r="AU22" i="8"/>
  <c r="AU23" i="8"/>
  <c r="AU6" i="9"/>
  <c r="AU24" i="8"/>
  <c r="AU25" i="8"/>
  <c r="AU17" i="8"/>
  <c r="AU26" i="8"/>
  <c r="AU19" i="8"/>
  <c r="AU15" i="9"/>
  <c r="AU20" i="8"/>
  <c r="AU9" i="8"/>
  <c r="AU16" i="8"/>
  <c r="AU10" i="8"/>
  <c r="AU11" i="8"/>
  <c r="AU3" i="9"/>
  <c r="AU21" i="8"/>
  <c r="AU12" i="8"/>
  <c r="AU4" i="8"/>
  <c r="AU13" i="8"/>
  <c r="AU5" i="8"/>
  <c r="AU18" i="8"/>
  <c r="AU14" i="8"/>
  <c r="AU6" i="8"/>
  <c r="AU4" i="9"/>
  <c r="AU15" i="8"/>
  <c r="AU7" i="8"/>
  <c r="AU23" i="7"/>
  <c r="AU24" i="7"/>
  <c r="AU25" i="7"/>
  <c r="AU26" i="7"/>
  <c r="AU18" i="7"/>
  <c r="AU19" i="7"/>
  <c r="AU20" i="7"/>
  <c r="AU8" i="8"/>
  <c r="AU3" i="8"/>
  <c r="AU21" i="7"/>
  <c r="AY2" i="4"/>
  <c r="AZ2" i="4" s="1"/>
  <c r="AY10" i="4"/>
  <c r="AZ10" i="4" s="1"/>
  <c r="AY18" i="4"/>
  <c r="AZ18" i="4" s="1"/>
  <c r="AY26" i="4"/>
  <c r="AZ26" i="4" s="1"/>
  <c r="AY9" i="5"/>
  <c r="AZ9" i="5" s="1"/>
  <c r="AY17" i="5"/>
  <c r="AZ17" i="5" s="1"/>
  <c r="AY25" i="5"/>
  <c r="AZ25" i="5" s="1"/>
  <c r="AY8" i="6"/>
  <c r="AZ8" i="6" s="1"/>
  <c r="AY16" i="6"/>
  <c r="AZ16" i="6" s="1"/>
  <c r="AY24" i="6"/>
  <c r="AZ24" i="6" s="1"/>
  <c r="J2" i="7"/>
  <c r="R2" i="7"/>
  <c r="Z2" i="7"/>
  <c r="AH2" i="7"/>
  <c r="AP2" i="7"/>
  <c r="K3" i="7"/>
  <c r="S3" i="7"/>
  <c r="AA3" i="7"/>
  <c r="AI3" i="7"/>
  <c r="AQ3" i="7"/>
  <c r="D4" i="7"/>
  <c r="L4" i="7"/>
  <c r="T4" i="7"/>
  <c r="AB4" i="7"/>
  <c r="AJ4" i="7"/>
  <c r="AR4" i="7"/>
  <c r="E5" i="7"/>
  <c r="M5" i="7"/>
  <c r="U5" i="7"/>
  <c r="AC5" i="7"/>
  <c r="AK5" i="7"/>
  <c r="AS5" i="7"/>
  <c r="F6" i="7"/>
  <c r="N6" i="7"/>
  <c r="V6" i="7"/>
  <c r="AD6" i="7"/>
  <c r="AL6" i="7"/>
  <c r="AT6" i="7"/>
  <c r="G7" i="7"/>
  <c r="O7" i="7"/>
  <c r="W7" i="7"/>
  <c r="AE7" i="7"/>
  <c r="AM7" i="7"/>
  <c r="AU7" i="7"/>
  <c r="H8" i="7"/>
  <c r="P8" i="7"/>
  <c r="X8" i="7"/>
  <c r="AF8" i="7"/>
  <c r="AN8" i="7"/>
  <c r="I9" i="7"/>
  <c r="Q9" i="7"/>
  <c r="Y9" i="7"/>
  <c r="AG9" i="7"/>
  <c r="AO9" i="7"/>
  <c r="J10" i="7"/>
  <c r="R10" i="7"/>
  <c r="Z10" i="7"/>
  <c r="AH10" i="7"/>
  <c r="AP10" i="7"/>
  <c r="K11" i="7"/>
  <c r="S11" i="7"/>
  <c r="AA11" i="7"/>
  <c r="AI11" i="7"/>
  <c r="AQ11" i="7"/>
  <c r="D12" i="7"/>
  <c r="L12" i="7"/>
  <c r="T12" i="7"/>
  <c r="AB12" i="7"/>
  <c r="AJ12" i="7"/>
  <c r="AR12" i="7"/>
  <c r="E13" i="7"/>
  <c r="M13" i="7"/>
  <c r="U13" i="7"/>
  <c r="AC13" i="7"/>
  <c r="AK13" i="7"/>
  <c r="AS13" i="7"/>
  <c r="F14" i="7"/>
  <c r="N14" i="7"/>
  <c r="W14" i="7"/>
  <c r="AG14" i="7"/>
  <c r="AP14" i="7"/>
  <c r="D15" i="7"/>
  <c r="M15" i="7"/>
  <c r="V15" i="7"/>
  <c r="AE15" i="7"/>
  <c r="AN15" i="7"/>
  <c r="L16" i="7"/>
  <c r="U16" i="7"/>
  <c r="AD16" i="7"/>
  <c r="AM16" i="7"/>
  <c r="O17" i="7"/>
  <c r="AB17" i="7"/>
  <c r="AO17" i="7"/>
  <c r="F18" i="7"/>
  <c r="AA18" i="7"/>
  <c r="AJ19" i="7"/>
  <c r="F21" i="7"/>
  <c r="W22" i="7"/>
  <c r="AN23" i="7"/>
  <c r="J25" i="7"/>
  <c r="AA26" i="7"/>
  <c r="AU2" i="8"/>
  <c r="Z4" i="8"/>
  <c r="AQ12" i="8"/>
  <c r="D6" i="3"/>
  <c r="D9" i="3" s="1"/>
  <c r="L6" i="3"/>
  <c r="L9" i="3" s="1"/>
  <c r="T6" i="3"/>
  <c r="T9" i="3" s="1"/>
  <c r="AJ6" i="3"/>
  <c r="AJ9" i="3" s="1"/>
  <c r="AR6" i="3"/>
  <c r="AR9" i="3" s="1"/>
  <c r="AY5" i="4"/>
  <c r="AZ5" i="4" s="1"/>
  <c r="AY13" i="4"/>
  <c r="AZ13" i="4" s="1"/>
  <c r="AY21" i="4"/>
  <c r="AZ21" i="4" s="1"/>
  <c r="AY4" i="5"/>
  <c r="AZ4" i="5" s="1"/>
  <c r="AY12" i="5"/>
  <c r="AZ12" i="5" s="1"/>
  <c r="AY20" i="5"/>
  <c r="AZ20" i="5" s="1"/>
  <c r="AY3" i="6"/>
  <c r="AZ3" i="6" s="1"/>
  <c r="AY11" i="6"/>
  <c r="AZ11" i="6" s="1"/>
  <c r="AY19" i="6"/>
  <c r="AZ19" i="6" s="1"/>
  <c r="K2" i="7"/>
  <c r="S2" i="7"/>
  <c r="AA2" i="7"/>
  <c r="AI2" i="7"/>
  <c r="AQ2" i="7"/>
  <c r="D3" i="7"/>
  <c r="L3" i="7"/>
  <c r="T3" i="7"/>
  <c r="AB3" i="7"/>
  <c r="AJ3" i="7"/>
  <c r="AR3" i="7"/>
  <c r="E4" i="7"/>
  <c r="M4" i="7"/>
  <c r="U4" i="7"/>
  <c r="AC4" i="7"/>
  <c r="AK4" i="7"/>
  <c r="AS4" i="7"/>
  <c r="F5" i="7"/>
  <c r="N5" i="7"/>
  <c r="V5" i="7"/>
  <c r="AD5" i="7"/>
  <c r="AL5" i="7"/>
  <c r="AT5" i="7"/>
  <c r="G6" i="7"/>
  <c r="O6" i="7"/>
  <c r="W6" i="7"/>
  <c r="AE6" i="7"/>
  <c r="AM6" i="7"/>
  <c r="AU6" i="7"/>
  <c r="H7" i="7"/>
  <c r="P7" i="7"/>
  <c r="X7" i="7"/>
  <c r="AF7" i="7"/>
  <c r="AN7" i="7"/>
  <c r="I8" i="7"/>
  <c r="Q8" i="7"/>
  <c r="Y8" i="7"/>
  <c r="AG8" i="7"/>
  <c r="AO8" i="7"/>
  <c r="J9" i="7"/>
  <c r="R9" i="7"/>
  <c r="Z9" i="7"/>
  <c r="AH9" i="7"/>
  <c r="AP9" i="7"/>
  <c r="K10" i="7"/>
  <c r="S10" i="7"/>
  <c r="AA10" i="7"/>
  <c r="AI10" i="7"/>
  <c r="AQ10" i="7"/>
  <c r="D11" i="7"/>
  <c r="L11" i="7"/>
  <c r="T11" i="7"/>
  <c r="AB11" i="7"/>
  <c r="AJ11" i="7"/>
  <c r="AR11" i="7"/>
  <c r="E12" i="7"/>
  <c r="M12" i="7"/>
  <c r="U12" i="7"/>
  <c r="AC12" i="7"/>
  <c r="AK12" i="7"/>
  <c r="AS12" i="7"/>
  <c r="F13" i="7"/>
  <c r="N13" i="7"/>
  <c r="V13" i="7"/>
  <c r="AD13" i="7"/>
  <c r="AL13" i="7"/>
  <c r="AT13" i="7"/>
  <c r="G14" i="7"/>
  <c r="O14" i="7"/>
  <c r="Y14" i="7"/>
  <c r="AH14" i="7"/>
  <c r="AQ14" i="7"/>
  <c r="E15" i="7"/>
  <c r="N15" i="7"/>
  <c r="W15" i="7"/>
  <c r="AF15" i="7"/>
  <c r="AP15" i="7"/>
  <c r="D16" i="7"/>
  <c r="M16" i="7"/>
  <c r="V16" i="7"/>
  <c r="AE16" i="7"/>
  <c r="AN16" i="7"/>
  <c r="D17" i="7"/>
  <c r="Q17" i="7"/>
  <c r="AC17" i="7"/>
  <c r="AP17" i="7"/>
  <c r="H18" i="7"/>
  <c r="AF18" i="7"/>
  <c r="AR19" i="7"/>
  <c r="N21" i="7"/>
  <c r="AE22" i="7"/>
  <c r="R25" i="7"/>
  <c r="AI26" i="7"/>
  <c r="I3" i="8"/>
  <c r="AK4" i="8"/>
  <c r="M14" i="8"/>
  <c r="AC9" i="3"/>
  <c r="AY8" i="4"/>
  <c r="AZ8" i="4" s="1"/>
  <c r="AY16" i="4"/>
  <c r="AZ16" i="4" s="1"/>
  <c r="AY24" i="4"/>
  <c r="AZ24" i="4" s="1"/>
  <c r="AY7" i="5"/>
  <c r="AZ7" i="5" s="1"/>
  <c r="AY15" i="5"/>
  <c r="AZ15" i="5" s="1"/>
  <c r="AY23" i="5"/>
  <c r="AZ23" i="5" s="1"/>
  <c r="AY6" i="6"/>
  <c r="AZ6" i="6" s="1"/>
  <c r="AY14" i="6"/>
  <c r="AZ14" i="6" s="1"/>
  <c r="AY22" i="6"/>
  <c r="AZ22" i="6" s="1"/>
  <c r="D2" i="7"/>
  <c r="L2" i="7"/>
  <c r="T2" i="7"/>
  <c r="AB2" i="7"/>
  <c r="AJ2" i="7"/>
  <c r="AR2" i="7"/>
  <c r="E3" i="7"/>
  <c r="M3" i="7"/>
  <c r="U3" i="7"/>
  <c r="AC3" i="7"/>
  <c r="AK3" i="7"/>
  <c r="AS3" i="7"/>
  <c r="F4" i="7"/>
  <c r="N4" i="7"/>
  <c r="V4" i="7"/>
  <c r="AD4" i="7"/>
  <c r="AL4" i="7"/>
  <c r="AT4" i="7"/>
  <c r="G5" i="7"/>
  <c r="O5" i="7"/>
  <c r="W5" i="7"/>
  <c r="AE5" i="7"/>
  <c r="AM5" i="7"/>
  <c r="AU5" i="7"/>
  <c r="H6" i="7"/>
  <c r="P6" i="7"/>
  <c r="X6" i="7"/>
  <c r="AF6" i="7"/>
  <c r="AN6" i="7"/>
  <c r="I7" i="7"/>
  <c r="Q7" i="7"/>
  <c r="Y7" i="7"/>
  <c r="AG7" i="7"/>
  <c r="AO7" i="7"/>
  <c r="J8" i="7"/>
  <c r="R8" i="7"/>
  <c r="Z8" i="7"/>
  <c r="AH8" i="7"/>
  <c r="AP8" i="7"/>
  <c r="K9" i="7"/>
  <c r="S9" i="7"/>
  <c r="AA9" i="7"/>
  <c r="AI9" i="7"/>
  <c r="AQ9" i="7"/>
  <c r="D10" i="7"/>
  <c r="L10" i="7"/>
  <c r="T10" i="7"/>
  <c r="AB10" i="7"/>
  <c r="AJ10" i="7"/>
  <c r="AR10" i="7"/>
  <c r="E11" i="7"/>
  <c r="M11" i="7"/>
  <c r="U11" i="7"/>
  <c r="AC11" i="7"/>
  <c r="AK11" i="7"/>
  <c r="AS11" i="7"/>
  <c r="F12" i="7"/>
  <c r="N12" i="7"/>
  <c r="V12" i="7"/>
  <c r="AD12" i="7"/>
  <c r="AL12" i="7"/>
  <c r="AT12" i="7"/>
  <c r="G13" i="7"/>
  <c r="O13" i="7"/>
  <c r="W13" i="7"/>
  <c r="AE13" i="7"/>
  <c r="AM13" i="7"/>
  <c r="AU13" i="7"/>
  <c r="H14" i="7"/>
  <c r="Q14" i="7"/>
  <c r="Z14" i="7"/>
  <c r="AI14" i="7"/>
  <c r="AR14" i="7"/>
  <c r="F15" i="7"/>
  <c r="O15" i="7"/>
  <c r="X15" i="7"/>
  <c r="AH15" i="7"/>
  <c r="AQ15" i="7"/>
  <c r="E16" i="7"/>
  <c r="N16" i="7"/>
  <c r="W16" i="7"/>
  <c r="AF16" i="7"/>
  <c r="AO16" i="7"/>
  <c r="E17" i="7"/>
  <c r="R17" i="7"/>
  <c r="AE17" i="7"/>
  <c r="AR17" i="7"/>
  <c r="J18" i="7"/>
  <c r="AI18" i="7"/>
  <c r="E20" i="7"/>
  <c r="V21" i="7"/>
  <c r="AM22" i="7"/>
  <c r="I24" i="7"/>
  <c r="Z25" i="7"/>
  <c r="AQ26" i="7"/>
  <c r="R3" i="8"/>
  <c r="F5" i="8"/>
  <c r="AD15" i="8"/>
  <c r="F6" i="3"/>
  <c r="F9" i="3" s="1"/>
  <c r="N6" i="3"/>
  <c r="N9" i="3" s="1"/>
  <c r="V6" i="3"/>
  <c r="V9" i="3" s="1"/>
  <c r="AD6" i="3"/>
  <c r="AD9" i="3" s="1"/>
  <c r="AL6" i="3"/>
  <c r="AL9" i="3" s="1"/>
  <c r="AT6" i="3"/>
  <c r="AT9" i="3" s="1"/>
  <c r="AY3" i="4"/>
  <c r="AZ3" i="4" s="1"/>
  <c r="AY11" i="4"/>
  <c r="AZ11" i="4" s="1"/>
  <c r="AY19" i="4"/>
  <c r="AZ19" i="4" s="1"/>
  <c r="AY2" i="5"/>
  <c r="AZ2" i="5" s="1"/>
  <c r="AY10" i="5"/>
  <c r="AZ10" i="5" s="1"/>
  <c r="AY18" i="5"/>
  <c r="AZ18" i="5" s="1"/>
  <c r="AY26" i="5"/>
  <c r="AZ26" i="5" s="1"/>
  <c r="AY9" i="6"/>
  <c r="AZ9" i="6" s="1"/>
  <c r="AY17" i="6"/>
  <c r="AZ17" i="6" s="1"/>
  <c r="AY25" i="6"/>
  <c r="AZ25" i="6" s="1"/>
  <c r="E2" i="7"/>
  <c r="M2" i="7"/>
  <c r="U2" i="7"/>
  <c r="AC2" i="7"/>
  <c r="AK2" i="7"/>
  <c r="AS2" i="7"/>
  <c r="F3" i="7"/>
  <c r="N3" i="7"/>
  <c r="V3" i="7"/>
  <c r="AD3" i="7"/>
  <c r="AL3" i="7"/>
  <c r="AT3" i="7"/>
  <c r="G4" i="7"/>
  <c r="O4" i="7"/>
  <c r="W4" i="7"/>
  <c r="AE4" i="7"/>
  <c r="AM4" i="7"/>
  <c r="AU4" i="7"/>
  <c r="H5" i="7"/>
  <c r="P5" i="7"/>
  <c r="X5" i="7"/>
  <c r="AF5" i="7"/>
  <c r="AN5" i="7"/>
  <c r="I6" i="7"/>
  <c r="Q6" i="7"/>
  <c r="Y6" i="7"/>
  <c r="AG6" i="7"/>
  <c r="AO6" i="7"/>
  <c r="J7" i="7"/>
  <c r="R7" i="7"/>
  <c r="Z7" i="7"/>
  <c r="AH7" i="7"/>
  <c r="AP7" i="7"/>
  <c r="K8" i="7"/>
  <c r="S8" i="7"/>
  <c r="AA8" i="7"/>
  <c r="AI8" i="7"/>
  <c r="AQ8" i="7"/>
  <c r="D9" i="7"/>
  <c r="L9" i="7"/>
  <c r="T9" i="7"/>
  <c r="AB9" i="7"/>
  <c r="AJ9" i="7"/>
  <c r="AR9" i="7"/>
  <c r="E10" i="7"/>
  <c r="M10" i="7"/>
  <c r="U10" i="7"/>
  <c r="AC10" i="7"/>
  <c r="AK10" i="7"/>
  <c r="AS10" i="7"/>
  <c r="F11" i="7"/>
  <c r="N11" i="7"/>
  <c r="V11" i="7"/>
  <c r="AD11" i="7"/>
  <c r="AL11" i="7"/>
  <c r="AT11" i="7"/>
  <c r="G12" i="7"/>
  <c r="O12" i="7"/>
  <c r="W12" i="7"/>
  <c r="AE12" i="7"/>
  <c r="AM12" i="7"/>
  <c r="AU12" i="7"/>
  <c r="H13" i="7"/>
  <c r="P13" i="7"/>
  <c r="X13" i="7"/>
  <c r="AF13" i="7"/>
  <c r="AN13" i="7"/>
  <c r="I14" i="7"/>
  <c r="R14" i="7"/>
  <c r="AA14" i="7"/>
  <c r="AJ14" i="7"/>
  <c r="AS14" i="7"/>
  <c r="G15" i="7"/>
  <c r="P15" i="7"/>
  <c r="Z15" i="7"/>
  <c r="AI15" i="7"/>
  <c r="AR15" i="7"/>
  <c r="F16" i="7"/>
  <c r="O16" i="7"/>
  <c r="X16" i="7"/>
  <c r="AG16" i="7"/>
  <c r="AQ16" i="7"/>
  <c r="G17" i="7"/>
  <c r="T17" i="7"/>
  <c r="AG17" i="7"/>
  <c r="AS17" i="7"/>
  <c r="K18" i="7"/>
  <c r="AQ18" i="7"/>
  <c r="M20" i="7"/>
  <c r="AD21" i="7"/>
  <c r="AU22" i="7"/>
  <c r="Q24" i="7"/>
  <c r="AH25" i="7"/>
  <c r="D2" i="8"/>
  <c r="AB3" i="8"/>
  <c r="E6" i="8"/>
  <c r="G6" i="3"/>
  <c r="G9" i="3" s="1"/>
  <c r="O6" i="3"/>
  <c r="O9" i="3" s="1"/>
  <c r="W6" i="3"/>
  <c r="W9" i="3" s="1"/>
  <c r="AE6" i="3"/>
  <c r="AE9" i="3" s="1"/>
  <c r="AM6" i="3"/>
  <c r="AM9" i="3" s="1"/>
  <c r="AU6" i="3"/>
  <c r="AU9" i="3" s="1"/>
  <c r="AY6" i="4"/>
  <c r="AZ6" i="4" s="1"/>
  <c r="AY14" i="4"/>
  <c r="AZ14" i="4" s="1"/>
  <c r="AY22" i="4"/>
  <c r="AZ22" i="4" s="1"/>
  <c r="AY5" i="5"/>
  <c r="AZ5" i="5" s="1"/>
  <c r="AY13" i="5"/>
  <c r="AZ13" i="5" s="1"/>
  <c r="AY21" i="5"/>
  <c r="AZ21" i="5" s="1"/>
  <c r="AY4" i="6"/>
  <c r="AZ4" i="6" s="1"/>
  <c r="AY12" i="6"/>
  <c r="AZ12" i="6" s="1"/>
  <c r="F2" i="7"/>
  <c r="N2" i="7"/>
  <c r="V2" i="7"/>
  <c r="AD2" i="7"/>
  <c r="AL2" i="7"/>
  <c r="AT2" i="7"/>
  <c r="G3" i="7"/>
  <c r="O3" i="7"/>
  <c r="W3" i="7"/>
  <c r="AE3" i="7"/>
  <c r="AM3" i="7"/>
  <c r="AU3" i="7"/>
  <c r="H4" i="7"/>
  <c r="P4" i="7"/>
  <c r="X4" i="7"/>
  <c r="AF4" i="7"/>
  <c r="AN4" i="7"/>
  <c r="I5" i="7"/>
  <c r="Q5" i="7"/>
  <c r="Y5" i="7"/>
  <c r="AG5" i="7"/>
  <c r="AO5" i="7"/>
  <c r="J6" i="7"/>
  <c r="R6" i="7"/>
  <c r="Z6" i="7"/>
  <c r="AH6" i="7"/>
  <c r="AP6" i="7"/>
  <c r="K7" i="7"/>
  <c r="S7" i="7"/>
  <c r="AA7" i="7"/>
  <c r="AI7" i="7"/>
  <c r="AQ7" i="7"/>
  <c r="D8" i="7"/>
  <c r="L8" i="7"/>
  <c r="T8" i="7"/>
  <c r="AB8" i="7"/>
  <c r="AJ8" i="7"/>
  <c r="AR8" i="7"/>
  <c r="E9" i="7"/>
  <c r="M9" i="7"/>
  <c r="U9" i="7"/>
  <c r="AC9" i="7"/>
  <c r="AK9" i="7"/>
  <c r="AS9" i="7"/>
  <c r="F10" i="7"/>
  <c r="N10" i="7"/>
  <c r="V10" i="7"/>
  <c r="AD10" i="7"/>
  <c r="AL10" i="7"/>
  <c r="AT10" i="7"/>
  <c r="G11" i="7"/>
  <c r="O11" i="7"/>
  <c r="W11" i="7"/>
  <c r="AE11" i="7"/>
  <c r="AM11" i="7"/>
  <c r="AU11" i="7"/>
  <c r="H12" i="7"/>
  <c r="P12" i="7"/>
  <c r="X12" i="7"/>
  <c r="AF12" i="7"/>
  <c r="AN12" i="7"/>
  <c r="I13" i="7"/>
  <c r="Q13" i="7"/>
  <c r="Y13" i="7"/>
  <c r="AG13" i="7"/>
  <c r="AO13" i="7"/>
  <c r="J14" i="7"/>
  <c r="S14" i="7"/>
  <c r="AB14" i="7"/>
  <c r="AK14" i="7"/>
  <c r="AT14" i="7"/>
  <c r="H15" i="7"/>
  <c r="R15" i="7"/>
  <c r="AA15" i="7"/>
  <c r="AJ15" i="7"/>
  <c r="AS15" i="7"/>
  <c r="G16" i="7"/>
  <c r="P16" i="7"/>
  <c r="Y16" i="7"/>
  <c r="AI16" i="7"/>
  <c r="AR16" i="7"/>
  <c r="I17" i="7"/>
  <c r="U17" i="7"/>
  <c r="AH17" i="7"/>
  <c r="AU17" i="7"/>
  <c r="N18" i="7"/>
  <c r="D19" i="7"/>
  <c r="U20" i="7"/>
  <c r="AL21" i="7"/>
  <c r="H23" i="7"/>
  <c r="Y24" i="7"/>
  <c r="AP25" i="7"/>
  <c r="L2" i="8"/>
  <c r="AK3" i="8"/>
  <c r="V7" i="8"/>
  <c r="O21" i="8"/>
  <c r="B22" i="9" l="1"/>
  <c r="AV22" i="9" s="1"/>
  <c r="B25" i="7"/>
  <c r="AV25" i="7" s="1"/>
  <c r="B11" i="9"/>
  <c r="AV11" i="9" s="1"/>
  <c r="B4" i="7"/>
  <c r="AV4" i="7" s="1"/>
  <c r="B10" i="7"/>
  <c r="AV10" i="7" s="1"/>
  <c r="B16" i="7"/>
  <c r="AV16" i="7" s="1"/>
  <c r="B20" i="7"/>
  <c r="AV20" i="7" s="1"/>
  <c r="B8" i="8"/>
  <c r="AV8" i="8" s="1"/>
  <c r="B12" i="8"/>
  <c r="AV12" i="8" s="1"/>
  <c r="B20" i="8"/>
  <c r="AV20" i="8" s="1"/>
  <c r="B7" i="9"/>
  <c r="AV7" i="9" s="1"/>
  <c r="B17" i="9"/>
  <c r="AV17" i="9" s="1"/>
  <c r="B20" i="9"/>
  <c r="AV20" i="9" s="1"/>
  <c r="B6" i="8"/>
  <c r="AV6" i="8" s="1"/>
  <c r="B12" i="7"/>
  <c r="AV12" i="7" s="1"/>
  <c r="B17" i="7"/>
  <c r="AV17" i="7" s="1"/>
  <c r="B24" i="7"/>
  <c r="AV24" i="7" s="1"/>
  <c r="B11" i="8"/>
  <c r="AV11" i="8" s="1"/>
  <c r="B16" i="8"/>
  <c r="AV16" i="8" s="1"/>
  <c r="B23" i="8"/>
  <c r="AV23" i="8" s="1"/>
  <c r="B21" i="9"/>
  <c r="AV21" i="9" s="1"/>
  <c r="B13" i="9"/>
  <c r="AV13" i="9" s="1"/>
  <c r="B25" i="9"/>
  <c r="AV25" i="9" s="1"/>
  <c r="B26" i="8"/>
  <c r="AV26" i="8" s="1"/>
  <c r="B15" i="7"/>
  <c r="AV15" i="7" s="1"/>
  <c r="B9" i="7"/>
  <c r="AV9" i="7" s="1"/>
  <c r="B23" i="7"/>
  <c r="AV23" i="7" s="1"/>
  <c r="B19" i="7"/>
  <c r="AV19" i="7" s="1"/>
  <c r="B7" i="8"/>
  <c r="AV7" i="8" s="1"/>
  <c r="B3" i="9"/>
  <c r="AV3" i="9" s="1"/>
  <c r="B19" i="8"/>
  <c r="AV19" i="8" s="1"/>
  <c r="B18" i="9"/>
  <c r="AV18" i="9" s="1"/>
  <c r="B16" i="9"/>
  <c r="AV16" i="9" s="1"/>
  <c r="B3" i="7"/>
  <c r="AV3" i="7" s="1"/>
  <c r="B8" i="7"/>
  <c r="AV8" i="7" s="1"/>
  <c r="B3" i="8"/>
  <c r="AV3" i="8" s="1"/>
  <c r="B2" i="8"/>
  <c r="AV2" i="8" s="1"/>
  <c r="B15" i="8"/>
  <c r="AV15" i="8" s="1"/>
  <c r="B9" i="9"/>
  <c r="AV9" i="9" s="1"/>
  <c r="B2" i="9"/>
  <c r="AV2" i="9" s="1"/>
  <c r="B12" i="9"/>
  <c r="AV12" i="9" s="1"/>
  <c r="B24" i="9"/>
  <c r="AV24" i="9" s="1"/>
  <c r="B4" i="9"/>
  <c r="AV4" i="9" s="1"/>
  <c r="B11" i="7"/>
  <c r="AV11" i="7" s="1"/>
  <c r="B7" i="7"/>
  <c r="AV7" i="7" s="1"/>
  <c r="B24" i="8"/>
  <c r="AV24" i="8" s="1"/>
  <c r="B5" i="8"/>
  <c r="AV5" i="8" s="1"/>
  <c r="B18" i="8"/>
  <c r="AV18" i="8" s="1"/>
  <c r="B22" i="8"/>
  <c r="AV22" i="8" s="1"/>
  <c r="B6" i="9"/>
  <c r="AV6" i="9" s="1"/>
  <c r="B19" i="9"/>
  <c r="AV19" i="9" s="1"/>
  <c r="B15" i="9"/>
  <c r="AV15" i="9" s="1"/>
  <c r="B17" i="8"/>
  <c r="AV17" i="8" s="1"/>
  <c r="B22" i="7"/>
  <c r="AV22" i="7" s="1"/>
  <c r="B26" i="7"/>
  <c r="AV26" i="7" s="1"/>
  <c r="B23" i="9"/>
  <c r="AV23" i="9" s="1"/>
  <c r="B13" i="7"/>
  <c r="AV13" i="7" s="1"/>
  <c r="B5" i="7"/>
  <c r="AV5" i="7" s="1"/>
  <c r="B6" i="7"/>
  <c r="AV6" i="7" s="1"/>
  <c r="B4" i="8"/>
  <c r="AV4" i="8" s="1"/>
  <c r="B10" i="8"/>
  <c r="AV10" i="8" s="1"/>
  <c r="B14" i="8"/>
  <c r="AV14" i="8" s="1"/>
  <c r="B5" i="9"/>
  <c r="AV5" i="9" s="1"/>
  <c r="B25" i="8"/>
  <c r="AV25" i="8" s="1"/>
  <c r="B10" i="9"/>
  <c r="AV10" i="9" s="1"/>
  <c r="B14" i="9"/>
  <c r="AV14" i="9" s="1"/>
  <c r="B18" i="7"/>
  <c r="AV18" i="7" s="1"/>
  <c r="B2" i="7"/>
  <c r="AV2" i="7" s="1"/>
  <c r="B14" i="7"/>
  <c r="AV14" i="7" s="1"/>
  <c r="B21" i="7"/>
  <c r="AV21" i="7" s="1"/>
  <c r="B9" i="8"/>
  <c r="AV9" i="8" s="1"/>
  <c r="B13" i="8"/>
  <c r="AV13" i="8" s="1"/>
  <c r="B21" i="8"/>
  <c r="AV21" i="8" s="1"/>
  <c r="B8" i="9"/>
  <c r="AV8" i="9" s="1"/>
  <c r="B26" i="9"/>
  <c r="AV26"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build_mineral_table</author>
  </authors>
  <commentList>
    <comment ref="A1" authorId="0" shapeId="0" xr:uid="{00000000-0006-0000-0600-000001000000}">
      <text>
        <r>
          <rPr>
            <sz val="11"/>
            <color theme="1"/>
            <rFont val="Calibri"/>
            <family val="2"/>
            <scheme val="minor"/>
          </rPr>
          <t>Generator input (element wt%): midpoint of the min/max range, so that the generator's uniform draw nominal ± uncertainty spans the natural range. Rows are renormalised to 100 % per shot by the generator.</t>
        </r>
      </text>
    </comment>
    <comment ref="E1" authorId="0" shapeId="0" xr:uid="{00000000-0006-0000-0600-000002000000}">
      <text>
        <r>
          <rPr>
            <sz val="11"/>
            <color theme="1"/>
            <rFont val="Calibri"/>
            <family val="2"/>
            <scheme val="minor"/>
          </rPr>
          <t>Zr has no lines in LIBS_data.db and is dropped by the generator.</t>
        </r>
      </text>
    </comment>
    <comment ref="S1" authorId="0" shapeId="0" xr:uid="{00000000-0006-0000-0600-000003000000}">
      <text>
        <r>
          <rPr>
            <sz val="11"/>
            <color theme="1"/>
            <rFont val="Calibri"/>
            <family val="2"/>
            <scheme val="minor"/>
          </rPr>
          <t>Nb has no lines in LIBS_data.db and is dropped by the generator.</t>
        </r>
      </text>
    </comment>
    <comment ref="AC1" authorId="0" shapeId="0" xr:uid="{00000000-0006-0000-0600-000004000000}">
      <text>
        <r>
          <rPr>
            <sz val="11"/>
            <color theme="1"/>
            <rFont val="Calibri"/>
            <family val="2"/>
            <scheme val="minor"/>
          </rPr>
          <t>Th has no lines in LIBS_data.db and is dropped by the generator.</t>
        </r>
      </text>
    </comment>
    <comment ref="AD1" authorId="0" shapeId="0" xr:uid="{00000000-0006-0000-0600-000005000000}">
      <text>
        <r>
          <rPr>
            <sz val="11"/>
            <color theme="1"/>
            <rFont val="Calibri"/>
            <family val="2"/>
            <scheme val="minor"/>
          </rPr>
          <t>U has no lines in LIBS_data.db and is dropped by the generator.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build_mineral_table</author>
  </authors>
  <commentList>
    <comment ref="A1" authorId="0" shapeId="0" xr:uid="{00000000-0006-0000-0700-000001000000}">
      <text>
        <r>
          <rPr>
            <sz val="11"/>
            <color theme="1"/>
            <rFont val="Calibri"/>
            <family val="2"/>
            <scheme val="minor"/>
          </rPr>
          <t>Generator input (element wt%): half-width of the min/max range, capped at the nominal value so that no draw is negative.</t>
        </r>
      </text>
    </comment>
    <comment ref="E1" authorId="0" shapeId="0" xr:uid="{00000000-0006-0000-0700-000002000000}">
      <text>
        <r>
          <rPr>
            <sz val="11"/>
            <color theme="1"/>
            <rFont val="Calibri"/>
            <family val="2"/>
            <scheme val="minor"/>
          </rPr>
          <t>Zr has no lines in LIBS_data.db and is dropped by the generator.</t>
        </r>
      </text>
    </comment>
    <comment ref="S1" authorId="0" shapeId="0" xr:uid="{00000000-0006-0000-0700-000003000000}">
      <text>
        <r>
          <rPr>
            <sz val="11"/>
            <color theme="1"/>
            <rFont val="Calibri"/>
            <family val="2"/>
            <scheme val="minor"/>
          </rPr>
          <t>Nb has no lines in LIBS_data.db and is dropped by the generator.</t>
        </r>
      </text>
    </comment>
    <comment ref="AC1" authorId="0" shapeId="0" xr:uid="{00000000-0006-0000-0700-000004000000}">
      <text>
        <r>
          <rPr>
            <sz val="11"/>
            <color theme="1"/>
            <rFont val="Calibri"/>
            <family val="2"/>
            <scheme val="minor"/>
          </rPr>
          <t>Th has no lines in LIBS_data.db and is dropped by the generator.</t>
        </r>
      </text>
    </comment>
    <comment ref="AD1" authorId="0" shapeId="0" xr:uid="{00000000-0006-0000-0700-000005000000}">
      <text>
        <r>
          <rPr>
            <sz val="11"/>
            <color theme="1"/>
            <rFont val="Calibri"/>
            <family val="2"/>
            <scheme val="minor"/>
          </rPr>
          <t>U has no lines in LIBS_data.db and is dropped by the generator.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build_mineral_table</author>
  </authors>
  <commentList>
    <comment ref="A1" authorId="0" shapeId="0" xr:uid="{00000000-0006-0000-0800-000001000000}">
      <text>
        <r>
          <rPr>
            <sz val="11"/>
            <color theme="1"/>
            <rFont val="Calibri"/>
            <family val="2"/>
            <scheme val="minor"/>
          </rPr>
          <t>Element wt% of the typical analysis (Oxides_typical). Reference / labels only; not read by the generator.</t>
        </r>
      </text>
    </comment>
    <comment ref="E1" authorId="0" shapeId="0" xr:uid="{00000000-0006-0000-0800-000002000000}">
      <text>
        <r>
          <rPr>
            <sz val="11"/>
            <color theme="1"/>
            <rFont val="Calibri"/>
            <family val="2"/>
            <scheme val="minor"/>
          </rPr>
          <t>Zr has no lines in LIBS_data.db and is dropped by the generator.</t>
        </r>
      </text>
    </comment>
    <comment ref="S1" authorId="0" shapeId="0" xr:uid="{00000000-0006-0000-0800-000003000000}">
      <text>
        <r>
          <rPr>
            <sz val="11"/>
            <color theme="1"/>
            <rFont val="Calibri"/>
            <family val="2"/>
            <scheme val="minor"/>
          </rPr>
          <t>Nb has no lines in LIBS_data.db and is dropped by the generator.</t>
        </r>
      </text>
    </comment>
    <comment ref="AC1" authorId="0" shapeId="0" xr:uid="{00000000-0006-0000-0800-000004000000}">
      <text>
        <r>
          <rPr>
            <sz val="11"/>
            <color theme="1"/>
            <rFont val="Calibri"/>
            <family val="2"/>
            <scheme val="minor"/>
          </rPr>
          <t>Th has no lines in LIBS_data.db and is dropped by the generator.</t>
        </r>
      </text>
    </comment>
    <comment ref="AD1" authorId="0" shapeId="0" xr:uid="{00000000-0006-0000-0800-000005000000}">
      <text>
        <r>
          <rPr>
            <sz val="11"/>
            <color theme="1"/>
            <rFont val="Calibri"/>
            <family val="2"/>
            <scheme val="minor"/>
          </rPr>
          <t>U has no lines in LIBS_data.db and is dropped by the generator.</t>
        </r>
      </text>
    </comment>
  </commentList>
</comments>
</file>

<file path=xl/sharedStrings.xml><?xml version="1.0" encoding="utf-8"?>
<sst xmlns="http://schemas.openxmlformats.org/spreadsheetml/2006/main" count="1061" uniqueCount="323">
  <si>
    <t>REE minerals — oxide compositions for synthetic LIBS spectra</t>
  </si>
  <si>
    <t>How to edit</t>
  </si>
  <si>
    <t>• Edit only the blue numbers in Oxides_typical, Oxides_min and Oxides_max (wt%). Everything else is formulas.</t>
  </si>
  <si>
    <t>• To add a mineral: add the same row (same row number) to all three Oxides_* sheets, then copy the formula row of Concentrations, Uncertainties and Elements_typical down one row.</t>
  </si>
  <si>
    <t>• To add an oxide: insert it as a column in Factors (rows 1-4) and in the three Oxides_* sheets at the same column position, and extend the SUMPRODUCT ranges.</t>
  </si>
  <si>
    <t>Sheets</t>
  </si>
  <si>
    <t>Oxides_typical / _min / _max — one row per mineral, one column per oxide (wt%). Total = Σ oxides − O≡F,Cl (should be ≈ 98–102).</t>
  </si>
  <si>
    <t>Factors — oxide → element mass-fraction matrix (from AtomicWeights).</t>
  </si>
  <si>
    <t>Concentrations + Uncertainties — element wt% in the layout read by data/libs_pipeline.load_sample_types (paths.sample_matrix in the libs_data YAML). Nominal = midpoint of the natural range, uncertainty = half-width, so the generator's uniform draw covers min…max for every element.</t>
  </si>
  <si>
    <t>Elements_typical — element wt% of the typical analysis (reference only).</t>
  </si>
  <si>
    <t>Sources — literature / database source of every analysis and range.</t>
  </si>
  <si>
    <t>Orig_* — the original REE_by_LIBS_tables.xlsx sheets, unchanged.</t>
  </si>
  <si>
    <t>Conventions</t>
  </si>
  <si>
    <t>REE as R2O3 (Pr6O11 ×0.9687 → Pr2O3, Tb4O7 ×0.9786 → Tb2O3, CeO2 ×0.9535 → Ce2O3; cerianite keeps CeO2). F, Cl as element wt%; O≡F = 0.4211·F, O≡Cl = 0.2256·Cl. U as UO2, water as H2O, carbonate as CO2. Empty cell = not reported.</t>
  </si>
  <si>
    <t>Oxygen is an element column (O from all oxides minus the halogen correction). In LIBS in air, sample O and atmospheric O cannot be separated.</t>
  </si>
  <si>
    <t>Elements without lines in the LIBS line database (dropped by the generator, orange headers): Zr, Nb, Th, U</t>
  </si>
  <si>
    <t>Each element is drawn independently in the generator, so drawn compositions are not stoichiometrically coupled (e.g. all REEs high at once is possible).</t>
  </si>
  <si>
    <t>Element</t>
  </si>
  <si>
    <t>Atomic weight (u)</t>
  </si>
  <si>
    <t>In LIBS line DB</t>
  </si>
  <si>
    <t>O</t>
  </si>
  <si>
    <t>yes</t>
  </si>
  <si>
    <t>Si</t>
  </si>
  <si>
    <t>Ti</t>
  </si>
  <si>
    <t>Zr</t>
  </si>
  <si>
    <t>NO</t>
  </si>
  <si>
    <t>Hf</t>
  </si>
  <si>
    <t>Sn</t>
  </si>
  <si>
    <t>Al</t>
  </si>
  <si>
    <t>Fe</t>
  </si>
  <si>
    <t>Mn</t>
  </si>
  <si>
    <t>Mg</t>
  </si>
  <si>
    <t>Ca</t>
  </si>
  <si>
    <t>Sr</t>
  </si>
  <si>
    <t>Ba</t>
  </si>
  <si>
    <t>Pb</t>
  </si>
  <si>
    <t>Na</t>
  </si>
  <si>
    <t>K</t>
  </si>
  <si>
    <t>Be</t>
  </si>
  <si>
    <t>Nb</t>
  </si>
  <si>
    <t>Ta</t>
  </si>
  <si>
    <t>W</t>
  </si>
  <si>
    <t>P</t>
  </si>
  <si>
    <t>As</t>
  </si>
  <si>
    <t>S</t>
  </si>
  <si>
    <t>C</t>
  </si>
  <si>
    <t>H</t>
  </si>
  <si>
    <t>F</t>
  </si>
  <si>
    <t>Cl</t>
  </si>
  <si>
    <t>Th</t>
  </si>
  <si>
    <t>U</t>
  </si>
  <si>
    <t>Sc</t>
  </si>
  <si>
    <t>Y</t>
  </si>
  <si>
    <t>La</t>
  </si>
  <si>
    <t>Ce</t>
  </si>
  <si>
    <t>Pr</t>
  </si>
  <si>
    <t>Nd</t>
  </si>
  <si>
    <t>Sm</t>
  </si>
  <si>
    <t>Eu</t>
  </si>
  <si>
    <t>Gd</t>
  </si>
  <si>
    <t>Tb</t>
  </si>
  <si>
    <t>Dy</t>
  </si>
  <si>
    <t>Ho</t>
  </si>
  <si>
    <t>Er</t>
  </si>
  <si>
    <t>Tm</t>
  </si>
  <si>
    <t>Yb</t>
  </si>
  <si>
    <t>Lu</t>
  </si>
  <si>
    <t>Bi</t>
  </si>
  <si>
    <t>Source: IUPAC 2013 standard atomic weights (data/atomic_data.py, ATOMIC_MASS_AMU). 'In LIBS line DB' = element has lines in external_data/Source/LIBS_data.db (QuantParam); elements marked NO are dropped by the generator.</t>
  </si>
  <si>
    <t>Oxide / species</t>
  </si>
  <si>
    <t>SiO2</t>
  </si>
  <si>
    <t>TiO2</t>
  </si>
  <si>
    <t>ZrO2</t>
  </si>
  <si>
    <t>HfO2</t>
  </si>
  <si>
    <t>SnO2</t>
  </si>
  <si>
    <t>Al2O3</t>
  </si>
  <si>
    <t>Fe2O3</t>
  </si>
  <si>
    <t>FeO</t>
  </si>
  <si>
    <t>MnO</t>
  </si>
  <si>
    <t>MgO</t>
  </si>
  <si>
    <t>CaO</t>
  </si>
  <si>
    <t>SrO</t>
  </si>
  <si>
    <t>BaO</t>
  </si>
  <si>
    <t>PbO</t>
  </si>
  <si>
    <t>Na2O</t>
  </si>
  <si>
    <t>K2O</t>
  </si>
  <si>
    <t>BeO</t>
  </si>
  <si>
    <t>Nb2O5</t>
  </si>
  <si>
    <t>Ta2O5</t>
  </si>
  <si>
    <t>WO3</t>
  </si>
  <si>
    <t>P2O5</t>
  </si>
  <si>
    <t>As2O5</t>
  </si>
  <si>
    <t>SO3</t>
  </si>
  <si>
    <t>CO2</t>
  </si>
  <si>
    <t>H2O</t>
  </si>
  <si>
    <t>ThO2</t>
  </si>
  <si>
    <t>UO2</t>
  </si>
  <si>
    <t>Sc2O3</t>
  </si>
  <si>
    <t>Y2O3</t>
  </si>
  <si>
    <t>La2O3</t>
  </si>
  <si>
    <t>Ce2O3</t>
  </si>
  <si>
    <t>CeO2</t>
  </si>
  <si>
    <t>Pr2O3</t>
  </si>
  <si>
    <t>Nd2O3</t>
  </si>
  <si>
    <t>Sm2O3</t>
  </si>
  <si>
    <t>Eu2O3</t>
  </si>
  <si>
    <t>Gd2O3</t>
  </si>
  <si>
    <t>Tb2O3</t>
  </si>
  <si>
    <t>Dy2O3</t>
  </si>
  <si>
    <t>Ho2O3</t>
  </si>
  <si>
    <t>Er2O3</t>
  </si>
  <si>
    <t>Tm2O3</t>
  </si>
  <si>
    <t>Yb2O3</t>
  </si>
  <si>
    <t>Lu2O3</t>
  </si>
  <si>
    <t>Bi2O3</t>
  </si>
  <si>
    <t>Cation element</t>
  </si>
  <si>
    <t>n cation</t>
  </si>
  <si>
    <t>n O</t>
  </si>
  <si>
    <t>Molar mass (g/mol)</t>
  </si>
  <si>
    <t>O factor (g O per g species)</t>
  </si>
  <si>
    <t>Mass fraction of each element in each oxide/species (element wt% = SUMPRODUCT(oxide wt% row, element factor row)). The O row carries the negative O≡F,Cl correction for the halogen columns.</t>
  </si>
  <si>
    <t>Mineral</t>
  </si>
  <si>
    <t>Ideal formula</t>
  </si>
  <si>
    <t>Sum of oxides</t>
  </si>
  <si>
    <t>− O≡F,Cl</t>
  </si>
  <si>
    <t>Total (wt%)</t>
  </si>
  <si>
    <t>Monazite-(Ce)</t>
  </si>
  <si>
    <t>(Ce,La,Nd,Th)PO4</t>
  </si>
  <si>
    <t>Bastnäsite-(Ce)</t>
  </si>
  <si>
    <t>(Ce,La)(CO3)F</t>
  </si>
  <si>
    <t>Xenotime-(Y)</t>
  </si>
  <si>
    <t>YPO4</t>
  </si>
  <si>
    <t>Parisite-(Ce)</t>
  </si>
  <si>
    <t>CaCe2(CO3)3F2</t>
  </si>
  <si>
    <t>Synchysite-(Ce)</t>
  </si>
  <si>
    <t>CaCe(CO3)2F</t>
  </si>
  <si>
    <t>Allanite-(Ce)</t>
  </si>
  <si>
    <t>CaCe(Al2Fe2+)(Si2O7)(SiO4)O(OH)</t>
  </si>
  <si>
    <t>Fluorapatite (REE-bearing)</t>
  </si>
  <si>
    <t>Ca5(PO4)3F</t>
  </si>
  <si>
    <t>Florencite-(Ce)</t>
  </si>
  <si>
    <t>CeAl3(PO4)2(OH)6</t>
  </si>
  <si>
    <t>Cerianite-(Ce)</t>
  </si>
  <si>
    <t>(Ce4+,Th)O2</t>
  </si>
  <si>
    <t>Pyrochlore (REE-bearing, carbonatite)</t>
  </si>
  <si>
    <t>(Na,Ca)2Nb2O6(OH,F)</t>
  </si>
  <si>
    <t>Ancylite-(Ce)</t>
  </si>
  <si>
    <t>SrCe(CO3)2(OH)·H2O</t>
  </si>
  <si>
    <t>Ion-adsorption REE clay ore (HREE type)</t>
  </si>
  <si>
    <t>Quartz + kaolinite/halloysite + residual K-feldspar/mica, REE3+ adsorbed on clays</t>
  </si>
  <si>
    <t>Britholite-(Ce)</t>
  </si>
  <si>
    <t>(Ce,Ca)5(SiO4,PO4)3(OH,F)</t>
  </si>
  <si>
    <t>Churchite-(Y)</t>
  </si>
  <si>
    <t>YPO4·2H2O</t>
  </si>
  <si>
    <t>Rhabdophane-(Ce)</t>
  </si>
  <si>
    <t>(Ce,La)PO4·H2O</t>
  </si>
  <si>
    <t>Fluocerite-(Ce)</t>
  </si>
  <si>
    <t>CeF3</t>
  </si>
  <si>
    <t>Cerite-(Ce)</t>
  </si>
  <si>
    <t>(Ce,La,Ca)9(Mg,Fe3+)(SiO4)3(SiO3OH)4(OH)3</t>
  </si>
  <si>
    <t>Eudialyte (REE-bearing)</t>
  </si>
  <si>
    <t>Na15Ca6(Fe2+,Mn2+)3Zr3Si(Si25O73)(O,OH,H2O)3(Cl,OH)2</t>
  </si>
  <si>
    <t>Gadolinite-(Y)</t>
  </si>
  <si>
    <t>Y2Fe2+Be2Si2O10</t>
  </si>
  <si>
    <t>Zircon (HREE-bearing)</t>
  </si>
  <si>
    <t>ZrSiO4 (+ xenotime-type (Y,HREE)3+ + P5+ = Zr4+ + Si4+)</t>
  </si>
  <si>
    <t>Aeschynite-(Ce)</t>
  </si>
  <si>
    <t>(Ce,Ca,Fe,Th)(Ti,Nb)2(O,OH)6</t>
  </si>
  <si>
    <t>Euxenite-(Y)</t>
  </si>
  <si>
    <t>(Y,Ca,Ce,U,Th)(Nb,Ta,Ti)2O6</t>
  </si>
  <si>
    <t>Fergusonite-(Y)</t>
  </si>
  <si>
    <t>YNbO4</t>
  </si>
  <si>
    <t>Loparite-(Ce)</t>
  </si>
  <si>
    <t>(Na,Ce,Sr)(Ce,Th)(Ti,Nb)2O6</t>
  </si>
  <si>
    <t>Samarskite-(Y)</t>
  </si>
  <si>
    <t>YFe3+Nb2O8</t>
  </si>
  <si>
    <t>One internally consistent analysis per mineral (published EPMA/wet-chemical analysis or stoichiometric composition); see Sources.</t>
  </si>
  <si>
    <t>Blue = input values (wt%). Empty cell = not reported / below 0.01 wt%. REE as R2O3 (Ce as Ce2O3, except CeO2 for cerianite); F and Cl as element wt%; water as H2O, carbonate as CO2; U as UO2.</t>
  </si>
  <si>
    <t>Lower end of the natural range across published analyses. Where no range was found, the typical value is repeated.</t>
  </si>
  <si>
    <t>Upper end of the natural range across published analyses. Where no range was found, the typical value is repeated.</t>
  </si>
  <si>
    <t>Name *</t>
  </si>
  <si>
    <t>Total</t>
  </si>
  <si>
    <t>Group</t>
  </si>
  <si>
    <t>Typical analysis source</t>
  </si>
  <si>
    <t>Range sources</t>
  </si>
  <si>
    <t>Reported sum check (wt%)</t>
  </si>
  <si>
    <t>Notes</t>
  </si>
  <si>
    <t>Phosphate (original table)</t>
  </si>
  <si>
    <t>Handbook of Mineralogy, Monazite-(Ce), anal. (1) Sri Lanka, EPMA. Pr6O11 1.9 -&gt; Pr2O3 1.84; U3O8 0.4 -&gt; UO2 0.385; Pb3O4 0.1 -&gt; PbO 0.098</t>
  </si>
  <si>
    <t>https://handbookofmineralogy.org/pdfs/monazite-Ce.pdf
https://www.mindat.org/min-2751.html
https://www.researchgate.net/publication/331148387_Electron_microprobe_analysis_of_REE_in_apatite_monazite_and_xenotime_Protocols_and_pitfalls</t>
  </si>
  <si>
    <t>The typical analysis is Th-rich (11.6 ThO2) and gives no Y2O3. Common metamorphic and granitic monazite has 3-8 ThO2 and 0.5-3 Y2O3. Si and Ca track Th (huttonite and cheralite substitutions). Ranges are estimates.</t>
  </si>
  <si>
    <t>Carbonate / fluoride / oxide (original table)</t>
  </si>
  <si>
    <t>Calculated from the ideal formula using a Mountain Pass-type REE ratio (Ce0.49 La0.33 Nd0.12 Pr0.045 Sm0.008 Gd0.003 Y0.003 Eu0.001), plus a little ThO2 and CaO. REE shares match the user's normalised values.</t>
  </si>
  <si>
    <t>https://handbookofmineralogy.org/pdfs/bastna%CC%88site-Ce.pdf
https://www.mindat.org/min-560.html</t>
  </si>
  <si>
    <t>Handbook analysis (1), Madagascar: CO2 20.20, La2O3 36.30, Ce2O3 40.50, P2O5 0.60, F 6.23, total 101.22. Ideal formula: F 8.69, CO2 20.14. Sum = 100.99 - 0.421*8.67 = 100.44. Low F values mean OH is replacing F (series with hydroxylbastnäsite). Ranges are estimates.</t>
  </si>
  <si>
    <t>Handbook of Mineralogy, Xenotime-(Y), anal. (2) Switzerland, EPMA mean of 82 analyses on 11 samples (UO2, ThO2, CaO assigned to anal. 2 so that both printed totals, 98.89 and 99.11, are reproduced).</t>
  </si>
  <si>
    <t>https://handbookofmineralogy.org/pdfs/xenotime-Y.pdf
https://www.mindat.org/min-4333.html</t>
  </si>
  <si>
    <t>Sm, Tm and the light REEs were not measured in the typical analysis (set to 0). Anal. (1), Gloserheia, has Tm2O3 0.70 and Sm2O3 0.49. Pure YPO4 has 61.4 Y2O3 (not a realistic natural maximum; max set to 52). Ranges are estimates.</t>
  </si>
  <si>
    <t>Handbook of Mineralogy analysis (2), Muzo, Colombia: electron microprobe, average of 4 points, CO2 from the ideal formula.</t>
  </si>
  <si>
    <t>https://handbookofmineralogy.org/pdfs/parisite-Ce.pdf
https://www.mindat.org/min-3122.html</t>
  </si>
  <si>
    <t>Sum = 100.90 - 0.421*5.34 = 98.66. F is low (F1.51 per formula); the ideal formula has F 7.07, CO2 24.58, CaO 10.44. Ranges are estimates.</t>
  </si>
  <si>
    <t>Handbook of Mineralogy analysis (1), Trimouns talc deposit, France: electron microprobe, average of 10 points, CO2 and F from stoichiometry.</t>
  </si>
  <si>
    <t>https://handbookofmineralogy.org/pdfs/synchysite-Ce.pdf
https://www.mindat.org/min-3862.html</t>
  </si>
  <si>
    <t>Sum = 102.77 - 0.421*5.73 = 100.36. Ideal formula: CaO about 17.5, CO2 27.5. Ranges are estimates.</t>
  </si>
  <si>
    <t>Silicate (original table)</t>
  </si>
  <si>
    <t>Handbook of Mineralogy, allanite-(Ce), analysis (1) Luangwe Bridge, Zambia (wet chemistry + spectrographic); RE2O3 4.78 split as given: Pr2O3 1.0, Nd2O3 3.10, Sm2O3 0.60, Gd2O3 0.06, Er2O3 0.02</t>
  </si>
  <si>
    <t>https://handbookofmineralogy.org/pdfs/allanite-Ce.pdf
https://www.mindat.org/min-125.html</t>
  </si>
  <si>
    <t>H2O = H2O+ 1.64 + H2O- 0.10. ThO2 not reported in typical (commonly 0.5-2). Typical Y2O3 is low (0.04), below the original table's 1-3; Y-rich allanites exist, so max set to 3. Ranges are estimates.</t>
  </si>
  <si>
    <t>Stoichiometric (Ca4.87Sr0.015Na0.025Mn0.004Fe0.007REE0.063)(P2.95Si0.04S0.005)O12(F0.95Cl0.02OH0.03) (calculated); REE via Na+REE and Si+REE substitutions, REO about 1.95 wt%.</t>
  </si>
  <si>
    <t>https://link.springer.com/article/10.1007/s004100100261
https://www.researchgate.net/publication/331148387_Electron_microprobe_analysis_of_REE_in_apatite_monazite_and_xenotime_Protocols_and_pitfalls
https://www.mindat.org/min-1572.html</t>
  </si>
  <si>
    <t>Raw oxide sum 101.52 before subtracting O=F,Cl (1.52). Carbonatite apatite can reach several wt% SrO and about 1 wt% CO2. Ranges are estimates.</t>
  </si>
  <si>
    <t>Handbook of Mineralogy, Florencite-(Ce), anal. (1) Mackenzie Mts, Canada, EPMA mean of 10. H2O not measured; 10.46 added from the formula.</t>
  </si>
  <si>
    <t>https://handbookofmineralogy.org/pdfs/florencite-Ce.pdf
https://www.mindat.org/min-1553.html</t>
  </si>
  <si>
    <t>Crandallite group; grades toward goyazite and crandallite through Sr and Ca. Kangankunde (HOM anal. 2) has 9 SrO, 1.7 SO3, 1.6 F. Pr not measured in the typical analysis. REO 31.7 in the typical analysis. Ranges are estimates.</t>
  </si>
  <si>
    <t>Estimated composition (CeO2 ~90, plus Th and a small LREE content). The only Handbook analysis (Graham 1955, Sudbury) is a partial semiquantitative one.</t>
  </si>
  <si>
    <t>https://www.handbookofmineralogy.org/pdfs/cerianite-Ce.pdf
https://www.mindat.org/min-938.html</t>
  </si>
  <si>
    <t>Ce given as CeO2. Sudbury partial analysis: CeO2 80.0, ThO2 5.1, Nb2O5 1.8, La2O3 1.5, Y2O3 1.2, Yb2O3 1.1, Ta2O5 0.6, ZrO2 0.6. Supergene cerianite (lateritic, Mount Weld) often has Fe, Mn and P impurities. Ranges are estimates.</t>
  </si>
  <si>
    <t>Nb-Ta-Ti oxide (original table)</t>
  </si>
  <si>
    <t>Lumpkin &amp; Ewing 1995, Am. Mineral. 80:732, Table 2, anal. 187 (unaltered pyrochlore, Alnö carbonatite, Sweden, EPMA) https://www.rruff.net/doclib/am/vol80/AM80_732.pdf</t>
  </si>
  <si>
    <t>https://www.rruff.net/doclib/am/vol80/AM80_732.pdf
https://www.rruff.net/doclib/cm/vol42/CM42_1159.pdf
https://www.rruff.net/doclib/MinMag/Volume_62/62-6-769.pdf
https://www.rruff.net/doclib/MinMag/Volume_60/60-402-731.pdf
https://www.handbookofmineralogy.org/pdfs/pyrochlore.pdf</t>
  </si>
  <si>
    <t>Oxide sum 99.79 minus O=F 1.60 = 98.19. Source gives lumped Ln2O3 = 3.3 wt%; split La:Ce:Pr:Nd:Sm = 0.18:0.56:0.05:0.18:0.03 (assumed carbonatite ratio, not measured). H2O not analysed (~1.8 wt% deficit likely OH). Altered/laterite pyrochlore (BaO up to 13, SrO up to 4) excluded. Ranges are estimates.</t>
  </si>
  <si>
    <t>Handbook of Mineralogy analysis (2), Khibiny massif, Kola, Russia: electron microprobe. H2O (7.06) added from the formula.</t>
  </si>
  <si>
    <t>https://handbookofmineralogy.org/pdfs/ancylite-Ce.pdf
https://www.mindat.org/min-218.html</t>
  </si>
  <si>
    <t>Formula (Sr0.86Ca0.09Ba0.01Fe0.01)(Ce0.53La0.30Nd0.12Pr0.04Sm0.01Th0.01). Narsarsuk analysis (1) has SrO 21.03, F 2.15, H2O 6.52. Ranges are estimates.</t>
  </si>
  <si>
    <t>Composite: majors from Dabu HREE deposit, Jiangxi, B-horizon ore sample DBS09 (Table 1 of Minerals 2024, 14, 857); LOI 7.5 assumed; REE = 0.15 wt% REO with the Longnan HREE-type distribution (Kanazawa &amp; Kamitani 2006, J. Alloys Compd. 408-412, 1339 - NOT VERIFIED, pattern recalled by the research agent)</t>
  </si>
  <si>
    <t>https://doi.org/10.3390/min14090857
https://doi.org/10.3390/min16030321
https://pmc.ncbi.nlm.nih.gov/articles/PMC12306741/</t>
  </si>
  <si>
    <t>Fe as total Fe2O3. LREE-type ore (e.g. Xunwu) roughly La 43, Ce 2, Pr 9, Nd 32, Sm 4, Gd 3, Y 8 % of REO (same unverified source). REE ranges cover both types at 0.05-0.5 wt% REO. Ce depleted in the ore. Ranges are estimates.</t>
  </si>
  <si>
    <t>Phosphate (added)</t>
  </si>
  <si>
    <t>Stoichiometric (Ca2.05Na0.05Sr0.03Fe0.02)(REE2.70Th0.10U0.005)(Si2.5P0.5)O12(F0.6OH0.4) (calculated). Checked against HOM anal. (1) Naujakasik, Greenland (SiO2 16.8, (Ce,La)2O3 60.5, P2O5 6.5).</t>
  </si>
  <si>
    <t>https://handbookofmineralogy.org/pdfs/britholite-Ce.pdf
https://www.mindat.org/min-727.html</t>
  </si>
  <si>
    <t>Raw oxide sum 100.61 before subtracting O=F (0.61). Th-rich Monte Somma analysis (ThO2 20.7) excluded as exotic. Si and P trade off toward REE-rich apatite. Often partly metamict and hydrated. Ranges are estimates.</t>
  </si>
  <si>
    <t>Stoichiometric (Y0.78 HREE0.15 LREE0.05 Ca0.03)PO4·2H2O (calculated). Checked against HOM anal. (1) Cornwall (P2O5 31.10, (Y,Er)2O3 41.37, (La,Nd)2O3 7.99, H2O 15.29) and (2) Auerbach ((Y,Er)2O3 52.9).</t>
  </si>
  <si>
    <t>https://handbookofmineralogy.org/pdfs/churchite-Y.pdf
https://www.mindat.org/min-1018.html</t>
  </si>
  <si>
    <t>Supergene mineral with a xenotime-like REE pattern; can carry notable light REEs (Cornwall). Fe and Al come from associated limonite and clay. Ranges are estimates.</t>
  </si>
  <si>
    <t>Stoichiometric (Ce0.47La0.22Nd0.15Pr0.05Sm0.02Gd0.01Y0.01Ca0.035Th0.035)PO4·1.0H2O (calculated). Checked against HOM Cornwall analysis (P2O5 24.6, H2O 7.5) and Cornwall EPMA.</t>
  </si>
  <si>
    <t>https://handbookofmineralogy.org/pdfs/rhabdophane-Ce.pdf
https://www.researchgate.net/publication/279577152_The_Composition_of_Rhabdophane
https://webmineral.com/data/Rhabdophane-(Ce).shtml</t>
  </si>
  <si>
    <t>Natural H2O is 0.5-1 molecule per formula unit. Si, Al and Fe mostly come from clay contamination. Ranges include the Nd-rich Cornwall analysis (Nd2O3 21.2). Ranges are estimates.</t>
  </si>
  <si>
    <t>Carbonate / fluoride / oxide (added)</t>
  </si>
  <si>
    <t>Calculated from the ideal (Ce0.55 La0.28 Nd0.11 Pr0.045 Sm0.01 Gd0.003)F3; no complete published fluocerite-(Ce) analysis was found. Ranges use the Handbook fluocerite-(La) analysis (Kazakhstan) and Fjälskär, Finland work.</t>
  </si>
  <si>
    <t>https://www.mindat.org/min-1567.html
https://www.handbookofmineralogy.org/pdfs/fluocerite-La.pdf
https://www.academia.edu/69276471/Occurrence_crystallography_and_chemistry_of_the_fluocerite_bastnaesite_cerianite_intergrowth_from_the_Fj%C3%A4lsk%C3%A4r_granite_southwestern_Finland</t>
  </si>
  <si>
    <t>Sum = 112.18 - 0.421*28.92 = 100.0. Fluocerite-(La), Kazakhstan: La2O3 42.34, Ce2O3 33.13, Pr2O3 3.68, Nd2O3 3.12, ThO2 1.56, CaO 0.54, F 25.27, total 99.47. Natural samples are often partly oxidised (F below ideal). Ranges are estimates.</t>
  </si>
  <si>
    <t>Silicate (added)</t>
  </si>
  <si>
    <t>Handbook of Mineralogy (rev. 2021), cerite-(Ce), analysis (1) Mountain Pass, California (Glass et al. 1958), recalculated to 100% after removing 17.7% bastnasite. Reported La2O3 30.04 split as La 20.31, Pr 2.46, Nd 6.73, Sm 0.54 using Mountain Pass REO ratios (assumption)</t>
  </si>
  <si>
    <t>https://handbookofmineralogy.org/pdfs/Cerite-Ce.pdf
https://www.rruff.net/doclib/cm/vol40/CM40_1177.pdf</t>
  </si>
  <si>
    <t>Source reports no Pr/Nd; the La/Pr/Nd/Sm split of the lumped La2O3 (30.04) is an assumption. H2O = H2O+ 2.72 + H2O- 0.17. Range includes cerite-(La), Khibina (La2O3 37.57, SrO 1.97, P2O5 0.63, H2O 3.20). Ranges are estimates.</t>
  </si>
  <si>
    <t>Lovozero Phase III eudialyte, EMP analysis sample 290, Table 4 of Minerals 2020, 10, 1036 (https://doi.org/10.3390/min10111036). Sm-Lu estimated from Lovozero ICP-MS patterns (same paper, Table 3) scaled to measured Nd and Y. H2O 1.0 estimated (not measured).</t>
  </si>
  <si>
    <t>https://doi.org/10.3390/min10111036
https://doi.org/10.3390/min11060548
https://doi.org/10.3390/min3010094
https://www.handbookofmineralogy.org/pdfs/eudialyte.pdf</t>
  </si>
  <si>
    <t>Measured EMP part: 100.04 - O=Cl 0.32 = 99.72; plus estimated HREE 0.46 and H2O 1.0. Kipawa (HOM) has RE2O3 6.4 (lumped), F 0.23, H2O 1.76; Norra Kärr eudialyte is Y/HREE-rich (Y2O3 up to ~3.4). Ranges are estimates.</t>
  </si>
  <si>
    <t>Handbook of Mineralogy, gadolinite-(Y), analysis (3) near Yokkaichi, Mie Pref., Japan (EPMA); BeO 9.71 and H2O 0.46 calculated from stoichiometry; Pr, Eu, Tb, Tm are bracketed estimates in the source; '(Dy,La)2O3' 0.21 assigned to La2O3</t>
  </si>
  <si>
    <t>https://handbookofmineralogy.org/wp-content/uploads/2022/07/gadolinite-Y.pdf
https://www.handbookofmineralogy.org/pdfs/gadolinite-Ce.pdf</t>
  </si>
  <si>
    <t>BeO cannot be measured by EPMA; 9.71 is stoichiometric (Be=2 apfu). Range includes Ytterby (Y2O3 45.96, FeO 11.39, BeO 10.17 measured) and Douglas Co., Colorado (Ce2O3 11.10, Fe2O3 3.47). Ranges are estimates.</t>
  </si>
  <si>
    <t>Krudum granite, Czech Rep., EPMA sample 1283-21 (high-F Li-mica granite), Table 4 of Minerals 2018, 8, 287 (https://www.mdpi.com/2075-163X/8/7/287)</t>
  </si>
  <si>
    <t>https://www.mdpi.com/2075-163X/8/7/287
https://doi.org/10.3390/min13111402
https://handbookofmineralogy.org/pdfs/zircon.pdf</t>
  </si>
  <si>
    <t>Eu, Tb, Ho, Tm, Lu not analysed (0 in typical). Shitouping hydrothermal zircon: Yb2O3 1.15-2.14, F 0.71-1.16, SiO2 down to 23, ZrO2 down to 41, low totals (hydrous/metamict). Ordinary zircon: ZrO2 ~66.7, HfO2 ~1.2. Ranges are estimates.</t>
  </si>
  <si>
    <t>Nb-Ta-Ti oxide (added)</t>
  </si>
  <si>
    <t>Nasir, Theye &amp; Massonne 2009, Open Mineral. J. 3:17, Table 1, anal. 9 (Sal apatite-dolomite carbonatite, E Oman, EPMA; H2O calculated)</t>
  </si>
  <si>
    <t>https://www.911metallurgist.com/wp-content/uploads/2016/02/REE-Rich-Aeschynite-in-Apatite-Dolomite-Carbonatite-Eastern-Oman-Mountains.pdf
https://www.handbookofmineralogy.org/pdfs/aeschynite-Ce.pdf
https://www.mdpi.com/2075-163X/14/10/1029</t>
  </si>
  <si>
    <t>Oxide sum 98.32 minus O=F 0.14 = 98.18. No ThO2, U, Tb, Ho, Tm, Lu reported in source. Pegmatite/syenite aeschynite-(Ce) (Miass, Hidra): ThO2 ~15.4-15.8, FeO 3.2-4.3, Nb2O5 up to ~30. Bayan Obo: Nd2O3 up to 17.5. Ranges are estimates.</t>
  </si>
  <si>
    <t>Szuszkiewicz et al. 2016, Can. Mineral. 54:879, Table 1, anal. P37/7 (unaltered euxenite-(Y), Julianna pegmatite, Piława Górna, Poland, EPMA)</t>
  </si>
  <si>
    <t>https://www.researchgate.net/figure/REPRESENTATIVE-COMPOSITIONS-OF-EUXENITE-GROUP-MINERALS-FROM-THE-JULIANNA-PEGMATITES-AT_tbl1_317176289
https://www.handbookofmineralogy.org/pdfs/euxenite-Y.pdf
https://www.mdpi.com/2075-163X/15/11/1206</t>
  </si>
  <si>
    <t>Lyndoch (Ontario) analysis is Nb-rich (Nb2O5 41.4) and hydrated (H2O+ 1.9). Altered grains: low Y (~8.9), higher Ca and Si. Ranges are estimates.</t>
  </si>
  <si>
    <t>Journal of the Russell Society 14 (2011), Table 1, 'Typical' fergusonite-(Y), Mourne Mountains, N. Ireland (ED-EPMA) https://cris.brighton.ac.uk/ws/files/285700/JRS%2014%20Fergusonite%2011-10-17%20Proofs.pdf</t>
  </si>
  <si>
    <t>https://cris.brighton.ac.uk/ws/files/285700/JRS%2014%20Fergusonite%2011-10-17%20Proofs.pdf
https://www.handbookofmineralogy.org/pdfs/fergusonite-Y.pdf
https://www.mdpi.com/2075-163X/15/10/1027
https://www.mdpi.com/2075-163X/15/11/1206</t>
  </si>
  <si>
    <t>Ta and Fe not measured in the typical analysis. Ranges also from Cape Farewell (Ta2O5 6.3, H2O 1.49) and Egyptian pegmatites (FeO up to 4.45). Reported Mournes Tm2O3 max 2.19 looks unreliable; capped at 0.9. Ranges are estimates.</t>
  </si>
  <si>
    <t>Mitchell &amp; Chakhmouradian 1996, Can. Mineral. 34:977, Table 3, anal. 1 (core, foyaite, Mt. Karnasurt, Lovozero, EPMA) https://www.rruff.net/doclib/cm/vol34/CM34_977.pdf</t>
  </si>
  <si>
    <t>https://www.rruff.net/doclib/cm/vol34/CM34_977.pdf
https://www.rruff.net/doclib/MinMag/Volume_63/63-4-519.pdf
https://www.handbookofmineralogy.org/pdfs/loparite-Ce.pdf</t>
  </si>
  <si>
    <t>Total Fe as FeO. Burpala loparite: lower Nb (~3.3) and higher Th (up to 5.2). Lueshite and metaloparite excluded. Ranges are estimates.</t>
  </si>
  <si>
    <t>Capitani et al. 2016, Am. Mineral. 101:1679 (preprint), Table 2, anal. G1b (metamict samarskite-(Y), Garnet Codera dike, Italian Alps, WDS; FeO/Fe2O3 recalculated) http://www.minsocam.org/MSA/AmMin/Public_Access/2016_public/AM101P1679.pdf</t>
  </si>
  <si>
    <t>http://www.minsocam.org/MSA/AmMin/Public_Access/2016_public/AM101P1679.pdf
https://www.mdpi.com/2075-163X/9/5/313
https://www.handbookofmineralogy.org/pdfs/samarskite-Y.pdf</t>
  </si>
  <si>
    <t>La, Ce, Pr, Eu, Tb, Ho, Er, Tm, Lu not measured in the typical analysis. Complete-REE analyses from Arvogno (totals 95.9-97.8) used for ranges: Y2O3 11.3-12.9, Ta2O5 20-32, FeOt ~9. Miass analysis includes H2O 1.22. Ranges are estimates.</t>
  </si>
  <si>
    <t>Formula</t>
  </si>
  <si>
    <t>REEs Typically Present</t>
  </si>
  <si>
    <t>Indicative Per-REE Oxide (wt%)</t>
  </si>
  <si>
    <t>Combined REE Content (wt%)</t>
  </si>
  <si>
    <t>Monazite</t>
  </si>
  <si>
    <t>Ce, La, Nd, Pr, Sm (± minor HREE)</t>
  </si>
  <si>
    <t>Ce2O3:29–37; La2O3:17–22; Nd2O3:6–14; Pr6O11:1–2; Sm2O3:0.2–1; Y2O3&lt;=4</t>
  </si>
  <si>
    <t>50–78 wt% REO</t>
  </si>
  <si>
    <t>Bastnäsite</t>
  </si>
  <si>
    <t>Ce, La, Nd, Pr (± Sm)</t>
  </si>
  <si>
    <t>Ce2O3~49; La2O3~33; Nd2O3~12; Pr6O11 4–5; Sm2O3~0.8</t>
  </si>
  <si>
    <t>60–70 wt% REO</t>
  </si>
  <si>
    <t>Xenotime</t>
  </si>
  <si>
    <t>Y, Dy, Er, Yb, Gd, Tb, Ho, Lu</t>
  </si>
  <si>
    <t>Y2O3:46–61; Dy2O3:4–6; Er2O3:3–4; Yb2O3:3–4</t>
  </si>
  <si>
    <t>54–65 wt% REO</t>
  </si>
  <si>
    <t>Parisite</t>
  </si>
  <si>
    <t>Ca(Ce,La)(CO3)2F2</t>
  </si>
  <si>
    <t>Ce, La, Nd, Pr</t>
  </si>
  <si>
    <t>Ce2O3:25–35; La2O3:15–20; Nd2O3:5–8</t>
  </si>
  <si>
    <t>40–55 wt% REO</t>
  </si>
  <si>
    <t>Synchysite</t>
  </si>
  <si>
    <t>(Ce,Ca)(CO3)2F</t>
  </si>
  <si>
    <t>Ce2O3:20–30; La2O3:10–15; Nd2O3:4–6</t>
  </si>
  <si>
    <t>35–50 wt% REO</t>
  </si>
  <si>
    <t>Allanite</t>
  </si>
  <si>
    <t>(Ce,Ca,Y)2(Al,Fe)3(SiO4)3(OH)</t>
  </si>
  <si>
    <t>Ce, La, Nd, Y</t>
  </si>
  <si>
    <t>Ce2O3:8–15; La2O3:5–10; Nd2O3:2–6; Y2O3:1–3</t>
  </si>
  <si>
    <t>15–25 wt% REO</t>
  </si>
  <si>
    <t>Apatite</t>
  </si>
  <si>
    <t>Ca5(PO4)3(F,Cl,OH)</t>
  </si>
  <si>
    <t>Ce, La, Nd</t>
  </si>
  <si>
    <t>Ce2O3:0.5–1.5; La2O3:0.3–1; Nd2O3:0.2–0.8</t>
  </si>
  <si>
    <t>0.5–3 wt% REO</t>
  </si>
  <si>
    <t>Combined REO wt%</t>
  </si>
  <si>
    <t>Florencite group</t>
  </si>
  <si>
    <t>(REE-Al)PO4·OH</t>
  </si>
  <si>
    <t>30–50</t>
  </si>
  <si>
    <t>Ce,La,Nd,Y</t>
  </si>
  <si>
    <t>Cerianite</t>
  </si>
  <si>
    <t>80–90</t>
  </si>
  <si>
    <t>Ce dominant</t>
  </si>
  <si>
    <t>Pyrochlore</t>
  </si>
  <si>
    <t>2–10</t>
  </si>
  <si>
    <t>Minor REE</t>
  </si>
  <si>
    <t>Ancylite</t>
  </si>
  <si>
    <t>(Sr,REE)(CO3)2·H2O</t>
  </si>
  <si>
    <t>Ce,La,Nd</t>
  </si>
  <si>
    <t>Ion-adsorption clays</t>
  </si>
  <si>
    <t>Kaolinite/Halloysite</t>
  </si>
  <si>
    <t>0.1–0.5</t>
  </si>
  <si>
    <t>Adsorbed 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</si>
</sst>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
    <numFmt numFmtId="166" formatCode="0.00##"/>
  </numFmts>
  <fonts count="7" x14ac:knownFonts="1">
    <font>
      <sz val="11"/>
      <color theme="1"/>
      <name val="Calibri"/>
      <family val="2"/>
      <scheme val="minor"/>
    </font>
    <font>
      <b/>
      <sz val="10"/>
      <color rgb="FFFFFFFF"/>
      <name val="Arial"/>
    </font>
    <font>
      <sz val="10"/>
      <color rgb="FF0000FF"/>
      <name val="Arial"/>
    </font>
    <font>
      <i/>
      <sz val="9"/>
      <color rgb="FF595959"/>
      <name val="Arial"/>
    </font>
    <font>
      <b/>
      <sz val="10"/>
      <name val="Arial"/>
    </font>
    <font>
      <sz val="10"/>
      <name val="Arial"/>
    </font>
    <font>
      <b/>
      <sz val="14"/>
      <name val="Arial"/>
    </font>
  </fonts>
  <fills count="6">
    <fill>
      <patternFill patternType="none"/>
    </fill>
    <fill>
      <patternFill patternType="gray125"/>
    </fill>
    <fill>
      <patternFill patternType="solid">
        <fgColor rgb="FF1F4E78"/>
      </patternFill>
    </fill>
    <fill>
      <patternFill patternType="solid">
        <fgColor rgb="FFFCE4D6"/>
      </patternFill>
    </fill>
    <fill>
      <patternFill patternType="solid">
        <fgColor rgb="FFDDEBF7"/>
      </patternFill>
    </fill>
    <fill>
      <patternFill patternType="solid">
        <fgColor rgb="FFC65911"/>
      </patternFill>
    </fill>
  </fills>
  <borders count="1">
    <border>
      <left/>
      <right/>
      <top/>
      <bottom/>
      <diagonal/>
    </border>
  </borders>
  <cellStyleXfs count="1">
    <xf numFmtId="0" fontId="0" fillId="0" borderId="0"/>
  </cellStyleXfs>
  <cellXfs count="21">
    <xf numFmtId="0" fontId="0" fillId="0" borderId="0" xfId="0"/>
    <xf numFmtId="0" fontId="6" fillId="0" borderId="0" xfId="0" applyFont="1" applyAlignment="1">
      <alignment vertical="top" wrapText="1"/>
    </xf>
    <xf numFmtId="0" fontId="5" fillId="0" borderId="0" xfId="0" applyFont="1" applyAlignment="1">
      <alignment vertical="top" wrapText="1"/>
    </xf>
    <xf numFmtId="0" fontId="4" fillId="0" borderId="0" xfId="0" applyFont="1" applyAlignment="1">
      <alignment vertical="top" wrapText="1"/>
    </xf>
    <xf numFmtId="0" fontId="1" fillId="2" borderId="0" xfId="0" applyFont="1" applyFill="1" applyAlignment="1">
      <alignment horizontal="center" vertical="center" wrapText="1"/>
    </xf>
    <xf numFmtId="164" fontId="2" fillId="0" borderId="0" xfId="0" applyNumberFormat="1" applyFont="1"/>
    <xf numFmtId="0" fontId="0" fillId="3" borderId="0" xfId="0" applyFill="1"/>
    <xf numFmtId="0" fontId="3" fillId="0" borderId="0" xfId="0" applyFont="1"/>
    <xf numFmtId="0" fontId="4" fillId="4" borderId="0" xfId="0" applyFont="1" applyFill="1"/>
    <xf numFmtId="0" fontId="0" fillId="0" borderId="0" xfId="0" applyAlignment="1">
      <alignment horizontal="center"/>
    </xf>
    <xf numFmtId="0" fontId="2" fillId="0" borderId="0" xfId="0" applyFont="1" applyAlignment="1">
      <alignment horizontal="center"/>
    </xf>
    <xf numFmtId="165" fontId="0" fillId="0" borderId="0" xfId="0" applyNumberFormat="1" applyAlignment="1">
      <alignment horizontal="center"/>
    </xf>
    <xf numFmtId="164" fontId="0" fillId="0" borderId="0" xfId="0" applyNumberFormat="1" applyAlignment="1">
      <alignment horizontal="center"/>
    </xf>
    <xf numFmtId="0" fontId="4" fillId="0" borderId="0" xfId="0" applyFont="1"/>
    <xf numFmtId="164" fontId="0" fillId="0" borderId="0" xfId="0" applyNumberFormat="1"/>
    <xf numFmtId="0" fontId="5" fillId="0" borderId="0" xfId="0" applyFont="1"/>
    <xf numFmtId="166" fontId="2" fillId="0" borderId="0" xfId="0" applyNumberFormat="1" applyFont="1"/>
    <xf numFmtId="2" fontId="0" fillId="0" borderId="0" xfId="0" applyNumberFormat="1"/>
    <xf numFmtId="2" fontId="4" fillId="0" borderId="0" xfId="0" applyNumberFormat="1" applyFont="1"/>
    <xf numFmtId="0" fontId="1" fillId="5" borderId="0" xfId="0" applyFont="1" applyFill="1" applyAlignment="1">
      <alignment horizontal="center" vertical="center" wrapText="1"/>
    </xf>
    <xf numFmtId="165"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1"/>
  <sheetViews>
    <sheetView tabSelected="1" workbookViewId="0"/>
  </sheetViews>
  <sheetFormatPr defaultRowHeight="15" x14ac:dyDescent="0.25"/>
  <cols>
    <col min="1" max="1" width="130" customWidth="1"/>
  </cols>
  <sheetData>
    <row r="1" spans="1:1" ht="18" x14ac:dyDescent="0.25">
      <c r="A1" s="1" t="s">
        <v>0</v>
      </c>
    </row>
    <row r="2" spans="1:1" x14ac:dyDescent="0.25">
      <c r="A2" s="2"/>
    </row>
    <row r="3" spans="1:1" x14ac:dyDescent="0.25">
      <c r="A3" s="3" t="s">
        <v>1</v>
      </c>
    </row>
    <row r="4" spans="1:1" x14ac:dyDescent="0.25">
      <c r="A4" s="2" t="s">
        <v>2</v>
      </c>
    </row>
    <row r="5" spans="1:1" ht="25.5" x14ac:dyDescent="0.25">
      <c r="A5" s="2" t="s">
        <v>3</v>
      </c>
    </row>
    <row r="6" spans="1:1" ht="25.5" x14ac:dyDescent="0.25">
      <c r="A6" s="2" t="s">
        <v>4</v>
      </c>
    </row>
    <row r="7" spans="1:1" x14ac:dyDescent="0.25">
      <c r="A7" s="2"/>
    </row>
    <row r="8" spans="1:1" x14ac:dyDescent="0.25">
      <c r="A8" s="3" t="s">
        <v>5</v>
      </c>
    </row>
    <row r="9" spans="1:1" x14ac:dyDescent="0.25">
      <c r="A9" s="2" t="s">
        <v>6</v>
      </c>
    </row>
    <row r="10" spans="1:1" x14ac:dyDescent="0.25">
      <c r="A10" s="2" t="s">
        <v>7</v>
      </c>
    </row>
    <row r="11" spans="1:1" ht="25.5" x14ac:dyDescent="0.25">
      <c r="A11" s="2" t="s">
        <v>8</v>
      </c>
    </row>
    <row r="12" spans="1:1" x14ac:dyDescent="0.25">
      <c r="A12" s="2" t="s">
        <v>9</v>
      </c>
    </row>
    <row r="13" spans="1:1" x14ac:dyDescent="0.25">
      <c r="A13" s="2" t="s">
        <v>10</v>
      </c>
    </row>
    <row r="14" spans="1:1" x14ac:dyDescent="0.25">
      <c r="A14" s="2" t="s">
        <v>11</v>
      </c>
    </row>
    <row r="15" spans="1:1" x14ac:dyDescent="0.25">
      <c r="A15" s="2"/>
    </row>
    <row r="16" spans="1:1" x14ac:dyDescent="0.25">
      <c r="A16" s="3" t="s">
        <v>12</v>
      </c>
    </row>
    <row r="17" spans="1:1" ht="25.5" x14ac:dyDescent="0.25">
      <c r="A17" s="2" t="s">
        <v>13</v>
      </c>
    </row>
    <row r="18" spans="1:1" x14ac:dyDescent="0.25">
      <c r="A18" s="2" t="s">
        <v>14</v>
      </c>
    </row>
    <row r="19" spans="1:1" x14ac:dyDescent="0.25">
      <c r="A19" s="2"/>
    </row>
    <row r="20" spans="1:1" x14ac:dyDescent="0.25">
      <c r="A20" s="2" t="s">
        <v>15</v>
      </c>
    </row>
    <row r="21" spans="1:1" ht="25.5" x14ac:dyDescent="0.25">
      <c r="A21" s="2" t="s">
        <v>16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9"/>
  <sheetViews>
    <sheetView workbookViewId="0"/>
  </sheetViews>
  <sheetFormatPr defaultRowHeight="15" x14ac:dyDescent="0.25"/>
  <cols>
    <col min="1" max="1" width="10" customWidth="1"/>
    <col min="2" max="2" width="18" customWidth="1"/>
    <col min="3" max="3" width="16" customWidth="1"/>
  </cols>
  <sheetData>
    <row r="1" spans="1:3" x14ac:dyDescent="0.25">
      <c r="A1" s="4" t="s">
        <v>17</v>
      </c>
      <c r="B1" s="4" t="s">
        <v>18</v>
      </c>
      <c r="C1" s="4" t="s">
        <v>19</v>
      </c>
    </row>
    <row r="2" spans="1:3" x14ac:dyDescent="0.25">
      <c r="A2" t="s">
        <v>20</v>
      </c>
      <c r="B2" s="5">
        <v>15.999000000000001</v>
      </c>
      <c r="C2" t="s">
        <v>21</v>
      </c>
    </row>
    <row r="3" spans="1:3" x14ac:dyDescent="0.25">
      <c r="A3" t="s">
        <v>22</v>
      </c>
      <c r="B3" s="5">
        <v>28.085000000000001</v>
      </c>
      <c r="C3" t="s">
        <v>21</v>
      </c>
    </row>
    <row r="4" spans="1:3" x14ac:dyDescent="0.25">
      <c r="A4" t="s">
        <v>23</v>
      </c>
      <c r="B4" s="5">
        <v>47.866999999999997</v>
      </c>
      <c r="C4" t="s">
        <v>21</v>
      </c>
    </row>
    <row r="5" spans="1:3" x14ac:dyDescent="0.25">
      <c r="A5" t="s">
        <v>24</v>
      </c>
      <c r="B5" s="5">
        <v>91.224000000000004</v>
      </c>
      <c r="C5" s="6" t="s">
        <v>25</v>
      </c>
    </row>
    <row r="6" spans="1:3" x14ac:dyDescent="0.25">
      <c r="A6" t="s">
        <v>26</v>
      </c>
      <c r="B6" s="5">
        <v>178.49</v>
      </c>
      <c r="C6" t="s">
        <v>21</v>
      </c>
    </row>
    <row r="7" spans="1:3" x14ac:dyDescent="0.25">
      <c r="A7" t="s">
        <v>27</v>
      </c>
      <c r="B7" s="5">
        <v>118.71</v>
      </c>
      <c r="C7" t="s">
        <v>21</v>
      </c>
    </row>
    <row r="8" spans="1:3" x14ac:dyDescent="0.25">
      <c r="A8" t="s">
        <v>28</v>
      </c>
      <c r="B8" s="5">
        <v>26.981538499999999</v>
      </c>
      <c r="C8" t="s">
        <v>21</v>
      </c>
    </row>
    <row r="9" spans="1:3" x14ac:dyDescent="0.25">
      <c r="A9" t="s">
        <v>29</v>
      </c>
      <c r="B9" s="5">
        <v>55.844999999999999</v>
      </c>
      <c r="C9" t="s">
        <v>21</v>
      </c>
    </row>
    <row r="10" spans="1:3" x14ac:dyDescent="0.25">
      <c r="A10" t="s">
        <v>30</v>
      </c>
      <c r="B10" s="5">
        <v>54.938043999999998</v>
      </c>
      <c r="C10" t="s">
        <v>21</v>
      </c>
    </row>
    <row r="11" spans="1:3" x14ac:dyDescent="0.25">
      <c r="A11" t="s">
        <v>31</v>
      </c>
      <c r="B11" s="5">
        <v>24.305</v>
      </c>
      <c r="C11" t="s">
        <v>21</v>
      </c>
    </row>
    <row r="12" spans="1:3" x14ac:dyDescent="0.25">
      <c r="A12" t="s">
        <v>32</v>
      </c>
      <c r="B12" s="5">
        <v>40.078000000000003</v>
      </c>
      <c r="C12" t="s">
        <v>21</v>
      </c>
    </row>
    <row r="13" spans="1:3" x14ac:dyDescent="0.25">
      <c r="A13" t="s">
        <v>33</v>
      </c>
      <c r="B13" s="5">
        <v>87.62</v>
      </c>
      <c r="C13" t="s">
        <v>21</v>
      </c>
    </row>
    <row r="14" spans="1:3" x14ac:dyDescent="0.25">
      <c r="A14" t="s">
        <v>34</v>
      </c>
      <c r="B14" s="5">
        <v>137.327</v>
      </c>
      <c r="C14" t="s">
        <v>21</v>
      </c>
    </row>
    <row r="15" spans="1:3" x14ac:dyDescent="0.25">
      <c r="A15" t="s">
        <v>35</v>
      </c>
      <c r="B15" s="5">
        <v>207.2</v>
      </c>
      <c r="C15" t="s">
        <v>21</v>
      </c>
    </row>
    <row r="16" spans="1:3" x14ac:dyDescent="0.25">
      <c r="A16" t="s">
        <v>36</v>
      </c>
      <c r="B16" s="5">
        <v>22.989769280000001</v>
      </c>
      <c r="C16" t="s">
        <v>21</v>
      </c>
    </row>
    <row r="17" spans="1:3" x14ac:dyDescent="0.25">
      <c r="A17" t="s">
        <v>37</v>
      </c>
      <c r="B17" s="5">
        <v>39.098300000000002</v>
      </c>
      <c r="C17" t="s">
        <v>21</v>
      </c>
    </row>
    <row r="18" spans="1:3" x14ac:dyDescent="0.25">
      <c r="A18" t="s">
        <v>38</v>
      </c>
      <c r="B18" s="5">
        <v>9.0121830999999997</v>
      </c>
      <c r="C18" t="s">
        <v>21</v>
      </c>
    </row>
    <row r="19" spans="1:3" x14ac:dyDescent="0.25">
      <c r="A19" t="s">
        <v>39</v>
      </c>
      <c r="B19" s="5">
        <v>92.906369999999995</v>
      </c>
      <c r="C19" s="6" t="s">
        <v>25</v>
      </c>
    </row>
    <row r="20" spans="1:3" x14ac:dyDescent="0.25">
      <c r="A20" t="s">
        <v>40</v>
      </c>
      <c r="B20" s="5">
        <v>180.94788</v>
      </c>
      <c r="C20" t="s">
        <v>21</v>
      </c>
    </row>
    <row r="21" spans="1:3" x14ac:dyDescent="0.25">
      <c r="A21" t="s">
        <v>41</v>
      </c>
      <c r="B21" s="5">
        <v>183.84</v>
      </c>
      <c r="C21" t="s">
        <v>21</v>
      </c>
    </row>
    <row r="22" spans="1:3" x14ac:dyDescent="0.25">
      <c r="A22" t="s">
        <v>42</v>
      </c>
      <c r="B22" s="5">
        <v>30.973761998000001</v>
      </c>
      <c r="C22" t="s">
        <v>21</v>
      </c>
    </row>
    <row r="23" spans="1:3" x14ac:dyDescent="0.25">
      <c r="A23" t="s">
        <v>43</v>
      </c>
      <c r="B23" s="5">
        <v>74.921594999999996</v>
      </c>
      <c r="C23" t="s">
        <v>21</v>
      </c>
    </row>
    <row r="24" spans="1:3" x14ac:dyDescent="0.25">
      <c r="A24" t="s">
        <v>44</v>
      </c>
      <c r="B24" s="5">
        <v>32.06</v>
      </c>
      <c r="C24" t="s">
        <v>21</v>
      </c>
    </row>
    <row r="25" spans="1:3" x14ac:dyDescent="0.25">
      <c r="A25" t="s">
        <v>45</v>
      </c>
      <c r="B25" s="5">
        <v>12.010999999999999</v>
      </c>
      <c r="C25" t="s">
        <v>21</v>
      </c>
    </row>
    <row r="26" spans="1:3" x14ac:dyDescent="0.25">
      <c r="A26" t="s">
        <v>46</v>
      </c>
      <c r="B26" s="5">
        <v>1.008</v>
      </c>
      <c r="C26" t="s">
        <v>21</v>
      </c>
    </row>
    <row r="27" spans="1:3" x14ac:dyDescent="0.25">
      <c r="A27" t="s">
        <v>47</v>
      </c>
      <c r="B27" s="5">
        <v>18.998403162999999</v>
      </c>
      <c r="C27" t="s">
        <v>21</v>
      </c>
    </row>
    <row r="28" spans="1:3" x14ac:dyDescent="0.25">
      <c r="A28" t="s">
        <v>48</v>
      </c>
      <c r="B28" s="5">
        <v>35.450000000000003</v>
      </c>
      <c r="C28" t="s">
        <v>21</v>
      </c>
    </row>
    <row r="29" spans="1:3" x14ac:dyDescent="0.25">
      <c r="A29" t="s">
        <v>49</v>
      </c>
      <c r="B29" s="5">
        <v>232.0377</v>
      </c>
      <c r="C29" s="6" t="s">
        <v>25</v>
      </c>
    </row>
    <row r="30" spans="1:3" x14ac:dyDescent="0.25">
      <c r="A30" t="s">
        <v>50</v>
      </c>
      <c r="B30" s="5">
        <v>238.02891</v>
      </c>
      <c r="C30" s="6" t="s">
        <v>25</v>
      </c>
    </row>
    <row r="31" spans="1:3" x14ac:dyDescent="0.25">
      <c r="A31" t="s">
        <v>51</v>
      </c>
      <c r="B31" s="5">
        <v>44.955908000000001</v>
      </c>
      <c r="C31" t="s">
        <v>21</v>
      </c>
    </row>
    <row r="32" spans="1:3" x14ac:dyDescent="0.25">
      <c r="A32" t="s">
        <v>52</v>
      </c>
      <c r="B32" s="5">
        <v>88.905839999999998</v>
      </c>
      <c r="C32" t="s">
        <v>21</v>
      </c>
    </row>
    <row r="33" spans="1:3" x14ac:dyDescent="0.25">
      <c r="A33" t="s">
        <v>53</v>
      </c>
      <c r="B33" s="5">
        <v>138.90547000000001</v>
      </c>
      <c r="C33" t="s">
        <v>21</v>
      </c>
    </row>
    <row r="34" spans="1:3" x14ac:dyDescent="0.25">
      <c r="A34" t="s">
        <v>54</v>
      </c>
      <c r="B34" s="5">
        <v>140.11600000000001</v>
      </c>
      <c r="C34" t="s">
        <v>21</v>
      </c>
    </row>
    <row r="35" spans="1:3" x14ac:dyDescent="0.25">
      <c r="A35" t="s">
        <v>55</v>
      </c>
      <c r="B35" s="5">
        <v>140.90765999999999</v>
      </c>
      <c r="C35" t="s">
        <v>21</v>
      </c>
    </row>
    <row r="36" spans="1:3" x14ac:dyDescent="0.25">
      <c r="A36" t="s">
        <v>56</v>
      </c>
      <c r="B36" s="5">
        <v>144.24199999999999</v>
      </c>
      <c r="C36" t="s">
        <v>21</v>
      </c>
    </row>
    <row r="37" spans="1:3" x14ac:dyDescent="0.25">
      <c r="A37" t="s">
        <v>57</v>
      </c>
      <c r="B37" s="5">
        <v>150.36000000000001</v>
      </c>
      <c r="C37" t="s">
        <v>21</v>
      </c>
    </row>
    <row r="38" spans="1:3" x14ac:dyDescent="0.25">
      <c r="A38" t="s">
        <v>58</v>
      </c>
      <c r="B38" s="5">
        <v>151.964</v>
      </c>
      <c r="C38" t="s">
        <v>21</v>
      </c>
    </row>
    <row r="39" spans="1:3" x14ac:dyDescent="0.25">
      <c r="A39" t="s">
        <v>59</v>
      </c>
      <c r="B39" s="5">
        <v>157.25</v>
      </c>
      <c r="C39" t="s">
        <v>21</v>
      </c>
    </row>
    <row r="40" spans="1:3" x14ac:dyDescent="0.25">
      <c r="A40" t="s">
        <v>60</v>
      </c>
      <c r="B40" s="5">
        <v>158.92535000000001</v>
      </c>
      <c r="C40" t="s">
        <v>21</v>
      </c>
    </row>
    <row r="41" spans="1:3" x14ac:dyDescent="0.25">
      <c r="A41" t="s">
        <v>61</v>
      </c>
      <c r="B41" s="5">
        <v>162.5</v>
      </c>
      <c r="C41" t="s">
        <v>21</v>
      </c>
    </row>
    <row r="42" spans="1:3" x14ac:dyDescent="0.25">
      <c r="A42" t="s">
        <v>62</v>
      </c>
      <c r="B42" s="5">
        <v>164.93033</v>
      </c>
      <c r="C42" t="s">
        <v>21</v>
      </c>
    </row>
    <row r="43" spans="1:3" x14ac:dyDescent="0.25">
      <c r="A43" t="s">
        <v>63</v>
      </c>
      <c r="B43" s="5">
        <v>167.25899999999999</v>
      </c>
      <c r="C43" t="s">
        <v>21</v>
      </c>
    </row>
    <row r="44" spans="1:3" x14ac:dyDescent="0.25">
      <c r="A44" t="s">
        <v>64</v>
      </c>
      <c r="B44" s="5">
        <v>168.93422000000001</v>
      </c>
      <c r="C44" t="s">
        <v>21</v>
      </c>
    </row>
    <row r="45" spans="1:3" x14ac:dyDescent="0.25">
      <c r="A45" t="s">
        <v>65</v>
      </c>
      <c r="B45" s="5">
        <v>173.04499999999999</v>
      </c>
      <c r="C45" t="s">
        <v>21</v>
      </c>
    </row>
    <row r="46" spans="1:3" x14ac:dyDescent="0.25">
      <c r="A46" t="s">
        <v>66</v>
      </c>
      <c r="B46" s="5">
        <v>174.96680000000001</v>
      </c>
      <c r="C46" t="s">
        <v>21</v>
      </c>
    </row>
    <row r="47" spans="1:3" x14ac:dyDescent="0.25">
      <c r="A47" t="s">
        <v>67</v>
      </c>
      <c r="B47" s="5">
        <v>208.9804</v>
      </c>
      <c r="C47" t="s">
        <v>21</v>
      </c>
    </row>
    <row r="49" spans="1:1" x14ac:dyDescent="0.25">
      <c r="A49" s="7" t="s">
        <v>68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W56"/>
  <sheetViews>
    <sheetView workbookViewId="0">
      <pane xSplit="2" ySplit="1" topLeftCell="C2" activePane="bottomRight" state="frozen"/>
      <selection pane="topRight"/>
      <selection pane="bottomLeft"/>
      <selection pane="bottomRight"/>
    </sheetView>
  </sheetViews>
  <sheetFormatPr defaultRowHeight="15" x14ac:dyDescent="0.25"/>
  <cols>
    <col min="1" max="1" width="26" customWidth="1"/>
    <col min="2" max="2" width="14" customWidth="1"/>
  </cols>
  <sheetData>
    <row r="1" spans="1:49" x14ac:dyDescent="0.25">
      <c r="A1" s="4" t="s">
        <v>69</v>
      </c>
      <c r="B1" s="4"/>
      <c r="C1" s="4" t="s">
        <v>70</v>
      </c>
      <c r="D1" s="4" t="s">
        <v>71</v>
      </c>
      <c r="E1" s="4" t="s">
        <v>72</v>
      </c>
      <c r="F1" s="4" t="s">
        <v>73</v>
      </c>
      <c r="G1" s="4" t="s">
        <v>74</v>
      </c>
      <c r="H1" s="4" t="s">
        <v>75</v>
      </c>
      <c r="I1" s="4" t="s">
        <v>76</v>
      </c>
      <c r="J1" s="4" t="s">
        <v>77</v>
      </c>
      <c r="K1" s="4" t="s">
        <v>78</v>
      </c>
      <c r="L1" s="4" t="s">
        <v>79</v>
      </c>
      <c r="M1" s="4" t="s">
        <v>80</v>
      </c>
      <c r="N1" s="4" t="s">
        <v>81</v>
      </c>
      <c r="O1" s="4" t="s">
        <v>82</v>
      </c>
      <c r="P1" s="4" t="s">
        <v>83</v>
      </c>
      <c r="Q1" s="4" t="s">
        <v>84</v>
      </c>
      <c r="R1" s="4" t="s">
        <v>85</v>
      </c>
      <c r="S1" s="4" t="s">
        <v>86</v>
      </c>
      <c r="T1" s="4" t="s">
        <v>87</v>
      </c>
      <c r="U1" s="4" t="s">
        <v>88</v>
      </c>
      <c r="V1" s="4" t="s">
        <v>89</v>
      </c>
      <c r="W1" s="4" t="s">
        <v>90</v>
      </c>
      <c r="X1" s="4" t="s">
        <v>91</v>
      </c>
      <c r="Y1" s="4" t="s">
        <v>92</v>
      </c>
      <c r="Z1" s="4" t="s">
        <v>93</v>
      </c>
      <c r="AA1" s="4" t="s">
        <v>94</v>
      </c>
      <c r="AB1" s="4" t="s">
        <v>47</v>
      </c>
      <c r="AC1" s="4" t="s">
        <v>48</v>
      </c>
      <c r="AD1" s="4" t="s">
        <v>95</v>
      </c>
      <c r="AE1" s="4" t="s">
        <v>96</v>
      </c>
      <c r="AF1" s="4" t="s">
        <v>97</v>
      </c>
      <c r="AG1" s="4" t="s">
        <v>98</v>
      </c>
      <c r="AH1" s="4" t="s">
        <v>99</v>
      </c>
      <c r="AI1" s="4" t="s">
        <v>100</v>
      </c>
      <c r="AJ1" s="4" t="s">
        <v>101</v>
      </c>
      <c r="AK1" s="4" t="s">
        <v>102</v>
      </c>
      <c r="AL1" s="4" t="s">
        <v>103</v>
      </c>
      <c r="AM1" s="4" t="s">
        <v>104</v>
      </c>
      <c r="AN1" s="4" t="s">
        <v>105</v>
      </c>
      <c r="AO1" s="4" t="s">
        <v>106</v>
      </c>
      <c r="AP1" s="4" t="s">
        <v>107</v>
      </c>
      <c r="AQ1" s="4" t="s">
        <v>108</v>
      </c>
      <c r="AR1" s="4" t="s">
        <v>109</v>
      </c>
      <c r="AS1" s="4" t="s">
        <v>110</v>
      </c>
      <c r="AT1" s="4" t="s">
        <v>111</v>
      </c>
      <c r="AU1" s="4" t="s">
        <v>112</v>
      </c>
      <c r="AV1" s="4" t="s">
        <v>113</v>
      </c>
      <c r="AW1" s="4" t="s">
        <v>114</v>
      </c>
    </row>
    <row r="2" spans="1:49" x14ac:dyDescent="0.25">
      <c r="A2" s="8" t="s">
        <v>115</v>
      </c>
      <c r="C2" s="9" t="s">
        <v>22</v>
      </c>
      <c r="D2" s="9" t="s">
        <v>23</v>
      </c>
      <c r="E2" s="9" t="s">
        <v>24</v>
      </c>
      <c r="F2" s="9" t="s">
        <v>26</v>
      </c>
      <c r="G2" s="9" t="s">
        <v>27</v>
      </c>
      <c r="H2" s="9" t="s">
        <v>28</v>
      </c>
      <c r="I2" s="9" t="s">
        <v>29</v>
      </c>
      <c r="J2" s="9" t="s">
        <v>29</v>
      </c>
      <c r="K2" s="9" t="s">
        <v>30</v>
      </c>
      <c r="L2" s="9" t="s">
        <v>31</v>
      </c>
      <c r="M2" s="9" t="s">
        <v>32</v>
      </c>
      <c r="N2" s="9" t="s">
        <v>33</v>
      </c>
      <c r="O2" s="9" t="s">
        <v>34</v>
      </c>
      <c r="P2" s="9" t="s">
        <v>35</v>
      </c>
      <c r="Q2" s="9" t="s">
        <v>36</v>
      </c>
      <c r="R2" s="9" t="s">
        <v>37</v>
      </c>
      <c r="S2" s="9" t="s">
        <v>38</v>
      </c>
      <c r="T2" s="9" t="s">
        <v>39</v>
      </c>
      <c r="U2" s="9" t="s">
        <v>40</v>
      </c>
      <c r="V2" s="9" t="s">
        <v>41</v>
      </c>
      <c r="W2" s="9" t="s">
        <v>42</v>
      </c>
      <c r="X2" s="9" t="s">
        <v>43</v>
      </c>
      <c r="Y2" s="9" t="s">
        <v>44</v>
      </c>
      <c r="Z2" s="9" t="s">
        <v>45</v>
      </c>
      <c r="AA2" s="9" t="s">
        <v>46</v>
      </c>
      <c r="AB2" s="9" t="s">
        <v>47</v>
      </c>
      <c r="AC2" s="9" t="s">
        <v>48</v>
      </c>
      <c r="AD2" s="9" t="s">
        <v>49</v>
      </c>
      <c r="AE2" s="9" t="s">
        <v>50</v>
      </c>
      <c r="AF2" s="9" t="s">
        <v>51</v>
      </c>
      <c r="AG2" s="9" t="s">
        <v>52</v>
      </c>
      <c r="AH2" s="9" t="s">
        <v>53</v>
      </c>
      <c r="AI2" s="9" t="s">
        <v>54</v>
      </c>
      <c r="AJ2" s="9" t="s">
        <v>54</v>
      </c>
      <c r="AK2" s="9" t="s">
        <v>55</v>
      </c>
      <c r="AL2" s="9" t="s">
        <v>56</v>
      </c>
      <c r="AM2" s="9" t="s">
        <v>57</v>
      </c>
      <c r="AN2" s="9" t="s">
        <v>58</v>
      </c>
      <c r="AO2" s="9" t="s">
        <v>59</v>
      </c>
      <c r="AP2" s="9" t="s">
        <v>60</v>
      </c>
      <c r="AQ2" s="9" t="s">
        <v>61</v>
      </c>
      <c r="AR2" s="9" t="s">
        <v>62</v>
      </c>
      <c r="AS2" s="9" t="s">
        <v>63</v>
      </c>
      <c r="AT2" s="9" t="s">
        <v>64</v>
      </c>
      <c r="AU2" s="9" t="s">
        <v>65</v>
      </c>
      <c r="AV2" s="9" t="s">
        <v>66</v>
      </c>
      <c r="AW2" s="9" t="s">
        <v>67</v>
      </c>
    </row>
    <row r="3" spans="1:49" x14ac:dyDescent="0.25">
      <c r="A3" s="8" t="s">
        <v>116</v>
      </c>
      <c r="C3" s="10">
        <v>1</v>
      </c>
      <c r="D3" s="10">
        <v>1</v>
      </c>
      <c r="E3" s="10">
        <v>1</v>
      </c>
      <c r="F3" s="10">
        <v>1</v>
      </c>
      <c r="G3" s="10">
        <v>1</v>
      </c>
      <c r="H3" s="10">
        <v>2</v>
      </c>
      <c r="I3" s="10">
        <v>2</v>
      </c>
      <c r="J3" s="10">
        <v>1</v>
      </c>
      <c r="K3" s="10">
        <v>1</v>
      </c>
      <c r="L3" s="10">
        <v>1</v>
      </c>
      <c r="M3" s="10">
        <v>1</v>
      </c>
      <c r="N3" s="10">
        <v>1</v>
      </c>
      <c r="O3" s="10">
        <v>1</v>
      </c>
      <c r="P3" s="10">
        <v>1</v>
      </c>
      <c r="Q3" s="10">
        <v>2</v>
      </c>
      <c r="R3" s="10">
        <v>2</v>
      </c>
      <c r="S3" s="10">
        <v>1</v>
      </c>
      <c r="T3" s="10">
        <v>2</v>
      </c>
      <c r="U3" s="10">
        <v>2</v>
      </c>
      <c r="V3" s="10">
        <v>1</v>
      </c>
      <c r="W3" s="10">
        <v>2</v>
      </c>
      <c r="X3" s="10">
        <v>2</v>
      </c>
      <c r="Y3" s="10">
        <v>1</v>
      </c>
      <c r="Z3" s="10">
        <v>1</v>
      </c>
      <c r="AA3" s="10">
        <v>2</v>
      </c>
      <c r="AB3" s="10">
        <v>1</v>
      </c>
      <c r="AC3" s="10">
        <v>1</v>
      </c>
      <c r="AD3" s="10">
        <v>1</v>
      </c>
      <c r="AE3" s="10">
        <v>1</v>
      </c>
      <c r="AF3" s="10">
        <v>2</v>
      </c>
      <c r="AG3" s="10">
        <v>2</v>
      </c>
      <c r="AH3" s="10">
        <v>2</v>
      </c>
      <c r="AI3" s="10">
        <v>2</v>
      </c>
      <c r="AJ3" s="10">
        <v>1</v>
      </c>
      <c r="AK3" s="10">
        <v>2</v>
      </c>
      <c r="AL3" s="10">
        <v>2</v>
      </c>
      <c r="AM3" s="10">
        <v>2</v>
      </c>
      <c r="AN3" s="10">
        <v>2</v>
      </c>
      <c r="AO3" s="10">
        <v>2</v>
      </c>
      <c r="AP3" s="10">
        <v>2</v>
      </c>
      <c r="AQ3" s="10">
        <v>2</v>
      </c>
      <c r="AR3" s="10">
        <v>2</v>
      </c>
      <c r="AS3" s="10">
        <v>2</v>
      </c>
      <c r="AT3" s="10">
        <v>2</v>
      </c>
      <c r="AU3" s="10">
        <v>2</v>
      </c>
      <c r="AV3" s="10">
        <v>2</v>
      </c>
      <c r="AW3" s="10">
        <v>2</v>
      </c>
    </row>
    <row r="4" spans="1:49" x14ac:dyDescent="0.25">
      <c r="A4" s="8" t="s">
        <v>117</v>
      </c>
      <c r="C4" s="10">
        <v>2</v>
      </c>
      <c r="D4" s="10">
        <v>2</v>
      </c>
      <c r="E4" s="10">
        <v>2</v>
      </c>
      <c r="F4" s="10">
        <v>2</v>
      </c>
      <c r="G4" s="10">
        <v>2</v>
      </c>
      <c r="H4" s="10">
        <v>3</v>
      </c>
      <c r="I4" s="10">
        <v>3</v>
      </c>
      <c r="J4" s="10">
        <v>1</v>
      </c>
      <c r="K4" s="10">
        <v>1</v>
      </c>
      <c r="L4" s="10">
        <v>1</v>
      </c>
      <c r="M4" s="10">
        <v>1</v>
      </c>
      <c r="N4" s="10">
        <v>1</v>
      </c>
      <c r="O4" s="10">
        <v>1</v>
      </c>
      <c r="P4" s="10">
        <v>1</v>
      </c>
      <c r="Q4" s="10">
        <v>1</v>
      </c>
      <c r="R4" s="10">
        <v>1</v>
      </c>
      <c r="S4" s="10">
        <v>1</v>
      </c>
      <c r="T4" s="10">
        <v>5</v>
      </c>
      <c r="U4" s="10">
        <v>5</v>
      </c>
      <c r="V4" s="10">
        <v>3</v>
      </c>
      <c r="W4" s="10">
        <v>5</v>
      </c>
      <c r="X4" s="10">
        <v>5</v>
      </c>
      <c r="Y4" s="10">
        <v>3</v>
      </c>
      <c r="Z4" s="10">
        <v>2</v>
      </c>
      <c r="AA4" s="10">
        <v>1</v>
      </c>
      <c r="AB4" s="10">
        <v>0</v>
      </c>
      <c r="AC4" s="10">
        <v>0</v>
      </c>
      <c r="AD4" s="10">
        <v>2</v>
      </c>
      <c r="AE4" s="10">
        <v>2</v>
      </c>
      <c r="AF4" s="10">
        <v>3</v>
      </c>
      <c r="AG4" s="10">
        <v>3</v>
      </c>
      <c r="AH4" s="10">
        <v>3</v>
      </c>
      <c r="AI4" s="10">
        <v>3</v>
      </c>
      <c r="AJ4" s="10">
        <v>2</v>
      </c>
      <c r="AK4" s="10">
        <v>3</v>
      </c>
      <c r="AL4" s="10">
        <v>3</v>
      </c>
      <c r="AM4" s="10">
        <v>3</v>
      </c>
      <c r="AN4" s="10">
        <v>3</v>
      </c>
      <c r="AO4" s="10">
        <v>3</v>
      </c>
      <c r="AP4" s="10">
        <v>3</v>
      </c>
      <c r="AQ4" s="10">
        <v>3</v>
      </c>
      <c r="AR4" s="10">
        <v>3</v>
      </c>
      <c r="AS4" s="10">
        <v>3</v>
      </c>
      <c r="AT4" s="10">
        <v>3</v>
      </c>
      <c r="AU4" s="10">
        <v>3</v>
      </c>
      <c r="AV4" s="10">
        <v>3</v>
      </c>
      <c r="AW4" s="10">
        <v>3</v>
      </c>
    </row>
    <row r="5" spans="1:49" x14ac:dyDescent="0.25">
      <c r="A5" s="8" t="s">
        <v>118</v>
      </c>
      <c r="C5" s="11">
        <f>C3*AtomicWeights!$B$3+C4*AtomicWeights!$B$2</f>
        <v>60.082999999999998</v>
      </c>
      <c r="D5" s="11">
        <f>D3*AtomicWeights!$B$4+D4*AtomicWeights!$B$2</f>
        <v>79.864999999999995</v>
      </c>
      <c r="E5" s="11">
        <f>E3*AtomicWeights!$B$5+E4*AtomicWeights!$B$2</f>
        <v>123.22200000000001</v>
      </c>
      <c r="F5" s="11">
        <f>F3*AtomicWeights!$B$6+F4*AtomicWeights!$B$2</f>
        <v>210.488</v>
      </c>
      <c r="G5" s="11">
        <f>G3*AtomicWeights!$B$7+G4*AtomicWeights!$B$2</f>
        <v>150.708</v>
      </c>
      <c r="H5" s="11">
        <f>H3*AtomicWeights!$B$8+H4*AtomicWeights!$B$2</f>
        <v>101.960077</v>
      </c>
      <c r="I5" s="11">
        <f>I3*AtomicWeights!$B$9+I4*AtomicWeights!$B$2</f>
        <v>159.68700000000001</v>
      </c>
      <c r="J5" s="11">
        <f>J3*AtomicWeights!$B$9+J4*AtomicWeights!$B$2</f>
        <v>71.843999999999994</v>
      </c>
      <c r="K5" s="11">
        <f>K3*AtomicWeights!$B$10+K4*AtomicWeights!$B$2</f>
        <v>70.937044</v>
      </c>
      <c r="L5" s="11">
        <f>L3*AtomicWeights!$B$11+L4*AtomicWeights!$B$2</f>
        <v>40.304000000000002</v>
      </c>
      <c r="M5" s="11">
        <f>M3*AtomicWeights!$B$12+M4*AtomicWeights!$B$2</f>
        <v>56.077000000000005</v>
      </c>
      <c r="N5" s="11">
        <f>N3*AtomicWeights!$B$13+N4*AtomicWeights!$B$2</f>
        <v>103.619</v>
      </c>
      <c r="O5" s="11">
        <f>O3*AtomicWeights!$B$14+O4*AtomicWeights!$B$2</f>
        <v>153.32599999999999</v>
      </c>
      <c r="P5" s="11">
        <f>P3*AtomicWeights!$B$15+P4*AtomicWeights!$B$2</f>
        <v>223.19899999999998</v>
      </c>
      <c r="Q5" s="11">
        <f>Q3*AtomicWeights!$B$16+Q4*AtomicWeights!$B$2</f>
        <v>61.978538560000004</v>
      </c>
      <c r="R5" s="11">
        <f>R3*AtomicWeights!$B$17+R4*AtomicWeights!$B$2</f>
        <v>94.195599999999999</v>
      </c>
      <c r="S5" s="11">
        <f>S3*AtomicWeights!$B$18+S4*AtomicWeights!$B$2</f>
        <v>25.0111831</v>
      </c>
      <c r="T5" s="11">
        <f>T3*AtomicWeights!$B$19+T4*AtomicWeights!$B$2</f>
        <v>265.80773999999997</v>
      </c>
      <c r="U5" s="11">
        <f>U3*AtomicWeights!$B$20+U4*AtomicWeights!$B$2</f>
        <v>441.89076</v>
      </c>
      <c r="V5" s="11">
        <f>V3*AtomicWeights!$B$21+V4*AtomicWeights!$B$2</f>
        <v>231.83699999999999</v>
      </c>
      <c r="W5" s="11">
        <f>W3*AtomicWeights!$B$22+W4*AtomicWeights!$B$2</f>
        <v>141.94252399600001</v>
      </c>
      <c r="X5" s="11">
        <f>X3*AtomicWeights!$B$23+X4*AtomicWeights!$B$2</f>
        <v>229.83819</v>
      </c>
      <c r="Y5" s="11">
        <f>Y3*AtomicWeights!$B$24+Y4*AtomicWeights!$B$2</f>
        <v>80.057000000000002</v>
      </c>
      <c r="Z5" s="11">
        <f>Z3*AtomicWeights!$B$25+Z4*AtomicWeights!$B$2</f>
        <v>44.009</v>
      </c>
      <c r="AA5" s="11">
        <f>AA3*AtomicWeights!$B$26+AA4*AtomicWeights!$B$2</f>
        <v>18.015000000000001</v>
      </c>
      <c r="AB5" s="11">
        <f>AB3*AtomicWeights!$B$27+AB4*AtomicWeights!$B$2</f>
        <v>18.998403162999999</v>
      </c>
      <c r="AC5" s="11">
        <f>AC3*AtomicWeights!$B$28+AC4*AtomicWeights!$B$2</f>
        <v>35.450000000000003</v>
      </c>
      <c r="AD5" s="11">
        <f>AD3*AtomicWeights!$B$29+AD4*AtomicWeights!$B$2</f>
        <v>264.03570000000002</v>
      </c>
      <c r="AE5" s="11">
        <f>AE3*AtomicWeights!$B$30+AE4*AtomicWeights!$B$2</f>
        <v>270.02690999999999</v>
      </c>
      <c r="AF5" s="11">
        <f>AF3*AtomicWeights!$B$31+AF4*AtomicWeights!$B$2</f>
        <v>137.908816</v>
      </c>
      <c r="AG5" s="11">
        <f>AG3*AtomicWeights!$B$32+AG4*AtomicWeights!$B$2</f>
        <v>225.80867999999998</v>
      </c>
      <c r="AH5" s="11">
        <f>AH3*AtomicWeights!$B$33+AH4*AtomicWeights!$B$2</f>
        <v>325.80794000000003</v>
      </c>
      <c r="AI5" s="11">
        <f>AI3*AtomicWeights!$B$34+AI4*AtomicWeights!$B$2</f>
        <v>328.22900000000004</v>
      </c>
      <c r="AJ5" s="11">
        <f>AJ3*AtomicWeights!$B$34+AJ4*AtomicWeights!$B$2</f>
        <v>172.114</v>
      </c>
      <c r="AK5" s="11">
        <f>AK3*AtomicWeights!$B$35+AK4*AtomicWeights!$B$2</f>
        <v>329.81232</v>
      </c>
      <c r="AL5" s="11">
        <f>AL3*AtomicWeights!$B$36+AL4*AtomicWeights!$B$2</f>
        <v>336.48099999999999</v>
      </c>
      <c r="AM5" s="11">
        <f>AM3*AtomicWeights!$B$37+AM4*AtomicWeights!$B$2</f>
        <v>348.71700000000004</v>
      </c>
      <c r="AN5" s="11">
        <f>AN3*AtomicWeights!$B$38+AN4*AtomicWeights!$B$2</f>
        <v>351.92500000000001</v>
      </c>
      <c r="AO5" s="11">
        <f>AO3*AtomicWeights!$B$39+AO4*AtomicWeights!$B$2</f>
        <v>362.49700000000001</v>
      </c>
      <c r="AP5" s="11">
        <f>AP3*AtomicWeights!$B$40+AP4*AtomicWeights!$B$2</f>
        <v>365.84770000000003</v>
      </c>
      <c r="AQ5" s="11">
        <f>AQ3*AtomicWeights!$B$41+AQ4*AtomicWeights!$B$2</f>
        <v>372.99700000000001</v>
      </c>
      <c r="AR5" s="11">
        <f>AR3*AtomicWeights!$B$42+AR4*AtomicWeights!$B$2</f>
        <v>377.85766000000001</v>
      </c>
      <c r="AS5" s="11">
        <f>AS3*AtomicWeights!$B$43+AS4*AtomicWeights!$B$2</f>
        <v>382.51499999999999</v>
      </c>
      <c r="AT5" s="11">
        <f>AT3*AtomicWeights!$B$44+AT4*AtomicWeights!$B$2</f>
        <v>385.86544000000004</v>
      </c>
      <c r="AU5" s="11">
        <f>AU3*AtomicWeights!$B$45+AU4*AtomicWeights!$B$2</f>
        <v>394.08699999999999</v>
      </c>
      <c r="AV5" s="11">
        <f>AV3*AtomicWeights!$B$46+AV4*AtomicWeights!$B$2</f>
        <v>397.93060000000003</v>
      </c>
      <c r="AW5" s="11">
        <f>AW3*AtomicWeights!$B$47+AW4*AtomicWeights!$B$2</f>
        <v>465.95780000000002</v>
      </c>
    </row>
    <row r="6" spans="1:49" x14ac:dyDescent="0.25">
      <c r="A6" s="8" t="s">
        <v>119</v>
      </c>
      <c r="C6" s="12">
        <f>C4*AtomicWeights!$B$2/C5</f>
        <v>0.53256328745235759</v>
      </c>
      <c r="D6" s="12">
        <f>D4*AtomicWeights!$B$2/D5</f>
        <v>0.40065109872910543</v>
      </c>
      <c r="E6" s="12">
        <f>E4*AtomicWeights!$B$2/E5</f>
        <v>0.25967765496421091</v>
      </c>
      <c r="F6" s="12">
        <f>F4*AtomicWeights!$B$2/F5</f>
        <v>0.15201816730644979</v>
      </c>
      <c r="G6" s="12">
        <f>G4*AtomicWeights!$B$2/G5</f>
        <v>0.2123178597022056</v>
      </c>
      <c r="H6" s="12">
        <f>H4*AtomicWeights!$B$2/H5</f>
        <v>0.47074307329132364</v>
      </c>
      <c r="I6" s="12">
        <f>I4*AtomicWeights!$B$2/I5</f>
        <v>0.30056923857295831</v>
      </c>
      <c r="J6" s="12">
        <f>J4*AtomicWeights!$B$2/J5</f>
        <v>0.22269083013195259</v>
      </c>
      <c r="K6" s="12">
        <f>K4*AtomicWeights!$B$2/K5</f>
        <v>0.22553801367872053</v>
      </c>
      <c r="L6" s="12">
        <f>L4*AtomicWeights!$B$2/L5</f>
        <v>0.39695811830091304</v>
      </c>
      <c r="M6" s="12">
        <f>M4*AtomicWeights!$B$2/M5</f>
        <v>0.28530413538527383</v>
      </c>
      <c r="N6" s="12">
        <f>N4*AtomicWeights!$B$2/N5</f>
        <v>0.15440218492747471</v>
      </c>
      <c r="O6" s="12">
        <f>O4*AtomicWeights!$B$2/O5</f>
        <v>0.10434629482279588</v>
      </c>
      <c r="P6" s="12">
        <f>P4*AtomicWeights!$B$2/P5</f>
        <v>7.168042867575572E-2</v>
      </c>
      <c r="Q6" s="12">
        <f>Q4*AtomicWeights!$B$2/Q5</f>
        <v>0.25813774205907963</v>
      </c>
      <c r="R6" s="12">
        <f>R4*AtomicWeights!$B$2/R5</f>
        <v>0.16984869781603387</v>
      </c>
      <c r="S6" s="12">
        <f>S4*AtomicWeights!$B$2/S5</f>
        <v>0.63967385853090653</v>
      </c>
      <c r="T6" s="12">
        <f>T4*AtomicWeights!$B$2/T5</f>
        <v>0.30095060437292009</v>
      </c>
      <c r="U6" s="12">
        <f>U4*AtomicWeights!$B$2/U5</f>
        <v>0.18102890406669739</v>
      </c>
      <c r="V6" s="12">
        <f>V4*AtomicWeights!$B$2/V5</f>
        <v>0.20702907646320476</v>
      </c>
      <c r="W6" s="12">
        <f>W4*AtomicWeights!$B$2/W5</f>
        <v>0.56357318263732081</v>
      </c>
      <c r="X6" s="12">
        <f>X4*AtomicWeights!$B$2/X5</f>
        <v>0.34804920801020928</v>
      </c>
      <c r="Y6" s="12">
        <f>Y4*AtomicWeights!$B$2/Y5</f>
        <v>0.59953533107660795</v>
      </c>
      <c r="Z6" s="12">
        <f>Z4*AtomicWeights!$B$2/Z5</f>
        <v>0.72707855211434025</v>
      </c>
      <c r="AA6" s="12">
        <f>AA4*AtomicWeights!$B$2/AA5</f>
        <v>0.88809325562031638</v>
      </c>
      <c r="AB6" s="12">
        <f>-AtomicWeights!$B$2/(2*AtomicWeights!$B$27)</f>
        <v>-0.42106170352144562</v>
      </c>
      <c r="AC6" s="12">
        <f>-AtomicWeights!$B$2/(2*AtomicWeights!$B$28)</f>
        <v>-0.2256558533145275</v>
      </c>
      <c r="AD6" s="12">
        <f>AD4*AtomicWeights!$B$2/AD5</f>
        <v>0.12118815751051847</v>
      </c>
      <c r="AE6" s="12">
        <f>AE4*AtomicWeights!$B$2/AE5</f>
        <v>0.11849930068080994</v>
      </c>
      <c r="AF6" s="12">
        <f>AF4*AtomicWeights!$B$2/AF5</f>
        <v>0.34803431275923652</v>
      </c>
      <c r="AG6" s="12">
        <f>AG4*AtomicWeights!$B$2/AG5</f>
        <v>0.21255604523262792</v>
      </c>
      <c r="AH6" s="12">
        <f>AH4*AtomicWeights!$B$2/AH5</f>
        <v>0.14731685176242174</v>
      </c>
      <c r="AI6" s="12">
        <f>AI4*AtomicWeights!$B$2/AI5</f>
        <v>0.14623022341109407</v>
      </c>
      <c r="AJ6" s="12">
        <f>AJ4*AtomicWeights!$B$2/AJ5</f>
        <v>0.18591166319997213</v>
      </c>
      <c r="AK6" s="12">
        <f>AK4*AtomicWeights!$B$2/AK5</f>
        <v>0.14552822041335509</v>
      </c>
      <c r="AL6" s="12">
        <f>AL4*AtomicWeights!$B$2/AL5</f>
        <v>0.14264401258912093</v>
      </c>
      <c r="AM6" s="12">
        <f>AM4*AtomicWeights!$B$2/AM5</f>
        <v>0.13763883034093546</v>
      </c>
      <c r="AN6" s="12">
        <f>AN4*AtomicWeights!$B$2/AN5</f>
        <v>0.13638417276408324</v>
      </c>
      <c r="AO6" s="12">
        <f>AO4*AtomicWeights!$B$2/AO5</f>
        <v>0.13240661302024567</v>
      </c>
      <c r="AP6" s="12">
        <f>AP4*AtomicWeights!$B$2/AP5</f>
        <v>0.1311939367119159</v>
      </c>
      <c r="AQ6" s="12">
        <f>AQ4*AtomicWeights!$B$2/AQ5</f>
        <v>0.12867931913661504</v>
      </c>
      <c r="AR6" s="12">
        <f>AR4*AtomicWeights!$B$2/AR5</f>
        <v>0.12702402274973068</v>
      </c>
      <c r="AS6" s="12">
        <f>AS4*AtomicWeights!$B$2/AS5</f>
        <v>0.12547743225755853</v>
      </c>
      <c r="AT6" s="12">
        <f>AT4*AtomicWeights!$B$2/AT5</f>
        <v>0.12438792134377205</v>
      </c>
      <c r="AU6" s="12">
        <f>AU4*AtomicWeights!$B$2/AU5</f>
        <v>0.121792903597429</v>
      </c>
      <c r="AV6" s="12">
        <f>AV4*AtomicWeights!$B$2/AV5</f>
        <v>0.12061650951196012</v>
      </c>
      <c r="AW6" s="12">
        <f>AW4*AtomicWeights!$B$2/AW5</f>
        <v>0.1030071821954692</v>
      </c>
    </row>
    <row r="8" spans="1:49" ht="25.5" x14ac:dyDescent="0.25">
      <c r="A8" s="4" t="s">
        <v>17</v>
      </c>
      <c r="B8" s="4" t="s">
        <v>19</v>
      </c>
      <c r="C8" s="4" t="s">
        <v>70</v>
      </c>
      <c r="D8" s="4" t="s">
        <v>71</v>
      </c>
      <c r="E8" s="4" t="s">
        <v>72</v>
      </c>
      <c r="F8" s="4" t="s">
        <v>73</v>
      </c>
      <c r="G8" s="4" t="s">
        <v>74</v>
      </c>
      <c r="H8" s="4" t="s">
        <v>75</v>
      </c>
      <c r="I8" s="4" t="s">
        <v>76</v>
      </c>
      <c r="J8" s="4" t="s">
        <v>77</v>
      </c>
      <c r="K8" s="4" t="s">
        <v>78</v>
      </c>
      <c r="L8" s="4" t="s">
        <v>79</v>
      </c>
      <c r="M8" s="4" t="s">
        <v>80</v>
      </c>
      <c r="N8" s="4" t="s">
        <v>81</v>
      </c>
      <c r="O8" s="4" t="s">
        <v>82</v>
      </c>
      <c r="P8" s="4" t="s">
        <v>83</v>
      </c>
      <c r="Q8" s="4" t="s">
        <v>84</v>
      </c>
      <c r="R8" s="4" t="s">
        <v>85</v>
      </c>
      <c r="S8" s="4" t="s">
        <v>86</v>
      </c>
      <c r="T8" s="4" t="s">
        <v>87</v>
      </c>
      <c r="U8" s="4" t="s">
        <v>88</v>
      </c>
      <c r="V8" s="4" t="s">
        <v>89</v>
      </c>
      <c r="W8" s="4" t="s">
        <v>90</v>
      </c>
      <c r="X8" s="4" t="s">
        <v>91</v>
      </c>
      <c r="Y8" s="4" t="s">
        <v>92</v>
      </c>
      <c r="Z8" s="4" t="s">
        <v>93</v>
      </c>
      <c r="AA8" s="4" t="s">
        <v>94</v>
      </c>
      <c r="AB8" s="4" t="s">
        <v>47</v>
      </c>
      <c r="AC8" s="4" t="s">
        <v>48</v>
      </c>
      <c r="AD8" s="4" t="s">
        <v>95</v>
      </c>
      <c r="AE8" s="4" t="s">
        <v>96</v>
      </c>
      <c r="AF8" s="4" t="s">
        <v>97</v>
      </c>
      <c r="AG8" s="4" t="s">
        <v>98</v>
      </c>
      <c r="AH8" s="4" t="s">
        <v>99</v>
      </c>
      <c r="AI8" s="4" t="s">
        <v>100</v>
      </c>
      <c r="AJ8" s="4" t="s">
        <v>101</v>
      </c>
      <c r="AK8" s="4" t="s">
        <v>102</v>
      </c>
      <c r="AL8" s="4" t="s">
        <v>103</v>
      </c>
      <c r="AM8" s="4" t="s">
        <v>104</v>
      </c>
      <c r="AN8" s="4" t="s">
        <v>105</v>
      </c>
      <c r="AO8" s="4" t="s">
        <v>106</v>
      </c>
      <c r="AP8" s="4" t="s">
        <v>107</v>
      </c>
      <c r="AQ8" s="4" t="s">
        <v>108</v>
      </c>
      <c r="AR8" s="4" t="s">
        <v>109</v>
      </c>
      <c r="AS8" s="4" t="s">
        <v>110</v>
      </c>
      <c r="AT8" s="4" t="s">
        <v>111</v>
      </c>
      <c r="AU8" s="4" t="s">
        <v>112</v>
      </c>
      <c r="AV8" s="4" t="s">
        <v>113</v>
      </c>
      <c r="AW8" s="4" t="s">
        <v>114</v>
      </c>
    </row>
    <row r="9" spans="1:49" x14ac:dyDescent="0.25">
      <c r="A9" s="13" t="s">
        <v>20</v>
      </c>
      <c r="B9" t="str">
        <f>AtomicWeights!$C$2</f>
        <v>yes</v>
      </c>
      <c r="C9" s="14">
        <f t="shared" ref="C9:AW9" si="0">C$6</f>
        <v>0.53256328745235759</v>
      </c>
      <c r="D9" s="14">
        <f t="shared" si="0"/>
        <v>0.40065109872910543</v>
      </c>
      <c r="E9" s="14">
        <f t="shared" si="0"/>
        <v>0.25967765496421091</v>
      </c>
      <c r="F9" s="14">
        <f t="shared" si="0"/>
        <v>0.15201816730644979</v>
      </c>
      <c r="G9" s="14">
        <f t="shared" si="0"/>
        <v>0.2123178597022056</v>
      </c>
      <c r="H9" s="14">
        <f t="shared" si="0"/>
        <v>0.47074307329132364</v>
      </c>
      <c r="I9" s="14">
        <f t="shared" si="0"/>
        <v>0.30056923857295831</v>
      </c>
      <c r="J9" s="14">
        <f t="shared" si="0"/>
        <v>0.22269083013195259</v>
      </c>
      <c r="K9" s="14">
        <f t="shared" si="0"/>
        <v>0.22553801367872053</v>
      </c>
      <c r="L9" s="14">
        <f t="shared" si="0"/>
        <v>0.39695811830091304</v>
      </c>
      <c r="M9" s="14">
        <f t="shared" si="0"/>
        <v>0.28530413538527383</v>
      </c>
      <c r="N9" s="14">
        <f t="shared" si="0"/>
        <v>0.15440218492747471</v>
      </c>
      <c r="O9" s="14">
        <f t="shared" si="0"/>
        <v>0.10434629482279588</v>
      </c>
      <c r="P9" s="14">
        <f t="shared" si="0"/>
        <v>7.168042867575572E-2</v>
      </c>
      <c r="Q9" s="14">
        <f t="shared" si="0"/>
        <v>0.25813774205907963</v>
      </c>
      <c r="R9" s="14">
        <f t="shared" si="0"/>
        <v>0.16984869781603387</v>
      </c>
      <c r="S9" s="14">
        <f t="shared" si="0"/>
        <v>0.63967385853090653</v>
      </c>
      <c r="T9" s="14">
        <f t="shared" si="0"/>
        <v>0.30095060437292009</v>
      </c>
      <c r="U9" s="14">
        <f t="shared" si="0"/>
        <v>0.18102890406669739</v>
      </c>
      <c r="V9" s="14">
        <f t="shared" si="0"/>
        <v>0.20702907646320476</v>
      </c>
      <c r="W9" s="14">
        <f t="shared" si="0"/>
        <v>0.56357318263732081</v>
      </c>
      <c r="X9" s="14">
        <f t="shared" si="0"/>
        <v>0.34804920801020928</v>
      </c>
      <c r="Y9" s="14">
        <f t="shared" si="0"/>
        <v>0.59953533107660795</v>
      </c>
      <c r="Z9" s="14">
        <f t="shared" si="0"/>
        <v>0.72707855211434025</v>
      </c>
      <c r="AA9" s="14">
        <f t="shared" si="0"/>
        <v>0.88809325562031638</v>
      </c>
      <c r="AB9" s="14">
        <f t="shared" si="0"/>
        <v>-0.42106170352144562</v>
      </c>
      <c r="AC9" s="14">
        <f t="shared" si="0"/>
        <v>-0.2256558533145275</v>
      </c>
      <c r="AD9" s="14">
        <f t="shared" si="0"/>
        <v>0.12118815751051847</v>
      </c>
      <c r="AE9" s="14">
        <f t="shared" si="0"/>
        <v>0.11849930068080994</v>
      </c>
      <c r="AF9" s="14">
        <f t="shared" si="0"/>
        <v>0.34803431275923652</v>
      </c>
      <c r="AG9" s="14">
        <f t="shared" si="0"/>
        <v>0.21255604523262792</v>
      </c>
      <c r="AH9" s="14">
        <f t="shared" si="0"/>
        <v>0.14731685176242174</v>
      </c>
      <c r="AI9" s="14">
        <f t="shared" si="0"/>
        <v>0.14623022341109407</v>
      </c>
      <c r="AJ9" s="14">
        <f t="shared" si="0"/>
        <v>0.18591166319997213</v>
      </c>
      <c r="AK9" s="14">
        <f t="shared" si="0"/>
        <v>0.14552822041335509</v>
      </c>
      <c r="AL9" s="14">
        <f t="shared" si="0"/>
        <v>0.14264401258912093</v>
      </c>
      <c r="AM9" s="14">
        <f t="shared" si="0"/>
        <v>0.13763883034093546</v>
      </c>
      <c r="AN9" s="14">
        <f t="shared" si="0"/>
        <v>0.13638417276408324</v>
      </c>
      <c r="AO9" s="14">
        <f t="shared" si="0"/>
        <v>0.13240661302024567</v>
      </c>
      <c r="AP9" s="14">
        <f t="shared" si="0"/>
        <v>0.1311939367119159</v>
      </c>
      <c r="AQ9" s="14">
        <f t="shared" si="0"/>
        <v>0.12867931913661504</v>
      </c>
      <c r="AR9" s="14">
        <f t="shared" si="0"/>
        <v>0.12702402274973068</v>
      </c>
      <c r="AS9" s="14">
        <f t="shared" si="0"/>
        <v>0.12547743225755853</v>
      </c>
      <c r="AT9" s="14">
        <f t="shared" si="0"/>
        <v>0.12438792134377205</v>
      </c>
      <c r="AU9" s="14">
        <f t="shared" si="0"/>
        <v>0.121792903597429</v>
      </c>
      <c r="AV9" s="14">
        <f t="shared" si="0"/>
        <v>0.12061650951196012</v>
      </c>
      <c r="AW9" s="14">
        <f t="shared" si="0"/>
        <v>0.1030071821954692</v>
      </c>
    </row>
    <row r="10" spans="1:49" x14ac:dyDescent="0.25">
      <c r="A10" s="13" t="s">
        <v>22</v>
      </c>
      <c r="B10" t="str">
        <f>AtomicWeights!$C$3</f>
        <v>yes</v>
      </c>
      <c r="C10" s="14">
        <f>IF(C$2=$A10,C$3*AtomicWeights!$B$3/C$5,0)</f>
        <v>0.46743671254764246</v>
      </c>
      <c r="D10" s="14">
        <f>IF(D$2=$A10,D$3*AtomicWeights!$B$3/D$5,0)</f>
        <v>0</v>
      </c>
      <c r="E10" s="14">
        <f>IF(E$2=$A10,E$3*AtomicWeights!$B$3/E$5,0)</f>
        <v>0</v>
      </c>
      <c r="F10" s="14">
        <f>IF(F$2=$A10,F$3*AtomicWeights!$B$3/F$5,0)</f>
        <v>0</v>
      </c>
      <c r="G10" s="14">
        <f>IF(G$2=$A10,G$3*AtomicWeights!$B$3/G$5,0)</f>
        <v>0</v>
      </c>
      <c r="H10" s="14">
        <f>IF(H$2=$A10,H$3*AtomicWeights!$B$3/H$5,0)</f>
        <v>0</v>
      </c>
      <c r="I10" s="14">
        <f>IF(I$2=$A10,I$3*AtomicWeights!$B$3/I$5,0)</f>
        <v>0</v>
      </c>
      <c r="J10" s="14">
        <f>IF(J$2=$A10,J$3*AtomicWeights!$B$3/J$5,0)</f>
        <v>0</v>
      </c>
      <c r="K10" s="14">
        <f>IF(K$2=$A10,K$3*AtomicWeights!$B$3/K$5,0)</f>
        <v>0</v>
      </c>
      <c r="L10" s="14">
        <f>IF(L$2=$A10,L$3*AtomicWeights!$B$3/L$5,0)</f>
        <v>0</v>
      </c>
      <c r="M10" s="14">
        <f>IF(M$2=$A10,M$3*AtomicWeights!$B$3/M$5,0)</f>
        <v>0</v>
      </c>
      <c r="N10" s="14">
        <f>IF(N$2=$A10,N$3*AtomicWeights!$B$3/N$5,0)</f>
        <v>0</v>
      </c>
      <c r="O10" s="14">
        <f>IF(O$2=$A10,O$3*AtomicWeights!$B$3/O$5,0)</f>
        <v>0</v>
      </c>
      <c r="P10" s="14">
        <f>IF(P$2=$A10,P$3*AtomicWeights!$B$3/P$5,0)</f>
        <v>0</v>
      </c>
      <c r="Q10" s="14">
        <f>IF(Q$2=$A10,Q$3*AtomicWeights!$B$3/Q$5,0)</f>
        <v>0</v>
      </c>
      <c r="R10" s="14">
        <f>IF(R$2=$A10,R$3*AtomicWeights!$B$3/R$5,0)</f>
        <v>0</v>
      </c>
      <c r="S10" s="14">
        <f>IF(S$2=$A10,S$3*AtomicWeights!$B$3/S$5,0)</f>
        <v>0</v>
      </c>
      <c r="T10" s="14">
        <f>IF(T$2=$A10,T$3*AtomicWeights!$B$3/T$5,0)</f>
        <v>0</v>
      </c>
      <c r="U10" s="14">
        <f>IF(U$2=$A10,U$3*AtomicWeights!$B$3/U$5,0)</f>
        <v>0</v>
      </c>
      <c r="V10" s="14">
        <f>IF(V$2=$A10,V$3*AtomicWeights!$B$3/V$5,0)</f>
        <v>0</v>
      </c>
      <c r="W10" s="14">
        <f>IF(W$2=$A10,W$3*AtomicWeights!$B$3/W$5,0)</f>
        <v>0</v>
      </c>
      <c r="X10" s="14">
        <f>IF(X$2=$A10,X$3*AtomicWeights!$B$3/X$5,0)</f>
        <v>0</v>
      </c>
      <c r="Y10" s="14">
        <f>IF(Y$2=$A10,Y$3*AtomicWeights!$B$3/Y$5,0)</f>
        <v>0</v>
      </c>
      <c r="Z10" s="14">
        <f>IF(Z$2=$A10,Z$3*AtomicWeights!$B$3/Z$5,0)</f>
        <v>0</v>
      </c>
      <c r="AA10" s="14">
        <f>IF(AA$2=$A10,AA$3*AtomicWeights!$B$3/AA$5,0)</f>
        <v>0</v>
      </c>
      <c r="AB10" s="14">
        <f>IF(AB$2=$A10,AB$3*AtomicWeights!$B$3/AB$5,0)</f>
        <v>0</v>
      </c>
      <c r="AC10" s="14">
        <f>IF(AC$2=$A10,AC$3*AtomicWeights!$B$3/AC$5,0)</f>
        <v>0</v>
      </c>
      <c r="AD10" s="14">
        <f>IF(AD$2=$A10,AD$3*AtomicWeights!$B$3/AD$5,0)</f>
        <v>0</v>
      </c>
      <c r="AE10" s="14">
        <f>IF(AE$2=$A10,AE$3*AtomicWeights!$B$3/AE$5,0)</f>
        <v>0</v>
      </c>
      <c r="AF10" s="14">
        <f>IF(AF$2=$A10,AF$3*AtomicWeights!$B$3/AF$5,0)</f>
        <v>0</v>
      </c>
      <c r="AG10" s="14">
        <f>IF(AG$2=$A10,AG$3*AtomicWeights!$B$3/AG$5,0)</f>
        <v>0</v>
      </c>
      <c r="AH10" s="14">
        <f>IF(AH$2=$A10,AH$3*AtomicWeights!$B$3/AH$5,0)</f>
        <v>0</v>
      </c>
      <c r="AI10" s="14">
        <f>IF(AI$2=$A10,AI$3*AtomicWeights!$B$3/AI$5,0)</f>
        <v>0</v>
      </c>
      <c r="AJ10" s="14">
        <f>IF(AJ$2=$A10,AJ$3*AtomicWeights!$B$3/AJ$5,0)</f>
        <v>0</v>
      </c>
      <c r="AK10" s="14">
        <f>IF(AK$2=$A10,AK$3*AtomicWeights!$B$3/AK$5,0)</f>
        <v>0</v>
      </c>
      <c r="AL10" s="14">
        <f>IF(AL$2=$A10,AL$3*AtomicWeights!$B$3/AL$5,0)</f>
        <v>0</v>
      </c>
      <c r="AM10" s="14">
        <f>IF(AM$2=$A10,AM$3*AtomicWeights!$B$3/AM$5,0)</f>
        <v>0</v>
      </c>
      <c r="AN10" s="14">
        <f>IF(AN$2=$A10,AN$3*AtomicWeights!$B$3/AN$5,0)</f>
        <v>0</v>
      </c>
      <c r="AO10" s="14">
        <f>IF(AO$2=$A10,AO$3*AtomicWeights!$B$3/AO$5,0)</f>
        <v>0</v>
      </c>
      <c r="AP10" s="14">
        <f>IF(AP$2=$A10,AP$3*AtomicWeights!$B$3/AP$5,0)</f>
        <v>0</v>
      </c>
      <c r="AQ10" s="14">
        <f>IF(AQ$2=$A10,AQ$3*AtomicWeights!$B$3/AQ$5,0)</f>
        <v>0</v>
      </c>
      <c r="AR10" s="14">
        <f>IF(AR$2=$A10,AR$3*AtomicWeights!$B$3/AR$5,0)</f>
        <v>0</v>
      </c>
      <c r="AS10" s="14">
        <f>IF(AS$2=$A10,AS$3*AtomicWeights!$B$3/AS$5,0)</f>
        <v>0</v>
      </c>
      <c r="AT10" s="14">
        <f>IF(AT$2=$A10,AT$3*AtomicWeights!$B$3/AT$5,0)</f>
        <v>0</v>
      </c>
      <c r="AU10" s="14">
        <f>IF(AU$2=$A10,AU$3*AtomicWeights!$B$3/AU$5,0)</f>
        <v>0</v>
      </c>
      <c r="AV10" s="14">
        <f>IF(AV$2=$A10,AV$3*AtomicWeights!$B$3/AV$5,0)</f>
        <v>0</v>
      </c>
      <c r="AW10" s="14">
        <f>IF(AW$2=$A10,AW$3*AtomicWeights!$B$3/AW$5,0)</f>
        <v>0</v>
      </c>
    </row>
    <row r="11" spans="1:49" x14ac:dyDescent="0.25">
      <c r="A11" s="13" t="s">
        <v>23</v>
      </c>
      <c r="B11" t="str">
        <f>AtomicWeights!$C$4</f>
        <v>yes</v>
      </c>
      <c r="C11" s="14">
        <f>IF(C$2=$A11,C$3*AtomicWeights!$B$4/C$5,0)</f>
        <v>0</v>
      </c>
      <c r="D11" s="14">
        <f>IF(D$2=$A11,D$3*AtomicWeights!$B$4/D$5,0)</f>
        <v>0.59934890127089469</v>
      </c>
      <c r="E11" s="14">
        <f>IF(E$2=$A11,E$3*AtomicWeights!$B$4/E$5,0)</f>
        <v>0</v>
      </c>
      <c r="F11" s="14">
        <f>IF(F$2=$A11,F$3*AtomicWeights!$B$4/F$5,0)</f>
        <v>0</v>
      </c>
      <c r="G11" s="14">
        <f>IF(G$2=$A11,G$3*AtomicWeights!$B$4/G$5,0)</f>
        <v>0</v>
      </c>
      <c r="H11" s="14">
        <f>IF(H$2=$A11,H$3*AtomicWeights!$B$4/H$5,0)</f>
        <v>0</v>
      </c>
      <c r="I11" s="14">
        <f>IF(I$2=$A11,I$3*AtomicWeights!$B$4/I$5,0)</f>
        <v>0</v>
      </c>
      <c r="J11" s="14">
        <f>IF(J$2=$A11,J$3*AtomicWeights!$B$4/J$5,0)</f>
        <v>0</v>
      </c>
      <c r="K11" s="14">
        <f>IF(K$2=$A11,K$3*AtomicWeights!$B$4/K$5,0)</f>
        <v>0</v>
      </c>
      <c r="L11" s="14">
        <f>IF(L$2=$A11,L$3*AtomicWeights!$B$4/L$5,0)</f>
        <v>0</v>
      </c>
      <c r="M11" s="14">
        <f>IF(M$2=$A11,M$3*AtomicWeights!$B$4/M$5,0)</f>
        <v>0</v>
      </c>
      <c r="N11" s="14">
        <f>IF(N$2=$A11,N$3*AtomicWeights!$B$4/N$5,0)</f>
        <v>0</v>
      </c>
      <c r="O11" s="14">
        <f>IF(O$2=$A11,O$3*AtomicWeights!$B$4/O$5,0)</f>
        <v>0</v>
      </c>
      <c r="P11" s="14">
        <f>IF(P$2=$A11,P$3*AtomicWeights!$B$4/P$5,0)</f>
        <v>0</v>
      </c>
      <c r="Q11" s="14">
        <f>IF(Q$2=$A11,Q$3*AtomicWeights!$B$4/Q$5,0)</f>
        <v>0</v>
      </c>
      <c r="R11" s="14">
        <f>IF(R$2=$A11,R$3*AtomicWeights!$B$4/R$5,0)</f>
        <v>0</v>
      </c>
      <c r="S11" s="14">
        <f>IF(S$2=$A11,S$3*AtomicWeights!$B$4/S$5,0)</f>
        <v>0</v>
      </c>
      <c r="T11" s="14">
        <f>IF(T$2=$A11,T$3*AtomicWeights!$B$4/T$5,0)</f>
        <v>0</v>
      </c>
      <c r="U11" s="14">
        <f>IF(U$2=$A11,U$3*AtomicWeights!$B$4/U$5,0)</f>
        <v>0</v>
      </c>
      <c r="V11" s="14">
        <f>IF(V$2=$A11,V$3*AtomicWeights!$B$4/V$5,0)</f>
        <v>0</v>
      </c>
      <c r="W11" s="14">
        <f>IF(W$2=$A11,W$3*AtomicWeights!$B$4/W$5,0)</f>
        <v>0</v>
      </c>
      <c r="X11" s="14">
        <f>IF(X$2=$A11,X$3*AtomicWeights!$B$4/X$5,0)</f>
        <v>0</v>
      </c>
      <c r="Y11" s="14">
        <f>IF(Y$2=$A11,Y$3*AtomicWeights!$B$4/Y$5,0)</f>
        <v>0</v>
      </c>
      <c r="Z11" s="14">
        <f>IF(Z$2=$A11,Z$3*AtomicWeights!$B$4/Z$5,0)</f>
        <v>0</v>
      </c>
      <c r="AA11" s="14">
        <f>IF(AA$2=$A11,AA$3*AtomicWeights!$B$4/AA$5,0)</f>
        <v>0</v>
      </c>
      <c r="AB11" s="14">
        <f>IF(AB$2=$A11,AB$3*AtomicWeights!$B$4/AB$5,0)</f>
        <v>0</v>
      </c>
      <c r="AC11" s="14">
        <f>IF(AC$2=$A11,AC$3*AtomicWeights!$B$4/AC$5,0)</f>
        <v>0</v>
      </c>
      <c r="AD11" s="14">
        <f>IF(AD$2=$A11,AD$3*AtomicWeights!$B$4/AD$5,0)</f>
        <v>0</v>
      </c>
      <c r="AE11" s="14">
        <f>IF(AE$2=$A11,AE$3*AtomicWeights!$B$4/AE$5,0)</f>
        <v>0</v>
      </c>
      <c r="AF11" s="14">
        <f>IF(AF$2=$A11,AF$3*AtomicWeights!$B$4/AF$5,0)</f>
        <v>0</v>
      </c>
      <c r="AG11" s="14">
        <f>IF(AG$2=$A11,AG$3*AtomicWeights!$B$4/AG$5,0)</f>
        <v>0</v>
      </c>
      <c r="AH11" s="14">
        <f>IF(AH$2=$A11,AH$3*AtomicWeights!$B$4/AH$5,0)</f>
        <v>0</v>
      </c>
      <c r="AI11" s="14">
        <f>IF(AI$2=$A11,AI$3*AtomicWeights!$B$4/AI$5,0)</f>
        <v>0</v>
      </c>
      <c r="AJ11" s="14">
        <f>IF(AJ$2=$A11,AJ$3*AtomicWeights!$B$4/AJ$5,0)</f>
        <v>0</v>
      </c>
      <c r="AK11" s="14">
        <f>IF(AK$2=$A11,AK$3*AtomicWeights!$B$4/AK$5,0)</f>
        <v>0</v>
      </c>
      <c r="AL11" s="14">
        <f>IF(AL$2=$A11,AL$3*AtomicWeights!$B$4/AL$5,0)</f>
        <v>0</v>
      </c>
      <c r="AM11" s="14">
        <f>IF(AM$2=$A11,AM$3*AtomicWeights!$B$4/AM$5,0)</f>
        <v>0</v>
      </c>
      <c r="AN11" s="14">
        <f>IF(AN$2=$A11,AN$3*AtomicWeights!$B$4/AN$5,0)</f>
        <v>0</v>
      </c>
      <c r="AO11" s="14">
        <f>IF(AO$2=$A11,AO$3*AtomicWeights!$B$4/AO$5,0)</f>
        <v>0</v>
      </c>
      <c r="AP11" s="14">
        <f>IF(AP$2=$A11,AP$3*AtomicWeights!$B$4/AP$5,0)</f>
        <v>0</v>
      </c>
      <c r="AQ11" s="14">
        <f>IF(AQ$2=$A11,AQ$3*AtomicWeights!$B$4/AQ$5,0)</f>
        <v>0</v>
      </c>
      <c r="AR11" s="14">
        <f>IF(AR$2=$A11,AR$3*AtomicWeights!$B$4/AR$5,0)</f>
        <v>0</v>
      </c>
      <c r="AS11" s="14">
        <f>IF(AS$2=$A11,AS$3*AtomicWeights!$B$4/AS$5,0)</f>
        <v>0</v>
      </c>
      <c r="AT11" s="14">
        <f>IF(AT$2=$A11,AT$3*AtomicWeights!$B$4/AT$5,0)</f>
        <v>0</v>
      </c>
      <c r="AU11" s="14">
        <f>IF(AU$2=$A11,AU$3*AtomicWeights!$B$4/AU$5,0)</f>
        <v>0</v>
      </c>
      <c r="AV11" s="14">
        <f>IF(AV$2=$A11,AV$3*AtomicWeights!$B$4/AV$5,0)</f>
        <v>0</v>
      </c>
      <c r="AW11" s="14">
        <f>IF(AW$2=$A11,AW$3*AtomicWeights!$B$4/AW$5,0)</f>
        <v>0</v>
      </c>
    </row>
    <row r="12" spans="1:49" x14ac:dyDescent="0.25">
      <c r="A12" s="13" t="s">
        <v>24</v>
      </c>
      <c r="B12" t="str">
        <f>AtomicWeights!$C$5</f>
        <v>NO</v>
      </c>
      <c r="C12" s="14">
        <f>IF(C$2=$A12,C$3*AtomicWeights!$B$5/C$5,0)</f>
        <v>0</v>
      </c>
      <c r="D12" s="14">
        <f>IF(D$2=$A12,D$3*AtomicWeights!$B$5/D$5,0)</f>
        <v>0</v>
      </c>
      <c r="E12" s="14">
        <f>IF(E$2=$A12,E$3*AtomicWeights!$B$5/E$5,0)</f>
        <v>0.74032234503578909</v>
      </c>
      <c r="F12" s="14">
        <f>IF(F$2=$A12,F$3*AtomicWeights!$B$5/F$5,0)</f>
        <v>0</v>
      </c>
      <c r="G12" s="14">
        <f>IF(G$2=$A12,G$3*AtomicWeights!$B$5/G$5,0)</f>
        <v>0</v>
      </c>
      <c r="H12" s="14">
        <f>IF(H$2=$A12,H$3*AtomicWeights!$B$5/H$5,0)</f>
        <v>0</v>
      </c>
      <c r="I12" s="14">
        <f>IF(I$2=$A12,I$3*AtomicWeights!$B$5/I$5,0)</f>
        <v>0</v>
      </c>
      <c r="J12" s="14">
        <f>IF(J$2=$A12,J$3*AtomicWeights!$B$5/J$5,0)</f>
        <v>0</v>
      </c>
      <c r="K12" s="14">
        <f>IF(K$2=$A12,K$3*AtomicWeights!$B$5/K$5,0)</f>
        <v>0</v>
      </c>
      <c r="L12" s="14">
        <f>IF(L$2=$A12,L$3*AtomicWeights!$B$5/L$5,0)</f>
        <v>0</v>
      </c>
      <c r="M12" s="14">
        <f>IF(M$2=$A12,M$3*AtomicWeights!$B$5/M$5,0)</f>
        <v>0</v>
      </c>
      <c r="N12" s="14">
        <f>IF(N$2=$A12,N$3*AtomicWeights!$B$5/N$5,0)</f>
        <v>0</v>
      </c>
      <c r="O12" s="14">
        <f>IF(O$2=$A12,O$3*AtomicWeights!$B$5/O$5,0)</f>
        <v>0</v>
      </c>
      <c r="P12" s="14">
        <f>IF(P$2=$A12,P$3*AtomicWeights!$B$5/P$5,0)</f>
        <v>0</v>
      </c>
      <c r="Q12" s="14">
        <f>IF(Q$2=$A12,Q$3*AtomicWeights!$B$5/Q$5,0)</f>
        <v>0</v>
      </c>
      <c r="R12" s="14">
        <f>IF(R$2=$A12,R$3*AtomicWeights!$B$5/R$5,0)</f>
        <v>0</v>
      </c>
      <c r="S12" s="14">
        <f>IF(S$2=$A12,S$3*AtomicWeights!$B$5/S$5,0)</f>
        <v>0</v>
      </c>
      <c r="T12" s="14">
        <f>IF(T$2=$A12,T$3*AtomicWeights!$B$5/T$5,0)</f>
        <v>0</v>
      </c>
      <c r="U12" s="14">
        <f>IF(U$2=$A12,U$3*AtomicWeights!$B$5/U$5,0)</f>
        <v>0</v>
      </c>
      <c r="V12" s="14">
        <f>IF(V$2=$A12,V$3*AtomicWeights!$B$5/V$5,0)</f>
        <v>0</v>
      </c>
      <c r="W12" s="14">
        <f>IF(W$2=$A12,W$3*AtomicWeights!$B$5/W$5,0)</f>
        <v>0</v>
      </c>
      <c r="X12" s="14">
        <f>IF(X$2=$A12,X$3*AtomicWeights!$B$5/X$5,0)</f>
        <v>0</v>
      </c>
      <c r="Y12" s="14">
        <f>IF(Y$2=$A12,Y$3*AtomicWeights!$B$5/Y$5,0)</f>
        <v>0</v>
      </c>
      <c r="Z12" s="14">
        <f>IF(Z$2=$A12,Z$3*AtomicWeights!$B$5/Z$5,0)</f>
        <v>0</v>
      </c>
      <c r="AA12" s="14">
        <f>IF(AA$2=$A12,AA$3*AtomicWeights!$B$5/AA$5,0)</f>
        <v>0</v>
      </c>
      <c r="AB12" s="14">
        <f>IF(AB$2=$A12,AB$3*AtomicWeights!$B$5/AB$5,0)</f>
        <v>0</v>
      </c>
      <c r="AC12" s="14">
        <f>IF(AC$2=$A12,AC$3*AtomicWeights!$B$5/AC$5,0)</f>
        <v>0</v>
      </c>
      <c r="AD12" s="14">
        <f>IF(AD$2=$A12,AD$3*AtomicWeights!$B$5/AD$5,0)</f>
        <v>0</v>
      </c>
      <c r="AE12" s="14">
        <f>IF(AE$2=$A12,AE$3*AtomicWeights!$B$5/AE$5,0)</f>
        <v>0</v>
      </c>
      <c r="AF12" s="14">
        <f>IF(AF$2=$A12,AF$3*AtomicWeights!$B$5/AF$5,0)</f>
        <v>0</v>
      </c>
      <c r="AG12" s="14">
        <f>IF(AG$2=$A12,AG$3*AtomicWeights!$B$5/AG$5,0)</f>
        <v>0</v>
      </c>
      <c r="AH12" s="14">
        <f>IF(AH$2=$A12,AH$3*AtomicWeights!$B$5/AH$5,0)</f>
        <v>0</v>
      </c>
      <c r="AI12" s="14">
        <f>IF(AI$2=$A12,AI$3*AtomicWeights!$B$5/AI$5,0)</f>
        <v>0</v>
      </c>
      <c r="AJ12" s="14">
        <f>IF(AJ$2=$A12,AJ$3*AtomicWeights!$B$5/AJ$5,0)</f>
        <v>0</v>
      </c>
      <c r="AK12" s="14">
        <f>IF(AK$2=$A12,AK$3*AtomicWeights!$B$5/AK$5,0)</f>
        <v>0</v>
      </c>
      <c r="AL12" s="14">
        <f>IF(AL$2=$A12,AL$3*AtomicWeights!$B$5/AL$5,0)</f>
        <v>0</v>
      </c>
      <c r="AM12" s="14">
        <f>IF(AM$2=$A12,AM$3*AtomicWeights!$B$5/AM$5,0)</f>
        <v>0</v>
      </c>
      <c r="AN12" s="14">
        <f>IF(AN$2=$A12,AN$3*AtomicWeights!$B$5/AN$5,0)</f>
        <v>0</v>
      </c>
      <c r="AO12" s="14">
        <f>IF(AO$2=$A12,AO$3*AtomicWeights!$B$5/AO$5,0)</f>
        <v>0</v>
      </c>
      <c r="AP12" s="14">
        <f>IF(AP$2=$A12,AP$3*AtomicWeights!$B$5/AP$5,0)</f>
        <v>0</v>
      </c>
      <c r="AQ12" s="14">
        <f>IF(AQ$2=$A12,AQ$3*AtomicWeights!$B$5/AQ$5,0)</f>
        <v>0</v>
      </c>
      <c r="AR12" s="14">
        <f>IF(AR$2=$A12,AR$3*AtomicWeights!$B$5/AR$5,0)</f>
        <v>0</v>
      </c>
      <c r="AS12" s="14">
        <f>IF(AS$2=$A12,AS$3*AtomicWeights!$B$5/AS$5,0)</f>
        <v>0</v>
      </c>
      <c r="AT12" s="14">
        <f>IF(AT$2=$A12,AT$3*AtomicWeights!$B$5/AT$5,0)</f>
        <v>0</v>
      </c>
      <c r="AU12" s="14">
        <f>IF(AU$2=$A12,AU$3*AtomicWeights!$B$5/AU$5,0)</f>
        <v>0</v>
      </c>
      <c r="AV12" s="14">
        <f>IF(AV$2=$A12,AV$3*AtomicWeights!$B$5/AV$5,0)</f>
        <v>0</v>
      </c>
      <c r="AW12" s="14">
        <f>IF(AW$2=$A12,AW$3*AtomicWeights!$B$5/AW$5,0)</f>
        <v>0</v>
      </c>
    </row>
    <row r="13" spans="1:49" x14ac:dyDescent="0.25">
      <c r="A13" s="13" t="s">
        <v>26</v>
      </c>
      <c r="B13" t="str">
        <f>AtomicWeights!$C$6</f>
        <v>yes</v>
      </c>
      <c r="C13" s="14">
        <f>IF(C$2=$A13,C$3*AtomicWeights!$B$6/C$5,0)</f>
        <v>0</v>
      </c>
      <c r="D13" s="14">
        <f>IF(D$2=$A13,D$3*AtomicWeights!$B$6/D$5,0)</f>
        <v>0</v>
      </c>
      <c r="E13" s="14">
        <f>IF(E$2=$A13,E$3*AtomicWeights!$B$6/E$5,0)</f>
        <v>0</v>
      </c>
      <c r="F13" s="14">
        <f>IF(F$2=$A13,F$3*AtomicWeights!$B$6/F$5,0)</f>
        <v>0.84798183269355032</v>
      </c>
      <c r="G13" s="14">
        <f>IF(G$2=$A13,G$3*AtomicWeights!$B$6/G$5,0)</f>
        <v>0</v>
      </c>
      <c r="H13" s="14">
        <f>IF(H$2=$A13,H$3*AtomicWeights!$B$6/H$5,0)</f>
        <v>0</v>
      </c>
      <c r="I13" s="14">
        <f>IF(I$2=$A13,I$3*AtomicWeights!$B$6/I$5,0)</f>
        <v>0</v>
      </c>
      <c r="J13" s="14">
        <f>IF(J$2=$A13,J$3*AtomicWeights!$B$6/J$5,0)</f>
        <v>0</v>
      </c>
      <c r="K13" s="14">
        <f>IF(K$2=$A13,K$3*AtomicWeights!$B$6/K$5,0)</f>
        <v>0</v>
      </c>
      <c r="L13" s="14">
        <f>IF(L$2=$A13,L$3*AtomicWeights!$B$6/L$5,0)</f>
        <v>0</v>
      </c>
      <c r="M13" s="14">
        <f>IF(M$2=$A13,M$3*AtomicWeights!$B$6/M$5,0)</f>
        <v>0</v>
      </c>
      <c r="N13" s="14">
        <f>IF(N$2=$A13,N$3*AtomicWeights!$B$6/N$5,0)</f>
        <v>0</v>
      </c>
      <c r="O13" s="14">
        <f>IF(O$2=$A13,O$3*AtomicWeights!$B$6/O$5,0)</f>
        <v>0</v>
      </c>
      <c r="P13" s="14">
        <f>IF(P$2=$A13,P$3*AtomicWeights!$B$6/P$5,0)</f>
        <v>0</v>
      </c>
      <c r="Q13" s="14">
        <f>IF(Q$2=$A13,Q$3*AtomicWeights!$B$6/Q$5,0)</f>
        <v>0</v>
      </c>
      <c r="R13" s="14">
        <f>IF(R$2=$A13,R$3*AtomicWeights!$B$6/R$5,0)</f>
        <v>0</v>
      </c>
      <c r="S13" s="14">
        <f>IF(S$2=$A13,S$3*AtomicWeights!$B$6/S$5,0)</f>
        <v>0</v>
      </c>
      <c r="T13" s="14">
        <f>IF(T$2=$A13,T$3*AtomicWeights!$B$6/T$5,0)</f>
        <v>0</v>
      </c>
      <c r="U13" s="14">
        <f>IF(U$2=$A13,U$3*AtomicWeights!$B$6/U$5,0)</f>
        <v>0</v>
      </c>
      <c r="V13" s="14">
        <f>IF(V$2=$A13,V$3*AtomicWeights!$B$6/V$5,0)</f>
        <v>0</v>
      </c>
      <c r="W13" s="14">
        <f>IF(W$2=$A13,W$3*AtomicWeights!$B$6/W$5,0)</f>
        <v>0</v>
      </c>
      <c r="X13" s="14">
        <f>IF(X$2=$A13,X$3*AtomicWeights!$B$6/X$5,0)</f>
        <v>0</v>
      </c>
      <c r="Y13" s="14">
        <f>IF(Y$2=$A13,Y$3*AtomicWeights!$B$6/Y$5,0)</f>
        <v>0</v>
      </c>
      <c r="Z13" s="14">
        <f>IF(Z$2=$A13,Z$3*AtomicWeights!$B$6/Z$5,0)</f>
        <v>0</v>
      </c>
      <c r="AA13" s="14">
        <f>IF(AA$2=$A13,AA$3*AtomicWeights!$B$6/AA$5,0)</f>
        <v>0</v>
      </c>
      <c r="AB13" s="14">
        <f>IF(AB$2=$A13,AB$3*AtomicWeights!$B$6/AB$5,0)</f>
        <v>0</v>
      </c>
      <c r="AC13" s="14">
        <f>IF(AC$2=$A13,AC$3*AtomicWeights!$B$6/AC$5,0)</f>
        <v>0</v>
      </c>
      <c r="AD13" s="14">
        <f>IF(AD$2=$A13,AD$3*AtomicWeights!$B$6/AD$5,0)</f>
        <v>0</v>
      </c>
      <c r="AE13" s="14">
        <f>IF(AE$2=$A13,AE$3*AtomicWeights!$B$6/AE$5,0)</f>
        <v>0</v>
      </c>
      <c r="AF13" s="14">
        <f>IF(AF$2=$A13,AF$3*AtomicWeights!$B$6/AF$5,0)</f>
        <v>0</v>
      </c>
      <c r="AG13" s="14">
        <f>IF(AG$2=$A13,AG$3*AtomicWeights!$B$6/AG$5,0)</f>
        <v>0</v>
      </c>
      <c r="AH13" s="14">
        <f>IF(AH$2=$A13,AH$3*AtomicWeights!$B$6/AH$5,0)</f>
        <v>0</v>
      </c>
      <c r="AI13" s="14">
        <f>IF(AI$2=$A13,AI$3*AtomicWeights!$B$6/AI$5,0)</f>
        <v>0</v>
      </c>
      <c r="AJ13" s="14">
        <f>IF(AJ$2=$A13,AJ$3*AtomicWeights!$B$6/AJ$5,0)</f>
        <v>0</v>
      </c>
      <c r="AK13" s="14">
        <f>IF(AK$2=$A13,AK$3*AtomicWeights!$B$6/AK$5,0)</f>
        <v>0</v>
      </c>
      <c r="AL13" s="14">
        <f>IF(AL$2=$A13,AL$3*AtomicWeights!$B$6/AL$5,0)</f>
        <v>0</v>
      </c>
      <c r="AM13" s="14">
        <f>IF(AM$2=$A13,AM$3*AtomicWeights!$B$6/AM$5,0)</f>
        <v>0</v>
      </c>
      <c r="AN13" s="14">
        <f>IF(AN$2=$A13,AN$3*AtomicWeights!$B$6/AN$5,0)</f>
        <v>0</v>
      </c>
      <c r="AO13" s="14">
        <f>IF(AO$2=$A13,AO$3*AtomicWeights!$B$6/AO$5,0)</f>
        <v>0</v>
      </c>
      <c r="AP13" s="14">
        <f>IF(AP$2=$A13,AP$3*AtomicWeights!$B$6/AP$5,0)</f>
        <v>0</v>
      </c>
      <c r="AQ13" s="14">
        <f>IF(AQ$2=$A13,AQ$3*AtomicWeights!$B$6/AQ$5,0)</f>
        <v>0</v>
      </c>
      <c r="AR13" s="14">
        <f>IF(AR$2=$A13,AR$3*AtomicWeights!$B$6/AR$5,0)</f>
        <v>0</v>
      </c>
      <c r="AS13" s="14">
        <f>IF(AS$2=$A13,AS$3*AtomicWeights!$B$6/AS$5,0)</f>
        <v>0</v>
      </c>
      <c r="AT13" s="14">
        <f>IF(AT$2=$A13,AT$3*AtomicWeights!$B$6/AT$5,0)</f>
        <v>0</v>
      </c>
      <c r="AU13" s="14">
        <f>IF(AU$2=$A13,AU$3*AtomicWeights!$B$6/AU$5,0)</f>
        <v>0</v>
      </c>
      <c r="AV13" s="14">
        <f>IF(AV$2=$A13,AV$3*AtomicWeights!$B$6/AV$5,0)</f>
        <v>0</v>
      </c>
      <c r="AW13" s="14">
        <f>IF(AW$2=$A13,AW$3*AtomicWeights!$B$6/AW$5,0)</f>
        <v>0</v>
      </c>
    </row>
    <row r="14" spans="1:49" x14ac:dyDescent="0.25">
      <c r="A14" s="13" t="s">
        <v>27</v>
      </c>
      <c r="B14" t="str">
        <f>AtomicWeights!$C$7</f>
        <v>yes</v>
      </c>
      <c r="C14" s="14">
        <f>IF(C$2=$A14,C$3*AtomicWeights!$B$7/C$5,0)</f>
        <v>0</v>
      </c>
      <c r="D14" s="14">
        <f>IF(D$2=$A14,D$3*AtomicWeights!$B$7/D$5,0)</f>
        <v>0</v>
      </c>
      <c r="E14" s="14">
        <f>IF(E$2=$A14,E$3*AtomicWeights!$B$7/E$5,0)</f>
        <v>0</v>
      </c>
      <c r="F14" s="14">
        <f>IF(F$2=$A14,F$3*AtomicWeights!$B$7/F$5,0)</f>
        <v>0</v>
      </c>
      <c r="G14" s="14">
        <f>IF(G$2=$A14,G$3*AtomicWeights!$B$7/G$5,0)</f>
        <v>0.78768214029779438</v>
      </c>
      <c r="H14" s="14">
        <f>IF(H$2=$A14,H$3*AtomicWeights!$B$7/H$5,0)</f>
        <v>0</v>
      </c>
      <c r="I14" s="14">
        <f>IF(I$2=$A14,I$3*AtomicWeights!$B$7/I$5,0)</f>
        <v>0</v>
      </c>
      <c r="J14" s="14">
        <f>IF(J$2=$A14,J$3*AtomicWeights!$B$7/J$5,0)</f>
        <v>0</v>
      </c>
      <c r="K14" s="14">
        <f>IF(K$2=$A14,K$3*AtomicWeights!$B$7/K$5,0)</f>
        <v>0</v>
      </c>
      <c r="L14" s="14">
        <f>IF(L$2=$A14,L$3*AtomicWeights!$B$7/L$5,0)</f>
        <v>0</v>
      </c>
      <c r="M14" s="14">
        <f>IF(M$2=$A14,M$3*AtomicWeights!$B$7/M$5,0)</f>
        <v>0</v>
      </c>
      <c r="N14" s="14">
        <f>IF(N$2=$A14,N$3*AtomicWeights!$B$7/N$5,0)</f>
        <v>0</v>
      </c>
      <c r="O14" s="14">
        <f>IF(O$2=$A14,O$3*AtomicWeights!$B$7/O$5,0)</f>
        <v>0</v>
      </c>
      <c r="P14" s="14">
        <f>IF(P$2=$A14,P$3*AtomicWeights!$B$7/P$5,0)</f>
        <v>0</v>
      </c>
      <c r="Q14" s="14">
        <f>IF(Q$2=$A14,Q$3*AtomicWeights!$B$7/Q$5,0)</f>
        <v>0</v>
      </c>
      <c r="R14" s="14">
        <f>IF(R$2=$A14,R$3*AtomicWeights!$B$7/R$5,0)</f>
        <v>0</v>
      </c>
      <c r="S14" s="14">
        <f>IF(S$2=$A14,S$3*AtomicWeights!$B$7/S$5,0)</f>
        <v>0</v>
      </c>
      <c r="T14" s="14">
        <f>IF(T$2=$A14,T$3*AtomicWeights!$B$7/T$5,0)</f>
        <v>0</v>
      </c>
      <c r="U14" s="14">
        <f>IF(U$2=$A14,U$3*AtomicWeights!$B$7/U$5,0)</f>
        <v>0</v>
      </c>
      <c r="V14" s="14">
        <f>IF(V$2=$A14,V$3*AtomicWeights!$B$7/V$5,0)</f>
        <v>0</v>
      </c>
      <c r="W14" s="14">
        <f>IF(W$2=$A14,W$3*AtomicWeights!$B$7/W$5,0)</f>
        <v>0</v>
      </c>
      <c r="X14" s="14">
        <f>IF(X$2=$A14,X$3*AtomicWeights!$B$7/X$5,0)</f>
        <v>0</v>
      </c>
      <c r="Y14" s="14">
        <f>IF(Y$2=$A14,Y$3*AtomicWeights!$B$7/Y$5,0)</f>
        <v>0</v>
      </c>
      <c r="Z14" s="14">
        <f>IF(Z$2=$A14,Z$3*AtomicWeights!$B$7/Z$5,0)</f>
        <v>0</v>
      </c>
      <c r="AA14" s="14">
        <f>IF(AA$2=$A14,AA$3*AtomicWeights!$B$7/AA$5,0)</f>
        <v>0</v>
      </c>
      <c r="AB14" s="14">
        <f>IF(AB$2=$A14,AB$3*AtomicWeights!$B$7/AB$5,0)</f>
        <v>0</v>
      </c>
      <c r="AC14" s="14">
        <f>IF(AC$2=$A14,AC$3*AtomicWeights!$B$7/AC$5,0)</f>
        <v>0</v>
      </c>
      <c r="AD14" s="14">
        <f>IF(AD$2=$A14,AD$3*AtomicWeights!$B$7/AD$5,0)</f>
        <v>0</v>
      </c>
      <c r="AE14" s="14">
        <f>IF(AE$2=$A14,AE$3*AtomicWeights!$B$7/AE$5,0)</f>
        <v>0</v>
      </c>
      <c r="AF14" s="14">
        <f>IF(AF$2=$A14,AF$3*AtomicWeights!$B$7/AF$5,0)</f>
        <v>0</v>
      </c>
      <c r="AG14" s="14">
        <f>IF(AG$2=$A14,AG$3*AtomicWeights!$B$7/AG$5,0)</f>
        <v>0</v>
      </c>
      <c r="AH14" s="14">
        <f>IF(AH$2=$A14,AH$3*AtomicWeights!$B$7/AH$5,0)</f>
        <v>0</v>
      </c>
      <c r="AI14" s="14">
        <f>IF(AI$2=$A14,AI$3*AtomicWeights!$B$7/AI$5,0)</f>
        <v>0</v>
      </c>
      <c r="AJ14" s="14">
        <f>IF(AJ$2=$A14,AJ$3*AtomicWeights!$B$7/AJ$5,0)</f>
        <v>0</v>
      </c>
      <c r="AK14" s="14">
        <f>IF(AK$2=$A14,AK$3*AtomicWeights!$B$7/AK$5,0)</f>
        <v>0</v>
      </c>
      <c r="AL14" s="14">
        <f>IF(AL$2=$A14,AL$3*AtomicWeights!$B$7/AL$5,0)</f>
        <v>0</v>
      </c>
      <c r="AM14" s="14">
        <f>IF(AM$2=$A14,AM$3*AtomicWeights!$B$7/AM$5,0)</f>
        <v>0</v>
      </c>
      <c r="AN14" s="14">
        <f>IF(AN$2=$A14,AN$3*AtomicWeights!$B$7/AN$5,0)</f>
        <v>0</v>
      </c>
      <c r="AO14" s="14">
        <f>IF(AO$2=$A14,AO$3*AtomicWeights!$B$7/AO$5,0)</f>
        <v>0</v>
      </c>
      <c r="AP14" s="14">
        <f>IF(AP$2=$A14,AP$3*AtomicWeights!$B$7/AP$5,0)</f>
        <v>0</v>
      </c>
      <c r="AQ14" s="14">
        <f>IF(AQ$2=$A14,AQ$3*AtomicWeights!$B$7/AQ$5,0)</f>
        <v>0</v>
      </c>
      <c r="AR14" s="14">
        <f>IF(AR$2=$A14,AR$3*AtomicWeights!$B$7/AR$5,0)</f>
        <v>0</v>
      </c>
      <c r="AS14" s="14">
        <f>IF(AS$2=$A14,AS$3*AtomicWeights!$B$7/AS$5,0)</f>
        <v>0</v>
      </c>
      <c r="AT14" s="14">
        <f>IF(AT$2=$A14,AT$3*AtomicWeights!$B$7/AT$5,0)</f>
        <v>0</v>
      </c>
      <c r="AU14" s="14">
        <f>IF(AU$2=$A14,AU$3*AtomicWeights!$B$7/AU$5,0)</f>
        <v>0</v>
      </c>
      <c r="AV14" s="14">
        <f>IF(AV$2=$A14,AV$3*AtomicWeights!$B$7/AV$5,0)</f>
        <v>0</v>
      </c>
      <c r="AW14" s="14">
        <f>IF(AW$2=$A14,AW$3*AtomicWeights!$B$7/AW$5,0)</f>
        <v>0</v>
      </c>
    </row>
    <row r="15" spans="1:49" x14ac:dyDescent="0.25">
      <c r="A15" s="13" t="s">
        <v>28</v>
      </c>
      <c r="B15" t="str">
        <f>AtomicWeights!$C$8</f>
        <v>yes</v>
      </c>
      <c r="C15" s="14">
        <f>IF(C$2=$A15,C$3*AtomicWeights!$B$8/C$5,0)</f>
        <v>0</v>
      </c>
      <c r="D15" s="14">
        <f>IF(D$2=$A15,D$3*AtomicWeights!$B$8/D$5,0)</f>
        <v>0</v>
      </c>
      <c r="E15" s="14">
        <f>IF(E$2=$A15,E$3*AtomicWeights!$B$8/E$5,0)</f>
        <v>0</v>
      </c>
      <c r="F15" s="14">
        <f>IF(F$2=$A15,F$3*AtomicWeights!$B$8/F$5,0)</f>
        <v>0</v>
      </c>
      <c r="G15" s="14">
        <f>IF(G$2=$A15,G$3*AtomicWeights!$B$8/G$5,0)</f>
        <v>0</v>
      </c>
      <c r="H15" s="14">
        <f>IF(H$2=$A15,H$3*AtomicWeights!$B$8/H$5,0)</f>
        <v>0.52925692670867641</v>
      </c>
      <c r="I15" s="14">
        <f>IF(I$2=$A15,I$3*AtomicWeights!$B$8/I$5,0)</f>
        <v>0</v>
      </c>
      <c r="J15" s="14">
        <f>IF(J$2=$A15,J$3*AtomicWeights!$B$8/J$5,0)</f>
        <v>0</v>
      </c>
      <c r="K15" s="14">
        <f>IF(K$2=$A15,K$3*AtomicWeights!$B$8/K$5,0)</f>
        <v>0</v>
      </c>
      <c r="L15" s="14">
        <f>IF(L$2=$A15,L$3*AtomicWeights!$B$8/L$5,0)</f>
        <v>0</v>
      </c>
      <c r="M15" s="14">
        <f>IF(M$2=$A15,M$3*AtomicWeights!$B$8/M$5,0)</f>
        <v>0</v>
      </c>
      <c r="N15" s="14">
        <f>IF(N$2=$A15,N$3*AtomicWeights!$B$8/N$5,0)</f>
        <v>0</v>
      </c>
      <c r="O15" s="14">
        <f>IF(O$2=$A15,O$3*AtomicWeights!$B$8/O$5,0)</f>
        <v>0</v>
      </c>
      <c r="P15" s="14">
        <f>IF(P$2=$A15,P$3*AtomicWeights!$B$8/P$5,0)</f>
        <v>0</v>
      </c>
      <c r="Q15" s="14">
        <f>IF(Q$2=$A15,Q$3*AtomicWeights!$B$8/Q$5,0)</f>
        <v>0</v>
      </c>
      <c r="R15" s="14">
        <f>IF(R$2=$A15,R$3*AtomicWeights!$B$8/R$5,0)</f>
        <v>0</v>
      </c>
      <c r="S15" s="14">
        <f>IF(S$2=$A15,S$3*AtomicWeights!$B$8/S$5,0)</f>
        <v>0</v>
      </c>
      <c r="T15" s="14">
        <f>IF(T$2=$A15,T$3*AtomicWeights!$B$8/T$5,0)</f>
        <v>0</v>
      </c>
      <c r="U15" s="14">
        <f>IF(U$2=$A15,U$3*AtomicWeights!$B$8/U$5,0)</f>
        <v>0</v>
      </c>
      <c r="V15" s="14">
        <f>IF(V$2=$A15,V$3*AtomicWeights!$B$8/V$5,0)</f>
        <v>0</v>
      </c>
      <c r="W15" s="14">
        <f>IF(W$2=$A15,W$3*AtomicWeights!$B$8/W$5,0)</f>
        <v>0</v>
      </c>
      <c r="X15" s="14">
        <f>IF(X$2=$A15,X$3*AtomicWeights!$B$8/X$5,0)</f>
        <v>0</v>
      </c>
      <c r="Y15" s="14">
        <f>IF(Y$2=$A15,Y$3*AtomicWeights!$B$8/Y$5,0)</f>
        <v>0</v>
      </c>
      <c r="Z15" s="14">
        <f>IF(Z$2=$A15,Z$3*AtomicWeights!$B$8/Z$5,0)</f>
        <v>0</v>
      </c>
      <c r="AA15" s="14">
        <f>IF(AA$2=$A15,AA$3*AtomicWeights!$B$8/AA$5,0)</f>
        <v>0</v>
      </c>
      <c r="AB15" s="14">
        <f>IF(AB$2=$A15,AB$3*AtomicWeights!$B$8/AB$5,0)</f>
        <v>0</v>
      </c>
      <c r="AC15" s="14">
        <f>IF(AC$2=$A15,AC$3*AtomicWeights!$B$8/AC$5,0)</f>
        <v>0</v>
      </c>
      <c r="AD15" s="14">
        <f>IF(AD$2=$A15,AD$3*AtomicWeights!$B$8/AD$5,0)</f>
        <v>0</v>
      </c>
      <c r="AE15" s="14">
        <f>IF(AE$2=$A15,AE$3*AtomicWeights!$B$8/AE$5,0)</f>
        <v>0</v>
      </c>
      <c r="AF15" s="14">
        <f>IF(AF$2=$A15,AF$3*AtomicWeights!$B$8/AF$5,0)</f>
        <v>0</v>
      </c>
      <c r="AG15" s="14">
        <f>IF(AG$2=$A15,AG$3*AtomicWeights!$B$8/AG$5,0)</f>
        <v>0</v>
      </c>
      <c r="AH15" s="14">
        <f>IF(AH$2=$A15,AH$3*AtomicWeights!$B$8/AH$5,0)</f>
        <v>0</v>
      </c>
      <c r="AI15" s="14">
        <f>IF(AI$2=$A15,AI$3*AtomicWeights!$B$8/AI$5,0)</f>
        <v>0</v>
      </c>
      <c r="AJ15" s="14">
        <f>IF(AJ$2=$A15,AJ$3*AtomicWeights!$B$8/AJ$5,0)</f>
        <v>0</v>
      </c>
      <c r="AK15" s="14">
        <f>IF(AK$2=$A15,AK$3*AtomicWeights!$B$8/AK$5,0)</f>
        <v>0</v>
      </c>
      <c r="AL15" s="14">
        <f>IF(AL$2=$A15,AL$3*AtomicWeights!$B$8/AL$5,0)</f>
        <v>0</v>
      </c>
      <c r="AM15" s="14">
        <f>IF(AM$2=$A15,AM$3*AtomicWeights!$B$8/AM$5,0)</f>
        <v>0</v>
      </c>
      <c r="AN15" s="14">
        <f>IF(AN$2=$A15,AN$3*AtomicWeights!$B$8/AN$5,0)</f>
        <v>0</v>
      </c>
      <c r="AO15" s="14">
        <f>IF(AO$2=$A15,AO$3*AtomicWeights!$B$8/AO$5,0)</f>
        <v>0</v>
      </c>
      <c r="AP15" s="14">
        <f>IF(AP$2=$A15,AP$3*AtomicWeights!$B$8/AP$5,0)</f>
        <v>0</v>
      </c>
      <c r="AQ15" s="14">
        <f>IF(AQ$2=$A15,AQ$3*AtomicWeights!$B$8/AQ$5,0)</f>
        <v>0</v>
      </c>
      <c r="AR15" s="14">
        <f>IF(AR$2=$A15,AR$3*AtomicWeights!$B$8/AR$5,0)</f>
        <v>0</v>
      </c>
      <c r="AS15" s="14">
        <f>IF(AS$2=$A15,AS$3*AtomicWeights!$B$8/AS$5,0)</f>
        <v>0</v>
      </c>
      <c r="AT15" s="14">
        <f>IF(AT$2=$A15,AT$3*AtomicWeights!$B$8/AT$5,0)</f>
        <v>0</v>
      </c>
      <c r="AU15" s="14">
        <f>IF(AU$2=$A15,AU$3*AtomicWeights!$B$8/AU$5,0)</f>
        <v>0</v>
      </c>
      <c r="AV15" s="14">
        <f>IF(AV$2=$A15,AV$3*AtomicWeights!$B$8/AV$5,0)</f>
        <v>0</v>
      </c>
      <c r="AW15" s="14">
        <f>IF(AW$2=$A15,AW$3*AtomicWeights!$B$8/AW$5,0)</f>
        <v>0</v>
      </c>
    </row>
    <row r="16" spans="1:49" x14ac:dyDescent="0.25">
      <c r="A16" s="13" t="s">
        <v>29</v>
      </c>
      <c r="B16" t="str">
        <f>AtomicWeights!$C$9</f>
        <v>yes</v>
      </c>
      <c r="C16" s="14">
        <f>IF(C$2=$A16,C$3*AtomicWeights!$B$9/C$5,0)</f>
        <v>0</v>
      </c>
      <c r="D16" s="14">
        <f>IF(D$2=$A16,D$3*AtomicWeights!$B$9/D$5,0)</f>
        <v>0</v>
      </c>
      <c r="E16" s="14">
        <f>IF(E$2=$A16,E$3*AtomicWeights!$B$9/E$5,0)</f>
        <v>0</v>
      </c>
      <c r="F16" s="14">
        <f>IF(F$2=$A16,F$3*AtomicWeights!$B$9/F$5,0)</f>
        <v>0</v>
      </c>
      <c r="G16" s="14">
        <f>IF(G$2=$A16,G$3*AtomicWeights!$B$9/G$5,0)</f>
        <v>0</v>
      </c>
      <c r="H16" s="14">
        <f>IF(H$2=$A16,H$3*AtomicWeights!$B$9/H$5,0)</f>
        <v>0</v>
      </c>
      <c r="I16" s="14">
        <f>IF(I$2=$A16,I$3*AtomicWeights!$B$9/I$5,0)</f>
        <v>0.69943076142704164</v>
      </c>
      <c r="J16" s="14">
        <f>IF(J$2=$A16,J$3*AtomicWeights!$B$9/J$5,0)</f>
        <v>0.77730916986804743</v>
      </c>
      <c r="K16" s="14">
        <f>IF(K$2=$A16,K$3*AtomicWeights!$B$9/K$5,0)</f>
        <v>0</v>
      </c>
      <c r="L16" s="14">
        <f>IF(L$2=$A16,L$3*AtomicWeights!$B$9/L$5,0)</f>
        <v>0</v>
      </c>
      <c r="M16" s="14">
        <f>IF(M$2=$A16,M$3*AtomicWeights!$B$9/M$5,0)</f>
        <v>0</v>
      </c>
      <c r="N16" s="14">
        <f>IF(N$2=$A16,N$3*AtomicWeights!$B$9/N$5,0)</f>
        <v>0</v>
      </c>
      <c r="O16" s="14">
        <f>IF(O$2=$A16,O$3*AtomicWeights!$B$9/O$5,0)</f>
        <v>0</v>
      </c>
      <c r="P16" s="14">
        <f>IF(P$2=$A16,P$3*AtomicWeights!$B$9/P$5,0)</f>
        <v>0</v>
      </c>
      <c r="Q16" s="14">
        <f>IF(Q$2=$A16,Q$3*AtomicWeights!$B$9/Q$5,0)</f>
        <v>0</v>
      </c>
      <c r="R16" s="14">
        <f>IF(R$2=$A16,R$3*AtomicWeights!$B$9/R$5,0)</f>
        <v>0</v>
      </c>
      <c r="S16" s="14">
        <f>IF(S$2=$A16,S$3*AtomicWeights!$B$9/S$5,0)</f>
        <v>0</v>
      </c>
      <c r="T16" s="14">
        <f>IF(T$2=$A16,T$3*AtomicWeights!$B$9/T$5,0)</f>
        <v>0</v>
      </c>
      <c r="U16" s="14">
        <f>IF(U$2=$A16,U$3*AtomicWeights!$B$9/U$5,0)</f>
        <v>0</v>
      </c>
      <c r="V16" s="14">
        <f>IF(V$2=$A16,V$3*AtomicWeights!$B$9/V$5,0)</f>
        <v>0</v>
      </c>
      <c r="W16" s="14">
        <f>IF(W$2=$A16,W$3*AtomicWeights!$B$9/W$5,0)</f>
        <v>0</v>
      </c>
      <c r="X16" s="14">
        <f>IF(X$2=$A16,X$3*AtomicWeights!$B$9/X$5,0)</f>
        <v>0</v>
      </c>
      <c r="Y16" s="14">
        <f>IF(Y$2=$A16,Y$3*AtomicWeights!$B$9/Y$5,0)</f>
        <v>0</v>
      </c>
      <c r="Z16" s="14">
        <f>IF(Z$2=$A16,Z$3*AtomicWeights!$B$9/Z$5,0)</f>
        <v>0</v>
      </c>
      <c r="AA16" s="14">
        <f>IF(AA$2=$A16,AA$3*AtomicWeights!$B$9/AA$5,0)</f>
        <v>0</v>
      </c>
      <c r="AB16" s="14">
        <f>IF(AB$2=$A16,AB$3*AtomicWeights!$B$9/AB$5,0)</f>
        <v>0</v>
      </c>
      <c r="AC16" s="14">
        <f>IF(AC$2=$A16,AC$3*AtomicWeights!$B$9/AC$5,0)</f>
        <v>0</v>
      </c>
      <c r="AD16" s="14">
        <f>IF(AD$2=$A16,AD$3*AtomicWeights!$B$9/AD$5,0)</f>
        <v>0</v>
      </c>
      <c r="AE16" s="14">
        <f>IF(AE$2=$A16,AE$3*AtomicWeights!$B$9/AE$5,0)</f>
        <v>0</v>
      </c>
      <c r="AF16" s="14">
        <f>IF(AF$2=$A16,AF$3*AtomicWeights!$B$9/AF$5,0)</f>
        <v>0</v>
      </c>
      <c r="AG16" s="14">
        <f>IF(AG$2=$A16,AG$3*AtomicWeights!$B$9/AG$5,0)</f>
        <v>0</v>
      </c>
      <c r="AH16" s="14">
        <f>IF(AH$2=$A16,AH$3*AtomicWeights!$B$9/AH$5,0)</f>
        <v>0</v>
      </c>
      <c r="AI16" s="14">
        <f>IF(AI$2=$A16,AI$3*AtomicWeights!$B$9/AI$5,0)</f>
        <v>0</v>
      </c>
      <c r="AJ16" s="14">
        <f>IF(AJ$2=$A16,AJ$3*AtomicWeights!$B$9/AJ$5,0)</f>
        <v>0</v>
      </c>
      <c r="AK16" s="14">
        <f>IF(AK$2=$A16,AK$3*AtomicWeights!$B$9/AK$5,0)</f>
        <v>0</v>
      </c>
      <c r="AL16" s="14">
        <f>IF(AL$2=$A16,AL$3*AtomicWeights!$B$9/AL$5,0)</f>
        <v>0</v>
      </c>
      <c r="AM16" s="14">
        <f>IF(AM$2=$A16,AM$3*AtomicWeights!$B$9/AM$5,0)</f>
        <v>0</v>
      </c>
      <c r="AN16" s="14">
        <f>IF(AN$2=$A16,AN$3*AtomicWeights!$B$9/AN$5,0)</f>
        <v>0</v>
      </c>
      <c r="AO16" s="14">
        <f>IF(AO$2=$A16,AO$3*AtomicWeights!$B$9/AO$5,0)</f>
        <v>0</v>
      </c>
      <c r="AP16" s="14">
        <f>IF(AP$2=$A16,AP$3*AtomicWeights!$B$9/AP$5,0)</f>
        <v>0</v>
      </c>
      <c r="AQ16" s="14">
        <f>IF(AQ$2=$A16,AQ$3*AtomicWeights!$B$9/AQ$5,0)</f>
        <v>0</v>
      </c>
      <c r="AR16" s="14">
        <f>IF(AR$2=$A16,AR$3*AtomicWeights!$B$9/AR$5,0)</f>
        <v>0</v>
      </c>
      <c r="AS16" s="14">
        <f>IF(AS$2=$A16,AS$3*AtomicWeights!$B$9/AS$5,0)</f>
        <v>0</v>
      </c>
      <c r="AT16" s="14">
        <f>IF(AT$2=$A16,AT$3*AtomicWeights!$B$9/AT$5,0)</f>
        <v>0</v>
      </c>
      <c r="AU16" s="14">
        <f>IF(AU$2=$A16,AU$3*AtomicWeights!$B$9/AU$5,0)</f>
        <v>0</v>
      </c>
      <c r="AV16" s="14">
        <f>IF(AV$2=$A16,AV$3*AtomicWeights!$B$9/AV$5,0)</f>
        <v>0</v>
      </c>
      <c r="AW16" s="14">
        <f>IF(AW$2=$A16,AW$3*AtomicWeights!$B$9/AW$5,0)</f>
        <v>0</v>
      </c>
    </row>
    <row r="17" spans="1:49" x14ac:dyDescent="0.25">
      <c r="A17" s="13" t="s">
        <v>30</v>
      </c>
      <c r="B17" t="str">
        <f>AtomicWeights!$C$10</f>
        <v>yes</v>
      </c>
      <c r="C17" s="14">
        <f>IF(C$2=$A17,C$3*AtomicWeights!$B$10/C$5,0)</f>
        <v>0</v>
      </c>
      <c r="D17" s="14">
        <f>IF(D$2=$A17,D$3*AtomicWeights!$B$10/D$5,0)</f>
        <v>0</v>
      </c>
      <c r="E17" s="14">
        <f>IF(E$2=$A17,E$3*AtomicWeights!$B$10/E$5,0)</f>
        <v>0</v>
      </c>
      <c r="F17" s="14">
        <f>IF(F$2=$A17,F$3*AtomicWeights!$B$10/F$5,0)</f>
        <v>0</v>
      </c>
      <c r="G17" s="14">
        <f>IF(G$2=$A17,G$3*AtomicWeights!$B$10/G$5,0)</f>
        <v>0</v>
      </c>
      <c r="H17" s="14">
        <f>IF(H$2=$A17,H$3*AtomicWeights!$B$10/H$5,0)</f>
        <v>0</v>
      </c>
      <c r="I17" s="14">
        <f>IF(I$2=$A17,I$3*AtomicWeights!$B$10/I$5,0)</f>
        <v>0</v>
      </c>
      <c r="J17" s="14">
        <f>IF(J$2=$A17,J$3*AtomicWeights!$B$10/J$5,0)</f>
        <v>0</v>
      </c>
      <c r="K17" s="14">
        <f>IF(K$2=$A17,K$3*AtomicWeights!$B$10/K$5,0)</f>
        <v>0.77446198632127949</v>
      </c>
      <c r="L17" s="14">
        <f>IF(L$2=$A17,L$3*AtomicWeights!$B$10/L$5,0)</f>
        <v>0</v>
      </c>
      <c r="M17" s="14">
        <f>IF(M$2=$A17,M$3*AtomicWeights!$B$10/M$5,0)</f>
        <v>0</v>
      </c>
      <c r="N17" s="14">
        <f>IF(N$2=$A17,N$3*AtomicWeights!$B$10/N$5,0)</f>
        <v>0</v>
      </c>
      <c r="O17" s="14">
        <f>IF(O$2=$A17,O$3*AtomicWeights!$B$10/O$5,0)</f>
        <v>0</v>
      </c>
      <c r="P17" s="14">
        <f>IF(P$2=$A17,P$3*AtomicWeights!$B$10/P$5,0)</f>
        <v>0</v>
      </c>
      <c r="Q17" s="14">
        <f>IF(Q$2=$A17,Q$3*AtomicWeights!$B$10/Q$5,0)</f>
        <v>0</v>
      </c>
      <c r="R17" s="14">
        <f>IF(R$2=$A17,R$3*AtomicWeights!$B$10/R$5,0)</f>
        <v>0</v>
      </c>
      <c r="S17" s="14">
        <f>IF(S$2=$A17,S$3*AtomicWeights!$B$10/S$5,0)</f>
        <v>0</v>
      </c>
      <c r="T17" s="14">
        <f>IF(T$2=$A17,T$3*AtomicWeights!$B$10/T$5,0)</f>
        <v>0</v>
      </c>
      <c r="U17" s="14">
        <f>IF(U$2=$A17,U$3*AtomicWeights!$B$10/U$5,0)</f>
        <v>0</v>
      </c>
      <c r="V17" s="14">
        <f>IF(V$2=$A17,V$3*AtomicWeights!$B$10/V$5,0)</f>
        <v>0</v>
      </c>
      <c r="W17" s="14">
        <f>IF(W$2=$A17,W$3*AtomicWeights!$B$10/W$5,0)</f>
        <v>0</v>
      </c>
      <c r="X17" s="14">
        <f>IF(X$2=$A17,X$3*AtomicWeights!$B$10/X$5,0)</f>
        <v>0</v>
      </c>
      <c r="Y17" s="14">
        <f>IF(Y$2=$A17,Y$3*AtomicWeights!$B$10/Y$5,0)</f>
        <v>0</v>
      </c>
      <c r="Z17" s="14">
        <f>IF(Z$2=$A17,Z$3*AtomicWeights!$B$10/Z$5,0)</f>
        <v>0</v>
      </c>
      <c r="AA17" s="14">
        <f>IF(AA$2=$A17,AA$3*AtomicWeights!$B$10/AA$5,0)</f>
        <v>0</v>
      </c>
      <c r="AB17" s="14">
        <f>IF(AB$2=$A17,AB$3*AtomicWeights!$B$10/AB$5,0)</f>
        <v>0</v>
      </c>
      <c r="AC17" s="14">
        <f>IF(AC$2=$A17,AC$3*AtomicWeights!$B$10/AC$5,0)</f>
        <v>0</v>
      </c>
      <c r="AD17" s="14">
        <f>IF(AD$2=$A17,AD$3*AtomicWeights!$B$10/AD$5,0)</f>
        <v>0</v>
      </c>
      <c r="AE17" s="14">
        <f>IF(AE$2=$A17,AE$3*AtomicWeights!$B$10/AE$5,0)</f>
        <v>0</v>
      </c>
      <c r="AF17" s="14">
        <f>IF(AF$2=$A17,AF$3*AtomicWeights!$B$10/AF$5,0)</f>
        <v>0</v>
      </c>
      <c r="AG17" s="14">
        <f>IF(AG$2=$A17,AG$3*AtomicWeights!$B$10/AG$5,0)</f>
        <v>0</v>
      </c>
      <c r="AH17" s="14">
        <f>IF(AH$2=$A17,AH$3*AtomicWeights!$B$10/AH$5,0)</f>
        <v>0</v>
      </c>
      <c r="AI17" s="14">
        <f>IF(AI$2=$A17,AI$3*AtomicWeights!$B$10/AI$5,0)</f>
        <v>0</v>
      </c>
      <c r="AJ17" s="14">
        <f>IF(AJ$2=$A17,AJ$3*AtomicWeights!$B$10/AJ$5,0)</f>
        <v>0</v>
      </c>
      <c r="AK17" s="14">
        <f>IF(AK$2=$A17,AK$3*AtomicWeights!$B$10/AK$5,0)</f>
        <v>0</v>
      </c>
      <c r="AL17" s="14">
        <f>IF(AL$2=$A17,AL$3*AtomicWeights!$B$10/AL$5,0)</f>
        <v>0</v>
      </c>
      <c r="AM17" s="14">
        <f>IF(AM$2=$A17,AM$3*AtomicWeights!$B$10/AM$5,0)</f>
        <v>0</v>
      </c>
      <c r="AN17" s="14">
        <f>IF(AN$2=$A17,AN$3*AtomicWeights!$B$10/AN$5,0)</f>
        <v>0</v>
      </c>
      <c r="AO17" s="14">
        <f>IF(AO$2=$A17,AO$3*AtomicWeights!$B$10/AO$5,0)</f>
        <v>0</v>
      </c>
      <c r="AP17" s="14">
        <f>IF(AP$2=$A17,AP$3*AtomicWeights!$B$10/AP$5,0)</f>
        <v>0</v>
      </c>
      <c r="AQ17" s="14">
        <f>IF(AQ$2=$A17,AQ$3*AtomicWeights!$B$10/AQ$5,0)</f>
        <v>0</v>
      </c>
      <c r="AR17" s="14">
        <f>IF(AR$2=$A17,AR$3*AtomicWeights!$B$10/AR$5,0)</f>
        <v>0</v>
      </c>
      <c r="AS17" s="14">
        <f>IF(AS$2=$A17,AS$3*AtomicWeights!$B$10/AS$5,0)</f>
        <v>0</v>
      </c>
      <c r="AT17" s="14">
        <f>IF(AT$2=$A17,AT$3*AtomicWeights!$B$10/AT$5,0)</f>
        <v>0</v>
      </c>
      <c r="AU17" s="14">
        <f>IF(AU$2=$A17,AU$3*AtomicWeights!$B$10/AU$5,0)</f>
        <v>0</v>
      </c>
      <c r="AV17" s="14">
        <f>IF(AV$2=$A17,AV$3*AtomicWeights!$B$10/AV$5,0)</f>
        <v>0</v>
      </c>
      <c r="AW17" s="14">
        <f>IF(AW$2=$A17,AW$3*AtomicWeights!$B$10/AW$5,0)</f>
        <v>0</v>
      </c>
    </row>
    <row r="18" spans="1:49" x14ac:dyDescent="0.25">
      <c r="A18" s="13" t="s">
        <v>31</v>
      </c>
      <c r="B18" t="str">
        <f>AtomicWeights!$C$11</f>
        <v>yes</v>
      </c>
      <c r="C18" s="14">
        <f>IF(C$2=$A18,C$3*AtomicWeights!$B$11/C$5,0)</f>
        <v>0</v>
      </c>
      <c r="D18" s="14">
        <f>IF(D$2=$A18,D$3*AtomicWeights!$B$11/D$5,0)</f>
        <v>0</v>
      </c>
      <c r="E18" s="14">
        <f>IF(E$2=$A18,E$3*AtomicWeights!$B$11/E$5,0)</f>
        <v>0</v>
      </c>
      <c r="F18" s="14">
        <f>IF(F$2=$A18,F$3*AtomicWeights!$B$11/F$5,0)</f>
        <v>0</v>
      </c>
      <c r="G18" s="14">
        <f>IF(G$2=$A18,G$3*AtomicWeights!$B$11/G$5,0)</f>
        <v>0</v>
      </c>
      <c r="H18" s="14">
        <f>IF(H$2=$A18,H$3*AtomicWeights!$B$11/H$5,0)</f>
        <v>0</v>
      </c>
      <c r="I18" s="14">
        <f>IF(I$2=$A18,I$3*AtomicWeights!$B$11/I$5,0)</f>
        <v>0</v>
      </c>
      <c r="J18" s="14">
        <f>IF(J$2=$A18,J$3*AtomicWeights!$B$11/J$5,0)</f>
        <v>0</v>
      </c>
      <c r="K18" s="14">
        <f>IF(K$2=$A18,K$3*AtomicWeights!$B$11/K$5,0)</f>
        <v>0</v>
      </c>
      <c r="L18" s="14">
        <f>IF(L$2=$A18,L$3*AtomicWeights!$B$11/L$5,0)</f>
        <v>0.6030418816990869</v>
      </c>
      <c r="M18" s="14">
        <f>IF(M$2=$A18,M$3*AtomicWeights!$B$11/M$5,0)</f>
        <v>0</v>
      </c>
      <c r="N18" s="14">
        <f>IF(N$2=$A18,N$3*AtomicWeights!$B$11/N$5,0)</f>
        <v>0</v>
      </c>
      <c r="O18" s="14">
        <f>IF(O$2=$A18,O$3*AtomicWeights!$B$11/O$5,0)</f>
        <v>0</v>
      </c>
      <c r="P18" s="14">
        <f>IF(P$2=$A18,P$3*AtomicWeights!$B$11/P$5,0)</f>
        <v>0</v>
      </c>
      <c r="Q18" s="14">
        <f>IF(Q$2=$A18,Q$3*AtomicWeights!$B$11/Q$5,0)</f>
        <v>0</v>
      </c>
      <c r="R18" s="14">
        <f>IF(R$2=$A18,R$3*AtomicWeights!$B$11/R$5,0)</f>
        <v>0</v>
      </c>
      <c r="S18" s="14">
        <f>IF(S$2=$A18,S$3*AtomicWeights!$B$11/S$5,0)</f>
        <v>0</v>
      </c>
      <c r="T18" s="14">
        <f>IF(T$2=$A18,T$3*AtomicWeights!$B$11/T$5,0)</f>
        <v>0</v>
      </c>
      <c r="U18" s="14">
        <f>IF(U$2=$A18,U$3*AtomicWeights!$B$11/U$5,0)</f>
        <v>0</v>
      </c>
      <c r="V18" s="14">
        <f>IF(V$2=$A18,V$3*AtomicWeights!$B$11/V$5,0)</f>
        <v>0</v>
      </c>
      <c r="W18" s="14">
        <f>IF(W$2=$A18,W$3*AtomicWeights!$B$11/W$5,0)</f>
        <v>0</v>
      </c>
      <c r="X18" s="14">
        <f>IF(X$2=$A18,X$3*AtomicWeights!$B$11/X$5,0)</f>
        <v>0</v>
      </c>
      <c r="Y18" s="14">
        <f>IF(Y$2=$A18,Y$3*AtomicWeights!$B$11/Y$5,0)</f>
        <v>0</v>
      </c>
      <c r="Z18" s="14">
        <f>IF(Z$2=$A18,Z$3*AtomicWeights!$B$11/Z$5,0)</f>
        <v>0</v>
      </c>
      <c r="AA18" s="14">
        <f>IF(AA$2=$A18,AA$3*AtomicWeights!$B$11/AA$5,0)</f>
        <v>0</v>
      </c>
      <c r="AB18" s="14">
        <f>IF(AB$2=$A18,AB$3*AtomicWeights!$B$11/AB$5,0)</f>
        <v>0</v>
      </c>
      <c r="AC18" s="14">
        <f>IF(AC$2=$A18,AC$3*AtomicWeights!$B$11/AC$5,0)</f>
        <v>0</v>
      </c>
      <c r="AD18" s="14">
        <f>IF(AD$2=$A18,AD$3*AtomicWeights!$B$11/AD$5,0)</f>
        <v>0</v>
      </c>
      <c r="AE18" s="14">
        <f>IF(AE$2=$A18,AE$3*AtomicWeights!$B$11/AE$5,0)</f>
        <v>0</v>
      </c>
      <c r="AF18" s="14">
        <f>IF(AF$2=$A18,AF$3*AtomicWeights!$B$11/AF$5,0)</f>
        <v>0</v>
      </c>
      <c r="AG18" s="14">
        <f>IF(AG$2=$A18,AG$3*AtomicWeights!$B$11/AG$5,0)</f>
        <v>0</v>
      </c>
      <c r="AH18" s="14">
        <f>IF(AH$2=$A18,AH$3*AtomicWeights!$B$11/AH$5,0)</f>
        <v>0</v>
      </c>
      <c r="AI18" s="14">
        <f>IF(AI$2=$A18,AI$3*AtomicWeights!$B$11/AI$5,0)</f>
        <v>0</v>
      </c>
      <c r="AJ18" s="14">
        <f>IF(AJ$2=$A18,AJ$3*AtomicWeights!$B$11/AJ$5,0)</f>
        <v>0</v>
      </c>
      <c r="AK18" s="14">
        <f>IF(AK$2=$A18,AK$3*AtomicWeights!$B$11/AK$5,0)</f>
        <v>0</v>
      </c>
      <c r="AL18" s="14">
        <f>IF(AL$2=$A18,AL$3*AtomicWeights!$B$11/AL$5,0)</f>
        <v>0</v>
      </c>
      <c r="AM18" s="14">
        <f>IF(AM$2=$A18,AM$3*AtomicWeights!$B$11/AM$5,0)</f>
        <v>0</v>
      </c>
      <c r="AN18" s="14">
        <f>IF(AN$2=$A18,AN$3*AtomicWeights!$B$11/AN$5,0)</f>
        <v>0</v>
      </c>
      <c r="AO18" s="14">
        <f>IF(AO$2=$A18,AO$3*AtomicWeights!$B$11/AO$5,0)</f>
        <v>0</v>
      </c>
      <c r="AP18" s="14">
        <f>IF(AP$2=$A18,AP$3*AtomicWeights!$B$11/AP$5,0)</f>
        <v>0</v>
      </c>
      <c r="AQ18" s="14">
        <f>IF(AQ$2=$A18,AQ$3*AtomicWeights!$B$11/AQ$5,0)</f>
        <v>0</v>
      </c>
      <c r="AR18" s="14">
        <f>IF(AR$2=$A18,AR$3*AtomicWeights!$B$11/AR$5,0)</f>
        <v>0</v>
      </c>
      <c r="AS18" s="14">
        <f>IF(AS$2=$A18,AS$3*AtomicWeights!$B$11/AS$5,0)</f>
        <v>0</v>
      </c>
      <c r="AT18" s="14">
        <f>IF(AT$2=$A18,AT$3*AtomicWeights!$B$11/AT$5,0)</f>
        <v>0</v>
      </c>
      <c r="AU18" s="14">
        <f>IF(AU$2=$A18,AU$3*AtomicWeights!$B$11/AU$5,0)</f>
        <v>0</v>
      </c>
      <c r="AV18" s="14">
        <f>IF(AV$2=$A18,AV$3*AtomicWeights!$B$11/AV$5,0)</f>
        <v>0</v>
      </c>
      <c r="AW18" s="14">
        <f>IF(AW$2=$A18,AW$3*AtomicWeights!$B$11/AW$5,0)</f>
        <v>0</v>
      </c>
    </row>
    <row r="19" spans="1:49" x14ac:dyDescent="0.25">
      <c r="A19" s="13" t="s">
        <v>32</v>
      </c>
      <c r="B19" t="str">
        <f>AtomicWeights!$C$12</f>
        <v>yes</v>
      </c>
      <c r="C19" s="14">
        <f>IF(C$2=$A19,C$3*AtomicWeights!$B$12/C$5,0)</f>
        <v>0</v>
      </c>
      <c r="D19" s="14">
        <f>IF(D$2=$A19,D$3*AtomicWeights!$B$12/D$5,0)</f>
        <v>0</v>
      </c>
      <c r="E19" s="14">
        <f>IF(E$2=$A19,E$3*AtomicWeights!$B$12/E$5,0)</f>
        <v>0</v>
      </c>
      <c r="F19" s="14">
        <f>IF(F$2=$A19,F$3*AtomicWeights!$B$12/F$5,0)</f>
        <v>0</v>
      </c>
      <c r="G19" s="14">
        <f>IF(G$2=$A19,G$3*AtomicWeights!$B$12/G$5,0)</f>
        <v>0</v>
      </c>
      <c r="H19" s="14">
        <f>IF(H$2=$A19,H$3*AtomicWeights!$B$12/H$5,0)</f>
        <v>0</v>
      </c>
      <c r="I19" s="14">
        <f>IF(I$2=$A19,I$3*AtomicWeights!$B$12/I$5,0)</f>
        <v>0</v>
      </c>
      <c r="J19" s="14">
        <f>IF(J$2=$A19,J$3*AtomicWeights!$B$12/J$5,0)</f>
        <v>0</v>
      </c>
      <c r="K19" s="14">
        <f>IF(K$2=$A19,K$3*AtomicWeights!$B$12/K$5,0)</f>
        <v>0</v>
      </c>
      <c r="L19" s="14">
        <f>IF(L$2=$A19,L$3*AtomicWeights!$B$12/L$5,0)</f>
        <v>0</v>
      </c>
      <c r="M19" s="14">
        <f>IF(M$2=$A19,M$3*AtomicWeights!$B$12/M$5,0)</f>
        <v>0.71469586461472612</v>
      </c>
      <c r="N19" s="14">
        <f>IF(N$2=$A19,N$3*AtomicWeights!$B$12/N$5,0)</f>
        <v>0</v>
      </c>
      <c r="O19" s="14">
        <f>IF(O$2=$A19,O$3*AtomicWeights!$B$12/O$5,0)</f>
        <v>0</v>
      </c>
      <c r="P19" s="14">
        <f>IF(P$2=$A19,P$3*AtomicWeights!$B$12/P$5,0)</f>
        <v>0</v>
      </c>
      <c r="Q19" s="14">
        <f>IF(Q$2=$A19,Q$3*AtomicWeights!$B$12/Q$5,0)</f>
        <v>0</v>
      </c>
      <c r="R19" s="14">
        <f>IF(R$2=$A19,R$3*AtomicWeights!$B$12/R$5,0)</f>
        <v>0</v>
      </c>
      <c r="S19" s="14">
        <f>IF(S$2=$A19,S$3*AtomicWeights!$B$12/S$5,0)</f>
        <v>0</v>
      </c>
      <c r="T19" s="14">
        <f>IF(T$2=$A19,T$3*AtomicWeights!$B$12/T$5,0)</f>
        <v>0</v>
      </c>
      <c r="U19" s="14">
        <f>IF(U$2=$A19,U$3*AtomicWeights!$B$12/U$5,0)</f>
        <v>0</v>
      </c>
      <c r="V19" s="14">
        <f>IF(V$2=$A19,V$3*AtomicWeights!$B$12/V$5,0)</f>
        <v>0</v>
      </c>
      <c r="W19" s="14">
        <f>IF(W$2=$A19,W$3*AtomicWeights!$B$12/W$5,0)</f>
        <v>0</v>
      </c>
      <c r="X19" s="14">
        <f>IF(X$2=$A19,X$3*AtomicWeights!$B$12/X$5,0)</f>
        <v>0</v>
      </c>
      <c r="Y19" s="14">
        <f>IF(Y$2=$A19,Y$3*AtomicWeights!$B$12/Y$5,0)</f>
        <v>0</v>
      </c>
      <c r="Z19" s="14">
        <f>IF(Z$2=$A19,Z$3*AtomicWeights!$B$12/Z$5,0)</f>
        <v>0</v>
      </c>
      <c r="AA19" s="14">
        <f>IF(AA$2=$A19,AA$3*AtomicWeights!$B$12/AA$5,0)</f>
        <v>0</v>
      </c>
      <c r="AB19" s="14">
        <f>IF(AB$2=$A19,AB$3*AtomicWeights!$B$12/AB$5,0)</f>
        <v>0</v>
      </c>
      <c r="AC19" s="14">
        <f>IF(AC$2=$A19,AC$3*AtomicWeights!$B$12/AC$5,0)</f>
        <v>0</v>
      </c>
      <c r="AD19" s="14">
        <f>IF(AD$2=$A19,AD$3*AtomicWeights!$B$12/AD$5,0)</f>
        <v>0</v>
      </c>
      <c r="AE19" s="14">
        <f>IF(AE$2=$A19,AE$3*AtomicWeights!$B$12/AE$5,0)</f>
        <v>0</v>
      </c>
      <c r="AF19" s="14">
        <f>IF(AF$2=$A19,AF$3*AtomicWeights!$B$12/AF$5,0)</f>
        <v>0</v>
      </c>
      <c r="AG19" s="14">
        <f>IF(AG$2=$A19,AG$3*AtomicWeights!$B$12/AG$5,0)</f>
        <v>0</v>
      </c>
      <c r="AH19" s="14">
        <f>IF(AH$2=$A19,AH$3*AtomicWeights!$B$12/AH$5,0)</f>
        <v>0</v>
      </c>
      <c r="AI19" s="14">
        <f>IF(AI$2=$A19,AI$3*AtomicWeights!$B$12/AI$5,0)</f>
        <v>0</v>
      </c>
      <c r="AJ19" s="14">
        <f>IF(AJ$2=$A19,AJ$3*AtomicWeights!$B$12/AJ$5,0)</f>
        <v>0</v>
      </c>
      <c r="AK19" s="14">
        <f>IF(AK$2=$A19,AK$3*AtomicWeights!$B$12/AK$5,0)</f>
        <v>0</v>
      </c>
      <c r="AL19" s="14">
        <f>IF(AL$2=$A19,AL$3*AtomicWeights!$B$12/AL$5,0)</f>
        <v>0</v>
      </c>
      <c r="AM19" s="14">
        <f>IF(AM$2=$A19,AM$3*AtomicWeights!$B$12/AM$5,0)</f>
        <v>0</v>
      </c>
      <c r="AN19" s="14">
        <f>IF(AN$2=$A19,AN$3*AtomicWeights!$B$12/AN$5,0)</f>
        <v>0</v>
      </c>
      <c r="AO19" s="14">
        <f>IF(AO$2=$A19,AO$3*AtomicWeights!$B$12/AO$5,0)</f>
        <v>0</v>
      </c>
      <c r="AP19" s="14">
        <f>IF(AP$2=$A19,AP$3*AtomicWeights!$B$12/AP$5,0)</f>
        <v>0</v>
      </c>
      <c r="AQ19" s="14">
        <f>IF(AQ$2=$A19,AQ$3*AtomicWeights!$B$12/AQ$5,0)</f>
        <v>0</v>
      </c>
      <c r="AR19" s="14">
        <f>IF(AR$2=$A19,AR$3*AtomicWeights!$B$12/AR$5,0)</f>
        <v>0</v>
      </c>
      <c r="AS19" s="14">
        <f>IF(AS$2=$A19,AS$3*AtomicWeights!$B$12/AS$5,0)</f>
        <v>0</v>
      </c>
      <c r="AT19" s="14">
        <f>IF(AT$2=$A19,AT$3*AtomicWeights!$B$12/AT$5,0)</f>
        <v>0</v>
      </c>
      <c r="AU19" s="14">
        <f>IF(AU$2=$A19,AU$3*AtomicWeights!$B$12/AU$5,0)</f>
        <v>0</v>
      </c>
      <c r="AV19" s="14">
        <f>IF(AV$2=$A19,AV$3*AtomicWeights!$B$12/AV$5,0)</f>
        <v>0</v>
      </c>
      <c r="AW19" s="14">
        <f>IF(AW$2=$A19,AW$3*AtomicWeights!$B$12/AW$5,0)</f>
        <v>0</v>
      </c>
    </row>
    <row r="20" spans="1:49" x14ac:dyDescent="0.25">
      <c r="A20" s="13" t="s">
        <v>33</v>
      </c>
      <c r="B20" t="str">
        <f>AtomicWeights!$C$13</f>
        <v>yes</v>
      </c>
      <c r="C20" s="14">
        <f>IF(C$2=$A20,C$3*AtomicWeights!$B$13/C$5,0)</f>
        <v>0</v>
      </c>
      <c r="D20" s="14">
        <f>IF(D$2=$A20,D$3*AtomicWeights!$B$13/D$5,0)</f>
        <v>0</v>
      </c>
      <c r="E20" s="14">
        <f>IF(E$2=$A20,E$3*AtomicWeights!$B$13/E$5,0)</f>
        <v>0</v>
      </c>
      <c r="F20" s="14">
        <f>IF(F$2=$A20,F$3*AtomicWeights!$B$13/F$5,0)</f>
        <v>0</v>
      </c>
      <c r="G20" s="14">
        <f>IF(G$2=$A20,G$3*AtomicWeights!$B$13/G$5,0)</f>
        <v>0</v>
      </c>
      <c r="H20" s="14">
        <f>IF(H$2=$A20,H$3*AtomicWeights!$B$13/H$5,0)</f>
        <v>0</v>
      </c>
      <c r="I20" s="14">
        <f>IF(I$2=$A20,I$3*AtomicWeights!$B$13/I$5,0)</f>
        <v>0</v>
      </c>
      <c r="J20" s="14">
        <f>IF(J$2=$A20,J$3*AtomicWeights!$B$13/J$5,0)</f>
        <v>0</v>
      </c>
      <c r="K20" s="14">
        <f>IF(K$2=$A20,K$3*AtomicWeights!$B$13/K$5,0)</f>
        <v>0</v>
      </c>
      <c r="L20" s="14">
        <f>IF(L$2=$A20,L$3*AtomicWeights!$B$13/L$5,0)</f>
        <v>0</v>
      </c>
      <c r="M20" s="14">
        <f>IF(M$2=$A20,M$3*AtomicWeights!$B$13/M$5,0)</f>
        <v>0</v>
      </c>
      <c r="N20" s="14">
        <f>IF(N$2=$A20,N$3*AtomicWeights!$B$13/N$5,0)</f>
        <v>0.84559781507252541</v>
      </c>
      <c r="O20" s="14">
        <f>IF(O$2=$A20,O$3*AtomicWeights!$B$13/O$5,0)</f>
        <v>0</v>
      </c>
      <c r="P20" s="14">
        <f>IF(P$2=$A20,P$3*AtomicWeights!$B$13/P$5,0)</f>
        <v>0</v>
      </c>
      <c r="Q20" s="14">
        <f>IF(Q$2=$A20,Q$3*AtomicWeights!$B$13/Q$5,0)</f>
        <v>0</v>
      </c>
      <c r="R20" s="14">
        <f>IF(R$2=$A20,R$3*AtomicWeights!$B$13/R$5,0)</f>
        <v>0</v>
      </c>
      <c r="S20" s="14">
        <f>IF(S$2=$A20,S$3*AtomicWeights!$B$13/S$5,0)</f>
        <v>0</v>
      </c>
      <c r="T20" s="14">
        <f>IF(T$2=$A20,T$3*AtomicWeights!$B$13/T$5,0)</f>
        <v>0</v>
      </c>
      <c r="U20" s="14">
        <f>IF(U$2=$A20,U$3*AtomicWeights!$B$13/U$5,0)</f>
        <v>0</v>
      </c>
      <c r="V20" s="14">
        <f>IF(V$2=$A20,V$3*AtomicWeights!$B$13/V$5,0)</f>
        <v>0</v>
      </c>
      <c r="W20" s="14">
        <f>IF(W$2=$A20,W$3*AtomicWeights!$B$13/W$5,0)</f>
        <v>0</v>
      </c>
      <c r="X20" s="14">
        <f>IF(X$2=$A20,X$3*AtomicWeights!$B$13/X$5,0)</f>
        <v>0</v>
      </c>
      <c r="Y20" s="14">
        <f>IF(Y$2=$A20,Y$3*AtomicWeights!$B$13/Y$5,0)</f>
        <v>0</v>
      </c>
      <c r="Z20" s="14">
        <f>IF(Z$2=$A20,Z$3*AtomicWeights!$B$13/Z$5,0)</f>
        <v>0</v>
      </c>
      <c r="AA20" s="14">
        <f>IF(AA$2=$A20,AA$3*AtomicWeights!$B$13/AA$5,0)</f>
        <v>0</v>
      </c>
      <c r="AB20" s="14">
        <f>IF(AB$2=$A20,AB$3*AtomicWeights!$B$13/AB$5,0)</f>
        <v>0</v>
      </c>
      <c r="AC20" s="14">
        <f>IF(AC$2=$A20,AC$3*AtomicWeights!$B$13/AC$5,0)</f>
        <v>0</v>
      </c>
      <c r="AD20" s="14">
        <f>IF(AD$2=$A20,AD$3*AtomicWeights!$B$13/AD$5,0)</f>
        <v>0</v>
      </c>
      <c r="AE20" s="14">
        <f>IF(AE$2=$A20,AE$3*AtomicWeights!$B$13/AE$5,0)</f>
        <v>0</v>
      </c>
      <c r="AF20" s="14">
        <f>IF(AF$2=$A20,AF$3*AtomicWeights!$B$13/AF$5,0)</f>
        <v>0</v>
      </c>
      <c r="AG20" s="14">
        <f>IF(AG$2=$A20,AG$3*AtomicWeights!$B$13/AG$5,0)</f>
        <v>0</v>
      </c>
      <c r="AH20" s="14">
        <f>IF(AH$2=$A20,AH$3*AtomicWeights!$B$13/AH$5,0)</f>
        <v>0</v>
      </c>
      <c r="AI20" s="14">
        <f>IF(AI$2=$A20,AI$3*AtomicWeights!$B$13/AI$5,0)</f>
        <v>0</v>
      </c>
      <c r="AJ20" s="14">
        <f>IF(AJ$2=$A20,AJ$3*AtomicWeights!$B$13/AJ$5,0)</f>
        <v>0</v>
      </c>
      <c r="AK20" s="14">
        <f>IF(AK$2=$A20,AK$3*AtomicWeights!$B$13/AK$5,0)</f>
        <v>0</v>
      </c>
      <c r="AL20" s="14">
        <f>IF(AL$2=$A20,AL$3*AtomicWeights!$B$13/AL$5,0)</f>
        <v>0</v>
      </c>
      <c r="AM20" s="14">
        <f>IF(AM$2=$A20,AM$3*AtomicWeights!$B$13/AM$5,0)</f>
        <v>0</v>
      </c>
      <c r="AN20" s="14">
        <f>IF(AN$2=$A20,AN$3*AtomicWeights!$B$13/AN$5,0)</f>
        <v>0</v>
      </c>
      <c r="AO20" s="14">
        <f>IF(AO$2=$A20,AO$3*AtomicWeights!$B$13/AO$5,0)</f>
        <v>0</v>
      </c>
      <c r="AP20" s="14">
        <f>IF(AP$2=$A20,AP$3*AtomicWeights!$B$13/AP$5,0)</f>
        <v>0</v>
      </c>
      <c r="AQ20" s="14">
        <f>IF(AQ$2=$A20,AQ$3*AtomicWeights!$B$13/AQ$5,0)</f>
        <v>0</v>
      </c>
      <c r="AR20" s="14">
        <f>IF(AR$2=$A20,AR$3*AtomicWeights!$B$13/AR$5,0)</f>
        <v>0</v>
      </c>
      <c r="AS20" s="14">
        <f>IF(AS$2=$A20,AS$3*AtomicWeights!$B$13/AS$5,0)</f>
        <v>0</v>
      </c>
      <c r="AT20" s="14">
        <f>IF(AT$2=$A20,AT$3*AtomicWeights!$B$13/AT$5,0)</f>
        <v>0</v>
      </c>
      <c r="AU20" s="14">
        <f>IF(AU$2=$A20,AU$3*AtomicWeights!$B$13/AU$5,0)</f>
        <v>0</v>
      </c>
      <c r="AV20" s="14">
        <f>IF(AV$2=$A20,AV$3*AtomicWeights!$B$13/AV$5,0)</f>
        <v>0</v>
      </c>
      <c r="AW20" s="14">
        <f>IF(AW$2=$A20,AW$3*AtomicWeights!$B$13/AW$5,0)</f>
        <v>0</v>
      </c>
    </row>
    <row r="21" spans="1:49" x14ac:dyDescent="0.25">
      <c r="A21" s="13" t="s">
        <v>34</v>
      </c>
      <c r="B21" t="str">
        <f>AtomicWeights!$C$14</f>
        <v>yes</v>
      </c>
      <c r="C21" s="14">
        <f>IF(C$2=$A21,C$3*AtomicWeights!$B$14/C$5,0)</f>
        <v>0</v>
      </c>
      <c r="D21" s="14">
        <f>IF(D$2=$A21,D$3*AtomicWeights!$B$14/D$5,0)</f>
        <v>0</v>
      </c>
      <c r="E21" s="14">
        <f>IF(E$2=$A21,E$3*AtomicWeights!$B$14/E$5,0)</f>
        <v>0</v>
      </c>
      <c r="F21" s="14">
        <f>IF(F$2=$A21,F$3*AtomicWeights!$B$14/F$5,0)</f>
        <v>0</v>
      </c>
      <c r="G21" s="14">
        <f>IF(G$2=$A21,G$3*AtomicWeights!$B$14/G$5,0)</f>
        <v>0</v>
      </c>
      <c r="H21" s="14">
        <f>IF(H$2=$A21,H$3*AtomicWeights!$B$14/H$5,0)</f>
        <v>0</v>
      </c>
      <c r="I21" s="14">
        <f>IF(I$2=$A21,I$3*AtomicWeights!$B$14/I$5,0)</f>
        <v>0</v>
      </c>
      <c r="J21" s="14">
        <f>IF(J$2=$A21,J$3*AtomicWeights!$B$14/J$5,0)</f>
        <v>0</v>
      </c>
      <c r="K21" s="14">
        <f>IF(K$2=$A21,K$3*AtomicWeights!$B$14/K$5,0)</f>
        <v>0</v>
      </c>
      <c r="L21" s="14">
        <f>IF(L$2=$A21,L$3*AtomicWeights!$B$14/L$5,0)</f>
        <v>0</v>
      </c>
      <c r="M21" s="14">
        <f>IF(M$2=$A21,M$3*AtomicWeights!$B$14/M$5,0)</f>
        <v>0</v>
      </c>
      <c r="N21" s="14">
        <f>IF(N$2=$A21,N$3*AtomicWeights!$B$14/N$5,0)</f>
        <v>0</v>
      </c>
      <c r="O21" s="14">
        <f>IF(O$2=$A21,O$3*AtomicWeights!$B$14/O$5,0)</f>
        <v>0.89565370517720411</v>
      </c>
      <c r="P21" s="14">
        <f>IF(P$2=$A21,P$3*AtomicWeights!$B$14/P$5,0)</f>
        <v>0</v>
      </c>
      <c r="Q21" s="14">
        <f>IF(Q$2=$A21,Q$3*AtomicWeights!$B$14/Q$5,0)</f>
        <v>0</v>
      </c>
      <c r="R21" s="14">
        <f>IF(R$2=$A21,R$3*AtomicWeights!$B$14/R$5,0)</f>
        <v>0</v>
      </c>
      <c r="S21" s="14">
        <f>IF(S$2=$A21,S$3*AtomicWeights!$B$14/S$5,0)</f>
        <v>0</v>
      </c>
      <c r="T21" s="14">
        <f>IF(T$2=$A21,T$3*AtomicWeights!$B$14/T$5,0)</f>
        <v>0</v>
      </c>
      <c r="U21" s="14">
        <f>IF(U$2=$A21,U$3*AtomicWeights!$B$14/U$5,0)</f>
        <v>0</v>
      </c>
      <c r="V21" s="14">
        <f>IF(V$2=$A21,V$3*AtomicWeights!$B$14/V$5,0)</f>
        <v>0</v>
      </c>
      <c r="W21" s="14">
        <f>IF(W$2=$A21,W$3*AtomicWeights!$B$14/W$5,0)</f>
        <v>0</v>
      </c>
      <c r="X21" s="14">
        <f>IF(X$2=$A21,X$3*AtomicWeights!$B$14/X$5,0)</f>
        <v>0</v>
      </c>
      <c r="Y21" s="14">
        <f>IF(Y$2=$A21,Y$3*AtomicWeights!$B$14/Y$5,0)</f>
        <v>0</v>
      </c>
      <c r="Z21" s="14">
        <f>IF(Z$2=$A21,Z$3*AtomicWeights!$B$14/Z$5,0)</f>
        <v>0</v>
      </c>
      <c r="AA21" s="14">
        <f>IF(AA$2=$A21,AA$3*AtomicWeights!$B$14/AA$5,0)</f>
        <v>0</v>
      </c>
      <c r="AB21" s="14">
        <f>IF(AB$2=$A21,AB$3*AtomicWeights!$B$14/AB$5,0)</f>
        <v>0</v>
      </c>
      <c r="AC21" s="14">
        <f>IF(AC$2=$A21,AC$3*AtomicWeights!$B$14/AC$5,0)</f>
        <v>0</v>
      </c>
      <c r="AD21" s="14">
        <f>IF(AD$2=$A21,AD$3*AtomicWeights!$B$14/AD$5,0)</f>
        <v>0</v>
      </c>
      <c r="AE21" s="14">
        <f>IF(AE$2=$A21,AE$3*AtomicWeights!$B$14/AE$5,0)</f>
        <v>0</v>
      </c>
      <c r="AF21" s="14">
        <f>IF(AF$2=$A21,AF$3*AtomicWeights!$B$14/AF$5,0)</f>
        <v>0</v>
      </c>
      <c r="AG21" s="14">
        <f>IF(AG$2=$A21,AG$3*AtomicWeights!$B$14/AG$5,0)</f>
        <v>0</v>
      </c>
      <c r="AH21" s="14">
        <f>IF(AH$2=$A21,AH$3*AtomicWeights!$B$14/AH$5,0)</f>
        <v>0</v>
      </c>
      <c r="AI21" s="14">
        <f>IF(AI$2=$A21,AI$3*AtomicWeights!$B$14/AI$5,0)</f>
        <v>0</v>
      </c>
      <c r="AJ21" s="14">
        <f>IF(AJ$2=$A21,AJ$3*AtomicWeights!$B$14/AJ$5,0)</f>
        <v>0</v>
      </c>
      <c r="AK21" s="14">
        <f>IF(AK$2=$A21,AK$3*AtomicWeights!$B$14/AK$5,0)</f>
        <v>0</v>
      </c>
      <c r="AL21" s="14">
        <f>IF(AL$2=$A21,AL$3*AtomicWeights!$B$14/AL$5,0)</f>
        <v>0</v>
      </c>
      <c r="AM21" s="14">
        <f>IF(AM$2=$A21,AM$3*AtomicWeights!$B$14/AM$5,0)</f>
        <v>0</v>
      </c>
      <c r="AN21" s="14">
        <f>IF(AN$2=$A21,AN$3*AtomicWeights!$B$14/AN$5,0)</f>
        <v>0</v>
      </c>
      <c r="AO21" s="14">
        <f>IF(AO$2=$A21,AO$3*AtomicWeights!$B$14/AO$5,0)</f>
        <v>0</v>
      </c>
      <c r="AP21" s="14">
        <f>IF(AP$2=$A21,AP$3*AtomicWeights!$B$14/AP$5,0)</f>
        <v>0</v>
      </c>
      <c r="AQ21" s="14">
        <f>IF(AQ$2=$A21,AQ$3*AtomicWeights!$B$14/AQ$5,0)</f>
        <v>0</v>
      </c>
      <c r="AR21" s="14">
        <f>IF(AR$2=$A21,AR$3*AtomicWeights!$B$14/AR$5,0)</f>
        <v>0</v>
      </c>
      <c r="AS21" s="14">
        <f>IF(AS$2=$A21,AS$3*AtomicWeights!$B$14/AS$5,0)</f>
        <v>0</v>
      </c>
      <c r="AT21" s="14">
        <f>IF(AT$2=$A21,AT$3*AtomicWeights!$B$14/AT$5,0)</f>
        <v>0</v>
      </c>
      <c r="AU21" s="14">
        <f>IF(AU$2=$A21,AU$3*AtomicWeights!$B$14/AU$5,0)</f>
        <v>0</v>
      </c>
      <c r="AV21" s="14">
        <f>IF(AV$2=$A21,AV$3*AtomicWeights!$B$14/AV$5,0)</f>
        <v>0</v>
      </c>
      <c r="AW21" s="14">
        <f>IF(AW$2=$A21,AW$3*AtomicWeights!$B$14/AW$5,0)</f>
        <v>0</v>
      </c>
    </row>
    <row r="22" spans="1:49" x14ac:dyDescent="0.25">
      <c r="A22" s="13" t="s">
        <v>35</v>
      </c>
      <c r="B22" t="str">
        <f>AtomicWeights!$C$15</f>
        <v>yes</v>
      </c>
      <c r="C22" s="14">
        <f>IF(C$2=$A22,C$3*AtomicWeights!$B$15/C$5,0)</f>
        <v>0</v>
      </c>
      <c r="D22" s="14">
        <f>IF(D$2=$A22,D$3*AtomicWeights!$B$15/D$5,0)</f>
        <v>0</v>
      </c>
      <c r="E22" s="14">
        <f>IF(E$2=$A22,E$3*AtomicWeights!$B$15/E$5,0)</f>
        <v>0</v>
      </c>
      <c r="F22" s="14">
        <f>IF(F$2=$A22,F$3*AtomicWeights!$B$15/F$5,0)</f>
        <v>0</v>
      </c>
      <c r="G22" s="14">
        <f>IF(G$2=$A22,G$3*AtomicWeights!$B$15/G$5,0)</f>
        <v>0</v>
      </c>
      <c r="H22" s="14">
        <f>IF(H$2=$A22,H$3*AtomicWeights!$B$15/H$5,0)</f>
        <v>0</v>
      </c>
      <c r="I22" s="14">
        <f>IF(I$2=$A22,I$3*AtomicWeights!$B$15/I$5,0)</f>
        <v>0</v>
      </c>
      <c r="J22" s="14">
        <f>IF(J$2=$A22,J$3*AtomicWeights!$B$15/J$5,0)</f>
        <v>0</v>
      </c>
      <c r="K22" s="14">
        <f>IF(K$2=$A22,K$3*AtomicWeights!$B$15/K$5,0)</f>
        <v>0</v>
      </c>
      <c r="L22" s="14">
        <f>IF(L$2=$A22,L$3*AtomicWeights!$B$15/L$5,0)</f>
        <v>0</v>
      </c>
      <c r="M22" s="14">
        <f>IF(M$2=$A22,M$3*AtomicWeights!$B$15/M$5,0)</f>
        <v>0</v>
      </c>
      <c r="N22" s="14">
        <f>IF(N$2=$A22,N$3*AtomicWeights!$B$15/N$5,0)</f>
        <v>0</v>
      </c>
      <c r="O22" s="14">
        <f>IF(O$2=$A22,O$3*AtomicWeights!$B$15/O$5,0)</f>
        <v>0</v>
      </c>
      <c r="P22" s="14">
        <f>IF(P$2=$A22,P$3*AtomicWeights!$B$15/P$5,0)</f>
        <v>0.92831957132424425</v>
      </c>
      <c r="Q22" s="14">
        <f>IF(Q$2=$A22,Q$3*AtomicWeights!$B$15/Q$5,0)</f>
        <v>0</v>
      </c>
      <c r="R22" s="14">
        <f>IF(R$2=$A22,R$3*AtomicWeights!$B$15/R$5,0)</f>
        <v>0</v>
      </c>
      <c r="S22" s="14">
        <f>IF(S$2=$A22,S$3*AtomicWeights!$B$15/S$5,0)</f>
        <v>0</v>
      </c>
      <c r="T22" s="14">
        <f>IF(T$2=$A22,T$3*AtomicWeights!$B$15/T$5,0)</f>
        <v>0</v>
      </c>
      <c r="U22" s="14">
        <f>IF(U$2=$A22,U$3*AtomicWeights!$B$15/U$5,0)</f>
        <v>0</v>
      </c>
      <c r="V22" s="14">
        <f>IF(V$2=$A22,V$3*AtomicWeights!$B$15/V$5,0)</f>
        <v>0</v>
      </c>
      <c r="W22" s="14">
        <f>IF(W$2=$A22,W$3*AtomicWeights!$B$15/W$5,0)</f>
        <v>0</v>
      </c>
      <c r="X22" s="14">
        <f>IF(X$2=$A22,X$3*AtomicWeights!$B$15/X$5,0)</f>
        <v>0</v>
      </c>
      <c r="Y22" s="14">
        <f>IF(Y$2=$A22,Y$3*AtomicWeights!$B$15/Y$5,0)</f>
        <v>0</v>
      </c>
      <c r="Z22" s="14">
        <f>IF(Z$2=$A22,Z$3*AtomicWeights!$B$15/Z$5,0)</f>
        <v>0</v>
      </c>
      <c r="AA22" s="14">
        <f>IF(AA$2=$A22,AA$3*AtomicWeights!$B$15/AA$5,0)</f>
        <v>0</v>
      </c>
      <c r="AB22" s="14">
        <f>IF(AB$2=$A22,AB$3*AtomicWeights!$B$15/AB$5,0)</f>
        <v>0</v>
      </c>
      <c r="AC22" s="14">
        <f>IF(AC$2=$A22,AC$3*AtomicWeights!$B$15/AC$5,0)</f>
        <v>0</v>
      </c>
      <c r="AD22" s="14">
        <f>IF(AD$2=$A22,AD$3*AtomicWeights!$B$15/AD$5,0)</f>
        <v>0</v>
      </c>
      <c r="AE22" s="14">
        <f>IF(AE$2=$A22,AE$3*AtomicWeights!$B$15/AE$5,0)</f>
        <v>0</v>
      </c>
      <c r="AF22" s="14">
        <f>IF(AF$2=$A22,AF$3*AtomicWeights!$B$15/AF$5,0)</f>
        <v>0</v>
      </c>
      <c r="AG22" s="14">
        <f>IF(AG$2=$A22,AG$3*AtomicWeights!$B$15/AG$5,0)</f>
        <v>0</v>
      </c>
      <c r="AH22" s="14">
        <f>IF(AH$2=$A22,AH$3*AtomicWeights!$B$15/AH$5,0)</f>
        <v>0</v>
      </c>
      <c r="AI22" s="14">
        <f>IF(AI$2=$A22,AI$3*AtomicWeights!$B$15/AI$5,0)</f>
        <v>0</v>
      </c>
      <c r="AJ22" s="14">
        <f>IF(AJ$2=$A22,AJ$3*AtomicWeights!$B$15/AJ$5,0)</f>
        <v>0</v>
      </c>
      <c r="AK22" s="14">
        <f>IF(AK$2=$A22,AK$3*AtomicWeights!$B$15/AK$5,0)</f>
        <v>0</v>
      </c>
      <c r="AL22" s="14">
        <f>IF(AL$2=$A22,AL$3*AtomicWeights!$B$15/AL$5,0)</f>
        <v>0</v>
      </c>
      <c r="AM22" s="14">
        <f>IF(AM$2=$A22,AM$3*AtomicWeights!$B$15/AM$5,0)</f>
        <v>0</v>
      </c>
      <c r="AN22" s="14">
        <f>IF(AN$2=$A22,AN$3*AtomicWeights!$B$15/AN$5,0)</f>
        <v>0</v>
      </c>
      <c r="AO22" s="14">
        <f>IF(AO$2=$A22,AO$3*AtomicWeights!$B$15/AO$5,0)</f>
        <v>0</v>
      </c>
      <c r="AP22" s="14">
        <f>IF(AP$2=$A22,AP$3*AtomicWeights!$B$15/AP$5,0)</f>
        <v>0</v>
      </c>
      <c r="AQ22" s="14">
        <f>IF(AQ$2=$A22,AQ$3*AtomicWeights!$B$15/AQ$5,0)</f>
        <v>0</v>
      </c>
      <c r="AR22" s="14">
        <f>IF(AR$2=$A22,AR$3*AtomicWeights!$B$15/AR$5,0)</f>
        <v>0</v>
      </c>
      <c r="AS22" s="14">
        <f>IF(AS$2=$A22,AS$3*AtomicWeights!$B$15/AS$5,0)</f>
        <v>0</v>
      </c>
      <c r="AT22" s="14">
        <f>IF(AT$2=$A22,AT$3*AtomicWeights!$B$15/AT$5,0)</f>
        <v>0</v>
      </c>
      <c r="AU22" s="14">
        <f>IF(AU$2=$A22,AU$3*AtomicWeights!$B$15/AU$5,0)</f>
        <v>0</v>
      </c>
      <c r="AV22" s="14">
        <f>IF(AV$2=$A22,AV$3*AtomicWeights!$B$15/AV$5,0)</f>
        <v>0</v>
      </c>
      <c r="AW22" s="14">
        <f>IF(AW$2=$A22,AW$3*AtomicWeights!$B$15/AW$5,0)</f>
        <v>0</v>
      </c>
    </row>
    <row r="23" spans="1:49" x14ac:dyDescent="0.25">
      <c r="A23" s="13" t="s">
        <v>36</v>
      </c>
      <c r="B23" t="str">
        <f>AtomicWeights!$C$16</f>
        <v>yes</v>
      </c>
      <c r="C23" s="14">
        <f>IF(C$2=$A23,C$3*AtomicWeights!$B$16/C$5,0)</f>
        <v>0</v>
      </c>
      <c r="D23" s="14">
        <f>IF(D$2=$A23,D$3*AtomicWeights!$B$16/D$5,0)</f>
        <v>0</v>
      </c>
      <c r="E23" s="14">
        <f>IF(E$2=$A23,E$3*AtomicWeights!$B$16/E$5,0)</f>
        <v>0</v>
      </c>
      <c r="F23" s="14">
        <f>IF(F$2=$A23,F$3*AtomicWeights!$B$16/F$5,0)</f>
        <v>0</v>
      </c>
      <c r="G23" s="14">
        <f>IF(G$2=$A23,G$3*AtomicWeights!$B$16/G$5,0)</f>
        <v>0</v>
      </c>
      <c r="H23" s="14">
        <f>IF(H$2=$A23,H$3*AtomicWeights!$B$16/H$5,0)</f>
        <v>0</v>
      </c>
      <c r="I23" s="14">
        <f>IF(I$2=$A23,I$3*AtomicWeights!$B$16/I$5,0)</f>
        <v>0</v>
      </c>
      <c r="J23" s="14">
        <f>IF(J$2=$A23,J$3*AtomicWeights!$B$16/J$5,0)</f>
        <v>0</v>
      </c>
      <c r="K23" s="14">
        <f>IF(K$2=$A23,K$3*AtomicWeights!$B$16/K$5,0)</f>
        <v>0</v>
      </c>
      <c r="L23" s="14">
        <f>IF(L$2=$A23,L$3*AtomicWeights!$B$16/L$5,0)</f>
        <v>0</v>
      </c>
      <c r="M23" s="14">
        <f>IF(M$2=$A23,M$3*AtomicWeights!$B$16/M$5,0)</f>
        <v>0</v>
      </c>
      <c r="N23" s="14">
        <f>IF(N$2=$A23,N$3*AtomicWeights!$B$16/N$5,0)</f>
        <v>0</v>
      </c>
      <c r="O23" s="14">
        <f>IF(O$2=$A23,O$3*AtomicWeights!$B$16/O$5,0)</f>
        <v>0</v>
      </c>
      <c r="P23" s="14">
        <f>IF(P$2=$A23,P$3*AtomicWeights!$B$16/P$5,0)</f>
        <v>0</v>
      </c>
      <c r="Q23" s="14">
        <f>IF(Q$2=$A23,Q$3*AtomicWeights!$B$16/Q$5,0)</f>
        <v>0.74186225794092031</v>
      </c>
      <c r="R23" s="14">
        <f>IF(R$2=$A23,R$3*AtomicWeights!$B$16/R$5,0)</f>
        <v>0</v>
      </c>
      <c r="S23" s="14">
        <f>IF(S$2=$A23,S$3*AtomicWeights!$B$16/S$5,0)</f>
        <v>0</v>
      </c>
      <c r="T23" s="14">
        <f>IF(T$2=$A23,T$3*AtomicWeights!$B$16/T$5,0)</f>
        <v>0</v>
      </c>
      <c r="U23" s="14">
        <f>IF(U$2=$A23,U$3*AtomicWeights!$B$16/U$5,0)</f>
        <v>0</v>
      </c>
      <c r="V23" s="14">
        <f>IF(V$2=$A23,V$3*AtomicWeights!$B$16/V$5,0)</f>
        <v>0</v>
      </c>
      <c r="W23" s="14">
        <f>IF(W$2=$A23,W$3*AtomicWeights!$B$16/W$5,0)</f>
        <v>0</v>
      </c>
      <c r="X23" s="14">
        <f>IF(X$2=$A23,X$3*AtomicWeights!$B$16/X$5,0)</f>
        <v>0</v>
      </c>
      <c r="Y23" s="14">
        <f>IF(Y$2=$A23,Y$3*AtomicWeights!$B$16/Y$5,0)</f>
        <v>0</v>
      </c>
      <c r="Z23" s="14">
        <f>IF(Z$2=$A23,Z$3*AtomicWeights!$B$16/Z$5,0)</f>
        <v>0</v>
      </c>
      <c r="AA23" s="14">
        <f>IF(AA$2=$A23,AA$3*AtomicWeights!$B$16/AA$5,0)</f>
        <v>0</v>
      </c>
      <c r="AB23" s="14">
        <f>IF(AB$2=$A23,AB$3*AtomicWeights!$B$16/AB$5,0)</f>
        <v>0</v>
      </c>
      <c r="AC23" s="14">
        <f>IF(AC$2=$A23,AC$3*AtomicWeights!$B$16/AC$5,0)</f>
        <v>0</v>
      </c>
      <c r="AD23" s="14">
        <f>IF(AD$2=$A23,AD$3*AtomicWeights!$B$16/AD$5,0)</f>
        <v>0</v>
      </c>
      <c r="AE23" s="14">
        <f>IF(AE$2=$A23,AE$3*AtomicWeights!$B$16/AE$5,0)</f>
        <v>0</v>
      </c>
      <c r="AF23" s="14">
        <f>IF(AF$2=$A23,AF$3*AtomicWeights!$B$16/AF$5,0)</f>
        <v>0</v>
      </c>
      <c r="AG23" s="14">
        <f>IF(AG$2=$A23,AG$3*AtomicWeights!$B$16/AG$5,0)</f>
        <v>0</v>
      </c>
      <c r="AH23" s="14">
        <f>IF(AH$2=$A23,AH$3*AtomicWeights!$B$16/AH$5,0)</f>
        <v>0</v>
      </c>
      <c r="AI23" s="14">
        <f>IF(AI$2=$A23,AI$3*AtomicWeights!$B$16/AI$5,0)</f>
        <v>0</v>
      </c>
      <c r="AJ23" s="14">
        <f>IF(AJ$2=$A23,AJ$3*AtomicWeights!$B$16/AJ$5,0)</f>
        <v>0</v>
      </c>
      <c r="AK23" s="14">
        <f>IF(AK$2=$A23,AK$3*AtomicWeights!$B$16/AK$5,0)</f>
        <v>0</v>
      </c>
      <c r="AL23" s="14">
        <f>IF(AL$2=$A23,AL$3*AtomicWeights!$B$16/AL$5,0)</f>
        <v>0</v>
      </c>
      <c r="AM23" s="14">
        <f>IF(AM$2=$A23,AM$3*AtomicWeights!$B$16/AM$5,0)</f>
        <v>0</v>
      </c>
      <c r="AN23" s="14">
        <f>IF(AN$2=$A23,AN$3*AtomicWeights!$B$16/AN$5,0)</f>
        <v>0</v>
      </c>
      <c r="AO23" s="14">
        <f>IF(AO$2=$A23,AO$3*AtomicWeights!$B$16/AO$5,0)</f>
        <v>0</v>
      </c>
      <c r="AP23" s="14">
        <f>IF(AP$2=$A23,AP$3*AtomicWeights!$B$16/AP$5,0)</f>
        <v>0</v>
      </c>
      <c r="AQ23" s="14">
        <f>IF(AQ$2=$A23,AQ$3*AtomicWeights!$B$16/AQ$5,0)</f>
        <v>0</v>
      </c>
      <c r="AR23" s="14">
        <f>IF(AR$2=$A23,AR$3*AtomicWeights!$B$16/AR$5,0)</f>
        <v>0</v>
      </c>
      <c r="AS23" s="14">
        <f>IF(AS$2=$A23,AS$3*AtomicWeights!$B$16/AS$5,0)</f>
        <v>0</v>
      </c>
      <c r="AT23" s="14">
        <f>IF(AT$2=$A23,AT$3*AtomicWeights!$B$16/AT$5,0)</f>
        <v>0</v>
      </c>
      <c r="AU23" s="14">
        <f>IF(AU$2=$A23,AU$3*AtomicWeights!$B$16/AU$5,0)</f>
        <v>0</v>
      </c>
      <c r="AV23" s="14">
        <f>IF(AV$2=$A23,AV$3*AtomicWeights!$B$16/AV$5,0)</f>
        <v>0</v>
      </c>
      <c r="AW23" s="14">
        <f>IF(AW$2=$A23,AW$3*AtomicWeights!$B$16/AW$5,0)</f>
        <v>0</v>
      </c>
    </row>
    <row r="24" spans="1:49" x14ac:dyDescent="0.25">
      <c r="A24" s="13" t="s">
        <v>37</v>
      </c>
      <c r="B24" t="str">
        <f>AtomicWeights!$C$17</f>
        <v>yes</v>
      </c>
      <c r="C24" s="14">
        <f>IF(C$2=$A24,C$3*AtomicWeights!$B$17/C$5,0)</f>
        <v>0</v>
      </c>
      <c r="D24" s="14">
        <f>IF(D$2=$A24,D$3*AtomicWeights!$B$17/D$5,0)</f>
        <v>0</v>
      </c>
      <c r="E24" s="14">
        <f>IF(E$2=$A24,E$3*AtomicWeights!$B$17/E$5,0)</f>
        <v>0</v>
      </c>
      <c r="F24" s="14">
        <f>IF(F$2=$A24,F$3*AtomicWeights!$B$17/F$5,0)</f>
        <v>0</v>
      </c>
      <c r="G24" s="14">
        <f>IF(G$2=$A24,G$3*AtomicWeights!$B$17/G$5,0)</f>
        <v>0</v>
      </c>
      <c r="H24" s="14">
        <f>IF(H$2=$A24,H$3*AtomicWeights!$B$17/H$5,0)</f>
        <v>0</v>
      </c>
      <c r="I24" s="14">
        <f>IF(I$2=$A24,I$3*AtomicWeights!$B$17/I$5,0)</f>
        <v>0</v>
      </c>
      <c r="J24" s="14">
        <f>IF(J$2=$A24,J$3*AtomicWeights!$B$17/J$5,0)</f>
        <v>0</v>
      </c>
      <c r="K24" s="14">
        <f>IF(K$2=$A24,K$3*AtomicWeights!$B$17/K$5,0)</f>
        <v>0</v>
      </c>
      <c r="L24" s="14">
        <f>IF(L$2=$A24,L$3*AtomicWeights!$B$17/L$5,0)</f>
        <v>0</v>
      </c>
      <c r="M24" s="14">
        <f>IF(M$2=$A24,M$3*AtomicWeights!$B$17/M$5,0)</f>
        <v>0</v>
      </c>
      <c r="N24" s="14">
        <f>IF(N$2=$A24,N$3*AtomicWeights!$B$17/N$5,0)</f>
        <v>0</v>
      </c>
      <c r="O24" s="14">
        <f>IF(O$2=$A24,O$3*AtomicWeights!$B$17/O$5,0)</f>
        <v>0</v>
      </c>
      <c r="P24" s="14">
        <f>IF(P$2=$A24,P$3*AtomicWeights!$B$17/P$5,0)</f>
        <v>0</v>
      </c>
      <c r="Q24" s="14">
        <f>IF(Q$2=$A24,Q$3*AtomicWeights!$B$17/Q$5,0)</f>
        <v>0</v>
      </c>
      <c r="R24" s="14">
        <f>IF(R$2=$A24,R$3*AtomicWeights!$B$17/R$5,0)</f>
        <v>0.83015130218396616</v>
      </c>
      <c r="S24" s="14">
        <f>IF(S$2=$A24,S$3*AtomicWeights!$B$17/S$5,0)</f>
        <v>0</v>
      </c>
      <c r="T24" s="14">
        <f>IF(T$2=$A24,T$3*AtomicWeights!$B$17/T$5,0)</f>
        <v>0</v>
      </c>
      <c r="U24" s="14">
        <f>IF(U$2=$A24,U$3*AtomicWeights!$B$17/U$5,0)</f>
        <v>0</v>
      </c>
      <c r="V24" s="14">
        <f>IF(V$2=$A24,V$3*AtomicWeights!$B$17/V$5,0)</f>
        <v>0</v>
      </c>
      <c r="W24" s="14">
        <f>IF(W$2=$A24,W$3*AtomicWeights!$B$17/W$5,0)</f>
        <v>0</v>
      </c>
      <c r="X24" s="14">
        <f>IF(X$2=$A24,X$3*AtomicWeights!$B$17/X$5,0)</f>
        <v>0</v>
      </c>
      <c r="Y24" s="14">
        <f>IF(Y$2=$A24,Y$3*AtomicWeights!$B$17/Y$5,0)</f>
        <v>0</v>
      </c>
      <c r="Z24" s="14">
        <f>IF(Z$2=$A24,Z$3*AtomicWeights!$B$17/Z$5,0)</f>
        <v>0</v>
      </c>
      <c r="AA24" s="14">
        <f>IF(AA$2=$A24,AA$3*AtomicWeights!$B$17/AA$5,0)</f>
        <v>0</v>
      </c>
      <c r="AB24" s="14">
        <f>IF(AB$2=$A24,AB$3*AtomicWeights!$B$17/AB$5,0)</f>
        <v>0</v>
      </c>
      <c r="AC24" s="14">
        <f>IF(AC$2=$A24,AC$3*AtomicWeights!$B$17/AC$5,0)</f>
        <v>0</v>
      </c>
      <c r="AD24" s="14">
        <f>IF(AD$2=$A24,AD$3*AtomicWeights!$B$17/AD$5,0)</f>
        <v>0</v>
      </c>
      <c r="AE24" s="14">
        <f>IF(AE$2=$A24,AE$3*AtomicWeights!$B$17/AE$5,0)</f>
        <v>0</v>
      </c>
      <c r="AF24" s="14">
        <f>IF(AF$2=$A24,AF$3*AtomicWeights!$B$17/AF$5,0)</f>
        <v>0</v>
      </c>
      <c r="AG24" s="14">
        <f>IF(AG$2=$A24,AG$3*AtomicWeights!$B$17/AG$5,0)</f>
        <v>0</v>
      </c>
      <c r="AH24" s="14">
        <f>IF(AH$2=$A24,AH$3*AtomicWeights!$B$17/AH$5,0)</f>
        <v>0</v>
      </c>
      <c r="AI24" s="14">
        <f>IF(AI$2=$A24,AI$3*AtomicWeights!$B$17/AI$5,0)</f>
        <v>0</v>
      </c>
      <c r="AJ24" s="14">
        <f>IF(AJ$2=$A24,AJ$3*AtomicWeights!$B$17/AJ$5,0)</f>
        <v>0</v>
      </c>
      <c r="AK24" s="14">
        <f>IF(AK$2=$A24,AK$3*AtomicWeights!$B$17/AK$5,0)</f>
        <v>0</v>
      </c>
      <c r="AL24" s="14">
        <f>IF(AL$2=$A24,AL$3*AtomicWeights!$B$17/AL$5,0)</f>
        <v>0</v>
      </c>
      <c r="AM24" s="14">
        <f>IF(AM$2=$A24,AM$3*AtomicWeights!$B$17/AM$5,0)</f>
        <v>0</v>
      </c>
      <c r="AN24" s="14">
        <f>IF(AN$2=$A24,AN$3*AtomicWeights!$B$17/AN$5,0)</f>
        <v>0</v>
      </c>
      <c r="AO24" s="14">
        <f>IF(AO$2=$A24,AO$3*AtomicWeights!$B$17/AO$5,0)</f>
        <v>0</v>
      </c>
      <c r="AP24" s="14">
        <f>IF(AP$2=$A24,AP$3*AtomicWeights!$B$17/AP$5,0)</f>
        <v>0</v>
      </c>
      <c r="AQ24" s="14">
        <f>IF(AQ$2=$A24,AQ$3*AtomicWeights!$B$17/AQ$5,0)</f>
        <v>0</v>
      </c>
      <c r="AR24" s="14">
        <f>IF(AR$2=$A24,AR$3*AtomicWeights!$B$17/AR$5,0)</f>
        <v>0</v>
      </c>
      <c r="AS24" s="14">
        <f>IF(AS$2=$A24,AS$3*AtomicWeights!$B$17/AS$5,0)</f>
        <v>0</v>
      </c>
      <c r="AT24" s="14">
        <f>IF(AT$2=$A24,AT$3*AtomicWeights!$B$17/AT$5,0)</f>
        <v>0</v>
      </c>
      <c r="AU24" s="14">
        <f>IF(AU$2=$A24,AU$3*AtomicWeights!$B$17/AU$5,0)</f>
        <v>0</v>
      </c>
      <c r="AV24" s="14">
        <f>IF(AV$2=$A24,AV$3*AtomicWeights!$B$17/AV$5,0)</f>
        <v>0</v>
      </c>
      <c r="AW24" s="14">
        <f>IF(AW$2=$A24,AW$3*AtomicWeights!$B$17/AW$5,0)</f>
        <v>0</v>
      </c>
    </row>
    <row r="25" spans="1:49" x14ac:dyDescent="0.25">
      <c r="A25" s="13" t="s">
        <v>38</v>
      </c>
      <c r="B25" t="str">
        <f>AtomicWeights!$C$18</f>
        <v>yes</v>
      </c>
      <c r="C25" s="14">
        <f>IF(C$2=$A25,C$3*AtomicWeights!$B$18/C$5,0)</f>
        <v>0</v>
      </c>
      <c r="D25" s="14">
        <f>IF(D$2=$A25,D$3*AtomicWeights!$B$18/D$5,0)</f>
        <v>0</v>
      </c>
      <c r="E25" s="14">
        <f>IF(E$2=$A25,E$3*AtomicWeights!$B$18/E$5,0)</f>
        <v>0</v>
      </c>
      <c r="F25" s="14">
        <f>IF(F$2=$A25,F$3*AtomicWeights!$B$18/F$5,0)</f>
        <v>0</v>
      </c>
      <c r="G25" s="14">
        <f>IF(G$2=$A25,G$3*AtomicWeights!$B$18/G$5,0)</f>
        <v>0</v>
      </c>
      <c r="H25" s="14">
        <f>IF(H$2=$A25,H$3*AtomicWeights!$B$18/H$5,0)</f>
        <v>0</v>
      </c>
      <c r="I25" s="14">
        <f>IF(I$2=$A25,I$3*AtomicWeights!$B$18/I$5,0)</f>
        <v>0</v>
      </c>
      <c r="J25" s="14">
        <f>IF(J$2=$A25,J$3*AtomicWeights!$B$18/J$5,0)</f>
        <v>0</v>
      </c>
      <c r="K25" s="14">
        <f>IF(K$2=$A25,K$3*AtomicWeights!$B$18/K$5,0)</f>
        <v>0</v>
      </c>
      <c r="L25" s="14">
        <f>IF(L$2=$A25,L$3*AtomicWeights!$B$18/L$5,0)</f>
        <v>0</v>
      </c>
      <c r="M25" s="14">
        <f>IF(M$2=$A25,M$3*AtomicWeights!$B$18/M$5,0)</f>
        <v>0</v>
      </c>
      <c r="N25" s="14">
        <f>IF(N$2=$A25,N$3*AtomicWeights!$B$18/N$5,0)</f>
        <v>0</v>
      </c>
      <c r="O25" s="14">
        <f>IF(O$2=$A25,O$3*AtomicWeights!$B$18/O$5,0)</f>
        <v>0</v>
      </c>
      <c r="P25" s="14">
        <f>IF(P$2=$A25,P$3*AtomicWeights!$B$18/P$5,0)</f>
        <v>0</v>
      </c>
      <c r="Q25" s="14">
        <f>IF(Q$2=$A25,Q$3*AtomicWeights!$B$18/Q$5,0)</f>
        <v>0</v>
      </c>
      <c r="R25" s="14">
        <f>IF(R$2=$A25,R$3*AtomicWeights!$B$18/R$5,0)</f>
        <v>0</v>
      </c>
      <c r="S25" s="14">
        <f>IF(S$2=$A25,S$3*AtomicWeights!$B$18/S$5,0)</f>
        <v>0.36032614146909347</v>
      </c>
      <c r="T25" s="14">
        <f>IF(T$2=$A25,T$3*AtomicWeights!$B$18/T$5,0)</f>
        <v>0</v>
      </c>
      <c r="U25" s="14">
        <f>IF(U$2=$A25,U$3*AtomicWeights!$B$18/U$5,0)</f>
        <v>0</v>
      </c>
      <c r="V25" s="14">
        <f>IF(V$2=$A25,V$3*AtomicWeights!$B$18/V$5,0)</f>
        <v>0</v>
      </c>
      <c r="W25" s="14">
        <f>IF(W$2=$A25,W$3*AtomicWeights!$B$18/W$5,0)</f>
        <v>0</v>
      </c>
      <c r="X25" s="14">
        <f>IF(X$2=$A25,X$3*AtomicWeights!$B$18/X$5,0)</f>
        <v>0</v>
      </c>
      <c r="Y25" s="14">
        <f>IF(Y$2=$A25,Y$3*AtomicWeights!$B$18/Y$5,0)</f>
        <v>0</v>
      </c>
      <c r="Z25" s="14">
        <f>IF(Z$2=$A25,Z$3*AtomicWeights!$B$18/Z$5,0)</f>
        <v>0</v>
      </c>
      <c r="AA25" s="14">
        <f>IF(AA$2=$A25,AA$3*AtomicWeights!$B$18/AA$5,0)</f>
        <v>0</v>
      </c>
      <c r="AB25" s="14">
        <f>IF(AB$2=$A25,AB$3*AtomicWeights!$B$18/AB$5,0)</f>
        <v>0</v>
      </c>
      <c r="AC25" s="14">
        <f>IF(AC$2=$A25,AC$3*AtomicWeights!$B$18/AC$5,0)</f>
        <v>0</v>
      </c>
      <c r="AD25" s="14">
        <f>IF(AD$2=$A25,AD$3*AtomicWeights!$B$18/AD$5,0)</f>
        <v>0</v>
      </c>
      <c r="AE25" s="14">
        <f>IF(AE$2=$A25,AE$3*AtomicWeights!$B$18/AE$5,0)</f>
        <v>0</v>
      </c>
      <c r="AF25" s="14">
        <f>IF(AF$2=$A25,AF$3*AtomicWeights!$B$18/AF$5,0)</f>
        <v>0</v>
      </c>
      <c r="AG25" s="14">
        <f>IF(AG$2=$A25,AG$3*AtomicWeights!$B$18/AG$5,0)</f>
        <v>0</v>
      </c>
      <c r="AH25" s="14">
        <f>IF(AH$2=$A25,AH$3*AtomicWeights!$B$18/AH$5,0)</f>
        <v>0</v>
      </c>
      <c r="AI25" s="14">
        <f>IF(AI$2=$A25,AI$3*AtomicWeights!$B$18/AI$5,0)</f>
        <v>0</v>
      </c>
      <c r="AJ25" s="14">
        <f>IF(AJ$2=$A25,AJ$3*AtomicWeights!$B$18/AJ$5,0)</f>
        <v>0</v>
      </c>
      <c r="AK25" s="14">
        <f>IF(AK$2=$A25,AK$3*AtomicWeights!$B$18/AK$5,0)</f>
        <v>0</v>
      </c>
      <c r="AL25" s="14">
        <f>IF(AL$2=$A25,AL$3*AtomicWeights!$B$18/AL$5,0)</f>
        <v>0</v>
      </c>
      <c r="AM25" s="14">
        <f>IF(AM$2=$A25,AM$3*AtomicWeights!$B$18/AM$5,0)</f>
        <v>0</v>
      </c>
      <c r="AN25" s="14">
        <f>IF(AN$2=$A25,AN$3*AtomicWeights!$B$18/AN$5,0)</f>
        <v>0</v>
      </c>
      <c r="AO25" s="14">
        <f>IF(AO$2=$A25,AO$3*AtomicWeights!$B$18/AO$5,0)</f>
        <v>0</v>
      </c>
      <c r="AP25" s="14">
        <f>IF(AP$2=$A25,AP$3*AtomicWeights!$B$18/AP$5,0)</f>
        <v>0</v>
      </c>
      <c r="AQ25" s="14">
        <f>IF(AQ$2=$A25,AQ$3*AtomicWeights!$B$18/AQ$5,0)</f>
        <v>0</v>
      </c>
      <c r="AR25" s="14">
        <f>IF(AR$2=$A25,AR$3*AtomicWeights!$B$18/AR$5,0)</f>
        <v>0</v>
      </c>
      <c r="AS25" s="14">
        <f>IF(AS$2=$A25,AS$3*AtomicWeights!$B$18/AS$5,0)</f>
        <v>0</v>
      </c>
      <c r="AT25" s="14">
        <f>IF(AT$2=$A25,AT$3*AtomicWeights!$B$18/AT$5,0)</f>
        <v>0</v>
      </c>
      <c r="AU25" s="14">
        <f>IF(AU$2=$A25,AU$3*AtomicWeights!$B$18/AU$5,0)</f>
        <v>0</v>
      </c>
      <c r="AV25" s="14">
        <f>IF(AV$2=$A25,AV$3*AtomicWeights!$B$18/AV$5,0)</f>
        <v>0</v>
      </c>
      <c r="AW25" s="14">
        <f>IF(AW$2=$A25,AW$3*AtomicWeights!$B$18/AW$5,0)</f>
        <v>0</v>
      </c>
    </row>
    <row r="26" spans="1:49" x14ac:dyDescent="0.25">
      <c r="A26" s="13" t="s">
        <v>39</v>
      </c>
      <c r="B26" t="str">
        <f>AtomicWeights!$C$19</f>
        <v>NO</v>
      </c>
      <c r="C26" s="14">
        <f>IF(C$2=$A26,C$3*AtomicWeights!$B$19/C$5,0)</f>
        <v>0</v>
      </c>
      <c r="D26" s="14">
        <f>IF(D$2=$A26,D$3*AtomicWeights!$B$19/D$5,0)</f>
        <v>0</v>
      </c>
      <c r="E26" s="14">
        <f>IF(E$2=$A26,E$3*AtomicWeights!$B$19/E$5,0)</f>
        <v>0</v>
      </c>
      <c r="F26" s="14">
        <f>IF(F$2=$A26,F$3*AtomicWeights!$B$19/F$5,0)</f>
        <v>0</v>
      </c>
      <c r="G26" s="14">
        <f>IF(G$2=$A26,G$3*AtomicWeights!$B$19/G$5,0)</f>
        <v>0</v>
      </c>
      <c r="H26" s="14">
        <f>IF(H$2=$A26,H$3*AtomicWeights!$B$19/H$5,0)</f>
        <v>0</v>
      </c>
      <c r="I26" s="14">
        <f>IF(I$2=$A26,I$3*AtomicWeights!$B$19/I$5,0)</f>
        <v>0</v>
      </c>
      <c r="J26" s="14">
        <f>IF(J$2=$A26,J$3*AtomicWeights!$B$19/J$5,0)</f>
        <v>0</v>
      </c>
      <c r="K26" s="14">
        <f>IF(K$2=$A26,K$3*AtomicWeights!$B$19/K$5,0)</f>
        <v>0</v>
      </c>
      <c r="L26" s="14">
        <f>IF(L$2=$A26,L$3*AtomicWeights!$B$19/L$5,0)</f>
        <v>0</v>
      </c>
      <c r="M26" s="14">
        <f>IF(M$2=$A26,M$3*AtomicWeights!$B$19/M$5,0)</f>
        <v>0</v>
      </c>
      <c r="N26" s="14">
        <f>IF(N$2=$A26,N$3*AtomicWeights!$B$19/N$5,0)</f>
        <v>0</v>
      </c>
      <c r="O26" s="14">
        <f>IF(O$2=$A26,O$3*AtomicWeights!$B$19/O$5,0)</f>
        <v>0</v>
      </c>
      <c r="P26" s="14">
        <f>IF(P$2=$A26,P$3*AtomicWeights!$B$19/P$5,0)</f>
        <v>0</v>
      </c>
      <c r="Q26" s="14">
        <f>IF(Q$2=$A26,Q$3*AtomicWeights!$B$19/Q$5,0)</f>
        <v>0</v>
      </c>
      <c r="R26" s="14">
        <f>IF(R$2=$A26,R$3*AtomicWeights!$B$19/R$5,0)</f>
        <v>0</v>
      </c>
      <c r="S26" s="14">
        <f>IF(S$2=$A26,S$3*AtomicWeights!$B$19/S$5,0)</f>
        <v>0</v>
      </c>
      <c r="T26" s="14">
        <f>IF(T$2=$A26,T$3*AtomicWeights!$B$19/T$5,0)</f>
        <v>0.69904939562708002</v>
      </c>
      <c r="U26" s="14">
        <f>IF(U$2=$A26,U$3*AtomicWeights!$B$19/U$5,0)</f>
        <v>0</v>
      </c>
      <c r="V26" s="14">
        <f>IF(V$2=$A26,V$3*AtomicWeights!$B$19/V$5,0)</f>
        <v>0</v>
      </c>
      <c r="W26" s="14">
        <f>IF(W$2=$A26,W$3*AtomicWeights!$B$19/W$5,0)</f>
        <v>0</v>
      </c>
      <c r="X26" s="14">
        <f>IF(X$2=$A26,X$3*AtomicWeights!$B$19/X$5,0)</f>
        <v>0</v>
      </c>
      <c r="Y26" s="14">
        <f>IF(Y$2=$A26,Y$3*AtomicWeights!$B$19/Y$5,0)</f>
        <v>0</v>
      </c>
      <c r="Z26" s="14">
        <f>IF(Z$2=$A26,Z$3*AtomicWeights!$B$19/Z$5,0)</f>
        <v>0</v>
      </c>
      <c r="AA26" s="14">
        <f>IF(AA$2=$A26,AA$3*AtomicWeights!$B$19/AA$5,0)</f>
        <v>0</v>
      </c>
      <c r="AB26" s="14">
        <f>IF(AB$2=$A26,AB$3*AtomicWeights!$B$19/AB$5,0)</f>
        <v>0</v>
      </c>
      <c r="AC26" s="14">
        <f>IF(AC$2=$A26,AC$3*AtomicWeights!$B$19/AC$5,0)</f>
        <v>0</v>
      </c>
      <c r="AD26" s="14">
        <f>IF(AD$2=$A26,AD$3*AtomicWeights!$B$19/AD$5,0)</f>
        <v>0</v>
      </c>
      <c r="AE26" s="14">
        <f>IF(AE$2=$A26,AE$3*AtomicWeights!$B$19/AE$5,0)</f>
        <v>0</v>
      </c>
      <c r="AF26" s="14">
        <f>IF(AF$2=$A26,AF$3*AtomicWeights!$B$19/AF$5,0)</f>
        <v>0</v>
      </c>
      <c r="AG26" s="14">
        <f>IF(AG$2=$A26,AG$3*AtomicWeights!$B$19/AG$5,0)</f>
        <v>0</v>
      </c>
      <c r="AH26" s="14">
        <f>IF(AH$2=$A26,AH$3*AtomicWeights!$B$19/AH$5,0)</f>
        <v>0</v>
      </c>
      <c r="AI26" s="14">
        <f>IF(AI$2=$A26,AI$3*AtomicWeights!$B$19/AI$5,0)</f>
        <v>0</v>
      </c>
      <c r="AJ26" s="14">
        <f>IF(AJ$2=$A26,AJ$3*AtomicWeights!$B$19/AJ$5,0)</f>
        <v>0</v>
      </c>
      <c r="AK26" s="14">
        <f>IF(AK$2=$A26,AK$3*AtomicWeights!$B$19/AK$5,0)</f>
        <v>0</v>
      </c>
      <c r="AL26" s="14">
        <f>IF(AL$2=$A26,AL$3*AtomicWeights!$B$19/AL$5,0)</f>
        <v>0</v>
      </c>
      <c r="AM26" s="14">
        <f>IF(AM$2=$A26,AM$3*AtomicWeights!$B$19/AM$5,0)</f>
        <v>0</v>
      </c>
      <c r="AN26" s="14">
        <f>IF(AN$2=$A26,AN$3*AtomicWeights!$B$19/AN$5,0)</f>
        <v>0</v>
      </c>
      <c r="AO26" s="14">
        <f>IF(AO$2=$A26,AO$3*AtomicWeights!$B$19/AO$5,0)</f>
        <v>0</v>
      </c>
      <c r="AP26" s="14">
        <f>IF(AP$2=$A26,AP$3*AtomicWeights!$B$19/AP$5,0)</f>
        <v>0</v>
      </c>
      <c r="AQ26" s="14">
        <f>IF(AQ$2=$A26,AQ$3*AtomicWeights!$B$19/AQ$5,0)</f>
        <v>0</v>
      </c>
      <c r="AR26" s="14">
        <f>IF(AR$2=$A26,AR$3*AtomicWeights!$B$19/AR$5,0)</f>
        <v>0</v>
      </c>
      <c r="AS26" s="14">
        <f>IF(AS$2=$A26,AS$3*AtomicWeights!$B$19/AS$5,0)</f>
        <v>0</v>
      </c>
      <c r="AT26" s="14">
        <f>IF(AT$2=$A26,AT$3*AtomicWeights!$B$19/AT$5,0)</f>
        <v>0</v>
      </c>
      <c r="AU26" s="14">
        <f>IF(AU$2=$A26,AU$3*AtomicWeights!$B$19/AU$5,0)</f>
        <v>0</v>
      </c>
      <c r="AV26" s="14">
        <f>IF(AV$2=$A26,AV$3*AtomicWeights!$B$19/AV$5,0)</f>
        <v>0</v>
      </c>
      <c r="AW26" s="14">
        <f>IF(AW$2=$A26,AW$3*AtomicWeights!$B$19/AW$5,0)</f>
        <v>0</v>
      </c>
    </row>
    <row r="27" spans="1:49" x14ac:dyDescent="0.25">
      <c r="A27" s="13" t="s">
        <v>40</v>
      </c>
      <c r="B27" t="str">
        <f>AtomicWeights!$C$20</f>
        <v>yes</v>
      </c>
      <c r="C27" s="14">
        <f>IF(C$2=$A27,C$3*AtomicWeights!$B$20/C$5,0)</f>
        <v>0</v>
      </c>
      <c r="D27" s="14">
        <f>IF(D$2=$A27,D$3*AtomicWeights!$B$20/D$5,0)</f>
        <v>0</v>
      </c>
      <c r="E27" s="14">
        <f>IF(E$2=$A27,E$3*AtomicWeights!$B$20/E$5,0)</f>
        <v>0</v>
      </c>
      <c r="F27" s="14">
        <f>IF(F$2=$A27,F$3*AtomicWeights!$B$20/F$5,0)</f>
        <v>0</v>
      </c>
      <c r="G27" s="14">
        <f>IF(G$2=$A27,G$3*AtomicWeights!$B$20/G$5,0)</f>
        <v>0</v>
      </c>
      <c r="H27" s="14">
        <f>IF(H$2=$A27,H$3*AtomicWeights!$B$20/H$5,0)</f>
        <v>0</v>
      </c>
      <c r="I27" s="14">
        <f>IF(I$2=$A27,I$3*AtomicWeights!$B$20/I$5,0)</f>
        <v>0</v>
      </c>
      <c r="J27" s="14">
        <f>IF(J$2=$A27,J$3*AtomicWeights!$B$20/J$5,0)</f>
        <v>0</v>
      </c>
      <c r="K27" s="14">
        <f>IF(K$2=$A27,K$3*AtomicWeights!$B$20/K$5,0)</f>
        <v>0</v>
      </c>
      <c r="L27" s="14">
        <f>IF(L$2=$A27,L$3*AtomicWeights!$B$20/L$5,0)</f>
        <v>0</v>
      </c>
      <c r="M27" s="14">
        <f>IF(M$2=$A27,M$3*AtomicWeights!$B$20/M$5,0)</f>
        <v>0</v>
      </c>
      <c r="N27" s="14">
        <f>IF(N$2=$A27,N$3*AtomicWeights!$B$20/N$5,0)</f>
        <v>0</v>
      </c>
      <c r="O27" s="14">
        <f>IF(O$2=$A27,O$3*AtomicWeights!$B$20/O$5,0)</f>
        <v>0</v>
      </c>
      <c r="P27" s="14">
        <f>IF(P$2=$A27,P$3*AtomicWeights!$B$20/P$5,0)</f>
        <v>0</v>
      </c>
      <c r="Q27" s="14">
        <f>IF(Q$2=$A27,Q$3*AtomicWeights!$B$20/Q$5,0)</f>
        <v>0</v>
      </c>
      <c r="R27" s="14">
        <f>IF(R$2=$A27,R$3*AtomicWeights!$B$20/R$5,0)</f>
        <v>0</v>
      </c>
      <c r="S27" s="14">
        <f>IF(S$2=$A27,S$3*AtomicWeights!$B$20/S$5,0)</f>
        <v>0</v>
      </c>
      <c r="T27" s="14">
        <f>IF(T$2=$A27,T$3*AtomicWeights!$B$20/T$5,0)</f>
        <v>0</v>
      </c>
      <c r="U27" s="14">
        <f>IF(U$2=$A27,U$3*AtomicWeights!$B$20/U$5,0)</f>
        <v>0.81897109593330264</v>
      </c>
      <c r="V27" s="14">
        <f>IF(V$2=$A27,V$3*AtomicWeights!$B$20/V$5,0)</f>
        <v>0</v>
      </c>
      <c r="W27" s="14">
        <f>IF(W$2=$A27,W$3*AtomicWeights!$B$20/W$5,0)</f>
        <v>0</v>
      </c>
      <c r="X27" s="14">
        <f>IF(X$2=$A27,X$3*AtomicWeights!$B$20/X$5,0)</f>
        <v>0</v>
      </c>
      <c r="Y27" s="14">
        <f>IF(Y$2=$A27,Y$3*AtomicWeights!$B$20/Y$5,0)</f>
        <v>0</v>
      </c>
      <c r="Z27" s="14">
        <f>IF(Z$2=$A27,Z$3*AtomicWeights!$B$20/Z$5,0)</f>
        <v>0</v>
      </c>
      <c r="AA27" s="14">
        <f>IF(AA$2=$A27,AA$3*AtomicWeights!$B$20/AA$5,0)</f>
        <v>0</v>
      </c>
      <c r="AB27" s="14">
        <f>IF(AB$2=$A27,AB$3*AtomicWeights!$B$20/AB$5,0)</f>
        <v>0</v>
      </c>
      <c r="AC27" s="14">
        <f>IF(AC$2=$A27,AC$3*AtomicWeights!$B$20/AC$5,0)</f>
        <v>0</v>
      </c>
      <c r="AD27" s="14">
        <f>IF(AD$2=$A27,AD$3*AtomicWeights!$B$20/AD$5,0)</f>
        <v>0</v>
      </c>
      <c r="AE27" s="14">
        <f>IF(AE$2=$A27,AE$3*AtomicWeights!$B$20/AE$5,0)</f>
        <v>0</v>
      </c>
      <c r="AF27" s="14">
        <f>IF(AF$2=$A27,AF$3*AtomicWeights!$B$20/AF$5,0)</f>
        <v>0</v>
      </c>
      <c r="AG27" s="14">
        <f>IF(AG$2=$A27,AG$3*AtomicWeights!$B$20/AG$5,0)</f>
        <v>0</v>
      </c>
      <c r="AH27" s="14">
        <f>IF(AH$2=$A27,AH$3*AtomicWeights!$B$20/AH$5,0)</f>
        <v>0</v>
      </c>
      <c r="AI27" s="14">
        <f>IF(AI$2=$A27,AI$3*AtomicWeights!$B$20/AI$5,0)</f>
        <v>0</v>
      </c>
      <c r="AJ27" s="14">
        <f>IF(AJ$2=$A27,AJ$3*AtomicWeights!$B$20/AJ$5,0)</f>
        <v>0</v>
      </c>
      <c r="AK27" s="14">
        <f>IF(AK$2=$A27,AK$3*AtomicWeights!$B$20/AK$5,0)</f>
        <v>0</v>
      </c>
      <c r="AL27" s="14">
        <f>IF(AL$2=$A27,AL$3*AtomicWeights!$B$20/AL$5,0)</f>
        <v>0</v>
      </c>
      <c r="AM27" s="14">
        <f>IF(AM$2=$A27,AM$3*AtomicWeights!$B$20/AM$5,0)</f>
        <v>0</v>
      </c>
      <c r="AN27" s="14">
        <f>IF(AN$2=$A27,AN$3*AtomicWeights!$B$20/AN$5,0)</f>
        <v>0</v>
      </c>
      <c r="AO27" s="14">
        <f>IF(AO$2=$A27,AO$3*AtomicWeights!$B$20/AO$5,0)</f>
        <v>0</v>
      </c>
      <c r="AP27" s="14">
        <f>IF(AP$2=$A27,AP$3*AtomicWeights!$B$20/AP$5,0)</f>
        <v>0</v>
      </c>
      <c r="AQ27" s="14">
        <f>IF(AQ$2=$A27,AQ$3*AtomicWeights!$B$20/AQ$5,0)</f>
        <v>0</v>
      </c>
      <c r="AR27" s="14">
        <f>IF(AR$2=$A27,AR$3*AtomicWeights!$B$20/AR$5,0)</f>
        <v>0</v>
      </c>
      <c r="AS27" s="14">
        <f>IF(AS$2=$A27,AS$3*AtomicWeights!$B$20/AS$5,0)</f>
        <v>0</v>
      </c>
      <c r="AT27" s="14">
        <f>IF(AT$2=$A27,AT$3*AtomicWeights!$B$20/AT$5,0)</f>
        <v>0</v>
      </c>
      <c r="AU27" s="14">
        <f>IF(AU$2=$A27,AU$3*AtomicWeights!$B$20/AU$5,0)</f>
        <v>0</v>
      </c>
      <c r="AV27" s="14">
        <f>IF(AV$2=$A27,AV$3*AtomicWeights!$B$20/AV$5,0)</f>
        <v>0</v>
      </c>
      <c r="AW27" s="14">
        <f>IF(AW$2=$A27,AW$3*AtomicWeights!$B$20/AW$5,0)</f>
        <v>0</v>
      </c>
    </row>
    <row r="28" spans="1:49" x14ac:dyDescent="0.25">
      <c r="A28" s="13" t="s">
        <v>41</v>
      </c>
      <c r="B28" t="str">
        <f>AtomicWeights!$C$21</f>
        <v>yes</v>
      </c>
      <c r="C28" s="14">
        <f>IF(C$2=$A28,C$3*AtomicWeights!$B$21/C$5,0)</f>
        <v>0</v>
      </c>
      <c r="D28" s="14">
        <f>IF(D$2=$A28,D$3*AtomicWeights!$B$21/D$5,0)</f>
        <v>0</v>
      </c>
      <c r="E28" s="14">
        <f>IF(E$2=$A28,E$3*AtomicWeights!$B$21/E$5,0)</f>
        <v>0</v>
      </c>
      <c r="F28" s="14">
        <f>IF(F$2=$A28,F$3*AtomicWeights!$B$21/F$5,0)</f>
        <v>0</v>
      </c>
      <c r="G28" s="14">
        <f>IF(G$2=$A28,G$3*AtomicWeights!$B$21/G$5,0)</f>
        <v>0</v>
      </c>
      <c r="H28" s="14">
        <f>IF(H$2=$A28,H$3*AtomicWeights!$B$21/H$5,0)</f>
        <v>0</v>
      </c>
      <c r="I28" s="14">
        <f>IF(I$2=$A28,I$3*AtomicWeights!$B$21/I$5,0)</f>
        <v>0</v>
      </c>
      <c r="J28" s="14">
        <f>IF(J$2=$A28,J$3*AtomicWeights!$B$21/J$5,0)</f>
        <v>0</v>
      </c>
      <c r="K28" s="14">
        <f>IF(K$2=$A28,K$3*AtomicWeights!$B$21/K$5,0)</f>
        <v>0</v>
      </c>
      <c r="L28" s="14">
        <f>IF(L$2=$A28,L$3*AtomicWeights!$B$21/L$5,0)</f>
        <v>0</v>
      </c>
      <c r="M28" s="14">
        <f>IF(M$2=$A28,M$3*AtomicWeights!$B$21/M$5,0)</f>
        <v>0</v>
      </c>
      <c r="N28" s="14">
        <f>IF(N$2=$A28,N$3*AtomicWeights!$B$21/N$5,0)</f>
        <v>0</v>
      </c>
      <c r="O28" s="14">
        <f>IF(O$2=$A28,O$3*AtomicWeights!$B$21/O$5,0)</f>
        <v>0</v>
      </c>
      <c r="P28" s="14">
        <f>IF(P$2=$A28,P$3*AtomicWeights!$B$21/P$5,0)</f>
        <v>0</v>
      </c>
      <c r="Q28" s="14">
        <f>IF(Q$2=$A28,Q$3*AtomicWeights!$B$21/Q$5,0)</f>
        <v>0</v>
      </c>
      <c r="R28" s="14">
        <f>IF(R$2=$A28,R$3*AtomicWeights!$B$21/R$5,0)</f>
        <v>0</v>
      </c>
      <c r="S28" s="14">
        <f>IF(S$2=$A28,S$3*AtomicWeights!$B$21/S$5,0)</f>
        <v>0</v>
      </c>
      <c r="T28" s="14">
        <f>IF(T$2=$A28,T$3*AtomicWeights!$B$21/T$5,0)</f>
        <v>0</v>
      </c>
      <c r="U28" s="14">
        <f>IF(U$2=$A28,U$3*AtomicWeights!$B$21/U$5,0)</f>
        <v>0</v>
      </c>
      <c r="V28" s="14">
        <f>IF(V$2=$A28,V$3*AtomicWeights!$B$21/V$5,0)</f>
        <v>0.79297092353679532</v>
      </c>
      <c r="W28" s="14">
        <f>IF(W$2=$A28,W$3*AtomicWeights!$B$21/W$5,0)</f>
        <v>0</v>
      </c>
      <c r="X28" s="14">
        <f>IF(X$2=$A28,X$3*AtomicWeights!$B$21/X$5,0)</f>
        <v>0</v>
      </c>
      <c r="Y28" s="14">
        <f>IF(Y$2=$A28,Y$3*AtomicWeights!$B$21/Y$5,0)</f>
        <v>0</v>
      </c>
      <c r="Z28" s="14">
        <f>IF(Z$2=$A28,Z$3*AtomicWeights!$B$21/Z$5,0)</f>
        <v>0</v>
      </c>
      <c r="AA28" s="14">
        <f>IF(AA$2=$A28,AA$3*AtomicWeights!$B$21/AA$5,0)</f>
        <v>0</v>
      </c>
      <c r="AB28" s="14">
        <f>IF(AB$2=$A28,AB$3*AtomicWeights!$B$21/AB$5,0)</f>
        <v>0</v>
      </c>
      <c r="AC28" s="14">
        <f>IF(AC$2=$A28,AC$3*AtomicWeights!$B$21/AC$5,0)</f>
        <v>0</v>
      </c>
      <c r="AD28" s="14">
        <f>IF(AD$2=$A28,AD$3*AtomicWeights!$B$21/AD$5,0)</f>
        <v>0</v>
      </c>
      <c r="AE28" s="14">
        <f>IF(AE$2=$A28,AE$3*AtomicWeights!$B$21/AE$5,0)</f>
        <v>0</v>
      </c>
      <c r="AF28" s="14">
        <f>IF(AF$2=$A28,AF$3*AtomicWeights!$B$21/AF$5,0)</f>
        <v>0</v>
      </c>
      <c r="AG28" s="14">
        <f>IF(AG$2=$A28,AG$3*AtomicWeights!$B$21/AG$5,0)</f>
        <v>0</v>
      </c>
      <c r="AH28" s="14">
        <f>IF(AH$2=$A28,AH$3*AtomicWeights!$B$21/AH$5,0)</f>
        <v>0</v>
      </c>
      <c r="AI28" s="14">
        <f>IF(AI$2=$A28,AI$3*AtomicWeights!$B$21/AI$5,0)</f>
        <v>0</v>
      </c>
      <c r="AJ28" s="14">
        <f>IF(AJ$2=$A28,AJ$3*AtomicWeights!$B$21/AJ$5,0)</f>
        <v>0</v>
      </c>
      <c r="AK28" s="14">
        <f>IF(AK$2=$A28,AK$3*AtomicWeights!$B$21/AK$5,0)</f>
        <v>0</v>
      </c>
      <c r="AL28" s="14">
        <f>IF(AL$2=$A28,AL$3*AtomicWeights!$B$21/AL$5,0)</f>
        <v>0</v>
      </c>
      <c r="AM28" s="14">
        <f>IF(AM$2=$A28,AM$3*AtomicWeights!$B$21/AM$5,0)</f>
        <v>0</v>
      </c>
      <c r="AN28" s="14">
        <f>IF(AN$2=$A28,AN$3*AtomicWeights!$B$21/AN$5,0)</f>
        <v>0</v>
      </c>
      <c r="AO28" s="14">
        <f>IF(AO$2=$A28,AO$3*AtomicWeights!$B$21/AO$5,0)</f>
        <v>0</v>
      </c>
      <c r="AP28" s="14">
        <f>IF(AP$2=$A28,AP$3*AtomicWeights!$B$21/AP$5,0)</f>
        <v>0</v>
      </c>
      <c r="AQ28" s="14">
        <f>IF(AQ$2=$A28,AQ$3*AtomicWeights!$B$21/AQ$5,0)</f>
        <v>0</v>
      </c>
      <c r="AR28" s="14">
        <f>IF(AR$2=$A28,AR$3*AtomicWeights!$B$21/AR$5,0)</f>
        <v>0</v>
      </c>
      <c r="AS28" s="14">
        <f>IF(AS$2=$A28,AS$3*AtomicWeights!$B$21/AS$5,0)</f>
        <v>0</v>
      </c>
      <c r="AT28" s="14">
        <f>IF(AT$2=$A28,AT$3*AtomicWeights!$B$21/AT$5,0)</f>
        <v>0</v>
      </c>
      <c r="AU28" s="14">
        <f>IF(AU$2=$A28,AU$3*AtomicWeights!$B$21/AU$5,0)</f>
        <v>0</v>
      </c>
      <c r="AV28" s="14">
        <f>IF(AV$2=$A28,AV$3*AtomicWeights!$B$21/AV$5,0)</f>
        <v>0</v>
      </c>
      <c r="AW28" s="14">
        <f>IF(AW$2=$A28,AW$3*AtomicWeights!$B$21/AW$5,0)</f>
        <v>0</v>
      </c>
    </row>
    <row r="29" spans="1:49" x14ac:dyDescent="0.25">
      <c r="A29" s="13" t="s">
        <v>42</v>
      </c>
      <c r="B29" t="str">
        <f>AtomicWeights!$C$22</f>
        <v>yes</v>
      </c>
      <c r="C29" s="14">
        <f>IF(C$2=$A29,C$3*AtomicWeights!$B$22/C$5,0)</f>
        <v>0</v>
      </c>
      <c r="D29" s="14">
        <f>IF(D$2=$A29,D$3*AtomicWeights!$B$22/D$5,0)</f>
        <v>0</v>
      </c>
      <c r="E29" s="14">
        <f>IF(E$2=$A29,E$3*AtomicWeights!$B$22/E$5,0)</f>
        <v>0</v>
      </c>
      <c r="F29" s="14">
        <f>IF(F$2=$A29,F$3*AtomicWeights!$B$22/F$5,0)</f>
        <v>0</v>
      </c>
      <c r="G29" s="14">
        <f>IF(G$2=$A29,G$3*AtomicWeights!$B$22/G$5,0)</f>
        <v>0</v>
      </c>
      <c r="H29" s="14">
        <f>IF(H$2=$A29,H$3*AtomicWeights!$B$22/H$5,0)</f>
        <v>0</v>
      </c>
      <c r="I29" s="14">
        <f>IF(I$2=$A29,I$3*AtomicWeights!$B$22/I$5,0)</f>
        <v>0</v>
      </c>
      <c r="J29" s="14">
        <f>IF(J$2=$A29,J$3*AtomicWeights!$B$22/J$5,0)</f>
        <v>0</v>
      </c>
      <c r="K29" s="14">
        <f>IF(K$2=$A29,K$3*AtomicWeights!$B$22/K$5,0)</f>
        <v>0</v>
      </c>
      <c r="L29" s="14">
        <f>IF(L$2=$A29,L$3*AtomicWeights!$B$22/L$5,0)</f>
        <v>0</v>
      </c>
      <c r="M29" s="14">
        <f>IF(M$2=$A29,M$3*AtomicWeights!$B$22/M$5,0)</f>
        <v>0</v>
      </c>
      <c r="N29" s="14">
        <f>IF(N$2=$A29,N$3*AtomicWeights!$B$22/N$5,0)</f>
        <v>0</v>
      </c>
      <c r="O29" s="14">
        <f>IF(O$2=$A29,O$3*AtomicWeights!$B$22/O$5,0)</f>
        <v>0</v>
      </c>
      <c r="P29" s="14">
        <f>IF(P$2=$A29,P$3*AtomicWeights!$B$22/P$5,0)</f>
        <v>0</v>
      </c>
      <c r="Q29" s="14">
        <f>IF(Q$2=$A29,Q$3*AtomicWeights!$B$22/Q$5,0)</f>
        <v>0</v>
      </c>
      <c r="R29" s="14">
        <f>IF(R$2=$A29,R$3*AtomicWeights!$B$22/R$5,0)</f>
        <v>0</v>
      </c>
      <c r="S29" s="14">
        <f>IF(S$2=$A29,S$3*AtomicWeights!$B$22/S$5,0)</f>
        <v>0</v>
      </c>
      <c r="T29" s="14">
        <f>IF(T$2=$A29,T$3*AtomicWeights!$B$22/T$5,0)</f>
        <v>0</v>
      </c>
      <c r="U29" s="14">
        <f>IF(U$2=$A29,U$3*AtomicWeights!$B$22/U$5,0)</f>
        <v>0</v>
      </c>
      <c r="V29" s="14">
        <f>IF(V$2=$A29,V$3*AtomicWeights!$B$22/V$5,0)</f>
        <v>0</v>
      </c>
      <c r="W29" s="14">
        <f>IF(W$2=$A29,W$3*AtomicWeights!$B$22/W$5,0)</f>
        <v>0.43642681736267919</v>
      </c>
      <c r="X29" s="14">
        <f>IF(X$2=$A29,X$3*AtomicWeights!$B$22/X$5,0)</f>
        <v>0</v>
      </c>
      <c r="Y29" s="14">
        <f>IF(Y$2=$A29,Y$3*AtomicWeights!$B$22/Y$5,0)</f>
        <v>0</v>
      </c>
      <c r="Z29" s="14">
        <f>IF(Z$2=$A29,Z$3*AtomicWeights!$B$22/Z$5,0)</f>
        <v>0</v>
      </c>
      <c r="AA29" s="14">
        <f>IF(AA$2=$A29,AA$3*AtomicWeights!$B$22/AA$5,0)</f>
        <v>0</v>
      </c>
      <c r="AB29" s="14">
        <f>IF(AB$2=$A29,AB$3*AtomicWeights!$B$22/AB$5,0)</f>
        <v>0</v>
      </c>
      <c r="AC29" s="14">
        <f>IF(AC$2=$A29,AC$3*AtomicWeights!$B$22/AC$5,0)</f>
        <v>0</v>
      </c>
      <c r="AD29" s="14">
        <f>IF(AD$2=$A29,AD$3*AtomicWeights!$B$22/AD$5,0)</f>
        <v>0</v>
      </c>
      <c r="AE29" s="14">
        <f>IF(AE$2=$A29,AE$3*AtomicWeights!$B$22/AE$5,0)</f>
        <v>0</v>
      </c>
      <c r="AF29" s="14">
        <f>IF(AF$2=$A29,AF$3*AtomicWeights!$B$22/AF$5,0)</f>
        <v>0</v>
      </c>
      <c r="AG29" s="14">
        <f>IF(AG$2=$A29,AG$3*AtomicWeights!$B$22/AG$5,0)</f>
        <v>0</v>
      </c>
      <c r="AH29" s="14">
        <f>IF(AH$2=$A29,AH$3*AtomicWeights!$B$22/AH$5,0)</f>
        <v>0</v>
      </c>
      <c r="AI29" s="14">
        <f>IF(AI$2=$A29,AI$3*AtomicWeights!$B$22/AI$5,0)</f>
        <v>0</v>
      </c>
      <c r="AJ29" s="14">
        <f>IF(AJ$2=$A29,AJ$3*AtomicWeights!$B$22/AJ$5,0)</f>
        <v>0</v>
      </c>
      <c r="AK29" s="14">
        <f>IF(AK$2=$A29,AK$3*AtomicWeights!$B$22/AK$5,0)</f>
        <v>0</v>
      </c>
      <c r="AL29" s="14">
        <f>IF(AL$2=$A29,AL$3*AtomicWeights!$B$22/AL$5,0)</f>
        <v>0</v>
      </c>
      <c r="AM29" s="14">
        <f>IF(AM$2=$A29,AM$3*AtomicWeights!$B$22/AM$5,0)</f>
        <v>0</v>
      </c>
      <c r="AN29" s="14">
        <f>IF(AN$2=$A29,AN$3*AtomicWeights!$B$22/AN$5,0)</f>
        <v>0</v>
      </c>
      <c r="AO29" s="14">
        <f>IF(AO$2=$A29,AO$3*AtomicWeights!$B$22/AO$5,0)</f>
        <v>0</v>
      </c>
      <c r="AP29" s="14">
        <f>IF(AP$2=$A29,AP$3*AtomicWeights!$B$22/AP$5,0)</f>
        <v>0</v>
      </c>
      <c r="AQ29" s="14">
        <f>IF(AQ$2=$A29,AQ$3*AtomicWeights!$B$22/AQ$5,0)</f>
        <v>0</v>
      </c>
      <c r="AR29" s="14">
        <f>IF(AR$2=$A29,AR$3*AtomicWeights!$B$22/AR$5,0)</f>
        <v>0</v>
      </c>
      <c r="AS29" s="14">
        <f>IF(AS$2=$A29,AS$3*AtomicWeights!$B$22/AS$5,0)</f>
        <v>0</v>
      </c>
      <c r="AT29" s="14">
        <f>IF(AT$2=$A29,AT$3*AtomicWeights!$B$22/AT$5,0)</f>
        <v>0</v>
      </c>
      <c r="AU29" s="14">
        <f>IF(AU$2=$A29,AU$3*AtomicWeights!$B$22/AU$5,0)</f>
        <v>0</v>
      </c>
      <c r="AV29" s="14">
        <f>IF(AV$2=$A29,AV$3*AtomicWeights!$B$22/AV$5,0)</f>
        <v>0</v>
      </c>
      <c r="AW29" s="14">
        <f>IF(AW$2=$A29,AW$3*AtomicWeights!$B$22/AW$5,0)</f>
        <v>0</v>
      </c>
    </row>
    <row r="30" spans="1:49" x14ac:dyDescent="0.25">
      <c r="A30" s="13" t="s">
        <v>43</v>
      </c>
      <c r="B30" t="str">
        <f>AtomicWeights!$C$23</f>
        <v>yes</v>
      </c>
      <c r="C30" s="14">
        <f>IF(C$2=$A30,C$3*AtomicWeights!$B$23/C$5,0)</f>
        <v>0</v>
      </c>
      <c r="D30" s="14">
        <f>IF(D$2=$A30,D$3*AtomicWeights!$B$23/D$5,0)</f>
        <v>0</v>
      </c>
      <c r="E30" s="14">
        <f>IF(E$2=$A30,E$3*AtomicWeights!$B$23/E$5,0)</f>
        <v>0</v>
      </c>
      <c r="F30" s="14">
        <f>IF(F$2=$A30,F$3*AtomicWeights!$B$23/F$5,0)</f>
        <v>0</v>
      </c>
      <c r="G30" s="14">
        <f>IF(G$2=$A30,G$3*AtomicWeights!$B$23/G$5,0)</f>
        <v>0</v>
      </c>
      <c r="H30" s="14">
        <f>IF(H$2=$A30,H$3*AtomicWeights!$B$23/H$5,0)</f>
        <v>0</v>
      </c>
      <c r="I30" s="14">
        <f>IF(I$2=$A30,I$3*AtomicWeights!$B$23/I$5,0)</f>
        <v>0</v>
      </c>
      <c r="J30" s="14">
        <f>IF(J$2=$A30,J$3*AtomicWeights!$B$23/J$5,0)</f>
        <v>0</v>
      </c>
      <c r="K30" s="14">
        <f>IF(K$2=$A30,K$3*AtomicWeights!$B$23/K$5,0)</f>
        <v>0</v>
      </c>
      <c r="L30" s="14">
        <f>IF(L$2=$A30,L$3*AtomicWeights!$B$23/L$5,0)</f>
        <v>0</v>
      </c>
      <c r="M30" s="14">
        <f>IF(M$2=$A30,M$3*AtomicWeights!$B$23/M$5,0)</f>
        <v>0</v>
      </c>
      <c r="N30" s="14">
        <f>IF(N$2=$A30,N$3*AtomicWeights!$B$23/N$5,0)</f>
        <v>0</v>
      </c>
      <c r="O30" s="14">
        <f>IF(O$2=$A30,O$3*AtomicWeights!$B$23/O$5,0)</f>
        <v>0</v>
      </c>
      <c r="P30" s="14">
        <f>IF(P$2=$A30,P$3*AtomicWeights!$B$23/P$5,0)</f>
        <v>0</v>
      </c>
      <c r="Q30" s="14">
        <f>IF(Q$2=$A30,Q$3*AtomicWeights!$B$23/Q$5,0)</f>
        <v>0</v>
      </c>
      <c r="R30" s="14">
        <f>IF(R$2=$A30,R$3*AtomicWeights!$B$23/R$5,0)</f>
        <v>0</v>
      </c>
      <c r="S30" s="14">
        <f>IF(S$2=$A30,S$3*AtomicWeights!$B$23/S$5,0)</f>
        <v>0</v>
      </c>
      <c r="T30" s="14">
        <f>IF(T$2=$A30,T$3*AtomicWeights!$B$23/T$5,0)</f>
        <v>0</v>
      </c>
      <c r="U30" s="14">
        <f>IF(U$2=$A30,U$3*AtomicWeights!$B$23/U$5,0)</f>
        <v>0</v>
      </c>
      <c r="V30" s="14">
        <f>IF(V$2=$A30,V$3*AtomicWeights!$B$23/V$5,0)</f>
        <v>0</v>
      </c>
      <c r="W30" s="14">
        <f>IF(W$2=$A30,W$3*AtomicWeights!$B$23/W$5,0)</f>
        <v>0</v>
      </c>
      <c r="X30" s="14">
        <f>IF(X$2=$A30,X$3*AtomicWeights!$B$23/X$5,0)</f>
        <v>0.65195079198979067</v>
      </c>
      <c r="Y30" s="14">
        <f>IF(Y$2=$A30,Y$3*AtomicWeights!$B$23/Y$5,0)</f>
        <v>0</v>
      </c>
      <c r="Z30" s="14">
        <f>IF(Z$2=$A30,Z$3*AtomicWeights!$B$23/Z$5,0)</f>
        <v>0</v>
      </c>
      <c r="AA30" s="14">
        <f>IF(AA$2=$A30,AA$3*AtomicWeights!$B$23/AA$5,0)</f>
        <v>0</v>
      </c>
      <c r="AB30" s="14">
        <f>IF(AB$2=$A30,AB$3*AtomicWeights!$B$23/AB$5,0)</f>
        <v>0</v>
      </c>
      <c r="AC30" s="14">
        <f>IF(AC$2=$A30,AC$3*AtomicWeights!$B$23/AC$5,0)</f>
        <v>0</v>
      </c>
      <c r="AD30" s="14">
        <f>IF(AD$2=$A30,AD$3*AtomicWeights!$B$23/AD$5,0)</f>
        <v>0</v>
      </c>
      <c r="AE30" s="14">
        <f>IF(AE$2=$A30,AE$3*AtomicWeights!$B$23/AE$5,0)</f>
        <v>0</v>
      </c>
      <c r="AF30" s="14">
        <f>IF(AF$2=$A30,AF$3*AtomicWeights!$B$23/AF$5,0)</f>
        <v>0</v>
      </c>
      <c r="AG30" s="14">
        <f>IF(AG$2=$A30,AG$3*AtomicWeights!$B$23/AG$5,0)</f>
        <v>0</v>
      </c>
      <c r="AH30" s="14">
        <f>IF(AH$2=$A30,AH$3*AtomicWeights!$B$23/AH$5,0)</f>
        <v>0</v>
      </c>
      <c r="AI30" s="14">
        <f>IF(AI$2=$A30,AI$3*AtomicWeights!$B$23/AI$5,0)</f>
        <v>0</v>
      </c>
      <c r="AJ30" s="14">
        <f>IF(AJ$2=$A30,AJ$3*AtomicWeights!$B$23/AJ$5,0)</f>
        <v>0</v>
      </c>
      <c r="AK30" s="14">
        <f>IF(AK$2=$A30,AK$3*AtomicWeights!$B$23/AK$5,0)</f>
        <v>0</v>
      </c>
      <c r="AL30" s="14">
        <f>IF(AL$2=$A30,AL$3*AtomicWeights!$B$23/AL$5,0)</f>
        <v>0</v>
      </c>
      <c r="AM30" s="14">
        <f>IF(AM$2=$A30,AM$3*AtomicWeights!$B$23/AM$5,0)</f>
        <v>0</v>
      </c>
      <c r="AN30" s="14">
        <f>IF(AN$2=$A30,AN$3*AtomicWeights!$B$23/AN$5,0)</f>
        <v>0</v>
      </c>
      <c r="AO30" s="14">
        <f>IF(AO$2=$A30,AO$3*AtomicWeights!$B$23/AO$5,0)</f>
        <v>0</v>
      </c>
      <c r="AP30" s="14">
        <f>IF(AP$2=$A30,AP$3*AtomicWeights!$B$23/AP$5,0)</f>
        <v>0</v>
      </c>
      <c r="AQ30" s="14">
        <f>IF(AQ$2=$A30,AQ$3*AtomicWeights!$B$23/AQ$5,0)</f>
        <v>0</v>
      </c>
      <c r="AR30" s="14">
        <f>IF(AR$2=$A30,AR$3*AtomicWeights!$B$23/AR$5,0)</f>
        <v>0</v>
      </c>
      <c r="AS30" s="14">
        <f>IF(AS$2=$A30,AS$3*AtomicWeights!$B$23/AS$5,0)</f>
        <v>0</v>
      </c>
      <c r="AT30" s="14">
        <f>IF(AT$2=$A30,AT$3*AtomicWeights!$B$23/AT$5,0)</f>
        <v>0</v>
      </c>
      <c r="AU30" s="14">
        <f>IF(AU$2=$A30,AU$3*AtomicWeights!$B$23/AU$5,0)</f>
        <v>0</v>
      </c>
      <c r="AV30" s="14">
        <f>IF(AV$2=$A30,AV$3*AtomicWeights!$B$23/AV$5,0)</f>
        <v>0</v>
      </c>
      <c r="AW30" s="14">
        <f>IF(AW$2=$A30,AW$3*AtomicWeights!$B$23/AW$5,0)</f>
        <v>0</v>
      </c>
    </row>
    <row r="31" spans="1:49" x14ac:dyDescent="0.25">
      <c r="A31" s="13" t="s">
        <v>44</v>
      </c>
      <c r="B31" t="str">
        <f>AtomicWeights!$C$24</f>
        <v>yes</v>
      </c>
      <c r="C31" s="14">
        <f>IF(C$2=$A31,C$3*AtomicWeights!$B$24/C$5,0)</f>
        <v>0</v>
      </c>
      <c r="D31" s="14">
        <f>IF(D$2=$A31,D$3*AtomicWeights!$B$24/D$5,0)</f>
        <v>0</v>
      </c>
      <c r="E31" s="14">
        <f>IF(E$2=$A31,E$3*AtomicWeights!$B$24/E$5,0)</f>
        <v>0</v>
      </c>
      <c r="F31" s="14">
        <f>IF(F$2=$A31,F$3*AtomicWeights!$B$24/F$5,0)</f>
        <v>0</v>
      </c>
      <c r="G31" s="14">
        <f>IF(G$2=$A31,G$3*AtomicWeights!$B$24/G$5,0)</f>
        <v>0</v>
      </c>
      <c r="H31" s="14">
        <f>IF(H$2=$A31,H$3*AtomicWeights!$B$24/H$5,0)</f>
        <v>0</v>
      </c>
      <c r="I31" s="14">
        <f>IF(I$2=$A31,I$3*AtomicWeights!$B$24/I$5,0)</f>
        <v>0</v>
      </c>
      <c r="J31" s="14">
        <f>IF(J$2=$A31,J$3*AtomicWeights!$B$24/J$5,0)</f>
        <v>0</v>
      </c>
      <c r="K31" s="14">
        <f>IF(K$2=$A31,K$3*AtomicWeights!$B$24/K$5,0)</f>
        <v>0</v>
      </c>
      <c r="L31" s="14">
        <f>IF(L$2=$A31,L$3*AtomicWeights!$B$24/L$5,0)</f>
        <v>0</v>
      </c>
      <c r="M31" s="14">
        <f>IF(M$2=$A31,M$3*AtomicWeights!$B$24/M$5,0)</f>
        <v>0</v>
      </c>
      <c r="N31" s="14">
        <f>IF(N$2=$A31,N$3*AtomicWeights!$B$24/N$5,0)</f>
        <v>0</v>
      </c>
      <c r="O31" s="14">
        <f>IF(O$2=$A31,O$3*AtomicWeights!$B$24/O$5,0)</f>
        <v>0</v>
      </c>
      <c r="P31" s="14">
        <f>IF(P$2=$A31,P$3*AtomicWeights!$B$24/P$5,0)</f>
        <v>0</v>
      </c>
      <c r="Q31" s="14">
        <f>IF(Q$2=$A31,Q$3*AtomicWeights!$B$24/Q$5,0)</f>
        <v>0</v>
      </c>
      <c r="R31" s="14">
        <f>IF(R$2=$A31,R$3*AtomicWeights!$B$24/R$5,0)</f>
        <v>0</v>
      </c>
      <c r="S31" s="14">
        <f>IF(S$2=$A31,S$3*AtomicWeights!$B$24/S$5,0)</f>
        <v>0</v>
      </c>
      <c r="T31" s="14">
        <f>IF(T$2=$A31,T$3*AtomicWeights!$B$24/T$5,0)</f>
        <v>0</v>
      </c>
      <c r="U31" s="14">
        <f>IF(U$2=$A31,U$3*AtomicWeights!$B$24/U$5,0)</f>
        <v>0</v>
      </c>
      <c r="V31" s="14">
        <f>IF(V$2=$A31,V$3*AtomicWeights!$B$24/V$5,0)</f>
        <v>0</v>
      </c>
      <c r="W31" s="14">
        <f>IF(W$2=$A31,W$3*AtomicWeights!$B$24/W$5,0)</f>
        <v>0</v>
      </c>
      <c r="X31" s="14">
        <f>IF(X$2=$A31,X$3*AtomicWeights!$B$24/X$5,0)</f>
        <v>0</v>
      </c>
      <c r="Y31" s="14">
        <f>IF(Y$2=$A31,Y$3*AtomicWeights!$B$24/Y$5,0)</f>
        <v>0.40046466892339211</v>
      </c>
      <c r="Z31" s="14">
        <f>IF(Z$2=$A31,Z$3*AtomicWeights!$B$24/Z$5,0)</f>
        <v>0</v>
      </c>
      <c r="AA31" s="14">
        <f>IF(AA$2=$A31,AA$3*AtomicWeights!$B$24/AA$5,0)</f>
        <v>0</v>
      </c>
      <c r="AB31" s="14">
        <f>IF(AB$2=$A31,AB$3*AtomicWeights!$B$24/AB$5,0)</f>
        <v>0</v>
      </c>
      <c r="AC31" s="14">
        <f>IF(AC$2=$A31,AC$3*AtomicWeights!$B$24/AC$5,0)</f>
        <v>0</v>
      </c>
      <c r="AD31" s="14">
        <f>IF(AD$2=$A31,AD$3*AtomicWeights!$B$24/AD$5,0)</f>
        <v>0</v>
      </c>
      <c r="AE31" s="14">
        <f>IF(AE$2=$A31,AE$3*AtomicWeights!$B$24/AE$5,0)</f>
        <v>0</v>
      </c>
      <c r="AF31" s="14">
        <f>IF(AF$2=$A31,AF$3*AtomicWeights!$B$24/AF$5,0)</f>
        <v>0</v>
      </c>
      <c r="AG31" s="14">
        <f>IF(AG$2=$A31,AG$3*AtomicWeights!$B$24/AG$5,0)</f>
        <v>0</v>
      </c>
      <c r="AH31" s="14">
        <f>IF(AH$2=$A31,AH$3*AtomicWeights!$B$24/AH$5,0)</f>
        <v>0</v>
      </c>
      <c r="AI31" s="14">
        <f>IF(AI$2=$A31,AI$3*AtomicWeights!$B$24/AI$5,0)</f>
        <v>0</v>
      </c>
      <c r="AJ31" s="14">
        <f>IF(AJ$2=$A31,AJ$3*AtomicWeights!$B$24/AJ$5,0)</f>
        <v>0</v>
      </c>
      <c r="AK31" s="14">
        <f>IF(AK$2=$A31,AK$3*AtomicWeights!$B$24/AK$5,0)</f>
        <v>0</v>
      </c>
      <c r="AL31" s="14">
        <f>IF(AL$2=$A31,AL$3*AtomicWeights!$B$24/AL$5,0)</f>
        <v>0</v>
      </c>
      <c r="AM31" s="14">
        <f>IF(AM$2=$A31,AM$3*AtomicWeights!$B$24/AM$5,0)</f>
        <v>0</v>
      </c>
      <c r="AN31" s="14">
        <f>IF(AN$2=$A31,AN$3*AtomicWeights!$B$24/AN$5,0)</f>
        <v>0</v>
      </c>
      <c r="AO31" s="14">
        <f>IF(AO$2=$A31,AO$3*AtomicWeights!$B$24/AO$5,0)</f>
        <v>0</v>
      </c>
      <c r="AP31" s="14">
        <f>IF(AP$2=$A31,AP$3*AtomicWeights!$B$24/AP$5,0)</f>
        <v>0</v>
      </c>
      <c r="AQ31" s="14">
        <f>IF(AQ$2=$A31,AQ$3*AtomicWeights!$B$24/AQ$5,0)</f>
        <v>0</v>
      </c>
      <c r="AR31" s="14">
        <f>IF(AR$2=$A31,AR$3*AtomicWeights!$B$24/AR$5,0)</f>
        <v>0</v>
      </c>
      <c r="AS31" s="14">
        <f>IF(AS$2=$A31,AS$3*AtomicWeights!$B$24/AS$5,0)</f>
        <v>0</v>
      </c>
      <c r="AT31" s="14">
        <f>IF(AT$2=$A31,AT$3*AtomicWeights!$B$24/AT$5,0)</f>
        <v>0</v>
      </c>
      <c r="AU31" s="14">
        <f>IF(AU$2=$A31,AU$3*AtomicWeights!$B$24/AU$5,0)</f>
        <v>0</v>
      </c>
      <c r="AV31" s="14">
        <f>IF(AV$2=$A31,AV$3*AtomicWeights!$B$24/AV$5,0)</f>
        <v>0</v>
      </c>
      <c r="AW31" s="14">
        <f>IF(AW$2=$A31,AW$3*AtomicWeights!$B$24/AW$5,0)</f>
        <v>0</v>
      </c>
    </row>
    <row r="32" spans="1:49" x14ac:dyDescent="0.25">
      <c r="A32" s="13" t="s">
        <v>45</v>
      </c>
      <c r="B32" t="str">
        <f>AtomicWeights!$C$25</f>
        <v>yes</v>
      </c>
      <c r="C32" s="14">
        <f>IF(C$2=$A32,C$3*AtomicWeights!$B$25/C$5,0)</f>
        <v>0</v>
      </c>
      <c r="D32" s="14">
        <f>IF(D$2=$A32,D$3*AtomicWeights!$B$25/D$5,0)</f>
        <v>0</v>
      </c>
      <c r="E32" s="14">
        <f>IF(E$2=$A32,E$3*AtomicWeights!$B$25/E$5,0)</f>
        <v>0</v>
      </c>
      <c r="F32" s="14">
        <f>IF(F$2=$A32,F$3*AtomicWeights!$B$25/F$5,0)</f>
        <v>0</v>
      </c>
      <c r="G32" s="14">
        <f>IF(G$2=$A32,G$3*AtomicWeights!$B$25/G$5,0)</f>
        <v>0</v>
      </c>
      <c r="H32" s="14">
        <f>IF(H$2=$A32,H$3*AtomicWeights!$B$25/H$5,0)</f>
        <v>0</v>
      </c>
      <c r="I32" s="14">
        <f>IF(I$2=$A32,I$3*AtomicWeights!$B$25/I$5,0)</f>
        <v>0</v>
      </c>
      <c r="J32" s="14">
        <f>IF(J$2=$A32,J$3*AtomicWeights!$B$25/J$5,0)</f>
        <v>0</v>
      </c>
      <c r="K32" s="14">
        <f>IF(K$2=$A32,K$3*AtomicWeights!$B$25/K$5,0)</f>
        <v>0</v>
      </c>
      <c r="L32" s="14">
        <f>IF(L$2=$A32,L$3*AtomicWeights!$B$25/L$5,0)</f>
        <v>0</v>
      </c>
      <c r="M32" s="14">
        <f>IF(M$2=$A32,M$3*AtomicWeights!$B$25/M$5,0)</f>
        <v>0</v>
      </c>
      <c r="N32" s="14">
        <f>IF(N$2=$A32,N$3*AtomicWeights!$B$25/N$5,0)</f>
        <v>0</v>
      </c>
      <c r="O32" s="14">
        <f>IF(O$2=$A32,O$3*AtomicWeights!$B$25/O$5,0)</f>
        <v>0</v>
      </c>
      <c r="P32" s="14">
        <f>IF(P$2=$A32,P$3*AtomicWeights!$B$25/P$5,0)</f>
        <v>0</v>
      </c>
      <c r="Q32" s="14">
        <f>IF(Q$2=$A32,Q$3*AtomicWeights!$B$25/Q$5,0)</f>
        <v>0</v>
      </c>
      <c r="R32" s="14">
        <f>IF(R$2=$A32,R$3*AtomicWeights!$B$25/R$5,0)</f>
        <v>0</v>
      </c>
      <c r="S32" s="14">
        <f>IF(S$2=$A32,S$3*AtomicWeights!$B$25/S$5,0)</f>
        <v>0</v>
      </c>
      <c r="T32" s="14">
        <f>IF(T$2=$A32,T$3*AtomicWeights!$B$25/T$5,0)</f>
        <v>0</v>
      </c>
      <c r="U32" s="14">
        <f>IF(U$2=$A32,U$3*AtomicWeights!$B$25/U$5,0)</f>
        <v>0</v>
      </c>
      <c r="V32" s="14">
        <f>IF(V$2=$A32,V$3*AtomicWeights!$B$25/V$5,0)</f>
        <v>0</v>
      </c>
      <c r="W32" s="14">
        <f>IF(W$2=$A32,W$3*AtomicWeights!$B$25/W$5,0)</f>
        <v>0</v>
      </c>
      <c r="X32" s="14">
        <f>IF(X$2=$A32,X$3*AtomicWeights!$B$25/X$5,0)</f>
        <v>0</v>
      </c>
      <c r="Y32" s="14">
        <f>IF(Y$2=$A32,Y$3*AtomicWeights!$B$25/Y$5,0)</f>
        <v>0</v>
      </c>
      <c r="Z32" s="14">
        <f>IF(Z$2=$A32,Z$3*AtomicWeights!$B$25/Z$5,0)</f>
        <v>0.27292144788565975</v>
      </c>
      <c r="AA32" s="14">
        <f>IF(AA$2=$A32,AA$3*AtomicWeights!$B$25/AA$5,0)</f>
        <v>0</v>
      </c>
      <c r="AB32" s="14">
        <f>IF(AB$2=$A32,AB$3*AtomicWeights!$B$25/AB$5,0)</f>
        <v>0</v>
      </c>
      <c r="AC32" s="14">
        <f>IF(AC$2=$A32,AC$3*AtomicWeights!$B$25/AC$5,0)</f>
        <v>0</v>
      </c>
      <c r="AD32" s="14">
        <f>IF(AD$2=$A32,AD$3*AtomicWeights!$B$25/AD$5,0)</f>
        <v>0</v>
      </c>
      <c r="AE32" s="14">
        <f>IF(AE$2=$A32,AE$3*AtomicWeights!$B$25/AE$5,0)</f>
        <v>0</v>
      </c>
      <c r="AF32" s="14">
        <f>IF(AF$2=$A32,AF$3*AtomicWeights!$B$25/AF$5,0)</f>
        <v>0</v>
      </c>
      <c r="AG32" s="14">
        <f>IF(AG$2=$A32,AG$3*AtomicWeights!$B$25/AG$5,0)</f>
        <v>0</v>
      </c>
      <c r="AH32" s="14">
        <f>IF(AH$2=$A32,AH$3*AtomicWeights!$B$25/AH$5,0)</f>
        <v>0</v>
      </c>
      <c r="AI32" s="14">
        <f>IF(AI$2=$A32,AI$3*AtomicWeights!$B$25/AI$5,0)</f>
        <v>0</v>
      </c>
      <c r="AJ32" s="14">
        <f>IF(AJ$2=$A32,AJ$3*AtomicWeights!$B$25/AJ$5,0)</f>
        <v>0</v>
      </c>
      <c r="AK32" s="14">
        <f>IF(AK$2=$A32,AK$3*AtomicWeights!$B$25/AK$5,0)</f>
        <v>0</v>
      </c>
      <c r="AL32" s="14">
        <f>IF(AL$2=$A32,AL$3*AtomicWeights!$B$25/AL$5,0)</f>
        <v>0</v>
      </c>
      <c r="AM32" s="14">
        <f>IF(AM$2=$A32,AM$3*AtomicWeights!$B$25/AM$5,0)</f>
        <v>0</v>
      </c>
      <c r="AN32" s="14">
        <f>IF(AN$2=$A32,AN$3*AtomicWeights!$B$25/AN$5,0)</f>
        <v>0</v>
      </c>
      <c r="AO32" s="14">
        <f>IF(AO$2=$A32,AO$3*AtomicWeights!$B$25/AO$5,0)</f>
        <v>0</v>
      </c>
      <c r="AP32" s="14">
        <f>IF(AP$2=$A32,AP$3*AtomicWeights!$B$25/AP$5,0)</f>
        <v>0</v>
      </c>
      <c r="AQ32" s="14">
        <f>IF(AQ$2=$A32,AQ$3*AtomicWeights!$B$25/AQ$5,0)</f>
        <v>0</v>
      </c>
      <c r="AR32" s="14">
        <f>IF(AR$2=$A32,AR$3*AtomicWeights!$B$25/AR$5,0)</f>
        <v>0</v>
      </c>
      <c r="AS32" s="14">
        <f>IF(AS$2=$A32,AS$3*AtomicWeights!$B$25/AS$5,0)</f>
        <v>0</v>
      </c>
      <c r="AT32" s="14">
        <f>IF(AT$2=$A32,AT$3*AtomicWeights!$B$25/AT$5,0)</f>
        <v>0</v>
      </c>
      <c r="AU32" s="14">
        <f>IF(AU$2=$A32,AU$3*AtomicWeights!$B$25/AU$5,0)</f>
        <v>0</v>
      </c>
      <c r="AV32" s="14">
        <f>IF(AV$2=$A32,AV$3*AtomicWeights!$B$25/AV$5,0)</f>
        <v>0</v>
      </c>
      <c r="AW32" s="14">
        <f>IF(AW$2=$A32,AW$3*AtomicWeights!$B$25/AW$5,0)</f>
        <v>0</v>
      </c>
    </row>
    <row r="33" spans="1:49" x14ac:dyDescent="0.25">
      <c r="A33" s="13" t="s">
        <v>46</v>
      </c>
      <c r="B33" t="str">
        <f>AtomicWeights!$C$26</f>
        <v>yes</v>
      </c>
      <c r="C33" s="14">
        <f>IF(C$2=$A33,C$3*AtomicWeights!$B$26/C$5,0)</f>
        <v>0</v>
      </c>
      <c r="D33" s="14">
        <f>IF(D$2=$A33,D$3*AtomicWeights!$B$26/D$5,0)</f>
        <v>0</v>
      </c>
      <c r="E33" s="14">
        <f>IF(E$2=$A33,E$3*AtomicWeights!$B$26/E$5,0)</f>
        <v>0</v>
      </c>
      <c r="F33" s="14">
        <f>IF(F$2=$A33,F$3*AtomicWeights!$B$26/F$5,0)</f>
        <v>0</v>
      </c>
      <c r="G33" s="14">
        <f>IF(G$2=$A33,G$3*AtomicWeights!$B$26/G$5,0)</f>
        <v>0</v>
      </c>
      <c r="H33" s="14">
        <f>IF(H$2=$A33,H$3*AtomicWeights!$B$26/H$5,0)</f>
        <v>0</v>
      </c>
      <c r="I33" s="14">
        <f>IF(I$2=$A33,I$3*AtomicWeights!$B$26/I$5,0)</f>
        <v>0</v>
      </c>
      <c r="J33" s="14">
        <f>IF(J$2=$A33,J$3*AtomicWeights!$B$26/J$5,0)</f>
        <v>0</v>
      </c>
      <c r="K33" s="14">
        <f>IF(K$2=$A33,K$3*AtomicWeights!$B$26/K$5,0)</f>
        <v>0</v>
      </c>
      <c r="L33" s="14">
        <f>IF(L$2=$A33,L$3*AtomicWeights!$B$26/L$5,0)</f>
        <v>0</v>
      </c>
      <c r="M33" s="14">
        <f>IF(M$2=$A33,M$3*AtomicWeights!$B$26/M$5,0)</f>
        <v>0</v>
      </c>
      <c r="N33" s="14">
        <f>IF(N$2=$A33,N$3*AtomicWeights!$B$26/N$5,0)</f>
        <v>0</v>
      </c>
      <c r="O33" s="14">
        <f>IF(O$2=$A33,O$3*AtomicWeights!$B$26/O$5,0)</f>
        <v>0</v>
      </c>
      <c r="P33" s="14">
        <f>IF(P$2=$A33,P$3*AtomicWeights!$B$26/P$5,0)</f>
        <v>0</v>
      </c>
      <c r="Q33" s="14">
        <f>IF(Q$2=$A33,Q$3*AtomicWeights!$B$26/Q$5,0)</f>
        <v>0</v>
      </c>
      <c r="R33" s="14">
        <f>IF(R$2=$A33,R$3*AtomicWeights!$B$26/R$5,0)</f>
        <v>0</v>
      </c>
      <c r="S33" s="14">
        <f>IF(S$2=$A33,S$3*AtomicWeights!$B$26/S$5,0)</f>
        <v>0</v>
      </c>
      <c r="T33" s="14">
        <f>IF(T$2=$A33,T$3*AtomicWeights!$B$26/T$5,0)</f>
        <v>0</v>
      </c>
      <c r="U33" s="14">
        <f>IF(U$2=$A33,U$3*AtomicWeights!$B$26/U$5,0)</f>
        <v>0</v>
      </c>
      <c r="V33" s="14">
        <f>IF(V$2=$A33,V$3*AtomicWeights!$B$26/V$5,0)</f>
        <v>0</v>
      </c>
      <c r="W33" s="14">
        <f>IF(W$2=$A33,W$3*AtomicWeights!$B$26/W$5,0)</f>
        <v>0</v>
      </c>
      <c r="X33" s="14">
        <f>IF(X$2=$A33,X$3*AtomicWeights!$B$26/X$5,0)</f>
        <v>0</v>
      </c>
      <c r="Y33" s="14">
        <f>IF(Y$2=$A33,Y$3*AtomicWeights!$B$26/Y$5,0)</f>
        <v>0</v>
      </c>
      <c r="Z33" s="14">
        <f>IF(Z$2=$A33,Z$3*AtomicWeights!$B$26/Z$5,0)</f>
        <v>0</v>
      </c>
      <c r="AA33" s="14">
        <f>IF(AA$2=$A33,AA$3*AtomicWeights!$B$26/AA$5,0)</f>
        <v>0.11190674437968359</v>
      </c>
      <c r="AB33" s="14">
        <f>IF(AB$2=$A33,AB$3*AtomicWeights!$B$26/AB$5,0)</f>
        <v>0</v>
      </c>
      <c r="AC33" s="14">
        <f>IF(AC$2=$A33,AC$3*AtomicWeights!$B$26/AC$5,0)</f>
        <v>0</v>
      </c>
      <c r="AD33" s="14">
        <f>IF(AD$2=$A33,AD$3*AtomicWeights!$B$26/AD$5,0)</f>
        <v>0</v>
      </c>
      <c r="AE33" s="14">
        <f>IF(AE$2=$A33,AE$3*AtomicWeights!$B$26/AE$5,0)</f>
        <v>0</v>
      </c>
      <c r="AF33" s="14">
        <f>IF(AF$2=$A33,AF$3*AtomicWeights!$B$26/AF$5,0)</f>
        <v>0</v>
      </c>
      <c r="AG33" s="14">
        <f>IF(AG$2=$A33,AG$3*AtomicWeights!$B$26/AG$5,0)</f>
        <v>0</v>
      </c>
      <c r="AH33" s="14">
        <f>IF(AH$2=$A33,AH$3*AtomicWeights!$B$26/AH$5,0)</f>
        <v>0</v>
      </c>
      <c r="AI33" s="14">
        <f>IF(AI$2=$A33,AI$3*AtomicWeights!$B$26/AI$5,0)</f>
        <v>0</v>
      </c>
      <c r="AJ33" s="14">
        <f>IF(AJ$2=$A33,AJ$3*AtomicWeights!$B$26/AJ$5,0)</f>
        <v>0</v>
      </c>
      <c r="AK33" s="14">
        <f>IF(AK$2=$A33,AK$3*AtomicWeights!$B$26/AK$5,0)</f>
        <v>0</v>
      </c>
      <c r="AL33" s="14">
        <f>IF(AL$2=$A33,AL$3*AtomicWeights!$B$26/AL$5,0)</f>
        <v>0</v>
      </c>
      <c r="AM33" s="14">
        <f>IF(AM$2=$A33,AM$3*AtomicWeights!$B$26/AM$5,0)</f>
        <v>0</v>
      </c>
      <c r="AN33" s="14">
        <f>IF(AN$2=$A33,AN$3*AtomicWeights!$B$26/AN$5,0)</f>
        <v>0</v>
      </c>
      <c r="AO33" s="14">
        <f>IF(AO$2=$A33,AO$3*AtomicWeights!$B$26/AO$5,0)</f>
        <v>0</v>
      </c>
      <c r="AP33" s="14">
        <f>IF(AP$2=$A33,AP$3*AtomicWeights!$B$26/AP$5,0)</f>
        <v>0</v>
      </c>
      <c r="AQ33" s="14">
        <f>IF(AQ$2=$A33,AQ$3*AtomicWeights!$B$26/AQ$5,0)</f>
        <v>0</v>
      </c>
      <c r="AR33" s="14">
        <f>IF(AR$2=$A33,AR$3*AtomicWeights!$B$26/AR$5,0)</f>
        <v>0</v>
      </c>
      <c r="AS33" s="14">
        <f>IF(AS$2=$A33,AS$3*AtomicWeights!$B$26/AS$5,0)</f>
        <v>0</v>
      </c>
      <c r="AT33" s="14">
        <f>IF(AT$2=$A33,AT$3*AtomicWeights!$B$26/AT$5,0)</f>
        <v>0</v>
      </c>
      <c r="AU33" s="14">
        <f>IF(AU$2=$A33,AU$3*AtomicWeights!$B$26/AU$5,0)</f>
        <v>0</v>
      </c>
      <c r="AV33" s="14">
        <f>IF(AV$2=$A33,AV$3*AtomicWeights!$B$26/AV$5,0)</f>
        <v>0</v>
      </c>
      <c r="AW33" s="14">
        <f>IF(AW$2=$A33,AW$3*AtomicWeights!$B$26/AW$5,0)</f>
        <v>0</v>
      </c>
    </row>
    <row r="34" spans="1:49" x14ac:dyDescent="0.25">
      <c r="A34" s="13" t="s">
        <v>47</v>
      </c>
      <c r="B34" t="str">
        <f>AtomicWeights!$C$27</f>
        <v>yes</v>
      </c>
      <c r="C34" s="14">
        <f>IF(C$2=$A34,C$3*AtomicWeights!$B$27/C$5,0)</f>
        <v>0</v>
      </c>
      <c r="D34" s="14">
        <f>IF(D$2=$A34,D$3*AtomicWeights!$B$27/D$5,0)</f>
        <v>0</v>
      </c>
      <c r="E34" s="14">
        <f>IF(E$2=$A34,E$3*AtomicWeights!$B$27/E$5,0)</f>
        <v>0</v>
      </c>
      <c r="F34" s="14">
        <f>IF(F$2=$A34,F$3*AtomicWeights!$B$27/F$5,0)</f>
        <v>0</v>
      </c>
      <c r="G34" s="14">
        <f>IF(G$2=$A34,G$3*AtomicWeights!$B$27/G$5,0)</f>
        <v>0</v>
      </c>
      <c r="H34" s="14">
        <f>IF(H$2=$A34,H$3*AtomicWeights!$B$27/H$5,0)</f>
        <v>0</v>
      </c>
      <c r="I34" s="14">
        <f>IF(I$2=$A34,I$3*AtomicWeights!$B$27/I$5,0)</f>
        <v>0</v>
      </c>
      <c r="J34" s="14">
        <f>IF(J$2=$A34,J$3*AtomicWeights!$B$27/J$5,0)</f>
        <v>0</v>
      </c>
      <c r="K34" s="14">
        <f>IF(K$2=$A34,K$3*AtomicWeights!$B$27/K$5,0)</f>
        <v>0</v>
      </c>
      <c r="L34" s="14">
        <f>IF(L$2=$A34,L$3*AtomicWeights!$B$27/L$5,0)</f>
        <v>0</v>
      </c>
      <c r="M34" s="14">
        <f>IF(M$2=$A34,M$3*AtomicWeights!$B$27/M$5,0)</f>
        <v>0</v>
      </c>
      <c r="N34" s="14">
        <f>IF(N$2=$A34,N$3*AtomicWeights!$B$27/N$5,0)</f>
        <v>0</v>
      </c>
      <c r="O34" s="14">
        <f>IF(O$2=$A34,O$3*AtomicWeights!$B$27/O$5,0)</f>
        <v>0</v>
      </c>
      <c r="P34" s="14">
        <f>IF(P$2=$A34,P$3*AtomicWeights!$B$27/P$5,0)</f>
        <v>0</v>
      </c>
      <c r="Q34" s="14">
        <f>IF(Q$2=$A34,Q$3*AtomicWeights!$B$27/Q$5,0)</f>
        <v>0</v>
      </c>
      <c r="R34" s="14">
        <f>IF(R$2=$A34,R$3*AtomicWeights!$B$27/R$5,0)</f>
        <v>0</v>
      </c>
      <c r="S34" s="14">
        <f>IF(S$2=$A34,S$3*AtomicWeights!$B$27/S$5,0)</f>
        <v>0</v>
      </c>
      <c r="T34" s="14">
        <f>IF(T$2=$A34,T$3*AtomicWeights!$B$27/T$5,0)</f>
        <v>0</v>
      </c>
      <c r="U34" s="14">
        <f>IF(U$2=$A34,U$3*AtomicWeights!$B$27/U$5,0)</f>
        <v>0</v>
      </c>
      <c r="V34" s="14">
        <f>IF(V$2=$A34,V$3*AtomicWeights!$B$27/V$5,0)</f>
        <v>0</v>
      </c>
      <c r="W34" s="14">
        <f>IF(W$2=$A34,W$3*AtomicWeights!$B$27/W$5,0)</f>
        <v>0</v>
      </c>
      <c r="X34" s="14">
        <f>IF(X$2=$A34,X$3*AtomicWeights!$B$27/X$5,0)</f>
        <v>0</v>
      </c>
      <c r="Y34" s="14">
        <f>IF(Y$2=$A34,Y$3*AtomicWeights!$B$27/Y$5,0)</f>
        <v>0</v>
      </c>
      <c r="Z34" s="14">
        <f>IF(Z$2=$A34,Z$3*AtomicWeights!$B$27/Z$5,0)</f>
        <v>0</v>
      </c>
      <c r="AA34" s="14">
        <f>IF(AA$2=$A34,AA$3*AtomicWeights!$B$27/AA$5,0)</f>
        <v>0</v>
      </c>
      <c r="AB34" s="14">
        <f>IF(AB$2=$A34,AB$3*AtomicWeights!$B$27/AB$5,0)</f>
        <v>1</v>
      </c>
      <c r="AC34" s="14">
        <f>IF(AC$2=$A34,AC$3*AtomicWeights!$B$27/AC$5,0)</f>
        <v>0</v>
      </c>
      <c r="AD34" s="14">
        <f>IF(AD$2=$A34,AD$3*AtomicWeights!$B$27/AD$5,0)</f>
        <v>0</v>
      </c>
      <c r="AE34" s="14">
        <f>IF(AE$2=$A34,AE$3*AtomicWeights!$B$27/AE$5,0)</f>
        <v>0</v>
      </c>
      <c r="AF34" s="14">
        <f>IF(AF$2=$A34,AF$3*AtomicWeights!$B$27/AF$5,0)</f>
        <v>0</v>
      </c>
      <c r="AG34" s="14">
        <f>IF(AG$2=$A34,AG$3*AtomicWeights!$B$27/AG$5,0)</f>
        <v>0</v>
      </c>
      <c r="AH34" s="14">
        <f>IF(AH$2=$A34,AH$3*AtomicWeights!$B$27/AH$5,0)</f>
        <v>0</v>
      </c>
      <c r="AI34" s="14">
        <f>IF(AI$2=$A34,AI$3*AtomicWeights!$B$27/AI$5,0)</f>
        <v>0</v>
      </c>
      <c r="AJ34" s="14">
        <f>IF(AJ$2=$A34,AJ$3*AtomicWeights!$B$27/AJ$5,0)</f>
        <v>0</v>
      </c>
      <c r="AK34" s="14">
        <f>IF(AK$2=$A34,AK$3*AtomicWeights!$B$27/AK$5,0)</f>
        <v>0</v>
      </c>
      <c r="AL34" s="14">
        <f>IF(AL$2=$A34,AL$3*AtomicWeights!$B$27/AL$5,0)</f>
        <v>0</v>
      </c>
      <c r="AM34" s="14">
        <f>IF(AM$2=$A34,AM$3*AtomicWeights!$B$27/AM$5,0)</f>
        <v>0</v>
      </c>
      <c r="AN34" s="14">
        <f>IF(AN$2=$A34,AN$3*AtomicWeights!$B$27/AN$5,0)</f>
        <v>0</v>
      </c>
      <c r="AO34" s="14">
        <f>IF(AO$2=$A34,AO$3*AtomicWeights!$B$27/AO$5,0)</f>
        <v>0</v>
      </c>
      <c r="AP34" s="14">
        <f>IF(AP$2=$A34,AP$3*AtomicWeights!$B$27/AP$5,0)</f>
        <v>0</v>
      </c>
      <c r="AQ34" s="14">
        <f>IF(AQ$2=$A34,AQ$3*AtomicWeights!$B$27/AQ$5,0)</f>
        <v>0</v>
      </c>
      <c r="AR34" s="14">
        <f>IF(AR$2=$A34,AR$3*AtomicWeights!$B$27/AR$5,0)</f>
        <v>0</v>
      </c>
      <c r="AS34" s="14">
        <f>IF(AS$2=$A34,AS$3*AtomicWeights!$B$27/AS$5,0)</f>
        <v>0</v>
      </c>
      <c r="AT34" s="14">
        <f>IF(AT$2=$A34,AT$3*AtomicWeights!$B$27/AT$5,0)</f>
        <v>0</v>
      </c>
      <c r="AU34" s="14">
        <f>IF(AU$2=$A34,AU$3*AtomicWeights!$B$27/AU$5,0)</f>
        <v>0</v>
      </c>
      <c r="AV34" s="14">
        <f>IF(AV$2=$A34,AV$3*AtomicWeights!$B$27/AV$5,0)</f>
        <v>0</v>
      </c>
      <c r="AW34" s="14">
        <f>IF(AW$2=$A34,AW$3*AtomicWeights!$B$27/AW$5,0)</f>
        <v>0</v>
      </c>
    </row>
    <row r="35" spans="1:49" x14ac:dyDescent="0.25">
      <c r="A35" s="13" t="s">
        <v>48</v>
      </c>
      <c r="B35" t="str">
        <f>AtomicWeights!$C$28</f>
        <v>yes</v>
      </c>
      <c r="C35" s="14">
        <f>IF(C$2=$A35,C$3*AtomicWeights!$B$28/C$5,0)</f>
        <v>0</v>
      </c>
      <c r="D35" s="14">
        <f>IF(D$2=$A35,D$3*AtomicWeights!$B$28/D$5,0)</f>
        <v>0</v>
      </c>
      <c r="E35" s="14">
        <f>IF(E$2=$A35,E$3*AtomicWeights!$B$28/E$5,0)</f>
        <v>0</v>
      </c>
      <c r="F35" s="14">
        <f>IF(F$2=$A35,F$3*AtomicWeights!$B$28/F$5,0)</f>
        <v>0</v>
      </c>
      <c r="G35" s="14">
        <f>IF(G$2=$A35,G$3*AtomicWeights!$B$28/G$5,0)</f>
        <v>0</v>
      </c>
      <c r="H35" s="14">
        <f>IF(H$2=$A35,H$3*AtomicWeights!$B$28/H$5,0)</f>
        <v>0</v>
      </c>
      <c r="I35" s="14">
        <f>IF(I$2=$A35,I$3*AtomicWeights!$B$28/I$5,0)</f>
        <v>0</v>
      </c>
      <c r="J35" s="14">
        <f>IF(J$2=$A35,J$3*AtomicWeights!$B$28/J$5,0)</f>
        <v>0</v>
      </c>
      <c r="K35" s="14">
        <f>IF(K$2=$A35,K$3*AtomicWeights!$B$28/K$5,0)</f>
        <v>0</v>
      </c>
      <c r="L35" s="14">
        <f>IF(L$2=$A35,L$3*AtomicWeights!$B$28/L$5,0)</f>
        <v>0</v>
      </c>
      <c r="M35" s="14">
        <f>IF(M$2=$A35,M$3*AtomicWeights!$B$28/M$5,0)</f>
        <v>0</v>
      </c>
      <c r="N35" s="14">
        <f>IF(N$2=$A35,N$3*AtomicWeights!$B$28/N$5,0)</f>
        <v>0</v>
      </c>
      <c r="O35" s="14">
        <f>IF(O$2=$A35,O$3*AtomicWeights!$B$28/O$5,0)</f>
        <v>0</v>
      </c>
      <c r="P35" s="14">
        <f>IF(P$2=$A35,P$3*AtomicWeights!$B$28/P$5,0)</f>
        <v>0</v>
      </c>
      <c r="Q35" s="14">
        <f>IF(Q$2=$A35,Q$3*AtomicWeights!$B$28/Q$5,0)</f>
        <v>0</v>
      </c>
      <c r="R35" s="14">
        <f>IF(R$2=$A35,R$3*AtomicWeights!$B$28/R$5,0)</f>
        <v>0</v>
      </c>
      <c r="S35" s="14">
        <f>IF(S$2=$A35,S$3*AtomicWeights!$B$28/S$5,0)</f>
        <v>0</v>
      </c>
      <c r="T35" s="14">
        <f>IF(T$2=$A35,T$3*AtomicWeights!$B$28/T$5,0)</f>
        <v>0</v>
      </c>
      <c r="U35" s="14">
        <f>IF(U$2=$A35,U$3*AtomicWeights!$B$28/U$5,0)</f>
        <v>0</v>
      </c>
      <c r="V35" s="14">
        <f>IF(V$2=$A35,V$3*AtomicWeights!$B$28/V$5,0)</f>
        <v>0</v>
      </c>
      <c r="W35" s="14">
        <f>IF(W$2=$A35,W$3*AtomicWeights!$B$28/W$5,0)</f>
        <v>0</v>
      </c>
      <c r="X35" s="14">
        <f>IF(X$2=$A35,X$3*AtomicWeights!$B$28/X$5,0)</f>
        <v>0</v>
      </c>
      <c r="Y35" s="14">
        <f>IF(Y$2=$A35,Y$3*AtomicWeights!$B$28/Y$5,0)</f>
        <v>0</v>
      </c>
      <c r="Z35" s="14">
        <f>IF(Z$2=$A35,Z$3*AtomicWeights!$B$28/Z$5,0)</f>
        <v>0</v>
      </c>
      <c r="AA35" s="14">
        <f>IF(AA$2=$A35,AA$3*AtomicWeights!$B$28/AA$5,0)</f>
        <v>0</v>
      </c>
      <c r="AB35" s="14">
        <f>IF(AB$2=$A35,AB$3*AtomicWeights!$B$28/AB$5,0)</f>
        <v>0</v>
      </c>
      <c r="AC35" s="14">
        <f>IF(AC$2=$A35,AC$3*AtomicWeights!$B$28/AC$5,0)</f>
        <v>1</v>
      </c>
      <c r="AD35" s="14">
        <f>IF(AD$2=$A35,AD$3*AtomicWeights!$B$28/AD$5,0)</f>
        <v>0</v>
      </c>
      <c r="AE35" s="14">
        <f>IF(AE$2=$A35,AE$3*AtomicWeights!$B$28/AE$5,0)</f>
        <v>0</v>
      </c>
      <c r="AF35" s="14">
        <f>IF(AF$2=$A35,AF$3*AtomicWeights!$B$28/AF$5,0)</f>
        <v>0</v>
      </c>
      <c r="AG35" s="14">
        <f>IF(AG$2=$A35,AG$3*AtomicWeights!$B$28/AG$5,0)</f>
        <v>0</v>
      </c>
      <c r="AH35" s="14">
        <f>IF(AH$2=$A35,AH$3*AtomicWeights!$B$28/AH$5,0)</f>
        <v>0</v>
      </c>
      <c r="AI35" s="14">
        <f>IF(AI$2=$A35,AI$3*AtomicWeights!$B$28/AI$5,0)</f>
        <v>0</v>
      </c>
      <c r="AJ35" s="14">
        <f>IF(AJ$2=$A35,AJ$3*AtomicWeights!$B$28/AJ$5,0)</f>
        <v>0</v>
      </c>
      <c r="AK35" s="14">
        <f>IF(AK$2=$A35,AK$3*AtomicWeights!$B$28/AK$5,0)</f>
        <v>0</v>
      </c>
      <c r="AL35" s="14">
        <f>IF(AL$2=$A35,AL$3*AtomicWeights!$B$28/AL$5,0)</f>
        <v>0</v>
      </c>
      <c r="AM35" s="14">
        <f>IF(AM$2=$A35,AM$3*AtomicWeights!$B$28/AM$5,0)</f>
        <v>0</v>
      </c>
      <c r="AN35" s="14">
        <f>IF(AN$2=$A35,AN$3*AtomicWeights!$B$28/AN$5,0)</f>
        <v>0</v>
      </c>
      <c r="AO35" s="14">
        <f>IF(AO$2=$A35,AO$3*AtomicWeights!$B$28/AO$5,0)</f>
        <v>0</v>
      </c>
      <c r="AP35" s="14">
        <f>IF(AP$2=$A35,AP$3*AtomicWeights!$B$28/AP$5,0)</f>
        <v>0</v>
      </c>
      <c r="AQ35" s="14">
        <f>IF(AQ$2=$A35,AQ$3*AtomicWeights!$B$28/AQ$5,0)</f>
        <v>0</v>
      </c>
      <c r="AR35" s="14">
        <f>IF(AR$2=$A35,AR$3*AtomicWeights!$B$28/AR$5,0)</f>
        <v>0</v>
      </c>
      <c r="AS35" s="14">
        <f>IF(AS$2=$A35,AS$3*AtomicWeights!$B$28/AS$5,0)</f>
        <v>0</v>
      </c>
      <c r="AT35" s="14">
        <f>IF(AT$2=$A35,AT$3*AtomicWeights!$B$28/AT$5,0)</f>
        <v>0</v>
      </c>
      <c r="AU35" s="14">
        <f>IF(AU$2=$A35,AU$3*AtomicWeights!$B$28/AU$5,0)</f>
        <v>0</v>
      </c>
      <c r="AV35" s="14">
        <f>IF(AV$2=$A35,AV$3*AtomicWeights!$B$28/AV$5,0)</f>
        <v>0</v>
      </c>
      <c r="AW35" s="14">
        <f>IF(AW$2=$A35,AW$3*AtomicWeights!$B$28/AW$5,0)</f>
        <v>0</v>
      </c>
    </row>
    <row r="36" spans="1:49" x14ac:dyDescent="0.25">
      <c r="A36" s="13" t="s">
        <v>49</v>
      </c>
      <c r="B36" t="str">
        <f>AtomicWeights!$C$29</f>
        <v>NO</v>
      </c>
      <c r="C36" s="14">
        <f>IF(C$2=$A36,C$3*AtomicWeights!$B$29/C$5,0)</f>
        <v>0</v>
      </c>
      <c r="D36" s="14">
        <f>IF(D$2=$A36,D$3*AtomicWeights!$B$29/D$5,0)</f>
        <v>0</v>
      </c>
      <c r="E36" s="14">
        <f>IF(E$2=$A36,E$3*AtomicWeights!$B$29/E$5,0)</f>
        <v>0</v>
      </c>
      <c r="F36" s="14">
        <f>IF(F$2=$A36,F$3*AtomicWeights!$B$29/F$5,0)</f>
        <v>0</v>
      </c>
      <c r="G36" s="14">
        <f>IF(G$2=$A36,G$3*AtomicWeights!$B$29/G$5,0)</f>
        <v>0</v>
      </c>
      <c r="H36" s="14">
        <f>IF(H$2=$A36,H$3*AtomicWeights!$B$29/H$5,0)</f>
        <v>0</v>
      </c>
      <c r="I36" s="14">
        <f>IF(I$2=$A36,I$3*AtomicWeights!$B$29/I$5,0)</f>
        <v>0</v>
      </c>
      <c r="J36" s="14">
        <f>IF(J$2=$A36,J$3*AtomicWeights!$B$29/J$5,0)</f>
        <v>0</v>
      </c>
      <c r="K36" s="14">
        <f>IF(K$2=$A36,K$3*AtomicWeights!$B$29/K$5,0)</f>
        <v>0</v>
      </c>
      <c r="L36" s="14">
        <f>IF(L$2=$A36,L$3*AtomicWeights!$B$29/L$5,0)</f>
        <v>0</v>
      </c>
      <c r="M36" s="14">
        <f>IF(M$2=$A36,M$3*AtomicWeights!$B$29/M$5,0)</f>
        <v>0</v>
      </c>
      <c r="N36" s="14">
        <f>IF(N$2=$A36,N$3*AtomicWeights!$B$29/N$5,0)</f>
        <v>0</v>
      </c>
      <c r="O36" s="14">
        <f>IF(O$2=$A36,O$3*AtomicWeights!$B$29/O$5,0)</f>
        <v>0</v>
      </c>
      <c r="P36" s="14">
        <f>IF(P$2=$A36,P$3*AtomicWeights!$B$29/P$5,0)</f>
        <v>0</v>
      </c>
      <c r="Q36" s="14">
        <f>IF(Q$2=$A36,Q$3*AtomicWeights!$B$29/Q$5,0)</f>
        <v>0</v>
      </c>
      <c r="R36" s="14">
        <f>IF(R$2=$A36,R$3*AtomicWeights!$B$29/R$5,0)</f>
        <v>0</v>
      </c>
      <c r="S36" s="14">
        <f>IF(S$2=$A36,S$3*AtomicWeights!$B$29/S$5,0)</f>
        <v>0</v>
      </c>
      <c r="T36" s="14">
        <f>IF(T$2=$A36,T$3*AtomicWeights!$B$29/T$5,0)</f>
        <v>0</v>
      </c>
      <c r="U36" s="14">
        <f>IF(U$2=$A36,U$3*AtomicWeights!$B$29/U$5,0)</f>
        <v>0</v>
      </c>
      <c r="V36" s="14">
        <f>IF(V$2=$A36,V$3*AtomicWeights!$B$29/V$5,0)</f>
        <v>0</v>
      </c>
      <c r="W36" s="14">
        <f>IF(W$2=$A36,W$3*AtomicWeights!$B$29/W$5,0)</f>
        <v>0</v>
      </c>
      <c r="X36" s="14">
        <f>IF(X$2=$A36,X$3*AtomicWeights!$B$29/X$5,0)</f>
        <v>0</v>
      </c>
      <c r="Y36" s="14">
        <f>IF(Y$2=$A36,Y$3*AtomicWeights!$B$29/Y$5,0)</f>
        <v>0</v>
      </c>
      <c r="Z36" s="14">
        <f>IF(Z$2=$A36,Z$3*AtomicWeights!$B$29/Z$5,0)</f>
        <v>0</v>
      </c>
      <c r="AA36" s="14">
        <f>IF(AA$2=$A36,AA$3*AtomicWeights!$B$29/AA$5,0)</f>
        <v>0</v>
      </c>
      <c r="AB36" s="14">
        <f>IF(AB$2=$A36,AB$3*AtomicWeights!$B$29/AB$5,0)</f>
        <v>0</v>
      </c>
      <c r="AC36" s="14">
        <f>IF(AC$2=$A36,AC$3*AtomicWeights!$B$29/AC$5,0)</f>
        <v>0</v>
      </c>
      <c r="AD36" s="14">
        <f>IF(AD$2=$A36,AD$3*AtomicWeights!$B$29/AD$5,0)</f>
        <v>0.87881184248948152</v>
      </c>
      <c r="AE36" s="14">
        <f>IF(AE$2=$A36,AE$3*AtomicWeights!$B$29/AE$5,0)</f>
        <v>0</v>
      </c>
      <c r="AF36" s="14">
        <f>IF(AF$2=$A36,AF$3*AtomicWeights!$B$29/AF$5,0)</f>
        <v>0</v>
      </c>
      <c r="AG36" s="14">
        <f>IF(AG$2=$A36,AG$3*AtomicWeights!$B$29/AG$5,0)</f>
        <v>0</v>
      </c>
      <c r="AH36" s="14">
        <f>IF(AH$2=$A36,AH$3*AtomicWeights!$B$29/AH$5,0)</f>
        <v>0</v>
      </c>
      <c r="AI36" s="14">
        <f>IF(AI$2=$A36,AI$3*AtomicWeights!$B$29/AI$5,0)</f>
        <v>0</v>
      </c>
      <c r="AJ36" s="14">
        <f>IF(AJ$2=$A36,AJ$3*AtomicWeights!$B$29/AJ$5,0)</f>
        <v>0</v>
      </c>
      <c r="AK36" s="14">
        <f>IF(AK$2=$A36,AK$3*AtomicWeights!$B$29/AK$5,0)</f>
        <v>0</v>
      </c>
      <c r="AL36" s="14">
        <f>IF(AL$2=$A36,AL$3*AtomicWeights!$B$29/AL$5,0)</f>
        <v>0</v>
      </c>
      <c r="AM36" s="14">
        <f>IF(AM$2=$A36,AM$3*AtomicWeights!$B$29/AM$5,0)</f>
        <v>0</v>
      </c>
      <c r="AN36" s="14">
        <f>IF(AN$2=$A36,AN$3*AtomicWeights!$B$29/AN$5,0)</f>
        <v>0</v>
      </c>
      <c r="AO36" s="14">
        <f>IF(AO$2=$A36,AO$3*AtomicWeights!$B$29/AO$5,0)</f>
        <v>0</v>
      </c>
      <c r="AP36" s="14">
        <f>IF(AP$2=$A36,AP$3*AtomicWeights!$B$29/AP$5,0)</f>
        <v>0</v>
      </c>
      <c r="AQ36" s="14">
        <f>IF(AQ$2=$A36,AQ$3*AtomicWeights!$B$29/AQ$5,0)</f>
        <v>0</v>
      </c>
      <c r="AR36" s="14">
        <f>IF(AR$2=$A36,AR$3*AtomicWeights!$B$29/AR$5,0)</f>
        <v>0</v>
      </c>
      <c r="AS36" s="14">
        <f>IF(AS$2=$A36,AS$3*AtomicWeights!$B$29/AS$5,0)</f>
        <v>0</v>
      </c>
      <c r="AT36" s="14">
        <f>IF(AT$2=$A36,AT$3*AtomicWeights!$B$29/AT$5,0)</f>
        <v>0</v>
      </c>
      <c r="AU36" s="14">
        <f>IF(AU$2=$A36,AU$3*AtomicWeights!$B$29/AU$5,0)</f>
        <v>0</v>
      </c>
      <c r="AV36" s="14">
        <f>IF(AV$2=$A36,AV$3*AtomicWeights!$B$29/AV$5,0)</f>
        <v>0</v>
      </c>
      <c r="AW36" s="14">
        <f>IF(AW$2=$A36,AW$3*AtomicWeights!$B$29/AW$5,0)</f>
        <v>0</v>
      </c>
    </row>
    <row r="37" spans="1:49" x14ac:dyDescent="0.25">
      <c r="A37" s="13" t="s">
        <v>50</v>
      </c>
      <c r="B37" t="str">
        <f>AtomicWeights!$C$30</f>
        <v>NO</v>
      </c>
      <c r="C37" s="14">
        <f>IF(C$2=$A37,C$3*AtomicWeights!$B$30/C$5,0)</f>
        <v>0</v>
      </c>
      <c r="D37" s="14">
        <f>IF(D$2=$A37,D$3*AtomicWeights!$B$30/D$5,0)</f>
        <v>0</v>
      </c>
      <c r="E37" s="14">
        <f>IF(E$2=$A37,E$3*AtomicWeights!$B$30/E$5,0)</f>
        <v>0</v>
      </c>
      <c r="F37" s="14">
        <f>IF(F$2=$A37,F$3*AtomicWeights!$B$30/F$5,0)</f>
        <v>0</v>
      </c>
      <c r="G37" s="14">
        <f>IF(G$2=$A37,G$3*AtomicWeights!$B$30/G$5,0)</f>
        <v>0</v>
      </c>
      <c r="H37" s="14">
        <f>IF(H$2=$A37,H$3*AtomicWeights!$B$30/H$5,0)</f>
        <v>0</v>
      </c>
      <c r="I37" s="14">
        <f>IF(I$2=$A37,I$3*AtomicWeights!$B$30/I$5,0)</f>
        <v>0</v>
      </c>
      <c r="J37" s="14">
        <f>IF(J$2=$A37,J$3*AtomicWeights!$B$30/J$5,0)</f>
        <v>0</v>
      </c>
      <c r="K37" s="14">
        <f>IF(K$2=$A37,K$3*AtomicWeights!$B$30/K$5,0)</f>
        <v>0</v>
      </c>
      <c r="L37" s="14">
        <f>IF(L$2=$A37,L$3*AtomicWeights!$B$30/L$5,0)</f>
        <v>0</v>
      </c>
      <c r="M37" s="14">
        <f>IF(M$2=$A37,M$3*AtomicWeights!$B$30/M$5,0)</f>
        <v>0</v>
      </c>
      <c r="N37" s="14">
        <f>IF(N$2=$A37,N$3*AtomicWeights!$B$30/N$5,0)</f>
        <v>0</v>
      </c>
      <c r="O37" s="14">
        <f>IF(O$2=$A37,O$3*AtomicWeights!$B$30/O$5,0)</f>
        <v>0</v>
      </c>
      <c r="P37" s="14">
        <f>IF(P$2=$A37,P$3*AtomicWeights!$B$30/P$5,0)</f>
        <v>0</v>
      </c>
      <c r="Q37" s="14">
        <f>IF(Q$2=$A37,Q$3*AtomicWeights!$B$30/Q$5,0)</f>
        <v>0</v>
      </c>
      <c r="R37" s="14">
        <f>IF(R$2=$A37,R$3*AtomicWeights!$B$30/R$5,0)</f>
        <v>0</v>
      </c>
      <c r="S37" s="14">
        <f>IF(S$2=$A37,S$3*AtomicWeights!$B$30/S$5,0)</f>
        <v>0</v>
      </c>
      <c r="T37" s="14">
        <f>IF(T$2=$A37,T$3*AtomicWeights!$B$30/T$5,0)</f>
        <v>0</v>
      </c>
      <c r="U37" s="14">
        <f>IF(U$2=$A37,U$3*AtomicWeights!$B$30/U$5,0)</f>
        <v>0</v>
      </c>
      <c r="V37" s="14">
        <f>IF(V$2=$A37,V$3*AtomicWeights!$B$30/V$5,0)</f>
        <v>0</v>
      </c>
      <c r="W37" s="14">
        <f>IF(W$2=$A37,W$3*AtomicWeights!$B$30/W$5,0)</f>
        <v>0</v>
      </c>
      <c r="X37" s="14">
        <f>IF(X$2=$A37,X$3*AtomicWeights!$B$30/X$5,0)</f>
        <v>0</v>
      </c>
      <c r="Y37" s="14">
        <f>IF(Y$2=$A37,Y$3*AtomicWeights!$B$30/Y$5,0)</f>
        <v>0</v>
      </c>
      <c r="Z37" s="14">
        <f>IF(Z$2=$A37,Z$3*AtomicWeights!$B$30/Z$5,0)</f>
        <v>0</v>
      </c>
      <c r="AA37" s="14">
        <f>IF(AA$2=$A37,AA$3*AtomicWeights!$B$30/AA$5,0)</f>
        <v>0</v>
      </c>
      <c r="AB37" s="14">
        <f>IF(AB$2=$A37,AB$3*AtomicWeights!$B$30/AB$5,0)</f>
        <v>0</v>
      </c>
      <c r="AC37" s="14">
        <f>IF(AC$2=$A37,AC$3*AtomicWeights!$B$30/AC$5,0)</f>
        <v>0</v>
      </c>
      <c r="AD37" s="14">
        <f>IF(AD$2=$A37,AD$3*AtomicWeights!$B$30/AD$5,0)</f>
        <v>0</v>
      </c>
      <c r="AE37" s="14">
        <f>IF(AE$2=$A37,AE$3*AtomicWeights!$B$30/AE$5,0)</f>
        <v>0.88150069931919006</v>
      </c>
      <c r="AF37" s="14">
        <f>IF(AF$2=$A37,AF$3*AtomicWeights!$B$30/AF$5,0)</f>
        <v>0</v>
      </c>
      <c r="AG37" s="14">
        <f>IF(AG$2=$A37,AG$3*AtomicWeights!$B$30/AG$5,0)</f>
        <v>0</v>
      </c>
      <c r="AH37" s="14">
        <f>IF(AH$2=$A37,AH$3*AtomicWeights!$B$30/AH$5,0)</f>
        <v>0</v>
      </c>
      <c r="AI37" s="14">
        <f>IF(AI$2=$A37,AI$3*AtomicWeights!$B$30/AI$5,0)</f>
        <v>0</v>
      </c>
      <c r="AJ37" s="14">
        <f>IF(AJ$2=$A37,AJ$3*AtomicWeights!$B$30/AJ$5,0)</f>
        <v>0</v>
      </c>
      <c r="AK37" s="14">
        <f>IF(AK$2=$A37,AK$3*AtomicWeights!$B$30/AK$5,0)</f>
        <v>0</v>
      </c>
      <c r="AL37" s="14">
        <f>IF(AL$2=$A37,AL$3*AtomicWeights!$B$30/AL$5,0)</f>
        <v>0</v>
      </c>
      <c r="AM37" s="14">
        <f>IF(AM$2=$A37,AM$3*AtomicWeights!$B$30/AM$5,0)</f>
        <v>0</v>
      </c>
      <c r="AN37" s="14">
        <f>IF(AN$2=$A37,AN$3*AtomicWeights!$B$30/AN$5,0)</f>
        <v>0</v>
      </c>
      <c r="AO37" s="14">
        <f>IF(AO$2=$A37,AO$3*AtomicWeights!$B$30/AO$5,0)</f>
        <v>0</v>
      </c>
      <c r="AP37" s="14">
        <f>IF(AP$2=$A37,AP$3*AtomicWeights!$B$30/AP$5,0)</f>
        <v>0</v>
      </c>
      <c r="AQ37" s="14">
        <f>IF(AQ$2=$A37,AQ$3*AtomicWeights!$B$30/AQ$5,0)</f>
        <v>0</v>
      </c>
      <c r="AR37" s="14">
        <f>IF(AR$2=$A37,AR$3*AtomicWeights!$B$30/AR$5,0)</f>
        <v>0</v>
      </c>
      <c r="AS37" s="14">
        <f>IF(AS$2=$A37,AS$3*AtomicWeights!$B$30/AS$5,0)</f>
        <v>0</v>
      </c>
      <c r="AT37" s="14">
        <f>IF(AT$2=$A37,AT$3*AtomicWeights!$B$30/AT$5,0)</f>
        <v>0</v>
      </c>
      <c r="AU37" s="14">
        <f>IF(AU$2=$A37,AU$3*AtomicWeights!$B$30/AU$5,0)</f>
        <v>0</v>
      </c>
      <c r="AV37" s="14">
        <f>IF(AV$2=$A37,AV$3*AtomicWeights!$B$30/AV$5,0)</f>
        <v>0</v>
      </c>
      <c r="AW37" s="14">
        <f>IF(AW$2=$A37,AW$3*AtomicWeights!$B$30/AW$5,0)</f>
        <v>0</v>
      </c>
    </row>
    <row r="38" spans="1:49" x14ac:dyDescent="0.25">
      <c r="A38" s="13" t="s">
        <v>51</v>
      </c>
      <c r="B38" t="str">
        <f>AtomicWeights!$C$31</f>
        <v>yes</v>
      </c>
      <c r="C38" s="14">
        <f>IF(C$2=$A38,C$3*AtomicWeights!$B$31/C$5,0)</f>
        <v>0</v>
      </c>
      <c r="D38" s="14">
        <f>IF(D$2=$A38,D$3*AtomicWeights!$B$31/D$5,0)</f>
        <v>0</v>
      </c>
      <c r="E38" s="14">
        <f>IF(E$2=$A38,E$3*AtomicWeights!$B$31/E$5,0)</f>
        <v>0</v>
      </c>
      <c r="F38" s="14">
        <f>IF(F$2=$A38,F$3*AtomicWeights!$B$31/F$5,0)</f>
        <v>0</v>
      </c>
      <c r="G38" s="14">
        <f>IF(G$2=$A38,G$3*AtomicWeights!$B$31/G$5,0)</f>
        <v>0</v>
      </c>
      <c r="H38" s="14">
        <f>IF(H$2=$A38,H$3*AtomicWeights!$B$31/H$5,0)</f>
        <v>0</v>
      </c>
      <c r="I38" s="14">
        <f>IF(I$2=$A38,I$3*AtomicWeights!$B$31/I$5,0)</f>
        <v>0</v>
      </c>
      <c r="J38" s="14">
        <f>IF(J$2=$A38,J$3*AtomicWeights!$B$31/J$5,0)</f>
        <v>0</v>
      </c>
      <c r="K38" s="14">
        <f>IF(K$2=$A38,K$3*AtomicWeights!$B$31/K$5,0)</f>
        <v>0</v>
      </c>
      <c r="L38" s="14">
        <f>IF(L$2=$A38,L$3*AtomicWeights!$B$31/L$5,0)</f>
        <v>0</v>
      </c>
      <c r="M38" s="14">
        <f>IF(M$2=$A38,M$3*AtomicWeights!$B$31/M$5,0)</f>
        <v>0</v>
      </c>
      <c r="N38" s="14">
        <f>IF(N$2=$A38,N$3*AtomicWeights!$B$31/N$5,0)</f>
        <v>0</v>
      </c>
      <c r="O38" s="14">
        <f>IF(O$2=$A38,O$3*AtomicWeights!$B$31/O$5,0)</f>
        <v>0</v>
      </c>
      <c r="P38" s="14">
        <f>IF(P$2=$A38,P$3*AtomicWeights!$B$31/P$5,0)</f>
        <v>0</v>
      </c>
      <c r="Q38" s="14">
        <f>IF(Q$2=$A38,Q$3*AtomicWeights!$B$31/Q$5,0)</f>
        <v>0</v>
      </c>
      <c r="R38" s="14">
        <f>IF(R$2=$A38,R$3*AtomicWeights!$B$31/R$5,0)</f>
        <v>0</v>
      </c>
      <c r="S38" s="14">
        <f>IF(S$2=$A38,S$3*AtomicWeights!$B$31/S$5,0)</f>
        <v>0</v>
      </c>
      <c r="T38" s="14">
        <f>IF(T$2=$A38,T$3*AtomicWeights!$B$31/T$5,0)</f>
        <v>0</v>
      </c>
      <c r="U38" s="14">
        <f>IF(U$2=$A38,U$3*AtomicWeights!$B$31/U$5,0)</f>
        <v>0</v>
      </c>
      <c r="V38" s="14">
        <f>IF(V$2=$A38,V$3*AtomicWeights!$B$31/V$5,0)</f>
        <v>0</v>
      </c>
      <c r="W38" s="14">
        <f>IF(W$2=$A38,W$3*AtomicWeights!$B$31/W$5,0)</f>
        <v>0</v>
      </c>
      <c r="X38" s="14">
        <f>IF(X$2=$A38,X$3*AtomicWeights!$B$31/X$5,0)</f>
        <v>0</v>
      </c>
      <c r="Y38" s="14">
        <f>IF(Y$2=$A38,Y$3*AtomicWeights!$B$31/Y$5,0)</f>
        <v>0</v>
      </c>
      <c r="Z38" s="14">
        <f>IF(Z$2=$A38,Z$3*AtomicWeights!$B$31/Z$5,0)</f>
        <v>0</v>
      </c>
      <c r="AA38" s="14">
        <f>IF(AA$2=$A38,AA$3*AtomicWeights!$B$31/AA$5,0)</f>
        <v>0</v>
      </c>
      <c r="AB38" s="14">
        <f>IF(AB$2=$A38,AB$3*AtomicWeights!$B$31/AB$5,0)</f>
        <v>0</v>
      </c>
      <c r="AC38" s="14">
        <f>IF(AC$2=$A38,AC$3*AtomicWeights!$B$31/AC$5,0)</f>
        <v>0</v>
      </c>
      <c r="AD38" s="14">
        <f>IF(AD$2=$A38,AD$3*AtomicWeights!$B$31/AD$5,0)</f>
        <v>0</v>
      </c>
      <c r="AE38" s="14">
        <f>IF(AE$2=$A38,AE$3*AtomicWeights!$B$31/AE$5,0)</f>
        <v>0</v>
      </c>
      <c r="AF38" s="14">
        <f>IF(AF$2=$A38,AF$3*AtomicWeights!$B$31/AF$5,0)</f>
        <v>0.65196568724076354</v>
      </c>
      <c r="AG38" s="14">
        <f>IF(AG$2=$A38,AG$3*AtomicWeights!$B$31/AG$5,0)</f>
        <v>0</v>
      </c>
      <c r="AH38" s="14">
        <f>IF(AH$2=$A38,AH$3*AtomicWeights!$B$31/AH$5,0)</f>
        <v>0</v>
      </c>
      <c r="AI38" s="14">
        <f>IF(AI$2=$A38,AI$3*AtomicWeights!$B$31/AI$5,0)</f>
        <v>0</v>
      </c>
      <c r="AJ38" s="14">
        <f>IF(AJ$2=$A38,AJ$3*AtomicWeights!$B$31/AJ$5,0)</f>
        <v>0</v>
      </c>
      <c r="AK38" s="14">
        <f>IF(AK$2=$A38,AK$3*AtomicWeights!$B$31/AK$5,0)</f>
        <v>0</v>
      </c>
      <c r="AL38" s="14">
        <f>IF(AL$2=$A38,AL$3*AtomicWeights!$B$31/AL$5,0)</f>
        <v>0</v>
      </c>
      <c r="AM38" s="14">
        <f>IF(AM$2=$A38,AM$3*AtomicWeights!$B$31/AM$5,0)</f>
        <v>0</v>
      </c>
      <c r="AN38" s="14">
        <f>IF(AN$2=$A38,AN$3*AtomicWeights!$B$31/AN$5,0)</f>
        <v>0</v>
      </c>
      <c r="AO38" s="14">
        <f>IF(AO$2=$A38,AO$3*AtomicWeights!$B$31/AO$5,0)</f>
        <v>0</v>
      </c>
      <c r="AP38" s="14">
        <f>IF(AP$2=$A38,AP$3*AtomicWeights!$B$31/AP$5,0)</f>
        <v>0</v>
      </c>
      <c r="AQ38" s="14">
        <f>IF(AQ$2=$A38,AQ$3*AtomicWeights!$B$31/AQ$5,0)</f>
        <v>0</v>
      </c>
      <c r="AR38" s="14">
        <f>IF(AR$2=$A38,AR$3*AtomicWeights!$B$31/AR$5,0)</f>
        <v>0</v>
      </c>
      <c r="AS38" s="14">
        <f>IF(AS$2=$A38,AS$3*AtomicWeights!$B$31/AS$5,0)</f>
        <v>0</v>
      </c>
      <c r="AT38" s="14">
        <f>IF(AT$2=$A38,AT$3*AtomicWeights!$B$31/AT$5,0)</f>
        <v>0</v>
      </c>
      <c r="AU38" s="14">
        <f>IF(AU$2=$A38,AU$3*AtomicWeights!$B$31/AU$5,0)</f>
        <v>0</v>
      </c>
      <c r="AV38" s="14">
        <f>IF(AV$2=$A38,AV$3*AtomicWeights!$B$31/AV$5,0)</f>
        <v>0</v>
      </c>
      <c r="AW38" s="14">
        <f>IF(AW$2=$A38,AW$3*AtomicWeights!$B$31/AW$5,0)</f>
        <v>0</v>
      </c>
    </row>
    <row r="39" spans="1:49" x14ac:dyDescent="0.25">
      <c r="A39" s="13" t="s">
        <v>52</v>
      </c>
      <c r="B39" t="str">
        <f>AtomicWeights!$C$32</f>
        <v>yes</v>
      </c>
      <c r="C39" s="14">
        <f>IF(C$2=$A39,C$3*AtomicWeights!$B$32/C$5,0)</f>
        <v>0</v>
      </c>
      <c r="D39" s="14">
        <f>IF(D$2=$A39,D$3*AtomicWeights!$B$32/D$5,0)</f>
        <v>0</v>
      </c>
      <c r="E39" s="14">
        <f>IF(E$2=$A39,E$3*AtomicWeights!$B$32/E$5,0)</f>
        <v>0</v>
      </c>
      <c r="F39" s="14">
        <f>IF(F$2=$A39,F$3*AtomicWeights!$B$32/F$5,0)</f>
        <v>0</v>
      </c>
      <c r="G39" s="14">
        <f>IF(G$2=$A39,G$3*AtomicWeights!$B$32/G$5,0)</f>
        <v>0</v>
      </c>
      <c r="H39" s="14">
        <f>IF(H$2=$A39,H$3*AtomicWeights!$B$32/H$5,0)</f>
        <v>0</v>
      </c>
      <c r="I39" s="14">
        <f>IF(I$2=$A39,I$3*AtomicWeights!$B$32/I$5,0)</f>
        <v>0</v>
      </c>
      <c r="J39" s="14">
        <f>IF(J$2=$A39,J$3*AtomicWeights!$B$32/J$5,0)</f>
        <v>0</v>
      </c>
      <c r="K39" s="14">
        <f>IF(K$2=$A39,K$3*AtomicWeights!$B$32/K$5,0)</f>
        <v>0</v>
      </c>
      <c r="L39" s="14">
        <f>IF(L$2=$A39,L$3*AtomicWeights!$B$32/L$5,0)</f>
        <v>0</v>
      </c>
      <c r="M39" s="14">
        <f>IF(M$2=$A39,M$3*AtomicWeights!$B$32/M$5,0)</f>
        <v>0</v>
      </c>
      <c r="N39" s="14">
        <f>IF(N$2=$A39,N$3*AtomicWeights!$B$32/N$5,0)</f>
        <v>0</v>
      </c>
      <c r="O39" s="14">
        <f>IF(O$2=$A39,O$3*AtomicWeights!$B$32/O$5,0)</f>
        <v>0</v>
      </c>
      <c r="P39" s="14">
        <f>IF(P$2=$A39,P$3*AtomicWeights!$B$32/P$5,0)</f>
        <v>0</v>
      </c>
      <c r="Q39" s="14">
        <f>IF(Q$2=$A39,Q$3*AtomicWeights!$B$32/Q$5,0)</f>
        <v>0</v>
      </c>
      <c r="R39" s="14">
        <f>IF(R$2=$A39,R$3*AtomicWeights!$B$32/R$5,0)</f>
        <v>0</v>
      </c>
      <c r="S39" s="14">
        <f>IF(S$2=$A39,S$3*AtomicWeights!$B$32/S$5,0)</f>
        <v>0</v>
      </c>
      <c r="T39" s="14">
        <f>IF(T$2=$A39,T$3*AtomicWeights!$B$32/T$5,0)</f>
        <v>0</v>
      </c>
      <c r="U39" s="14">
        <f>IF(U$2=$A39,U$3*AtomicWeights!$B$32/U$5,0)</f>
        <v>0</v>
      </c>
      <c r="V39" s="14">
        <f>IF(V$2=$A39,V$3*AtomicWeights!$B$32/V$5,0)</f>
        <v>0</v>
      </c>
      <c r="W39" s="14">
        <f>IF(W$2=$A39,W$3*AtomicWeights!$B$32/W$5,0)</f>
        <v>0</v>
      </c>
      <c r="X39" s="14">
        <f>IF(X$2=$A39,X$3*AtomicWeights!$B$32/X$5,0)</f>
        <v>0</v>
      </c>
      <c r="Y39" s="14">
        <f>IF(Y$2=$A39,Y$3*AtomicWeights!$B$32/Y$5,0)</f>
        <v>0</v>
      </c>
      <c r="Z39" s="14">
        <f>IF(Z$2=$A39,Z$3*AtomicWeights!$B$32/Z$5,0)</f>
        <v>0</v>
      </c>
      <c r="AA39" s="14">
        <f>IF(AA$2=$A39,AA$3*AtomicWeights!$B$32/AA$5,0)</f>
        <v>0</v>
      </c>
      <c r="AB39" s="14">
        <f>IF(AB$2=$A39,AB$3*AtomicWeights!$B$32/AB$5,0)</f>
        <v>0</v>
      </c>
      <c r="AC39" s="14">
        <f>IF(AC$2=$A39,AC$3*AtomicWeights!$B$32/AC$5,0)</f>
        <v>0</v>
      </c>
      <c r="AD39" s="14">
        <f>IF(AD$2=$A39,AD$3*AtomicWeights!$B$32/AD$5,0)</f>
        <v>0</v>
      </c>
      <c r="AE39" s="14">
        <f>IF(AE$2=$A39,AE$3*AtomicWeights!$B$32/AE$5,0)</f>
        <v>0</v>
      </c>
      <c r="AF39" s="14">
        <f>IF(AF$2=$A39,AF$3*AtomicWeights!$B$32/AF$5,0)</f>
        <v>0</v>
      </c>
      <c r="AG39" s="14">
        <f>IF(AG$2=$A39,AG$3*AtomicWeights!$B$32/AG$5,0)</f>
        <v>0.78744395476737217</v>
      </c>
      <c r="AH39" s="14">
        <f>IF(AH$2=$A39,AH$3*AtomicWeights!$B$32/AH$5,0)</f>
        <v>0</v>
      </c>
      <c r="AI39" s="14">
        <f>IF(AI$2=$A39,AI$3*AtomicWeights!$B$32/AI$5,0)</f>
        <v>0</v>
      </c>
      <c r="AJ39" s="14">
        <f>IF(AJ$2=$A39,AJ$3*AtomicWeights!$B$32/AJ$5,0)</f>
        <v>0</v>
      </c>
      <c r="AK39" s="14">
        <f>IF(AK$2=$A39,AK$3*AtomicWeights!$B$32/AK$5,0)</f>
        <v>0</v>
      </c>
      <c r="AL39" s="14">
        <f>IF(AL$2=$A39,AL$3*AtomicWeights!$B$32/AL$5,0)</f>
        <v>0</v>
      </c>
      <c r="AM39" s="14">
        <f>IF(AM$2=$A39,AM$3*AtomicWeights!$B$32/AM$5,0)</f>
        <v>0</v>
      </c>
      <c r="AN39" s="14">
        <f>IF(AN$2=$A39,AN$3*AtomicWeights!$B$32/AN$5,0)</f>
        <v>0</v>
      </c>
      <c r="AO39" s="14">
        <f>IF(AO$2=$A39,AO$3*AtomicWeights!$B$32/AO$5,0)</f>
        <v>0</v>
      </c>
      <c r="AP39" s="14">
        <f>IF(AP$2=$A39,AP$3*AtomicWeights!$B$32/AP$5,0)</f>
        <v>0</v>
      </c>
      <c r="AQ39" s="14">
        <f>IF(AQ$2=$A39,AQ$3*AtomicWeights!$B$32/AQ$5,0)</f>
        <v>0</v>
      </c>
      <c r="AR39" s="14">
        <f>IF(AR$2=$A39,AR$3*AtomicWeights!$B$32/AR$5,0)</f>
        <v>0</v>
      </c>
      <c r="AS39" s="14">
        <f>IF(AS$2=$A39,AS$3*AtomicWeights!$B$32/AS$5,0)</f>
        <v>0</v>
      </c>
      <c r="AT39" s="14">
        <f>IF(AT$2=$A39,AT$3*AtomicWeights!$B$32/AT$5,0)</f>
        <v>0</v>
      </c>
      <c r="AU39" s="14">
        <f>IF(AU$2=$A39,AU$3*AtomicWeights!$B$32/AU$5,0)</f>
        <v>0</v>
      </c>
      <c r="AV39" s="14">
        <f>IF(AV$2=$A39,AV$3*AtomicWeights!$B$32/AV$5,0)</f>
        <v>0</v>
      </c>
      <c r="AW39" s="14">
        <f>IF(AW$2=$A39,AW$3*AtomicWeights!$B$32/AW$5,0)</f>
        <v>0</v>
      </c>
    </row>
    <row r="40" spans="1:49" x14ac:dyDescent="0.25">
      <c r="A40" s="13" t="s">
        <v>53</v>
      </c>
      <c r="B40" t="str">
        <f>AtomicWeights!$C$33</f>
        <v>yes</v>
      </c>
      <c r="C40" s="14">
        <f>IF(C$2=$A40,C$3*AtomicWeights!$B$33/C$5,0)</f>
        <v>0</v>
      </c>
      <c r="D40" s="14">
        <f>IF(D$2=$A40,D$3*AtomicWeights!$B$33/D$5,0)</f>
        <v>0</v>
      </c>
      <c r="E40" s="14">
        <f>IF(E$2=$A40,E$3*AtomicWeights!$B$33/E$5,0)</f>
        <v>0</v>
      </c>
      <c r="F40" s="14">
        <f>IF(F$2=$A40,F$3*AtomicWeights!$B$33/F$5,0)</f>
        <v>0</v>
      </c>
      <c r="G40" s="14">
        <f>IF(G$2=$A40,G$3*AtomicWeights!$B$33/G$5,0)</f>
        <v>0</v>
      </c>
      <c r="H40" s="14">
        <f>IF(H$2=$A40,H$3*AtomicWeights!$B$33/H$5,0)</f>
        <v>0</v>
      </c>
      <c r="I40" s="14">
        <f>IF(I$2=$A40,I$3*AtomicWeights!$B$33/I$5,0)</f>
        <v>0</v>
      </c>
      <c r="J40" s="14">
        <f>IF(J$2=$A40,J$3*AtomicWeights!$B$33/J$5,0)</f>
        <v>0</v>
      </c>
      <c r="K40" s="14">
        <f>IF(K$2=$A40,K$3*AtomicWeights!$B$33/K$5,0)</f>
        <v>0</v>
      </c>
      <c r="L40" s="14">
        <f>IF(L$2=$A40,L$3*AtomicWeights!$B$33/L$5,0)</f>
        <v>0</v>
      </c>
      <c r="M40" s="14">
        <f>IF(M$2=$A40,M$3*AtomicWeights!$B$33/M$5,0)</f>
        <v>0</v>
      </c>
      <c r="N40" s="14">
        <f>IF(N$2=$A40,N$3*AtomicWeights!$B$33/N$5,0)</f>
        <v>0</v>
      </c>
      <c r="O40" s="14">
        <f>IF(O$2=$A40,O$3*AtomicWeights!$B$33/O$5,0)</f>
        <v>0</v>
      </c>
      <c r="P40" s="14">
        <f>IF(P$2=$A40,P$3*AtomicWeights!$B$33/P$5,0)</f>
        <v>0</v>
      </c>
      <c r="Q40" s="14">
        <f>IF(Q$2=$A40,Q$3*AtomicWeights!$B$33/Q$5,0)</f>
        <v>0</v>
      </c>
      <c r="R40" s="14">
        <f>IF(R$2=$A40,R$3*AtomicWeights!$B$33/R$5,0)</f>
        <v>0</v>
      </c>
      <c r="S40" s="14">
        <f>IF(S$2=$A40,S$3*AtomicWeights!$B$33/S$5,0)</f>
        <v>0</v>
      </c>
      <c r="T40" s="14">
        <f>IF(T$2=$A40,T$3*AtomicWeights!$B$33/T$5,0)</f>
        <v>0</v>
      </c>
      <c r="U40" s="14">
        <f>IF(U$2=$A40,U$3*AtomicWeights!$B$33/U$5,0)</f>
        <v>0</v>
      </c>
      <c r="V40" s="14">
        <f>IF(V$2=$A40,V$3*AtomicWeights!$B$33/V$5,0)</f>
        <v>0</v>
      </c>
      <c r="W40" s="14">
        <f>IF(W$2=$A40,W$3*AtomicWeights!$B$33/W$5,0)</f>
        <v>0</v>
      </c>
      <c r="X40" s="14">
        <f>IF(X$2=$A40,X$3*AtomicWeights!$B$33/X$5,0)</f>
        <v>0</v>
      </c>
      <c r="Y40" s="14">
        <f>IF(Y$2=$A40,Y$3*AtomicWeights!$B$33/Y$5,0)</f>
        <v>0</v>
      </c>
      <c r="Z40" s="14">
        <f>IF(Z$2=$A40,Z$3*AtomicWeights!$B$33/Z$5,0)</f>
        <v>0</v>
      </c>
      <c r="AA40" s="14">
        <f>IF(AA$2=$A40,AA$3*AtomicWeights!$B$33/AA$5,0)</f>
        <v>0</v>
      </c>
      <c r="AB40" s="14">
        <f>IF(AB$2=$A40,AB$3*AtomicWeights!$B$33/AB$5,0)</f>
        <v>0</v>
      </c>
      <c r="AC40" s="14">
        <f>IF(AC$2=$A40,AC$3*AtomicWeights!$B$33/AC$5,0)</f>
        <v>0</v>
      </c>
      <c r="AD40" s="14">
        <f>IF(AD$2=$A40,AD$3*AtomicWeights!$B$33/AD$5,0)</f>
        <v>0</v>
      </c>
      <c r="AE40" s="14">
        <f>IF(AE$2=$A40,AE$3*AtomicWeights!$B$33/AE$5,0)</f>
        <v>0</v>
      </c>
      <c r="AF40" s="14">
        <f>IF(AF$2=$A40,AF$3*AtomicWeights!$B$33/AF$5,0)</f>
        <v>0</v>
      </c>
      <c r="AG40" s="14">
        <f>IF(AG$2=$A40,AG$3*AtomicWeights!$B$33/AG$5,0)</f>
        <v>0</v>
      </c>
      <c r="AH40" s="14">
        <f>IF(AH$2=$A40,AH$3*AtomicWeights!$B$33/AH$5,0)</f>
        <v>0.85268314823757818</v>
      </c>
      <c r="AI40" s="14">
        <f>IF(AI$2=$A40,AI$3*AtomicWeights!$B$33/AI$5,0)</f>
        <v>0</v>
      </c>
      <c r="AJ40" s="14">
        <f>IF(AJ$2=$A40,AJ$3*AtomicWeights!$B$33/AJ$5,0)</f>
        <v>0</v>
      </c>
      <c r="AK40" s="14">
        <f>IF(AK$2=$A40,AK$3*AtomicWeights!$B$33/AK$5,0)</f>
        <v>0</v>
      </c>
      <c r="AL40" s="14">
        <f>IF(AL$2=$A40,AL$3*AtomicWeights!$B$33/AL$5,0)</f>
        <v>0</v>
      </c>
      <c r="AM40" s="14">
        <f>IF(AM$2=$A40,AM$3*AtomicWeights!$B$33/AM$5,0)</f>
        <v>0</v>
      </c>
      <c r="AN40" s="14">
        <f>IF(AN$2=$A40,AN$3*AtomicWeights!$B$33/AN$5,0)</f>
        <v>0</v>
      </c>
      <c r="AO40" s="14">
        <f>IF(AO$2=$A40,AO$3*AtomicWeights!$B$33/AO$5,0)</f>
        <v>0</v>
      </c>
      <c r="AP40" s="14">
        <f>IF(AP$2=$A40,AP$3*AtomicWeights!$B$33/AP$5,0)</f>
        <v>0</v>
      </c>
      <c r="AQ40" s="14">
        <f>IF(AQ$2=$A40,AQ$3*AtomicWeights!$B$33/AQ$5,0)</f>
        <v>0</v>
      </c>
      <c r="AR40" s="14">
        <f>IF(AR$2=$A40,AR$3*AtomicWeights!$B$33/AR$5,0)</f>
        <v>0</v>
      </c>
      <c r="AS40" s="14">
        <f>IF(AS$2=$A40,AS$3*AtomicWeights!$B$33/AS$5,0)</f>
        <v>0</v>
      </c>
      <c r="AT40" s="14">
        <f>IF(AT$2=$A40,AT$3*AtomicWeights!$B$33/AT$5,0)</f>
        <v>0</v>
      </c>
      <c r="AU40" s="14">
        <f>IF(AU$2=$A40,AU$3*AtomicWeights!$B$33/AU$5,0)</f>
        <v>0</v>
      </c>
      <c r="AV40" s="14">
        <f>IF(AV$2=$A40,AV$3*AtomicWeights!$B$33/AV$5,0)</f>
        <v>0</v>
      </c>
      <c r="AW40" s="14">
        <f>IF(AW$2=$A40,AW$3*AtomicWeights!$B$33/AW$5,0)</f>
        <v>0</v>
      </c>
    </row>
    <row r="41" spans="1:49" x14ac:dyDescent="0.25">
      <c r="A41" s="13" t="s">
        <v>54</v>
      </c>
      <c r="B41" t="str">
        <f>AtomicWeights!$C$34</f>
        <v>yes</v>
      </c>
      <c r="C41" s="14">
        <f>IF(C$2=$A41,C$3*AtomicWeights!$B$34/C$5,0)</f>
        <v>0</v>
      </c>
      <c r="D41" s="14">
        <f>IF(D$2=$A41,D$3*AtomicWeights!$B$34/D$5,0)</f>
        <v>0</v>
      </c>
      <c r="E41" s="14">
        <f>IF(E$2=$A41,E$3*AtomicWeights!$B$34/E$5,0)</f>
        <v>0</v>
      </c>
      <c r="F41" s="14">
        <f>IF(F$2=$A41,F$3*AtomicWeights!$B$34/F$5,0)</f>
        <v>0</v>
      </c>
      <c r="G41" s="14">
        <f>IF(G$2=$A41,G$3*AtomicWeights!$B$34/G$5,0)</f>
        <v>0</v>
      </c>
      <c r="H41" s="14">
        <f>IF(H$2=$A41,H$3*AtomicWeights!$B$34/H$5,0)</f>
        <v>0</v>
      </c>
      <c r="I41" s="14">
        <f>IF(I$2=$A41,I$3*AtomicWeights!$B$34/I$5,0)</f>
        <v>0</v>
      </c>
      <c r="J41" s="14">
        <f>IF(J$2=$A41,J$3*AtomicWeights!$B$34/J$5,0)</f>
        <v>0</v>
      </c>
      <c r="K41" s="14">
        <f>IF(K$2=$A41,K$3*AtomicWeights!$B$34/K$5,0)</f>
        <v>0</v>
      </c>
      <c r="L41" s="14">
        <f>IF(L$2=$A41,L$3*AtomicWeights!$B$34/L$5,0)</f>
        <v>0</v>
      </c>
      <c r="M41" s="14">
        <f>IF(M$2=$A41,M$3*AtomicWeights!$B$34/M$5,0)</f>
        <v>0</v>
      </c>
      <c r="N41" s="14">
        <f>IF(N$2=$A41,N$3*AtomicWeights!$B$34/N$5,0)</f>
        <v>0</v>
      </c>
      <c r="O41" s="14">
        <f>IF(O$2=$A41,O$3*AtomicWeights!$B$34/O$5,0)</f>
        <v>0</v>
      </c>
      <c r="P41" s="14">
        <f>IF(P$2=$A41,P$3*AtomicWeights!$B$34/P$5,0)</f>
        <v>0</v>
      </c>
      <c r="Q41" s="14">
        <f>IF(Q$2=$A41,Q$3*AtomicWeights!$B$34/Q$5,0)</f>
        <v>0</v>
      </c>
      <c r="R41" s="14">
        <f>IF(R$2=$A41,R$3*AtomicWeights!$B$34/R$5,0)</f>
        <v>0</v>
      </c>
      <c r="S41" s="14">
        <f>IF(S$2=$A41,S$3*AtomicWeights!$B$34/S$5,0)</f>
        <v>0</v>
      </c>
      <c r="T41" s="14">
        <f>IF(T$2=$A41,T$3*AtomicWeights!$B$34/T$5,0)</f>
        <v>0</v>
      </c>
      <c r="U41" s="14">
        <f>IF(U$2=$A41,U$3*AtomicWeights!$B$34/U$5,0)</f>
        <v>0</v>
      </c>
      <c r="V41" s="14">
        <f>IF(V$2=$A41,V$3*AtomicWeights!$B$34/V$5,0)</f>
        <v>0</v>
      </c>
      <c r="W41" s="14">
        <f>IF(W$2=$A41,W$3*AtomicWeights!$B$34/W$5,0)</f>
        <v>0</v>
      </c>
      <c r="X41" s="14">
        <f>IF(X$2=$A41,X$3*AtomicWeights!$B$34/X$5,0)</f>
        <v>0</v>
      </c>
      <c r="Y41" s="14">
        <f>IF(Y$2=$A41,Y$3*AtomicWeights!$B$34/Y$5,0)</f>
        <v>0</v>
      </c>
      <c r="Z41" s="14">
        <f>IF(Z$2=$A41,Z$3*AtomicWeights!$B$34/Z$5,0)</f>
        <v>0</v>
      </c>
      <c r="AA41" s="14">
        <f>IF(AA$2=$A41,AA$3*AtomicWeights!$B$34/AA$5,0)</f>
        <v>0</v>
      </c>
      <c r="AB41" s="14">
        <f>IF(AB$2=$A41,AB$3*AtomicWeights!$B$34/AB$5,0)</f>
        <v>0</v>
      </c>
      <c r="AC41" s="14">
        <f>IF(AC$2=$A41,AC$3*AtomicWeights!$B$34/AC$5,0)</f>
        <v>0</v>
      </c>
      <c r="AD41" s="14">
        <f>IF(AD$2=$A41,AD$3*AtomicWeights!$B$34/AD$5,0)</f>
        <v>0</v>
      </c>
      <c r="AE41" s="14">
        <f>IF(AE$2=$A41,AE$3*AtomicWeights!$B$34/AE$5,0)</f>
        <v>0</v>
      </c>
      <c r="AF41" s="14">
        <f>IF(AF$2=$A41,AF$3*AtomicWeights!$B$34/AF$5,0)</f>
        <v>0</v>
      </c>
      <c r="AG41" s="14">
        <f>IF(AG$2=$A41,AG$3*AtomicWeights!$B$34/AG$5,0)</f>
        <v>0</v>
      </c>
      <c r="AH41" s="14">
        <f>IF(AH$2=$A41,AH$3*AtomicWeights!$B$34/AH$5,0)</f>
        <v>0</v>
      </c>
      <c r="AI41" s="14">
        <f>IF(AI$2=$A41,AI$3*AtomicWeights!$B$34/AI$5,0)</f>
        <v>0.85376977658890585</v>
      </c>
      <c r="AJ41" s="14">
        <f>IF(AJ$2=$A41,AJ$3*AtomicWeights!$B$34/AJ$5,0)</f>
        <v>0.8140883368000279</v>
      </c>
      <c r="AK41" s="14">
        <f>IF(AK$2=$A41,AK$3*AtomicWeights!$B$34/AK$5,0)</f>
        <v>0</v>
      </c>
      <c r="AL41" s="14">
        <f>IF(AL$2=$A41,AL$3*AtomicWeights!$B$34/AL$5,0)</f>
        <v>0</v>
      </c>
      <c r="AM41" s="14">
        <f>IF(AM$2=$A41,AM$3*AtomicWeights!$B$34/AM$5,0)</f>
        <v>0</v>
      </c>
      <c r="AN41" s="14">
        <f>IF(AN$2=$A41,AN$3*AtomicWeights!$B$34/AN$5,0)</f>
        <v>0</v>
      </c>
      <c r="AO41" s="14">
        <f>IF(AO$2=$A41,AO$3*AtomicWeights!$B$34/AO$5,0)</f>
        <v>0</v>
      </c>
      <c r="AP41" s="14">
        <f>IF(AP$2=$A41,AP$3*AtomicWeights!$B$34/AP$5,0)</f>
        <v>0</v>
      </c>
      <c r="AQ41" s="14">
        <f>IF(AQ$2=$A41,AQ$3*AtomicWeights!$B$34/AQ$5,0)</f>
        <v>0</v>
      </c>
      <c r="AR41" s="14">
        <f>IF(AR$2=$A41,AR$3*AtomicWeights!$B$34/AR$5,0)</f>
        <v>0</v>
      </c>
      <c r="AS41" s="14">
        <f>IF(AS$2=$A41,AS$3*AtomicWeights!$B$34/AS$5,0)</f>
        <v>0</v>
      </c>
      <c r="AT41" s="14">
        <f>IF(AT$2=$A41,AT$3*AtomicWeights!$B$34/AT$5,0)</f>
        <v>0</v>
      </c>
      <c r="AU41" s="14">
        <f>IF(AU$2=$A41,AU$3*AtomicWeights!$B$34/AU$5,0)</f>
        <v>0</v>
      </c>
      <c r="AV41" s="14">
        <f>IF(AV$2=$A41,AV$3*AtomicWeights!$B$34/AV$5,0)</f>
        <v>0</v>
      </c>
      <c r="AW41" s="14">
        <f>IF(AW$2=$A41,AW$3*AtomicWeights!$B$34/AW$5,0)</f>
        <v>0</v>
      </c>
    </row>
    <row r="42" spans="1:49" x14ac:dyDescent="0.25">
      <c r="A42" s="13" t="s">
        <v>55</v>
      </c>
      <c r="B42" t="str">
        <f>AtomicWeights!$C$35</f>
        <v>yes</v>
      </c>
      <c r="C42" s="14">
        <f>IF(C$2=$A42,C$3*AtomicWeights!$B$35/C$5,0)</f>
        <v>0</v>
      </c>
      <c r="D42" s="14">
        <f>IF(D$2=$A42,D$3*AtomicWeights!$B$35/D$5,0)</f>
        <v>0</v>
      </c>
      <c r="E42" s="14">
        <f>IF(E$2=$A42,E$3*AtomicWeights!$B$35/E$5,0)</f>
        <v>0</v>
      </c>
      <c r="F42" s="14">
        <f>IF(F$2=$A42,F$3*AtomicWeights!$B$35/F$5,0)</f>
        <v>0</v>
      </c>
      <c r="G42" s="14">
        <f>IF(G$2=$A42,G$3*AtomicWeights!$B$35/G$5,0)</f>
        <v>0</v>
      </c>
      <c r="H42" s="14">
        <f>IF(H$2=$A42,H$3*AtomicWeights!$B$35/H$5,0)</f>
        <v>0</v>
      </c>
      <c r="I42" s="14">
        <f>IF(I$2=$A42,I$3*AtomicWeights!$B$35/I$5,0)</f>
        <v>0</v>
      </c>
      <c r="J42" s="14">
        <f>IF(J$2=$A42,J$3*AtomicWeights!$B$35/J$5,0)</f>
        <v>0</v>
      </c>
      <c r="K42" s="14">
        <f>IF(K$2=$A42,K$3*AtomicWeights!$B$35/K$5,0)</f>
        <v>0</v>
      </c>
      <c r="L42" s="14">
        <f>IF(L$2=$A42,L$3*AtomicWeights!$B$35/L$5,0)</f>
        <v>0</v>
      </c>
      <c r="M42" s="14">
        <f>IF(M$2=$A42,M$3*AtomicWeights!$B$35/M$5,0)</f>
        <v>0</v>
      </c>
      <c r="N42" s="14">
        <f>IF(N$2=$A42,N$3*AtomicWeights!$B$35/N$5,0)</f>
        <v>0</v>
      </c>
      <c r="O42" s="14">
        <f>IF(O$2=$A42,O$3*AtomicWeights!$B$35/O$5,0)</f>
        <v>0</v>
      </c>
      <c r="P42" s="14">
        <f>IF(P$2=$A42,P$3*AtomicWeights!$B$35/P$5,0)</f>
        <v>0</v>
      </c>
      <c r="Q42" s="14">
        <f>IF(Q$2=$A42,Q$3*AtomicWeights!$B$35/Q$5,0)</f>
        <v>0</v>
      </c>
      <c r="R42" s="14">
        <f>IF(R$2=$A42,R$3*AtomicWeights!$B$35/R$5,0)</f>
        <v>0</v>
      </c>
      <c r="S42" s="14">
        <f>IF(S$2=$A42,S$3*AtomicWeights!$B$35/S$5,0)</f>
        <v>0</v>
      </c>
      <c r="T42" s="14">
        <f>IF(T$2=$A42,T$3*AtomicWeights!$B$35/T$5,0)</f>
        <v>0</v>
      </c>
      <c r="U42" s="14">
        <f>IF(U$2=$A42,U$3*AtomicWeights!$B$35/U$5,0)</f>
        <v>0</v>
      </c>
      <c r="V42" s="14">
        <f>IF(V$2=$A42,V$3*AtomicWeights!$B$35/V$5,0)</f>
        <v>0</v>
      </c>
      <c r="W42" s="14">
        <f>IF(W$2=$A42,W$3*AtomicWeights!$B$35/W$5,0)</f>
        <v>0</v>
      </c>
      <c r="X42" s="14">
        <f>IF(X$2=$A42,X$3*AtomicWeights!$B$35/X$5,0)</f>
        <v>0</v>
      </c>
      <c r="Y42" s="14">
        <f>IF(Y$2=$A42,Y$3*AtomicWeights!$B$35/Y$5,0)</f>
        <v>0</v>
      </c>
      <c r="Z42" s="14">
        <f>IF(Z$2=$A42,Z$3*AtomicWeights!$B$35/Z$5,0)</f>
        <v>0</v>
      </c>
      <c r="AA42" s="14">
        <f>IF(AA$2=$A42,AA$3*AtomicWeights!$B$35/AA$5,0)</f>
        <v>0</v>
      </c>
      <c r="AB42" s="14">
        <f>IF(AB$2=$A42,AB$3*AtomicWeights!$B$35/AB$5,0)</f>
        <v>0</v>
      </c>
      <c r="AC42" s="14">
        <f>IF(AC$2=$A42,AC$3*AtomicWeights!$B$35/AC$5,0)</f>
        <v>0</v>
      </c>
      <c r="AD42" s="14">
        <f>IF(AD$2=$A42,AD$3*AtomicWeights!$B$35/AD$5,0)</f>
        <v>0</v>
      </c>
      <c r="AE42" s="14">
        <f>IF(AE$2=$A42,AE$3*AtomicWeights!$B$35/AE$5,0)</f>
        <v>0</v>
      </c>
      <c r="AF42" s="14">
        <f>IF(AF$2=$A42,AF$3*AtomicWeights!$B$35/AF$5,0)</f>
        <v>0</v>
      </c>
      <c r="AG42" s="14">
        <f>IF(AG$2=$A42,AG$3*AtomicWeights!$B$35/AG$5,0)</f>
        <v>0</v>
      </c>
      <c r="AH42" s="14">
        <f>IF(AH$2=$A42,AH$3*AtomicWeights!$B$35/AH$5,0)</f>
        <v>0</v>
      </c>
      <c r="AI42" s="14">
        <f>IF(AI$2=$A42,AI$3*AtomicWeights!$B$35/AI$5,0)</f>
        <v>0</v>
      </c>
      <c r="AJ42" s="14">
        <f>IF(AJ$2=$A42,AJ$3*AtomicWeights!$B$35/AJ$5,0)</f>
        <v>0</v>
      </c>
      <c r="AK42" s="14">
        <f>IF(AK$2=$A42,AK$3*AtomicWeights!$B$35/AK$5,0)</f>
        <v>0.85447177958664489</v>
      </c>
      <c r="AL42" s="14">
        <f>IF(AL$2=$A42,AL$3*AtomicWeights!$B$35/AL$5,0)</f>
        <v>0</v>
      </c>
      <c r="AM42" s="14">
        <f>IF(AM$2=$A42,AM$3*AtomicWeights!$B$35/AM$5,0)</f>
        <v>0</v>
      </c>
      <c r="AN42" s="14">
        <f>IF(AN$2=$A42,AN$3*AtomicWeights!$B$35/AN$5,0)</f>
        <v>0</v>
      </c>
      <c r="AO42" s="14">
        <f>IF(AO$2=$A42,AO$3*AtomicWeights!$B$35/AO$5,0)</f>
        <v>0</v>
      </c>
      <c r="AP42" s="14">
        <f>IF(AP$2=$A42,AP$3*AtomicWeights!$B$35/AP$5,0)</f>
        <v>0</v>
      </c>
      <c r="AQ42" s="14">
        <f>IF(AQ$2=$A42,AQ$3*AtomicWeights!$B$35/AQ$5,0)</f>
        <v>0</v>
      </c>
      <c r="AR42" s="14">
        <f>IF(AR$2=$A42,AR$3*AtomicWeights!$B$35/AR$5,0)</f>
        <v>0</v>
      </c>
      <c r="AS42" s="14">
        <f>IF(AS$2=$A42,AS$3*AtomicWeights!$B$35/AS$5,0)</f>
        <v>0</v>
      </c>
      <c r="AT42" s="14">
        <f>IF(AT$2=$A42,AT$3*AtomicWeights!$B$35/AT$5,0)</f>
        <v>0</v>
      </c>
      <c r="AU42" s="14">
        <f>IF(AU$2=$A42,AU$3*AtomicWeights!$B$35/AU$5,0)</f>
        <v>0</v>
      </c>
      <c r="AV42" s="14">
        <f>IF(AV$2=$A42,AV$3*AtomicWeights!$B$35/AV$5,0)</f>
        <v>0</v>
      </c>
      <c r="AW42" s="14">
        <f>IF(AW$2=$A42,AW$3*AtomicWeights!$B$35/AW$5,0)</f>
        <v>0</v>
      </c>
    </row>
    <row r="43" spans="1:49" x14ac:dyDescent="0.25">
      <c r="A43" s="13" t="s">
        <v>56</v>
      </c>
      <c r="B43" t="str">
        <f>AtomicWeights!$C$36</f>
        <v>yes</v>
      </c>
      <c r="C43" s="14">
        <f>IF(C$2=$A43,C$3*AtomicWeights!$B$36/C$5,0)</f>
        <v>0</v>
      </c>
      <c r="D43" s="14">
        <f>IF(D$2=$A43,D$3*AtomicWeights!$B$36/D$5,0)</f>
        <v>0</v>
      </c>
      <c r="E43" s="14">
        <f>IF(E$2=$A43,E$3*AtomicWeights!$B$36/E$5,0)</f>
        <v>0</v>
      </c>
      <c r="F43" s="14">
        <f>IF(F$2=$A43,F$3*AtomicWeights!$B$36/F$5,0)</f>
        <v>0</v>
      </c>
      <c r="G43" s="14">
        <f>IF(G$2=$A43,G$3*AtomicWeights!$B$36/G$5,0)</f>
        <v>0</v>
      </c>
      <c r="H43" s="14">
        <f>IF(H$2=$A43,H$3*AtomicWeights!$B$36/H$5,0)</f>
        <v>0</v>
      </c>
      <c r="I43" s="14">
        <f>IF(I$2=$A43,I$3*AtomicWeights!$B$36/I$5,0)</f>
        <v>0</v>
      </c>
      <c r="J43" s="14">
        <f>IF(J$2=$A43,J$3*AtomicWeights!$B$36/J$5,0)</f>
        <v>0</v>
      </c>
      <c r="K43" s="14">
        <f>IF(K$2=$A43,K$3*AtomicWeights!$B$36/K$5,0)</f>
        <v>0</v>
      </c>
      <c r="L43" s="14">
        <f>IF(L$2=$A43,L$3*AtomicWeights!$B$36/L$5,0)</f>
        <v>0</v>
      </c>
      <c r="M43" s="14">
        <f>IF(M$2=$A43,M$3*AtomicWeights!$B$36/M$5,0)</f>
        <v>0</v>
      </c>
      <c r="N43" s="14">
        <f>IF(N$2=$A43,N$3*AtomicWeights!$B$36/N$5,0)</f>
        <v>0</v>
      </c>
      <c r="O43" s="14">
        <f>IF(O$2=$A43,O$3*AtomicWeights!$B$36/O$5,0)</f>
        <v>0</v>
      </c>
      <c r="P43" s="14">
        <f>IF(P$2=$A43,P$3*AtomicWeights!$B$36/P$5,0)</f>
        <v>0</v>
      </c>
      <c r="Q43" s="14">
        <f>IF(Q$2=$A43,Q$3*AtomicWeights!$B$36/Q$5,0)</f>
        <v>0</v>
      </c>
      <c r="R43" s="14">
        <f>IF(R$2=$A43,R$3*AtomicWeights!$B$36/R$5,0)</f>
        <v>0</v>
      </c>
      <c r="S43" s="14">
        <f>IF(S$2=$A43,S$3*AtomicWeights!$B$36/S$5,0)</f>
        <v>0</v>
      </c>
      <c r="T43" s="14">
        <f>IF(T$2=$A43,T$3*AtomicWeights!$B$36/T$5,0)</f>
        <v>0</v>
      </c>
      <c r="U43" s="14">
        <f>IF(U$2=$A43,U$3*AtomicWeights!$B$36/U$5,0)</f>
        <v>0</v>
      </c>
      <c r="V43" s="14">
        <f>IF(V$2=$A43,V$3*AtomicWeights!$B$36/V$5,0)</f>
        <v>0</v>
      </c>
      <c r="W43" s="14">
        <f>IF(W$2=$A43,W$3*AtomicWeights!$B$36/W$5,0)</f>
        <v>0</v>
      </c>
      <c r="X43" s="14">
        <f>IF(X$2=$A43,X$3*AtomicWeights!$B$36/X$5,0)</f>
        <v>0</v>
      </c>
      <c r="Y43" s="14">
        <f>IF(Y$2=$A43,Y$3*AtomicWeights!$B$36/Y$5,0)</f>
        <v>0</v>
      </c>
      <c r="Z43" s="14">
        <f>IF(Z$2=$A43,Z$3*AtomicWeights!$B$36/Z$5,0)</f>
        <v>0</v>
      </c>
      <c r="AA43" s="14">
        <f>IF(AA$2=$A43,AA$3*AtomicWeights!$B$36/AA$5,0)</f>
        <v>0</v>
      </c>
      <c r="AB43" s="14">
        <f>IF(AB$2=$A43,AB$3*AtomicWeights!$B$36/AB$5,0)</f>
        <v>0</v>
      </c>
      <c r="AC43" s="14">
        <f>IF(AC$2=$A43,AC$3*AtomicWeights!$B$36/AC$5,0)</f>
        <v>0</v>
      </c>
      <c r="AD43" s="14">
        <f>IF(AD$2=$A43,AD$3*AtomicWeights!$B$36/AD$5,0)</f>
        <v>0</v>
      </c>
      <c r="AE43" s="14">
        <f>IF(AE$2=$A43,AE$3*AtomicWeights!$B$36/AE$5,0)</f>
        <v>0</v>
      </c>
      <c r="AF43" s="14">
        <f>IF(AF$2=$A43,AF$3*AtomicWeights!$B$36/AF$5,0)</f>
        <v>0</v>
      </c>
      <c r="AG43" s="14">
        <f>IF(AG$2=$A43,AG$3*AtomicWeights!$B$36/AG$5,0)</f>
        <v>0</v>
      </c>
      <c r="AH43" s="14">
        <f>IF(AH$2=$A43,AH$3*AtomicWeights!$B$36/AH$5,0)</f>
        <v>0</v>
      </c>
      <c r="AI43" s="14">
        <f>IF(AI$2=$A43,AI$3*AtomicWeights!$B$36/AI$5,0)</f>
        <v>0</v>
      </c>
      <c r="AJ43" s="14">
        <f>IF(AJ$2=$A43,AJ$3*AtomicWeights!$B$36/AJ$5,0)</f>
        <v>0</v>
      </c>
      <c r="AK43" s="14">
        <f>IF(AK$2=$A43,AK$3*AtomicWeights!$B$36/AK$5,0)</f>
        <v>0</v>
      </c>
      <c r="AL43" s="14">
        <f>IF(AL$2=$A43,AL$3*AtomicWeights!$B$36/AL$5,0)</f>
        <v>0.85735598741087904</v>
      </c>
      <c r="AM43" s="14">
        <f>IF(AM$2=$A43,AM$3*AtomicWeights!$B$36/AM$5,0)</f>
        <v>0</v>
      </c>
      <c r="AN43" s="14">
        <f>IF(AN$2=$A43,AN$3*AtomicWeights!$B$36/AN$5,0)</f>
        <v>0</v>
      </c>
      <c r="AO43" s="14">
        <f>IF(AO$2=$A43,AO$3*AtomicWeights!$B$36/AO$5,0)</f>
        <v>0</v>
      </c>
      <c r="AP43" s="14">
        <f>IF(AP$2=$A43,AP$3*AtomicWeights!$B$36/AP$5,0)</f>
        <v>0</v>
      </c>
      <c r="AQ43" s="14">
        <f>IF(AQ$2=$A43,AQ$3*AtomicWeights!$B$36/AQ$5,0)</f>
        <v>0</v>
      </c>
      <c r="AR43" s="14">
        <f>IF(AR$2=$A43,AR$3*AtomicWeights!$B$36/AR$5,0)</f>
        <v>0</v>
      </c>
      <c r="AS43" s="14">
        <f>IF(AS$2=$A43,AS$3*AtomicWeights!$B$36/AS$5,0)</f>
        <v>0</v>
      </c>
      <c r="AT43" s="14">
        <f>IF(AT$2=$A43,AT$3*AtomicWeights!$B$36/AT$5,0)</f>
        <v>0</v>
      </c>
      <c r="AU43" s="14">
        <f>IF(AU$2=$A43,AU$3*AtomicWeights!$B$36/AU$5,0)</f>
        <v>0</v>
      </c>
      <c r="AV43" s="14">
        <f>IF(AV$2=$A43,AV$3*AtomicWeights!$B$36/AV$5,0)</f>
        <v>0</v>
      </c>
      <c r="AW43" s="14">
        <f>IF(AW$2=$A43,AW$3*AtomicWeights!$B$36/AW$5,0)</f>
        <v>0</v>
      </c>
    </row>
    <row r="44" spans="1:49" x14ac:dyDescent="0.25">
      <c r="A44" s="13" t="s">
        <v>57</v>
      </c>
      <c r="B44" t="str">
        <f>AtomicWeights!$C$37</f>
        <v>yes</v>
      </c>
      <c r="C44" s="14">
        <f>IF(C$2=$A44,C$3*AtomicWeights!$B$37/C$5,0)</f>
        <v>0</v>
      </c>
      <c r="D44" s="14">
        <f>IF(D$2=$A44,D$3*AtomicWeights!$B$37/D$5,0)</f>
        <v>0</v>
      </c>
      <c r="E44" s="14">
        <f>IF(E$2=$A44,E$3*AtomicWeights!$B$37/E$5,0)</f>
        <v>0</v>
      </c>
      <c r="F44" s="14">
        <f>IF(F$2=$A44,F$3*AtomicWeights!$B$37/F$5,0)</f>
        <v>0</v>
      </c>
      <c r="G44" s="14">
        <f>IF(G$2=$A44,G$3*AtomicWeights!$B$37/G$5,0)</f>
        <v>0</v>
      </c>
      <c r="H44" s="14">
        <f>IF(H$2=$A44,H$3*AtomicWeights!$B$37/H$5,0)</f>
        <v>0</v>
      </c>
      <c r="I44" s="14">
        <f>IF(I$2=$A44,I$3*AtomicWeights!$B$37/I$5,0)</f>
        <v>0</v>
      </c>
      <c r="J44" s="14">
        <f>IF(J$2=$A44,J$3*AtomicWeights!$B$37/J$5,0)</f>
        <v>0</v>
      </c>
      <c r="K44" s="14">
        <f>IF(K$2=$A44,K$3*AtomicWeights!$B$37/K$5,0)</f>
        <v>0</v>
      </c>
      <c r="L44" s="14">
        <f>IF(L$2=$A44,L$3*AtomicWeights!$B$37/L$5,0)</f>
        <v>0</v>
      </c>
      <c r="M44" s="14">
        <f>IF(M$2=$A44,M$3*AtomicWeights!$B$37/M$5,0)</f>
        <v>0</v>
      </c>
      <c r="N44" s="14">
        <f>IF(N$2=$A44,N$3*AtomicWeights!$B$37/N$5,0)</f>
        <v>0</v>
      </c>
      <c r="O44" s="14">
        <f>IF(O$2=$A44,O$3*AtomicWeights!$B$37/O$5,0)</f>
        <v>0</v>
      </c>
      <c r="P44" s="14">
        <f>IF(P$2=$A44,P$3*AtomicWeights!$B$37/P$5,0)</f>
        <v>0</v>
      </c>
      <c r="Q44" s="14">
        <f>IF(Q$2=$A44,Q$3*AtomicWeights!$B$37/Q$5,0)</f>
        <v>0</v>
      </c>
      <c r="R44" s="14">
        <f>IF(R$2=$A44,R$3*AtomicWeights!$B$37/R$5,0)</f>
        <v>0</v>
      </c>
      <c r="S44" s="14">
        <f>IF(S$2=$A44,S$3*AtomicWeights!$B$37/S$5,0)</f>
        <v>0</v>
      </c>
      <c r="T44" s="14">
        <f>IF(T$2=$A44,T$3*AtomicWeights!$B$37/T$5,0)</f>
        <v>0</v>
      </c>
      <c r="U44" s="14">
        <f>IF(U$2=$A44,U$3*AtomicWeights!$B$37/U$5,0)</f>
        <v>0</v>
      </c>
      <c r="V44" s="14">
        <f>IF(V$2=$A44,V$3*AtomicWeights!$B$37/V$5,0)</f>
        <v>0</v>
      </c>
      <c r="W44" s="14">
        <f>IF(W$2=$A44,W$3*AtomicWeights!$B$37/W$5,0)</f>
        <v>0</v>
      </c>
      <c r="X44" s="14">
        <f>IF(X$2=$A44,X$3*AtomicWeights!$B$37/X$5,0)</f>
        <v>0</v>
      </c>
      <c r="Y44" s="14">
        <f>IF(Y$2=$A44,Y$3*AtomicWeights!$B$37/Y$5,0)</f>
        <v>0</v>
      </c>
      <c r="Z44" s="14">
        <f>IF(Z$2=$A44,Z$3*AtomicWeights!$B$37/Z$5,0)</f>
        <v>0</v>
      </c>
      <c r="AA44" s="14">
        <f>IF(AA$2=$A44,AA$3*AtomicWeights!$B$37/AA$5,0)</f>
        <v>0</v>
      </c>
      <c r="AB44" s="14">
        <f>IF(AB$2=$A44,AB$3*AtomicWeights!$B$37/AB$5,0)</f>
        <v>0</v>
      </c>
      <c r="AC44" s="14">
        <f>IF(AC$2=$A44,AC$3*AtomicWeights!$B$37/AC$5,0)</f>
        <v>0</v>
      </c>
      <c r="AD44" s="14">
        <f>IF(AD$2=$A44,AD$3*AtomicWeights!$B$37/AD$5,0)</f>
        <v>0</v>
      </c>
      <c r="AE44" s="14">
        <f>IF(AE$2=$A44,AE$3*AtomicWeights!$B$37/AE$5,0)</f>
        <v>0</v>
      </c>
      <c r="AF44" s="14">
        <f>IF(AF$2=$A44,AF$3*AtomicWeights!$B$37/AF$5,0)</f>
        <v>0</v>
      </c>
      <c r="AG44" s="14">
        <f>IF(AG$2=$A44,AG$3*AtomicWeights!$B$37/AG$5,0)</f>
        <v>0</v>
      </c>
      <c r="AH44" s="14">
        <f>IF(AH$2=$A44,AH$3*AtomicWeights!$B$37/AH$5,0)</f>
        <v>0</v>
      </c>
      <c r="AI44" s="14">
        <f>IF(AI$2=$A44,AI$3*AtomicWeights!$B$37/AI$5,0)</f>
        <v>0</v>
      </c>
      <c r="AJ44" s="14">
        <f>IF(AJ$2=$A44,AJ$3*AtomicWeights!$B$37/AJ$5,0)</f>
        <v>0</v>
      </c>
      <c r="AK44" s="14">
        <f>IF(AK$2=$A44,AK$3*AtomicWeights!$B$37/AK$5,0)</f>
        <v>0</v>
      </c>
      <c r="AL44" s="14">
        <f>IF(AL$2=$A44,AL$3*AtomicWeights!$B$37/AL$5,0)</f>
        <v>0</v>
      </c>
      <c r="AM44" s="14">
        <f>IF(AM$2=$A44,AM$3*AtomicWeights!$B$37/AM$5,0)</f>
        <v>0.86236116965906451</v>
      </c>
      <c r="AN44" s="14">
        <f>IF(AN$2=$A44,AN$3*AtomicWeights!$B$37/AN$5,0)</f>
        <v>0</v>
      </c>
      <c r="AO44" s="14">
        <f>IF(AO$2=$A44,AO$3*AtomicWeights!$B$37/AO$5,0)</f>
        <v>0</v>
      </c>
      <c r="AP44" s="14">
        <f>IF(AP$2=$A44,AP$3*AtomicWeights!$B$37/AP$5,0)</f>
        <v>0</v>
      </c>
      <c r="AQ44" s="14">
        <f>IF(AQ$2=$A44,AQ$3*AtomicWeights!$B$37/AQ$5,0)</f>
        <v>0</v>
      </c>
      <c r="AR44" s="14">
        <f>IF(AR$2=$A44,AR$3*AtomicWeights!$B$37/AR$5,0)</f>
        <v>0</v>
      </c>
      <c r="AS44" s="14">
        <f>IF(AS$2=$A44,AS$3*AtomicWeights!$B$37/AS$5,0)</f>
        <v>0</v>
      </c>
      <c r="AT44" s="14">
        <f>IF(AT$2=$A44,AT$3*AtomicWeights!$B$37/AT$5,0)</f>
        <v>0</v>
      </c>
      <c r="AU44" s="14">
        <f>IF(AU$2=$A44,AU$3*AtomicWeights!$B$37/AU$5,0)</f>
        <v>0</v>
      </c>
      <c r="AV44" s="14">
        <f>IF(AV$2=$A44,AV$3*AtomicWeights!$B$37/AV$5,0)</f>
        <v>0</v>
      </c>
      <c r="AW44" s="14">
        <f>IF(AW$2=$A44,AW$3*AtomicWeights!$B$37/AW$5,0)</f>
        <v>0</v>
      </c>
    </row>
    <row r="45" spans="1:49" x14ac:dyDescent="0.25">
      <c r="A45" s="13" t="s">
        <v>58</v>
      </c>
      <c r="B45" t="str">
        <f>AtomicWeights!$C$38</f>
        <v>yes</v>
      </c>
      <c r="C45" s="14">
        <f>IF(C$2=$A45,C$3*AtomicWeights!$B$38/C$5,0)</f>
        <v>0</v>
      </c>
      <c r="D45" s="14">
        <f>IF(D$2=$A45,D$3*AtomicWeights!$B$38/D$5,0)</f>
        <v>0</v>
      </c>
      <c r="E45" s="14">
        <f>IF(E$2=$A45,E$3*AtomicWeights!$B$38/E$5,0)</f>
        <v>0</v>
      </c>
      <c r="F45" s="14">
        <f>IF(F$2=$A45,F$3*AtomicWeights!$B$38/F$5,0)</f>
        <v>0</v>
      </c>
      <c r="G45" s="14">
        <f>IF(G$2=$A45,G$3*AtomicWeights!$B$38/G$5,0)</f>
        <v>0</v>
      </c>
      <c r="H45" s="14">
        <f>IF(H$2=$A45,H$3*AtomicWeights!$B$38/H$5,0)</f>
        <v>0</v>
      </c>
      <c r="I45" s="14">
        <f>IF(I$2=$A45,I$3*AtomicWeights!$B$38/I$5,0)</f>
        <v>0</v>
      </c>
      <c r="J45" s="14">
        <f>IF(J$2=$A45,J$3*AtomicWeights!$B$38/J$5,0)</f>
        <v>0</v>
      </c>
      <c r="K45" s="14">
        <f>IF(K$2=$A45,K$3*AtomicWeights!$B$38/K$5,0)</f>
        <v>0</v>
      </c>
      <c r="L45" s="14">
        <f>IF(L$2=$A45,L$3*AtomicWeights!$B$38/L$5,0)</f>
        <v>0</v>
      </c>
      <c r="M45" s="14">
        <f>IF(M$2=$A45,M$3*AtomicWeights!$B$38/M$5,0)</f>
        <v>0</v>
      </c>
      <c r="N45" s="14">
        <f>IF(N$2=$A45,N$3*AtomicWeights!$B$38/N$5,0)</f>
        <v>0</v>
      </c>
      <c r="O45" s="14">
        <f>IF(O$2=$A45,O$3*AtomicWeights!$B$38/O$5,0)</f>
        <v>0</v>
      </c>
      <c r="P45" s="14">
        <f>IF(P$2=$A45,P$3*AtomicWeights!$B$38/P$5,0)</f>
        <v>0</v>
      </c>
      <c r="Q45" s="14">
        <f>IF(Q$2=$A45,Q$3*AtomicWeights!$B$38/Q$5,0)</f>
        <v>0</v>
      </c>
      <c r="R45" s="14">
        <f>IF(R$2=$A45,R$3*AtomicWeights!$B$38/R$5,0)</f>
        <v>0</v>
      </c>
      <c r="S45" s="14">
        <f>IF(S$2=$A45,S$3*AtomicWeights!$B$38/S$5,0)</f>
        <v>0</v>
      </c>
      <c r="T45" s="14">
        <f>IF(T$2=$A45,T$3*AtomicWeights!$B$38/T$5,0)</f>
        <v>0</v>
      </c>
      <c r="U45" s="14">
        <f>IF(U$2=$A45,U$3*AtomicWeights!$B$38/U$5,0)</f>
        <v>0</v>
      </c>
      <c r="V45" s="14">
        <f>IF(V$2=$A45,V$3*AtomicWeights!$B$38/V$5,0)</f>
        <v>0</v>
      </c>
      <c r="W45" s="14">
        <f>IF(W$2=$A45,W$3*AtomicWeights!$B$38/W$5,0)</f>
        <v>0</v>
      </c>
      <c r="X45" s="14">
        <f>IF(X$2=$A45,X$3*AtomicWeights!$B$38/X$5,0)</f>
        <v>0</v>
      </c>
      <c r="Y45" s="14">
        <f>IF(Y$2=$A45,Y$3*AtomicWeights!$B$38/Y$5,0)</f>
        <v>0</v>
      </c>
      <c r="Z45" s="14">
        <f>IF(Z$2=$A45,Z$3*AtomicWeights!$B$38/Z$5,0)</f>
        <v>0</v>
      </c>
      <c r="AA45" s="14">
        <f>IF(AA$2=$A45,AA$3*AtomicWeights!$B$38/AA$5,0)</f>
        <v>0</v>
      </c>
      <c r="AB45" s="14">
        <f>IF(AB$2=$A45,AB$3*AtomicWeights!$B$38/AB$5,0)</f>
        <v>0</v>
      </c>
      <c r="AC45" s="14">
        <f>IF(AC$2=$A45,AC$3*AtomicWeights!$B$38/AC$5,0)</f>
        <v>0</v>
      </c>
      <c r="AD45" s="14">
        <f>IF(AD$2=$A45,AD$3*AtomicWeights!$B$38/AD$5,0)</f>
        <v>0</v>
      </c>
      <c r="AE45" s="14">
        <f>IF(AE$2=$A45,AE$3*AtomicWeights!$B$38/AE$5,0)</f>
        <v>0</v>
      </c>
      <c r="AF45" s="14">
        <f>IF(AF$2=$A45,AF$3*AtomicWeights!$B$38/AF$5,0)</f>
        <v>0</v>
      </c>
      <c r="AG45" s="14">
        <f>IF(AG$2=$A45,AG$3*AtomicWeights!$B$38/AG$5,0)</f>
        <v>0</v>
      </c>
      <c r="AH45" s="14">
        <f>IF(AH$2=$A45,AH$3*AtomicWeights!$B$38/AH$5,0)</f>
        <v>0</v>
      </c>
      <c r="AI45" s="14">
        <f>IF(AI$2=$A45,AI$3*AtomicWeights!$B$38/AI$5,0)</f>
        <v>0</v>
      </c>
      <c r="AJ45" s="14">
        <f>IF(AJ$2=$A45,AJ$3*AtomicWeights!$B$38/AJ$5,0)</f>
        <v>0</v>
      </c>
      <c r="AK45" s="14">
        <f>IF(AK$2=$A45,AK$3*AtomicWeights!$B$38/AK$5,0)</f>
        <v>0</v>
      </c>
      <c r="AL45" s="14">
        <f>IF(AL$2=$A45,AL$3*AtomicWeights!$B$38/AL$5,0)</f>
        <v>0</v>
      </c>
      <c r="AM45" s="14">
        <f>IF(AM$2=$A45,AM$3*AtomicWeights!$B$38/AM$5,0)</f>
        <v>0</v>
      </c>
      <c r="AN45" s="14">
        <f>IF(AN$2=$A45,AN$3*AtomicWeights!$B$38/AN$5,0)</f>
        <v>0.86361582723591668</v>
      </c>
      <c r="AO45" s="14">
        <f>IF(AO$2=$A45,AO$3*AtomicWeights!$B$38/AO$5,0)</f>
        <v>0</v>
      </c>
      <c r="AP45" s="14">
        <f>IF(AP$2=$A45,AP$3*AtomicWeights!$B$38/AP$5,0)</f>
        <v>0</v>
      </c>
      <c r="AQ45" s="14">
        <f>IF(AQ$2=$A45,AQ$3*AtomicWeights!$B$38/AQ$5,0)</f>
        <v>0</v>
      </c>
      <c r="AR45" s="14">
        <f>IF(AR$2=$A45,AR$3*AtomicWeights!$B$38/AR$5,0)</f>
        <v>0</v>
      </c>
      <c r="AS45" s="14">
        <f>IF(AS$2=$A45,AS$3*AtomicWeights!$B$38/AS$5,0)</f>
        <v>0</v>
      </c>
      <c r="AT45" s="14">
        <f>IF(AT$2=$A45,AT$3*AtomicWeights!$B$38/AT$5,0)</f>
        <v>0</v>
      </c>
      <c r="AU45" s="14">
        <f>IF(AU$2=$A45,AU$3*AtomicWeights!$B$38/AU$5,0)</f>
        <v>0</v>
      </c>
      <c r="AV45" s="14">
        <f>IF(AV$2=$A45,AV$3*AtomicWeights!$B$38/AV$5,0)</f>
        <v>0</v>
      </c>
      <c r="AW45" s="14">
        <f>IF(AW$2=$A45,AW$3*AtomicWeights!$B$38/AW$5,0)</f>
        <v>0</v>
      </c>
    </row>
    <row r="46" spans="1:49" x14ac:dyDescent="0.25">
      <c r="A46" s="13" t="s">
        <v>59</v>
      </c>
      <c r="B46" t="str">
        <f>AtomicWeights!$C$39</f>
        <v>yes</v>
      </c>
      <c r="C46" s="14">
        <f>IF(C$2=$A46,C$3*AtomicWeights!$B$39/C$5,0)</f>
        <v>0</v>
      </c>
      <c r="D46" s="14">
        <f>IF(D$2=$A46,D$3*AtomicWeights!$B$39/D$5,0)</f>
        <v>0</v>
      </c>
      <c r="E46" s="14">
        <f>IF(E$2=$A46,E$3*AtomicWeights!$B$39/E$5,0)</f>
        <v>0</v>
      </c>
      <c r="F46" s="14">
        <f>IF(F$2=$A46,F$3*AtomicWeights!$B$39/F$5,0)</f>
        <v>0</v>
      </c>
      <c r="G46" s="14">
        <f>IF(G$2=$A46,G$3*AtomicWeights!$B$39/G$5,0)</f>
        <v>0</v>
      </c>
      <c r="H46" s="14">
        <f>IF(H$2=$A46,H$3*AtomicWeights!$B$39/H$5,0)</f>
        <v>0</v>
      </c>
      <c r="I46" s="14">
        <f>IF(I$2=$A46,I$3*AtomicWeights!$B$39/I$5,0)</f>
        <v>0</v>
      </c>
      <c r="J46" s="14">
        <f>IF(J$2=$A46,J$3*AtomicWeights!$B$39/J$5,0)</f>
        <v>0</v>
      </c>
      <c r="K46" s="14">
        <f>IF(K$2=$A46,K$3*AtomicWeights!$B$39/K$5,0)</f>
        <v>0</v>
      </c>
      <c r="L46" s="14">
        <f>IF(L$2=$A46,L$3*AtomicWeights!$B$39/L$5,0)</f>
        <v>0</v>
      </c>
      <c r="M46" s="14">
        <f>IF(M$2=$A46,M$3*AtomicWeights!$B$39/M$5,0)</f>
        <v>0</v>
      </c>
      <c r="N46" s="14">
        <f>IF(N$2=$A46,N$3*AtomicWeights!$B$39/N$5,0)</f>
        <v>0</v>
      </c>
      <c r="O46" s="14">
        <f>IF(O$2=$A46,O$3*AtomicWeights!$B$39/O$5,0)</f>
        <v>0</v>
      </c>
      <c r="P46" s="14">
        <f>IF(P$2=$A46,P$3*AtomicWeights!$B$39/P$5,0)</f>
        <v>0</v>
      </c>
      <c r="Q46" s="14">
        <f>IF(Q$2=$A46,Q$3*AtomicWeights!$B$39/Q$5,0)</f>
        <v>0</v>
      </c>
      <c r="R46" s="14">
        <f>IF(R$2=$A46,R$3*AtomicWeights!$B$39/R$5,0)</f>
        <v>0</v>
      </c>
      <c r="S46" s="14">
        <f>IF(S$2=$A46,S$3*AtomicWeights!$B$39/S$5,0)</f>
        <v>0</v>
      </c>
      <c r="T46" s="14">
        <f>IF(T$2=$A46,T$3*AtomicWeights!$B$39/T$5,0)</f>
        <v>0</v>
      </c>
      <c r="U46" s="14">
        <f>IF(U$2=$A46,U$3*AtomicWeights!$B$39/U$5,0)</f>
        <v>0</v>
      </c>
      <c r="V46" s="14">
        <f>IF(V$2=$A46,V$3*AtomicWeights!$B$39/V$5,0)</f>
        <v>0</v>
      </c>
      <c r="W46" s="14">
        <f>IF(W$2=$A46,W$3*AtomicWeights!$B$39/W$5,0)</f>
        <v>0</v>
      </c>
      <c r="X46" s="14">
        <f>IF(X$2=$A46,X$3*AtomicWeights!$B$39/X$5,0)</f>
        <v>0</v>
      </c>
      <c r="Y46" s="14">
        <f>IF(Y$2=$A46,Y$3*AtomicWeights!$B$39/Y$5,0)</f>
        <v>0</v>
      </c>
      <c r="Z46" s="14">
        <f>IF(Z$2=$A46,Z$3*AtomicWeights!$B$39/Z$5,0)</f>
        <v>0</v>
      </c>
      <c r="AA46" s="14">
        <f>IF(AA$2=$A46,AA$3*AtomicWeights!$B$39/AA$5,0)</f>
        <v>0</v>
      </c>
      <c r="AB46" s="14">
        <f>IF(AB$2=$A46,AB$3*AtomicWeights!$B$39/AB$5,0)</f>
        <v>0</v>
      </c>
      <c r="AC46" s="14">
        <f>IF(AC$2=$A46,AC$3*AtomicWeights!$B$39/AC$5,0)</f>
        <v>0</v>
      </c>
      <c r="AD46" s="14">
        <f>IF(AD$2=$A46,AD$3*AtomicWeights!$B$39/AD$5,0)</f>
        <v>0</v>
      </c>
      <c r="AE46" s="14">
        <f>IF(AE$2=$A46,AE$3*AtomicWeights!$B$39/AE$5,0)</f>
        <v>0</v>
      </c>
      <c r="AF46" s="14">
        <f>IF(AF$2=$A46,AF$3*AtomicWeights!$B$39/AF$5,0)</f>
        <v>0</v>
      </c>
      <c r="AG46" s="14">
        <f>IF(AG$2=$A46,AG$3*AtomicWeights!$B$39/AG$5,0)</f>
        <v>0</v>
      </c>
      <c r="AH46" s="14">
        <f>IF(AH$2=$A46,AH$3*AtomicWeights!$B$39/AH$5,0)</f>
        <v>0</v>
      </c>
      <c r="AI46" s="14">
        <f>IF(AI$2=$A46,AI$3*AtomicWeights!$B$39/AI$5,0)</f>
        <v>0</v>
      </c>
      <c r="AJ46" s="14">
        <f>IF(AJ$2=$A46,AJ$3*AtomicWeights!$B$39/AJ$5,0)</f>
        <v>0</v>
      </c>
      <c r="AK46" s="14">
        <f>IF(AK$2=$A46,AK$3*AtomicWeights!$B$39/AK$5,0)</f>
        <v>0</v>
      </c>
      <c r="AL46" s="14">
        <f>IF(AL$2=$A46,AL$3*AtomicWeights!$B$39/AL$5,0)</f>
        <v>0</v>
      </c>
      <c r="AM46" s="14">
        <f>IF(AM$2=$A46,AM$3*AtomicWeights!$B$39/AM$5,0)</f>
        <v>0</v>
      </c>
      <c r="AN46" s="14">
        <f>IF(AN$2=$A46,AN$3*AtomicWeights!$B$39/AN$5,0)</f>
        <v>0</v>
      </c>
      <c r="AO46" s="14">
        <f>IF(AO$2=$A46,AO$3*AtomicWeights!$B$39/AO$5,0)</f>
        <v>0.8675933869797543</v>
      </c>
      <c r="AP46" s="14">
        <f>IF(AP$2=$A46,AP$3*AtomicWeights!$B$39/AP$5,0)</f>
        <v>0</v>
      </c>
      <c r="AQ46" s="14">
        <f>IF(AQ$2=$A46,AQ$3*AtomicWeights!$B$39/AQ$5,0)</f>
        <v>0</v>
      </c>
      <c r="AR46" s="14">
        <f>IF(AR$2=$A46,AR$3*AtomicWeights!$B$39/AR$5,0)</f>
        <v>0</v>
      </c>
      <c r="AS46" s="14">
        <f>IF(AS$2=$A46,AS$3*AtomicWeights!$B$39/AS$5,0)</f>
        <v>0</v>
      </c>
      <c r="AT46" s="14">
        <f>IF(AT$2=$A46,AT$3*AtomicWeights!$B$39/AT$5,0)</f>
        <v>0</v>
      </c>
      <c r="AU46" s="14">
        <f>IF(AU$2=$A46,AU$3*AtomicWeights!$B$39/AU$5,0)</f>
        <v>0</v>
      </c>
      <c r="AV46" s="14">
        <f>IF(AV$2=$A46,AV$3*AtomicWeights!$B$39/AV$5,0)</f>
        <v>0</v>
      </c>
      <c r="AW46" s="14">
        <f>IF(AW$2=$A46,AW$3*AtomicWeights!$B$39/AW$5,0)</f>
        <v>0</v>
      </c>
    </row>
    <row r="47" spans="1:49" x14ac:dyDescent="0.25">
      <c r="A47" s="13" t="s">
        <v>60</v>
      </c>
      <c r="B47" t="str">
        <f>AtomicWeights!$C$40</f>
        <v>yes</v>
      </c>
      <c r="C47" s="14">
        <f>IF(C$2=$A47,C$3*AtomicWeights!$B$40/C$5,0)</f>
        <v>0</v>
      </c>
      <c r="D47" s="14">
        <f>IF(D$2=$A47,D$3*AtomicWeights!$B$40/D$5,0)</f>
        <v>0</v>
      </c>
      <c r="E47" s="14">
        <f>IF(E$2=$A47,E$3*AtomicWeights!$B$40/E$5,0)</f>
        <v>0</v>
      </c>
      <c r="F47" s="14">
        <f>IF(F$2=$A47,F$3*AtomicWeights!$B$40/F$5,0)</f>
        <v>0</v>
      </c>
      <c r="G47" s="14">
        <f>IF(G$2=$A47,G$3*AtomicWeights!$B$40/G$5,0)</f>
        <v>0</v>
      </c>
      <c r="H47" s="14">
        <f>IF(H$2=$A47,H$3*AtomicWeights!$B$40/H$5,0)</f>
        <v>0</v>
      </c>
      <c r="I47" s="14">
        <f>IF(I$2=$A47,I$3*AtomicWeights!$B$40/I$5,0)</f>
        <v>0</v>
      </c>
      <c r="J47" s="14">
        <f>IF(J$2=$A47,J$3*AtomicWeights!$B$40/J$5,0)</f>
        <v>0</v>
      </c>
      <c r="K47" s="14">
        <f>IF(K$2=$A47,K$3*AtomicWeights!$B$40/K$5,0)</f>
        <v>0</v>
      </c>
      <c r="L47" s="14">
        <f>IF(L$2=$A47,L$3*AtomicWeights!$B$40/L$5,0)</f>
        <v>0</v>
      </c>
      <c r="M47" s="14">
        <f>IF(M$2=$A47,M$3*AtomicWeights!$B$40/M$5,0)</f>
        <v>0</v>
      </c>
      <c r="N47" s="14">
        <f>IF(N$2=$A47,N$3*AtomicWeights!$B$40/N$5,0)</f>
        <v>0</v>
      </c>
      <c r="O47" s="14">
        <f>IF(O$2=$A47,O$3*AtomicWeights!$B$40/O$5,0)</f>
        <v>0</v>
      </c>
      <c r="P47" s="14">
        <f>IF(P$2=$A47,P$3*AtomicWeights!$B$40/P$5,0)</f>
        <v>0</v>
      </c>
      <c r="Q47" s="14">
        <f>IF(Q$2=$A47,Q$3*AtomicWeights!$B$40/Q$5,0)</f>
        <v>0</v>
      </c>
      <c r="R47" s="14">
        <f>IF(R$2=$A47,R$3*AtomicWeights!$B$40/R$5,0)</f>
        <v>0</v>
      </c>
      <c r="S47" s="14">
        <f>IF(S$2=$A47,S$3*AtomicWeights!$B$40/S$5,0)</f>
        <v>0</v>
      </c>
      <c r="T47" s="14">
        <f>IF(T$2=$A47,T$3*AtomicWeights!$B$40/T$5,0)</f>
        <v>0</v>
      </c>
      <c r="U47" s="14">
        <f>IF(U$2=$A47,U$3*AtomicWeights!$B$40/U$5,0)</f>
        <v>0</v>
      </c>
      <c r="V47" s="14">
        <f>IF(V$2=$A47,V$3*AtomicWeights!$B$40/V$5,0)</f>
        <v>0</v>
      </c>
      <c r="W47" s="14">
        <f>IF(W$2=$A47,W$3*AtomicWeights!$B$40/W$5,0)</f>
        <v>0</v>
      </c>
      <c r="X47" s="14">
        <f>IF(X$2=$A47,X$3*AtomicWeights!$B$40/X$5,0)</f>
        <v>0</v>
      </c>
      <c r="Y47" s="14">
        <f>IF(Y$2=$A47,Y$3*AtomicWeights!$B$40/Y$5,0)</f>
        <v>0</v>
      </c>
      <c r="Z47" s="14">
        <f>IF(Z$2=$A47,Z$3*AtomicWeights!$B$40/Z$5,0)</f>
        <v>0</v>
      </c>
      <c r="AA47" s="14">
        <f>IF(AA$2=$A47,AA$3*AtomicWeights!$B$40/AA$5,0)</f>
        <v>0</v>
      </c>
      <c r="AB47" s="14">
        <f>IF(AB$2=$A47,AB$3*AtomicWeights!$B$40/AB$5,0)</f>
        <v>0</v>
      </c>
      <c r="AC47" s="14">
        <f>IF(AC$2=$A47,AC$3*AtomicWeights!$B$40/AC$5,0)</f>
        <v>0</v>
      </c>
      <c r="AD47" s="14">
        <f>IF(AD$2=$A47,AD$3*AtomicWeights!$B$40/AD$5,0)</f>
        <v>0</v>
      </c>
      <c r="AE47" s="14">
        <f>IF(AE$2=$A47,AE$3*AtomicWeights!$B$40/AE$5,0)</f>
        <v>0</v>
      </c>
      <c r="AF47" s="14">
        <f>IF(AF$2=$A47,AF$3*AtomicWeights!$B$40/AF$5,0)</f>
        <v>0</v>
      </c>
      <c r="AG47" s="14">
        <f>IF(AG$2=$A47,AG$3*AtomicWeights!$B$40/AG$5,0)</f>
        <v>0</v>
      </c>
      <c r="AH47" s="14">
        <f>IF(AH$2=$A47,AH$3*AtomicWeights!$B$40/AH$5,0)</f>
        <v>0</v>
      </c>
      <c r="AI47" s="14">
        <f>IF(AI$2=$A47,AI$3*AtomicWeights!$B$40/AI$5,0)</f>
        <v>0</v>
      </c>
      <c r="AJ47" s="14">
        <f>IF(AJ$2=$A47,AJ$3*AtomicWeights!$B$40/AJ$5,0)</f>
        <v>0</v>
      </c>
      <c r="AK47" s="14">
        <f>IF(AK$2=$A47,AK$3*AtomicWeights!$B$40/AK$5,0)</f>
        <v>0</v>
      </c>
      <c r="AL47" s="14">
        <f>IF(AL$2=$A47,AL$3*AtomicWeights!$B$40/AL$5,0)</f>
        <v>0</v>
      </c>
      <c r="AM47" s="14">
        <f>IF(AM$2=$A47,AM$3*AtomicWeights!$B$40/AM$5,0)</f>
        <v>0</v>
      </c>
      <c r="AN47" s="14">
        <f>IF(AN$2=$A47,AN$3*AtomicWeights!$B$40/AN$5,0)</f>
        <v>0</v>
      </c>
      <c r="AO47" s="14">
        <f>IF(AO$2=$A47,AO$3*AtomicWeights!$B$40/AO$5,0)</f>
        <v>0</v>
      </c>
      <c r="AP47" s="14">
        <f>IF(AP$2=$A47,AP$3*AtomicWeights!$B$40/AP$5,0)</f>
        <v>0.86880606328808407</v>
      </c>
      <c r="AQ47" s="14">
        <f>IF(AQ$2=$A47,AQ$3*AtomicWeights!$B$40/AQ$5,0)</f>
        <v>0</v>
      </c>
      <c r="AR47" s="14">
        <f>IF(AR$2=$A47,AR$3*AtomicWeights!$B$40/AR$5,0)</f>
        <v>0</v>
      </c>
      <c r="AS47" s="14">
        <f>IF(AS$2=$A47,AS$3*AtomicWeights!$B$40/AS$5,0)</f>
        <v>0</v>
      </c>
      <c r="AT47" s="14">
        <f>IF(AT$2=$A47,AT$3*AtomicWeights!$B$40/AT$5,0)</f>
        <v>0</v>
      </c>
      <c r="AU47" s="14">
        <f>IF(AU$2=$A47,AU$3*AtomicWeights!$B$40/AU$5,0)</f>
        <v>0</v>
      </c>
      <c r="AV47" s="14">
        <f>IF(AV$2=$A47,AV$3*AtomicWeights!$B$40/AV$5,0)</f>
        <v>0</v>
      </c>
      <c r="AW47" s="14">
        <f>IF(AW$2=$A47,AW$3*AtomicWeights!$B$40/AW$5,0)</f>
        <v>0</v>
      </c>
    </row>
    <row r="48" spans="1:49" x14ac:dyDescent="0.25">
      <c r="A48" s="13" t="s">
        <v>61</v>
      </c>
      <c r="B48" t="str">
        <f>AtomicWeights!$C$41</f>
        <v>yes</v>
      </c>
      <c r="C48" s="14">
        <f>IF(C$2=$A48,C$3*AtomicWeights!$B$41/C$5,0)</f>
        <v>0</v>
      </c>
      <c r="D48" s="14">
        <f>IF(D$2=$A48,D$3*AtomicWeights!$B$41/D$5,0)</f>
        <v>0</v>
      </c>
      <c r="E48" s="14">
        <f>IF(E$2=$A48,E$3*AtomicWeights!$B$41/E$5,0)</f>
        <v>0</v>
      </c>
      <c r="F48" s="14">
        <f>IF(F$2=$A48,F$3*AtomicWeights!$B$41/F$5,0)</f>
        <v>0</v>
      </c>
      <c r="G48" s="14">
        <f>IF(G$2=$A48,G$3*AtomicWeights!$B$41/G$5,0)</f>
        <v>0</v>
      </c>
      <c r="H48" s="14">
        <f>IF(H$2=$A48,H$3*AtomicWeights!$B$41/H$5,0)</f>
        <v>0</v>
      </c>
      <c r="I48" s="14">
        <f>IF(I$2=$A48,I$3*AtomicWeights!$B$41/I$5,0)</f>
        <v>0</v>
      </c>
      <c r="J48" s="14">
        <f>IF(J$2=$A48,J$3*AtomicWeights!$B$41/J$5,0)</f>
        <v>0</v>
      </c>
      <c r="K48" s="14">
        <f>IF(K$2=$A48,K$3*AtomicWeights!$B$41/K$5,0)</f>
        <v>0</v>
      </c>
      <c r="L48" s="14">
        <f>IF(L$2=$A48,L$3*AtomicWeights!$B$41/L$5,0)</f>
        <v>0</v>
      </c>
      <c r="M48" s="14">
        <f>IF(M$2=$A48,M$3*AtomicWeights!$B$41/M$5,0)</f>
        <v>0</v>
      </c>
      <c r="N48" s="14">
        <f>IF(N$2=$A48,N$3*AtomicWeights!$B$41/N$5,0)</f>
        <v>0</v>
      </c>
      <c r="O48" s="14">
        <f>IF(O$2=$A48,O$3*AtomicWeights!$B$41/O$5,0)</f>
        <v>0</v>
      </c>
      <c r="P48" s="14">
        <f>IF(P$2=$A48,P$3*AtomicWeights!$B$41/P$5,0)</f>
        <v>0</v>
      </c>
      <c r="Q48" s="14">
        <f>IF(Q$2=$A48,Q$3*AtomicWeights!$B$41/Q$5,0)</f>
        <v>0</v>
      </c>
      <c r="R48" s="14">
        <f>IF(R$2=$A48,R$3*AtomicWeights!$B$41/R$5,0)</f>
        <v>0</v>
      </c>
      <c r="S48" s="14">
        <f>IF(S$2=$A48,S$3*AtomicWeights!$B$41/S$5,0)</f>
        <v>0</v>
      </c>
      <c r="T48" s="14">
        <f>IF(T$2=$A48,T$3*AtomicWeights!$B$41/T$5,0)</f>
        <v>0</v>
      </c>
      <c r="U48" s="14">
        <f>IF(U$2=$A48,U$3*AtomicWeights!$B$41/U$5,0)</f>
        <v>0</v>
      </c>
      <c r="V48" s="14">
        <f>IF(V$2=$A48,V$3*AtomicWeights!$B$41/V$5,0)</f>
        <v>0</v>
      </c>
      <c r="W48" s="14">
        <f>IF(W$2=$A48,W$3*AtomicWeights!$B$41/W$5,0)</f>
        <v>0</v>
      </c>
      <c r="X48" s="14">
        <f>IF(X$2=$A48,X$3*AtomicWeights!$B$41/X$5,0)</f>
        <v>0</v>
      </c>
      <c r="Y48" s="14">
        <f>IF(Y$2=$A48,Y$3*AtomicWeights!$B$41/Y$5,0)</f>
        <v>0</v>
      </c>
      <c r="Z48" s="14">
        <f>IF(Z$2=$A48,Z$3*AtomicWeights!$B$41/Z$5,0)</f>
        <v>0</v>
      </c>
      <c r="AA48" s="14">
        <f>IF(AA$2=$A48,AA$3*AtomicWeights!$B$41/AA$5,0)</f>
        <v>0</v>
      </c>
      <c r="AB48" s="14">
        <f>IF(AB$2=$A48,AB$3*AtomicWeights!$B$41/AB$5,0)</f>
        <v>0</v>
      </c>
      <c r="AC48" s="14">
        <f>IF(AC$2=$A48,AC$3*AtomicWeights!$B$41/AC$5,0)</f>
        <v>0</v>
      </c>
      <c r="AD48" s="14">
        <f>IF(AD$2=$A48,AD$3*AtomicWeights!$B$41/AD$5,0)</f>
        <v>0</v>
      </c>
      <c r="AE48" s="14">
        <f>IF(AE$2=$A48,AE$3*AtomicWeights!$B$41/AE$5,0)</f>
        <v>0</v>
      </c>
      <c r="AF48" s="14">
        <f>IF(AF$2=$A48,AF$3*AtomicWeights!$B$41/AF$5,0)</f>
        <v>0</v>
      </c>
      <c r="AG48" s="14">
        <f>IF(AG$2=$A48,AG$3*AtomicWeights!$B$41/AG$5,0)</f>
        <v>0</v>
      </c>
      <c r="AH48" s="14">
        <f>IF(AH$2=$A48,AH$3*AtomicWeights!$B$41/AH$5,0)</f>
        <v>0</v>
      </c>
      <c r="AI48" s="14">
        <f>IF(AI$2=$A48,AI$3*AtomicWeights!$B$41/AI$5,0)</f>
        <v>0</v>
      </c>
      <c r="AJ48" s="14">
        <f>IF(AJ$2=$A48,AJ$3*AtomicWeights!$B$41/AJ$5,0)</f>
        <v>0</v>
      </c>
      <c r="AK48" s="14">
        <f>IF(AK$2=$A48,AK$3*AtomicWeights!$B$41/AK$5,0)</f>
        <v>0</v>
      </c>
      <c r="AL48" s="14">
        <f>IF(AL$2=$A48,AL$3*AtomicWeights!$B$41/AL$5,0)</f>
        <v>0</v>
      </c>
      <c r="AM48" s="14">
        <f>IF(AM$2=$A48,AM$3*AtomicWeights!$B$41/AM$5,0)</f>
        <v>0</v>
      </c>
      <c r="AN48" s="14">
        <f>IF(AN$2=$A48,AN$3*AtomicWeights!$B$41/AN$5,0)</f>
        <v>0</v>
      </c>
      <c r="AO48" s="14">
        <f>IF(AO$2=$A48,AO$3*AtomicWeights!$B$41/AO$5,0)</f>
        <v>0</v>
      </c>
      <c r="AP48" s="14">
        <f>IF(AP$2=$A48,AP$3*AtomicWeights!$B$41/AP$5,0)</f>
        <v>0</v>
      </c>
      <c r="AQ48" s="14">
        <f>IF(AQ$2=$A48,AQ$3*AtomicWeights!$B$41/AQ$5,0)</f>
        <v>0.87132068086338488</v>
      </c>
      <c r="AR48" s="14">
        <f>IF(AR$2=$A48,AR$3*AtomicWeights!$B$41/AR$5,0)</f>
        <v>0</v>
      </c>
      <c r="AS48" s="14">
        <f>IF(AS$2=$A48,AS$3*AtomicWeights!$B$41/AS$5,0)</f>
        <v>0</v>
      </c>
      <c r="AT48" s="14">
        <f>IF(AT$2=$A48,AT$3*AtomicWeights!$B$41/AT$5,0)</f>
        <v>0</v>
      </c>
      <c r="AU48" s="14">
        <f>IF(AU$2=$A48,AU$3*AtomicWeights!$B$41/AU$5,0)</f>
        <v>0</v>
      </c>
      <c r="AV48" s="14">
        <f>IF(AV$2=$A48,AV$3*AtomicWeights!$B$41/AV$5,0)</f>
        <v>0</v>
      </c>
      <c r="AW48" s="14">
        <f>IF(AW$2=$A48,AW$3*AtomicWeights!$B$41/AW$5,0)</f>
        <v>0</v>
      </c>
    </row>
    <row r="49" spans="1:49" x14ac:dyDescent="0.25">
      <c r="A49" s="13" t="s">
        <v>62</v>
      </c>
      <c r="B49" t="str">
        <f>AtomicWeights!$C$42</f>
        <v>yes</v>
      </c>
      <c r="C49" s="14">
        <f>IF(C$2=$A49,C$3*AtomicWeights!$B$42/C$5,0)</f>
        <v>0</v>
      </c>
      <c r="D49" s="14">
        <f>IF(D$2=$A49,D$3*AtomicWeights!$B$42/D$5,0)</f>
        <v>0</v>
      </c>
      <c r="E49" s="14">
        <f>IF(E$2=$A49,E$3*AtomicWeights!$B$42/E$5,0)</f>
        <v>0</v>
      </c>
      <c r="F49" s="14">
        <f>IF(F$2=$A49,F$3*AtomicWeights!$B$42/F$5,0)</f>
        <v>0</v>
      </c>
      <c r="G49" s="14">
        <f>IF(G$2=$A49,G$3*AtomicWeights!$B$42/G$5,0)</f>
        <v>0</v>
      </c>
      <c r="H49" s="14">
        <f>IF(H$2=$A49,H$3*AtomicWeights!$B$42/H$5,0)</f>
        <v>0</v>
      </c>
      <c r="I49" s="14">
        <f>IF(I$2=$A49,I$3*AtomicWeights!$B$42/I$5,0)</f>
        <v>0</v>
      </c>
      <c r="J49" s="14">
        <f>IF(J$2=$A49,J$3*AtomicWeights!$B$42/J$5,0)</f>
        <v>0</v>
      </c>
      <c r="K49" s="14">
        <f>IF(K$2=$A49,K$3*AtomicWeights!$B$42/K$5,0)</f>
        <v>0</v>
      </c>
      <c r="L49" s="14">
        <f>IF(L$2=$A49,L$3*AtomicWeights!$B$42/L$5,0)</f>
        <v>0</v>
      </c>
      <c r="M49" s="14">
        <f>IF(M$2=$A49,M$3*AtomicWeights!$B$42/M$5,0)</f>
        <v>0</v>
      </c>
      <c r="N49" s="14">
        <f>IF(N$2=$A49,N$3*AtomicWeights!$B$42/N$5,0)</f>
        <v>0</v>
      </c>
      <c r="O49" s="14">
        <f>IF(O$2=$A49,O$3*AtomicWeights!$B$42/O$5,0)</f>
        <v>0</v>
      </c>
      <c r="P49" s="14">
        <f>IF(P$2=$A49,P$3*AtomicWeights!$B$42/P$5,0)</f>
        <v>0</v>
      </c>
      <c r="Q49" s="14">
        <f>IF(Q$2=$A49,Q$3*AtomicWeights!$B$42/Q$5,0)</f>
        <v>0</v>
      </c>
      <c r="R49" s="14">
        <f>IF(R$2=$A49,R$3*AtomicWeights!$B$42/R$5,0)</f>
        <v>0</v>
      </c>
      <c r="S49" s="14">
        <f>IF(S$2=$A49,S$3*AtomicWeights!$B$42/S$5,0)</f>
        <v>0</v>
      </c>
      <c r="T49" s="14">
        <f>IF(T$2=$A49,T$3*AtomicWeights!$B$42/T$5,0)</f>
        <v>0</v>
      </c>
      <c r="U49" s="14">
        <f>IF(U$2=$A49,U$3*AtomicWeights!$B$42/U$5,0)</f>
        <v>0</v>
      </c>
      <c r="V49" s="14">
        <f>IF(V$2=$A49,V$3*AtomicWeights!$B$42/V$5,0)</f>
        <v>0</v>
      </c>
      <c r="W49" s="14">
        <f>IF(W$2=$A49,W$3*AtomicWeights!$B$42/W$5,0)</f>
        <v>0</v>
      </c>
      <c r="X49" s="14">
        <f>IF(X$2=$A49,X$3*AtomicWeights!$B$42/X$5,0)</f>
        <v>0</v>
      </c>
      <c r="Y49" s="14">
        <f>IF(Y$2=$A49,Y$3*AtomicWeights!$B$42/Y$5,0)</f>
        <v>0</v>
      </c>
      <c r="Z49" s="14">
        <f>IF(Z$2=$A49,Z$3*AtomicWeights!$B$42/Z$5,0)</f>
        <v>0</v>
      </c>
      <c r="AA49" s="14">
        <f>IF(AA$2=$A49,AA$3*AtomicWeights!$B$42/AA$5,0)</f>
        <v>0</v>
      </c>
      <c r="AB49" s="14">
        <f>IF(AB$2=$A49,AB$3*AtomicWeights!$B$42/AB$5,0)</f>
        <v>0</v>
      </c>
      <c r="AC49" s="14">
        <f>IF(AC$2=$A49,AC$3*AtomicWeights!$B$42/AC$5,0)</f>
        <v>0</v>
      </c>
      <c r="AD49" s="14">
        <f>IF(AD$2=$A49,AD$3*AtomicWeights!$B$42/AD$5,0)</f>
        <v>0</v>
      </c>
      <c r="AE49" s="14">
        <f>IF(AE$2=$A49,AE$3*AtomicWeights!$B$42/AE$5,0)</f>
        <v>0</v>
      </c>
      <c r="AF49" s="14">
        <f>IF(AF$2=$A49,AF$3*AtomicWeights!$B$42/AF$5,0)</f>
        <v>0</v>
      </c>
      <c r="AG49" s="14">
        <f>IF(AG$2=$A49,AG$3*AtomicWeights!$B$42/AG$5,0)</f>
        <v>0</v>
      </c>
      <c r="AH49" s="14">
        <f>IF(AH$2=$A49,AH$3*AtomicWeights!$B$42/AH$5,0)</f>
        <v>0</v>
      </c>
      <c r="AI49" s="14">
        <f>IF(AI$2=$A49,AI$3*AtomicWeights!$B$42/AI$5,0)</f>
        <v>0</v>
      </c>
      <c r="AJ49" s="14">
        <f>IF(AJ$2=$A49,AJ$3*AtomicWeights!$B$42/AJ$5,0)</f>
        <v>0</v>
      </c>
      <c r="AK49" s="14">
        <f>IF(AK$2=$A49,AK$3*AtomicWeights!$B$42/AK$5,0)</f>
        <v>0</v>
      </c>
      <c r="AL49" s="14">
        <f>IF(AL$2=$A49,AL$3*AtomicWeights!$B$42/AL$5,0)</f>
        <v>0</v>
      </c>
      <c r="AM49" s="14">
        <f>IF(AM$2=$A49,AM$3*AtomicWeights!$B$42/AM$5,0)</f>
        <v>0</v>
      </c>
      <c r="AN49" s="14">
        <f>IF(AN$2=$A49,AN$3*AtomicWeights!$B$42/AN$5,0)</f>
        <v>0</v>
      </c>
      <c r="AO49" s="14">
        <f>IF(AO$2=$A49,AO$3*AtomicWeights!$B$42/AO$5,0)</f>
        <v>0</v>
      </c>
      <c r="AP49" s="14">
        <f>IF(AP$2=$A49,AP$3*AtomicWeights!$B$42/AP$5,0)</f>
        <v>0</v>
      </c>
      <c r="AQ49" s="14">
        <f>IF(AQ$2=$A49,AQ$3*AtomicWeights!$B$42/AQ$5,0)</f>
        <v>0</v>
      </c>
      <c r="AR49" s="14">
        <f>IF(AR$2=$A49,AR$3*AtomicWeights!$B$42/AR$5,0)</f>
        <v>0.87297597725026932</v>
      </c>
      <c r="AS49" s="14">
        <f>IF(AS$2=$A49,AS$3*AtomicWeights!$B$42/AS$5,0)</f>
        <v>0</v>
      </c>
      <c r="AT49" s="14">
        <f>IF(AT$2=$A49,AT$3*AtomicWeights!$B$42/AT$5,0)</f>
        <v>0</v>
      </c>
      <c r="AU49" s="14">
        <f>IF(AU$2=$A49,AU$3*AtomicWeights!$B$42/AU$5,0)</f>
        <v>0</v>
      </c>
      <c r="AV49" s="14">
        <f>IF(AV$2=$A49,AV$3*AtomicWeights!$B$42/AV$5,0)</f>
        <v>0</v>
      </c>
      <c r="AW49" s="14">
        <f>IF(AW$2=$A49,AW$3*AtomicWeights!$B$42/AW$5,0)</f>
        <v>0</v>
      </c>
    </row>
    <row r="50" spans="1:49" x14ac:dyDescent="0.25">
      <c r="A50" s="13" t="s">
        <v>63</v>
      </c>
      <c r="B50" t="str">
        <f>AtomicWeights!$C$43</f>
        <v>yes</v>
      </c>
      <c r="C50" s="14">
        <f>IF(C$2=$A50,C$3*AtomicWeights!$B$43/C$5,0)</f>
        <v>0</v>
      </c>
      <c r="D50" s="14">
        <f>IF(D$2=$A50,D$3*AtomicWeights!$B$43/D$5,0)</f>
        <v>0</v>
      </c>
      <c r="E50" s="14">
        <f>IF(E$2=$A50,E$3*AtomicWeights!$B$43/E$5,0)</f>
        <v>0</v>
      </c>
      <c r="F50" s="14">
        <f>IF(F$2=$A50,F$3*AtomicWeights!$B$43/F$5,0)</f>
        <v>0</v>
      </c>
      <c r="G50" s="14">
        <f>IF(G$2=$A50,G$3*AtomicWeights!$B$43/G$5,0)</f>
        <v>0</v>
      </c>
      <c r="H50" s="14">
        <f>IF(H$2=$A50,H$3*AtomicWeights!$B$43/H$5,0)</f>
        <v>0</v>
      </c>
      <c r="I50" s="14">
        <f>IF(I$2=$A50,I$3*AtomicWeights!$B$43/I$5,0)</f>
        <v>0</v>
      </c>
      <c r="J50" s="14">
        <f>IF(J$2=$A50,J$3*AtomicWeights!$B$43/J$5,0)</f>
        <v>0</v>
      </c>
      <c r="K50" s="14">
        <f>IF(K$2=$A50,K$3*AtomicWeights!$B$43/K$5,0)</f>
        <v>0</v>
      </c>
      <c r="L50" s="14">
        <f>IF(L$2=$A50,L$3*AtomicWeights!$B$43/L$5,0)</f>
        <v>0</v>
      </c>
      <c r="M50" s="14">
        <f>IF(M$2=$A50,M$3*AtomicWeights!$B$43/M$5,0)</f>
        <v>0</v>
      </c>
      <c r="N50" s="14">
        <f>IF(N$2=$A50,N$3*AtomicWeights!$B$43/N$5,0)</f>
        <v>0</v>
      </c>
      <c r="O50" s="14">
        <f>IF(O$2=$A50,O$3*AtomicWeights!$B$43/O$5,0)</f>
        <v>0</v>
      </c>
      <c r="P50" s="14">
        <f>IF(P$2=$A50,P$3*AtomicWeights!$B$43/P$5,0)</f>
        <v>0</v>
      </c>
      <c r="Q50" s="14">
        <f>IF(Q$2=$A50,Q$3*AtomicWeights!$B$43/Q$5,0)</f>
        <v>0</v>
      </c>
      <c r="R50" s="14">
        <f>IF(R$2=$A50,R$3*AtomicWeights!$B$43/R$5,0)</f>
        <v>0</v>
      </c>
      <c r="S50" s="14">
        <f>IF(S$2=$A50,S$3*AtomicWeights!$B$43/S$5,0)</f>
        <v>0</v>
      </c>
      <c r="T50" s="14">
        <f>IF(T$2=$A50,T$3*AtomicWeights!$B$43/T$5,0)</f>
        <v>0</v>
      </c>
      <c r="U50" s="14">
        <f>IF(U$2=$A50,U$3*AtomicWeights!$B$43/U$5,0)</f>
        <v>0</v>
      </c>
      <c r="V50" s="14">
        <f>IF(V$2=$A50,V$3*AtomicWeights!$B$43/V$5,0)</f>
        <v>0</v>
      </c>
      <c r="W50" s="14">
        <f>IF(W$2=$A50,W$3*AtomicWeights!$B$43/W$5,0)</f>
        <v>0</v>
      </c>
      <c r="X50" s="14">
        <f>IF(X$2=$A50,X$3*AtomicWeights!$B$43/X$5,0)</f>
        <v>0</v>
      </c>
      <c r="Y50" s="14">
        <f>IF(Y$2=$A50,Y$3*AtomicWeights!$B$43/Y$5,0)</f>
        <v>0</v>
      </c>
      <c r="Z50" s="14">
        <f>IF(Z$2=$A50,Z$3*AtomicWeights!$B$43/Z$5,0)</f>
        <v>0</v>
      </c>
      <c r="AA50" s="14">
        <f>IF(AA$2=$A50,AA$3*AtomicWeights!$B$43/AA$5,0)</f>
        <v>0</v>
      </c>
      <c r="AB50" s="14">
        <f>IF(AB$2=$A50,AB$3*AtomicWeights!$B$43/AB$5,0)</f>
        <v>0</v>
      </c>
      <c r="AC50" s="14">
        <f>IF(AC$2=$A50,AC$3*AtomicWeights!$B$43/AC$5,0)</f>
        <v>0</v>
      </c>
      <c r="AD50" s="14">
        <f>IF(AD$2=$A50,AD$3*AtomicWeights!$B$43/AD$5,0)</f>
        <v>0</v>
      </c>
      <c r="AE50" s="14">
        <f>IF(AE$2=$A50,AE$3*AtomicWeights!$B$43/AE$5,0)</f>
        <v>0</v>
      </c>
      <c r="AF50" s="14">
        <f>IF(AF$2=$A50,AF$3*AtomicWeights!$B$43/AF$5,0)</f>
        <v>0</v>
      </c>
      <c r="AG50" s="14">
        <f>IF(AG$2=$A50,AG$3*AtomicWeights!$B$43/AG$5,0)</f>
        <v>0</v>
      </c>
      <c r="AH50" s="14">
        <f>IF(AH$2=$A50,AH$3*AtomicWeights!$B$43/AH$5,0)</f>
        <v>0</v>
      </c>
      <c r="AI50" s="14">
        <f>IF(AI$2=$A50,AI$3*AtomicWeights!$B$43/AI$5,0)</f>
        <v>0</v>
      </c>
      <c r="AJ50" s="14">
        <f>IF(AJ$2=$A50,AJ$3*AtomicWeights!$B$43/AJ$5,0)</f>
        <v>0</v>
      </c>
      <c r="AK50" s="14">
        <f>IF(AK$2=$A50,AK$3*AtomicWeights!$B$43/AK$5,0)</f>
        <v>0</v>
      </c>
      <c r="AL50" s="14">
        <f>IF(AL$2=$A50,AL$3*AtomicWeights!$B$43/AL$5,0)</f>
        <v>0</v>
      </c>
      <c r="AM50" s="14">
        <f>IF(AM$2=$A50,AM$3*AtomicWeights!$B$43/AM$5,0)</f>
        <v>0</v>
      </c>
      <c r="AN50" s="14">
        <f>IF(AN$2=$A50,AN$3*AtomicWeights!$B$43/AN$5,0)</f>
        <v>0</v>
      </c>
      <c r="AO50" s="14">
        <f>IF(AO$2=$A50,AO$3*AtomicWeights!$B$43/AO$5,0)</f>
        <v>0</v>
      </c>
      <c r="AP50" s="14">
        <f>IF(AP$2=$A50,AP$3*AtomicWeights!$B$43/AP$5,0)</f>
        <v>0</v>
      </c>
      <c r="AQ50" s="14">
        <f>IF(AQ$2=$A50,AQ$3*AtomicWeights!$B$43/AQ$5,0)</f>
        <v>0</v>
      </c>
      <c r="AR50" s="14">
        <f>IF(AR$2=$A50,AR$3*AtomicWeights!$B$43/AR$5,0)</f>
        <v>0</v>
      </c>
      <c r="AS50" s="14">
        <f>IF(AS$2=$A50,AS$3*AtomicWeights!$B$43/AS$5,0)</f>
        <v>0.87452256774244141</v>
      </c>
      <c r="AT50" s="14">
        <f>IF(AT$2=$A50,AT$3*AtomicWeights!$B$43/AT$5,0)</f>
        <v>0</v>
      </c>
      <c r="AU50" s="14">
        <f>IF(AU$2=$A50,AU$3*AtomicWeights!$B$43/AU$5,0)</f>
        <v>0</v>
      </c>
      <c r="AV50" s="14">
        <f>IF(AV$2=$A50,AV$3*AtomicWeights!$B$43/AV$5,0)</f>
        <v>0</v>
      </c>
      <c r="AW50" s="14">
        <f>IF(AW$2=$A50,AW$3*AtomicWeights!$B$43/AW$5,0)</f>
        <v>0</v>
      </c>
    </row>
    <row r="51" spans="1:49" x14ac:dyDescent="0.25">
      <c r="A51" s="13" t="s">
        <v>64</v>
      </c>
      <c r="B51" t="str">
        <f>AtomicWeights!$C$44</f>
        <v>yes</v>
      </c>
      <c r="C51" s="14">
        <f>IF(C$2=$A51,C$3*AtomicWeights!$B$44/C$5,0)</f>
        <v>0</v>
      </c>
      <c r="D51" s="14">
        <f>IF(D$2=$A51,D$3*AtomicWeights!$B$44/D$5,0)</f>
        <v>0</v>
      </c>
      <c r="E51" s="14">
        <f>IF(E$2=$A51,E$3*AtomicWeights!$B$44/E$5,0)</f>
        <v>0</v>
      </c>
      <c r="F51" s="14">
        <f>IF(F$2=$A51,F$3*AtomicWeights!$B$44/F$5,0)</f>
        <v>0</v>
      </c>
      <c r="G51" s="14">
        <f>IF(G$2=$A51,G$3*AtomicWeights!$B$44/G$5,0)</f>
        <v>0</v>
      </c>
      <c r="H51" s="14">
        <f>IF(H$2=$A51,H$3*AtomicWeights!$B$44/H$5,0)</f>
        <v>0</v>
      </c>
      <c r="I51" s="14">
        <f>IF(I$2=$A51,I$3*AtomicWeights!$B$44/I$5,0)</f>
        <v>0</v>
      </c>
      <c r="J51" s="14">
        <f>IF(J$2=$A51,J$3*AtomicWeights!$B$44/J$5,0)</f>
        <v>0</v>
      </c>
      <c r="K51" s="14">
        <f>IF(K$2=$A51,K$3*AtomicWeights!$B$44/K$5,0)</f>
        <v>0</v>
      </c>
      <c r="L51" s="14">
        <f>IF(L$2=$A51,L$3*AtomicWeights!$B$44/L$5,0)</f>
        <v>0</v>
      </c>
      <c r="M51" s="14">
        <f>IF(M$2=$A51,M$3*AtomicWeights!$B$44/M$5,0)</f>
        <v>0</v>
      </c>
      <c r="N51" s="14">
        <f>IF(N$2=$A51,N$3*AtomicWeights!$B$44/N$5,0)</f>
        <v>0</v>
      </c>
      <c r="O51" s="14">
        <f>IF(O$2=$A51,O$3*AtomicWeights!$B$44/O$5,0)</f>
        <v>0</v>
      </c>
      <c r="P51" s="14">
        <f>IF(P$2=$A51,P$3*AtomicWeights!$B$44/P$5,0)</f>
        <v>0</v>
      </c>
      <c r="Q51" s="14">
        <f>IF(Q$2=$A51,Q$3*AtomicWeights!$B$44/Q$5,0)</f>
        <v>0</v>
      </c>
      <c r="R51" s="14">
        <f>IF(R$2=$A51,R$3*AtomicWeights!$B$44/R$5,0)</f>
        <v>0</v>
      </c>
      <c r="S51" s="14">
        <f>IF(S$2=$A51,S$3*AtomicWeights!$B$44/S$5,0)</f>
        <v>0</v>
      </c>
      <c r="T51" s="14">
        <f>IF(T$2=$A51,T$3*AtomicWeights!$B$44/T$5,0)</f>
        <v>0</v>
      </c>
      <c r="U51" s="14">
        <f>IF(U$2=$A51,U$3*AtomicWeights!$B$44/U$5,0)</f>
        <v>0</v>
      </c>
      <c r="V51" s="14">
        <f>IF(V$2=$A51,V$3*AtomicWeights!$B$44/V$5,0)</f>
        <v>0</v>
      </c>
      <c r="W51" s="14">
        <f>IF(W$2=$A51,W$3*AtomicWeights!$B$44/W$5,0)</f>
        <v>0</v>
      </c>
      <c r="X51" s="14">
        <f>IF(X$2=$A51,X$3*AtomicWeights!$B$44/X$5,0)</f>
        <v>0</v>
      </c>
      <c r="Y51" s="14">
        <f>IF(Y$2=$A51,Y$3*AtomicWeights!$B$44/Y$5,0)</f>
        <v>0</v>
      </c>
      <c r="Z51" s="14">
        <f>IF(Z$2=$A51,Z$3*AtomicWeights!$B$44/Z$5,0)</f>
        <v>0</v>
      </c>
      <c r="AA51" s="14">
        <f>IF(AA$2=$A51,AA$3*AtomicWeights!$B$44/AA$5,0)</f>
        <v>0</v>
      </c>
      <c r="AB51" s="14">
        <f>IF(AB$2=$A51,AB$3*AtomicWeights!$B$44/AB$5,0)</f>
        <v>0</v>
      </c>
      <c r="AC51" s="14">
        <f>IF(AC$2=$A51,AC$3*AtomicWeights!$B$44/AC$5,0)</f>
        <v>0</v>
      </c>
      <c r="AD51" s="14">
        <f>IF(AD$2=$A51,AD$3*AtomicWeights!$B$44/AD$5,0)</f>
        <v>0</v>
      </c>
      <c r="AE51" s="14">
        <f>IF(AE$2=$A51,AE$3*AtomicWeights!$B$44/AE$5,0)</f>
        <v>0</v>
      </c>
      <c r="AF51" s="14">
        <f>IF(AF$2=$A51,AF$3*AtomicWeights!$B$44/AF$5,0)</f>
        <v>0</v>
      </c>
      <c r="AG51" s="14">
        <f>IF(AG$2=$A51,AG$3*AtomicWeights!$B$44/AG$5,0)</f>
        <v>0</v>
      </c>
      <c r="AH51" s="14">
        <f>IF(AH$2=$A51,AH$3*AtomicWeights!$B$44/AH$5,0)</f>
        <v>0</v>
      </c>
      <c r="AI51" s="14">
        <f>IF(AI$2=$A51,AI$3*AtomicWeights!$B$44/AI$5,0)</f>
        <v>0</v>
      </c>
      <c r="AJ51" s="14">
        <f>IF(AJ$2=$A51,AJ$3*AtomicWeights!$B$44/AJ$5,0)</f>
        <v>0</v>
      </c>
      <c r="AK51" s="14">
        <f>IF(AK$2=$A51,AK$3*AtomicWeights!$B$44/AK$5,0)</f>
        <v>0</v>
      </c>
      <c r="AL51" s="14">
        <f>IF(AL$2=$A51,AL$3*AtomicWeights!$B$44/AL$5,0)</f>
        <v>0</v>
      </c>
      <c r="AM51" s="14">
        <f>IF(AM$2=$A51,AM$3*AtomicWeights!$B$44/AM$5,0)</f>
        <v>0</v>
      </c>
      <c r="AN51" s="14">
        <f>IF(AN$2=$A51,AN$3*AtomicWeights!$B$44/AN$5,0)</f>
        <v>0</v>
      </c>
      <c r="AO51" s="14">
        <f>IF(AO$2=$A51,AO$3*AtomicWeights!$B$44/AO$5,0)</f>
        <v>0</v>
      </c>
      <c r="AP51" s="14">
        <f>IF(AP$2=$A51,AP$3*AtomicWeights!$B$44/AP$5,0)</f>
        <v>0</v>
      </c>
      <c r="AQ51" s="14">
        <f>IF(AQ$2=$A51,AQ$3*AtomicWeights!$B$44/AQ$5,0)</f>
        <v>0</v>
      </c>
      <c r="AR51" s="14">
        <f>IF(AR$2=$A51,AR$3*AtomicWeights!$B$44/AR$5,0)</f>
        <v>0</v>
      </c>
      <c r="AS51" s="14">
        <f>IF(AS$2=$A51,AS$3*AtomicWeights!$B$44/AS$5,0)</f>
        <v>0</v>
      </c>
      <c r="AT51" s="14">
        <f>IF(AT$2=$A51,AT$3*AtomicWeights!$B$44/AT$5,0)</f>
        <v>0.87561207865622792</v>
      </c>
      <c r="AU51" s="14">
        <f>IF(AU$2=$A51,AU$3*AtomicWeights!$B$44/AU$5,0)</f>
        <v>0</v>
      </c>
      <c r="AV51" s="14">
        <f>IF(AV$2=$A51,AV$3*AtomicWeights!$B$44/AV$5,0)</f>
        <v>0</v>
      </c>
      <c r="AW51" s="14">
        <f>IF(AW$2=$A51,AW$3*AtomicWeights!$B$44/AW$5,0)</f>
        <v>0</v>
      </c>
    </row>
    <row r="52" spans="1:49" x14ac:dyDescent="0.25">
      <c r="A52" s="13" t="s">
        <v>65</v>
      </c>
      <c r="B52" t="str">
        <f>AtomicWeights!$C$45</f>
        <v>yes</v>
      </c>
      <c r="C52" s="14">
        <f>IF(C$2=$A52,C$3*AtomicWeights!$B$45/C$5,0)</f>
        <v>0</v>
      </c>
      <c r="D52" s="14">
        <f>IF(D$2=$A52,D$3*AtomicWeights!$B$45/D$5,0)</f>
        <v>0</v>
      </c>
      <c r="E52" s="14">
        <f>IF(E$2=$A52,E$3*AtomicWeights!$B$45/E$5,0)</f>
        <v>0</v>
      </c>
      <c r="F52" s="14">
        <f>IF(F$2=$A52,F$3*AtomicWeights!$B$45/F$5,0)</f>
        <v>0</v>
      </c>
      <c r="G52" s="14">
        <f>IF(G$2=$A52,G$3*AtomicWeights!$B$45/G$5,0)</f>
        <v>0</v>
      </c>
      <c r="H52" s="14">
        <f>IF(H$2=$A52,H$3*AtomicWeights!$B$45/H$5,0)</f>
        <v>0</v>
      </c>
      <c r="I52" s="14">
        <f>IF(I$2=$A52,I$3*AtomicWeights!$B$45/I$5,0)</f>
        <v>0</v>
      </c>
      <c r="J52" s="14">
        <f>IF(J$2=$A52,J$3*AtomicWeights!$B$45/J$5,0)</f>
        <v>0</v>
      </c>
      <c r="K52" s="14">
        <f>IF(K$2=$A52,K$3*AtomicWeights!$B$45/K$5,0)</f>
        <v>0</v>
      </c>
      <c r="L52" s="14">
        <f>IF(L$2=$A52,L$3*AtomicWeights!$B$45/L$5,0)</f>
        <v>0</v>
      </c>
      <c r="M52" s="14">
        <f>IF(M$2=$A52,M$3*AtomicWeights!$B$45/M$5,0)</f>
        <v>0</v>
      </c>
      <c r="N52" s="14">
        <f>IF(N$2=$A52,N$3*AtomicWeights!$B$45/N$5,0)</f>
        <v>0</v>
      </c>
      <c r="O52" s="14">
        <f>IF(O$2=$A52,O$3*AtomicWeights!$B$45/O$5,0)</f>
        <v>0</v>
      </c>
      <c r="P52" s="14">
        <f>IF(P$2=$A52,P$3*AtomicWeights!$B$45/P$5,0)</f>
        <v>0</v>
      </c>
      <c r="Q52" s="14">
        <f>IF(Q$2=$A52,Q$3*AtomicWeights!$B$45/Q$5,0)</f>
        <v>0</v>
      </c>
      <c r="R52" s="14">
        <f>IF(R$2=$A52,R$3*AtomicWeights!$B$45/R$5,0)</f>
        <v>0</v>
      </c>
      <c r="S52" s="14">
        <f>IF(S$2=$A52,S$3*AtomicWeights!$B$45/S$5,0)</f>
        <v>0</v>
      </c>
      <c r="T52" s="14">
        <f>IF(T$2=$A52,T$3*AtomicWeights!$B$45/T$5,0)</f>
        <v>0</v>
      </c>
      <c r="U52" s="14">
        <f>IF(U$2=$A52,U$3*AtomicWeights!$B$45/U$5,0)</f>
        <v>0</v>
      </c>
      <c r="V52" s="14">
        <f>IF(V$2=$A52,V$3*AtomicWeights!$B$45/V$5,0)</f>
        <v>0</v>
      </c>
      <c r="W52" s="14">
        <f>IF(W$2=$A52,W$3*AtomicWeights!$B$45/W$5,0)</f>
        <v>0</v>
      </c>
      <c r="X52" s="14">
        <f>IF(X$2=$A52,X$3*AtomicWeights!$B$45/X$5,0)</f>
        <v>0</v>
      </c>
      <c r="Y52" s="14">
        <f>IF(Y$2=$A52,Y$3*AtomicWeights!$B$45/Y$5,0)</f>
        <v>0</v>
      </c>
      <c r="Z52" s="14">
        <f>IF(Z$2=$A52,Z$3*AtomicWeights!$B$45/Z$5,0)</f>
        <v>0</v>
      </c>
      <c r="AA52" s="14">
        <f>IF(AA$2=$A52,AA$3*AtomicWeights!$B$45/AA$5,0)</f>
        <v>0</v>
      </c>
      <c r="AB52" s="14">
        <f>IF(AB$2=$A52,AB$3*AtomicWeights!$B$45/AB$5,0)</f>
        <v>0</v>
      </c>
      <c r="AC52" s="14">
        <f>IF(AC$2=$A52,AC$3*AtomicWeights!$B$45/AC$5,0)</f>
        <v>0</v>
      </c>
      <c r="AD52" s="14">
        <f>IF(AD$2=$A52,AD$3*AtomicWeights!$B$45/AD$5,0)</f>
        <v>0</v>
      </c>
      <c r="AE52" s="14">
        <f>IF(AE$2=$A52,AE$3*AtomicWeights!$B$45/AE$5,0)</f>
        <v>0</v>
      </c>
      <c r="AF52" s="14">
        <f>IF(AF$2=$A52,AF$3*AtomicWeights!$B$45/AF$5,0)</f>
        <v>0</v>
      </c>
      <c r="AG52" s="14">
        <f>IF(AG$2=$A52,AG$3*AtomicWeights!$B$45/AG$5,0)</f>
        <v>0</v>
      </c>
      <c r="AH52" s="14">
        <f>IF(AH$2=$A52,AH$3*AtomicWeights!$B$45/AH$5,0)</f>
        <v>0</v>
      </c>
      <c r="AI52" s="14">
        <f>IF(AI$2=$A52,AI$3*AtomicWeights!$B$45/AI$5,0)</f>
        <v>0</v>
      </c>
      <c r="AJ52" s="14">
        <f>IF(AJ$2=$A52,AJ$3*AtomicWeights!$B$45/AJ$5,0)</f>
        <v>0</v>
      </c>
      <c r="AK52" s="14">
        <f>IF(AK$2=$A52,AK$3*AtomicWeights!$B$45/AK$5,0)</f>
        <v>0</v>
      </c>
      <c r="AL52" s="14">
        <f>IF(AL$2=$A52,AL$3*AtomicWeights!$B$45/AL$5,0)</f>
        <v>0</v>
      </c>
      <c r="AM52" s="14">
        <f>IF(AM$2=$A52,AM$3*AtomicWeights!$B$45/AM$5,0)</f>
        <v>0</v>
      </c>
      <c r="AN52" s="14">
        <f>IF(AN$2=$A52,AN$3*AtomicWeights!$B$45/AN$5,0)</f>
        <v>0</v>
      </c>
      <c r="AO52" s="14">
        <f>IF(AO$2=$A52,AO$3*AtomicWeights!$B$45/AO$5,0)</f>
        <v>0</v>
      </c>
      <c r="AP52" s="14">
        <f>IF(AP$2=$A52,AP$3*AtomicWeights!$B$45/AP$5,0)</f>
        <v>0</v>
      </c>
      <c r="AQ52" s="14">
        <f>IF(AQ$2=$A52,AQ$3*AtomicWeights!$B$45/AQ$5,0)</f>
        <v>0</v>
      </c>
      <c r="AR52" s="14">
        <f>IF(AR$2=$A52,AR$3*AtomicWeights!$B$45/AR$5,0)</f>
        <v>0</v>
      </c>
      <c r="AS52" s="14">
        <f>IF(AS$2=$A52,AS$3*AtomicWeights!$B$45/AS$5,0)</f>
        <v>0</v>
      </c>
      <c r="AT52" s="14">
        <f>IF(AT$2=$A52,AT$3*AtomicWeights!$B$45/AT$5,0)</f>
        <v>0</v>
      </c>
      <c r="AU52" s="14">
        <f>IF(AU$2=$A52,AU$3*AtomicWeights!$B$45/AU$5,0)</f>
        <v>0.878207096402571</v>
      </c>
      <c r="AV52" s="14">
        <f>IF(AV$2=$A52,AV$3*AtomicWeights!$B$45/AV$5,0)</f>
        <v>0</v>
      </c>
      <c r="AW52" s="14">
        <f>IF(AW$2=$A52,AW$3*AtomicWeights!$B$45/AW$5,0)</f>
        <v>0</v>
      </c>
    </row>
    <row r="53" spans="1:49" x14ac:dyDescent="0.25">
      <c r="A53" s="13" t="s">
        <v>66</v>
      </c>
      <c r="B53" t="str">
        <f>AtomicWeights!$C$46</f>
        <v>yes</v>
      </c>
      <c r="C53" s="14">
        <f>IF(C$2=$A53,C$3*AtomicWeights!$B$46/C$5,0)</f>
        <v>0</v>
      </c>
      <c r="D53" s="14">
        <f>IF(D$2=$A53,D$3*AtomicWeights!$B$46/D$5,0)</f>
        <v>0</v>
      </c>
      <c r="E53" s="14">
        <f>IF(E$2=$A53,E$3*AtomicWeights!$B$46/E$5,0)</f>
        <v>0</v>
      </c>
      <c r="F53" s="14">
        <f>IF(F$2=$A53,F$3*AtomicWeights!$B$46/F$5,0)</f>
        <v>0</v>
      </c>
      <c r="G53" s="14">
        <f>IF(G$2=$A53,G$3*AtomicWeights!$B$46/G$5,0)</f>
        <v>0</v>
      </c>
      <c r="H53" s="14">
        <f>IF(H$2=$A53,H$3*AtomicWeights!$B$46/H$5,0)</f>
        <v>0</v>
      </c>
      <c r="I53" s="14">
        <f>IF(I$2=$A53,I$3*AtomicWeights!$B$46/I$5,0)</f>
        <v>0</v>
      </c>
      <c r="J53" s="14">
        <f>IF(J$2=$A53,J$3*AtomicWeights!$B$46/J$5,0)</f>
        <v>0</v>
      </c>
      <c r="K53" s="14">
        <f>IF(K$2=$A53,K$3*AtomicWeights!$B$46/K$5,0)</f>
        <v>0</v>
      </c>
      <c r="L53" s="14">
        <f>IF(L$2=$A53,L$3*AtomicWeights!$B$46/L$5,0)</f>
        <v>0</v>
      </c>
      <c r="M53" s="14">
        <f>IF(M$2=$A53,M$3*AtomicWeights!$B$46/M$5,0)</f>
        <v>0</v>
      </c>
      <c r="N53" s="14">
        <f>IF(N$2=$A53,N$3*AtomicWeights!$B$46/N$5,0)</f>
        <v>0</v>
      </c>
      <c r="O53" s="14">
        <f>IF(O$2=$A53,O$3*AtomicWeights!$B$46/O$5,0)</f>
        <v>0</v>
      </c>
      <c r="P53" s="14">
        <f>IF(P$2=$A53,P$3*AtomicWeights!$B$46/P$5,0)</f>
        <v>0</v>
      </c>
      <c r="Q53" s="14">
        <f>IF(Q$2=$A53,Q$3*AtomicWeights!$B$46/Q$5,0)</f>
        <v>0</v>
      </c>
      <c r="R53" s="14">
        <f>IF(R$2=$A53,R$3*AtomicWeights!$B$46/R$5,0)</f>
        <v>0</v>
      </c>
      <c r="S53" s="14">
        <f>IF(S$2=$A53,S$3*AtomicWeights!$B$46/S$5,0)</f>
        <v>0</v>
      </c>
      <c r="T53" s="14">
        <f>IF(T$2=$A53,T$3*AtomicWeights!$B$46/T$5,0)</f>
        <v>0</v>
      </c>
      <c r="U53" s="14">
        <f>IF(U$2=$A53,U$3*AtomicWeights!$B$46/U$5,0)</f>
        <v>0</v>
      </c>
      <c r="V53" s="14">
        <f>IF(V$2=$A53,V$3*AtomicWeights!$B$46/V$5,0)</f>
        <v>0</v>
      </c>
      <c r="W53" s="14">
        <f>IF(W$2=$A53,W$3*AtomicWeights!$B$46/W$5,0)</f>
        <v>0</v>
      </c>
      <c r="X53" s="14">
        <f>IF(X$2=$A53,X$3*AtomicWeights!$B$46/X$5,0)</f>
        <v>0</v>
      </c>
      <c r="Y53" s="14">
        <f>IF(Y$2=$A53,Y$3*AtomicWeights!$B$46/Y$5,0)</f>
        <v>0</v>
      </c>
      <c r="Z53" s="14">
        <f>IF(Z$2=$A53,Z$3*AtomicWeights!$B$46/Z$5,0)</f>
        <v>0</v>
      </c>
      <c r="AA53" s="14">
        <f>IF(AA$2=$A53,AA$3*AtomicWeights!$B$46/AA$5,0)</f>
        <v>0</v>
      </c>
      <c r="AB53" s="14">
        <f>IF(AB$2=$A53,AB$3*AtomicWeights!$B$46/AB$5,0)</f>
        <v>0</v>
      </c>
      <c r="AC53" s="14">
        <f>IF(AC$2=$A53,AC$3*AtomicWeights!$B$46/AC$5,0)</f>
        <v>0</v>
      </c>
      <c r="AD53" s="14">
        <f>IF(AD$2=$A53,AD$3*AtomicWeights!$B$46/AD$5,0)</f>
        <v>0</v>
      </c>
      <c r="AE53" s="14">
        <f>IF(AE$2=$A53,AE$3*AtomicWeights!$B$46/AE$5,0)</f>
        <v>0</v>
      </c>
      <c r="AF53" s="14">
        <f>IF(AF$2=$A53,AF$3*AtomicWeights!$B$46/AF$5,0)</f>
        <v>0</v>
      </c>
      <c r="AG53" s="14">
        <f>IF(AG$2=$A53,AG$3*AtomicWeights!$B$46/AG$5,0)</f>
        <v>0</v>
      </c>
      <c r="AH53" s="14">
        <f>IF(AH$2=$A53,AH$3*AtomicWeights!$B$46/AH$5,0)</f>
        <v>0</v>
      </c>
      <c r="AI53" s="14">
        <f>IF(AI$2=$A53,AI$3*AtomicWeights!$B$46/AI$5,0)</f>
        <v>0</v>
      </c>
      <c r="AJ53" s="14">
        <f>IF(AJ$2=$A53,AJ$3*AtomicWeights!$B$46/AJ$5,0)</f>
        <v>0</v>
      </c>
      <c r="AK53" s="14">
        <f>IF(AK$2=$A53,AK$3*AtomicWeights!$B$46/AK$5,0)</f>
        <v>0</v>
      </c>
      <c r="AL53" s="14">
        <f>IF(AL$2=$A53,AL$3*AtomicWeights!$B$46/AL$5,0)</f>
        <v>0</v>
      </c>
      <c r="AM53" s="14">
        <f>IF(AM$2=$A53,AM$3*AtomicWeights!$B$46/AM$5,0)</f>
        <v>0</v>
      </c>
      <c r="AN53" s="14">
        <f>IF(AN$2=$A53,AN$3*AtomicWeights!$B$46/AN$5,0)</f>
        <v>0</v>
      </c>
      <c r="AO53" s="14">
        <f>IF(AO$2=$A53,AO$3*AtomicWeights!$B$46/AO$5,0)</f>
        <v>0</v>
      </c>
      <c r="AP53" s="14">
        <f>IF(AP$2=$A53,AP$3*AtomicWeights!$B$46/AP$5,0)</f>
        <v>0</v>
      </c>
      <c r="AQ53" s="14">
        <f>IF(AQ$2=$A53,AQ$3*AtomicWeights!$B$46/AQ$5,0)</f>
        <v>0</v>
      </c>
      <c r="AR53" s="14">
        <f>IF(AR$2=$A53,AR$3*AtomicWeights!$B$46/AR$5,0)</f>
        <v>0</v>
      </c>
      <c r="AS53" s="14">
        <f>IF(AS$2=$A53,AS$3*AtomicWeights!$B$46/AS$5,0)</f>
        <v>0</v>
      </c>
      <c r="AT53" s="14">
        <f>IF(AT$2=$A53,AT$3*AtomicWeights!$B$46/AT$5,0)</f>
        <v>0</v>
      </c>
      <c r="AU53" s="14">
        <f>IF(AU$2=$A53,AU$3*AtomicWeights!$B$46/AU$5,0)</f>
        <v>0</v>
      </c>
      <c r="AV53" s="14">
        <f>IF(AV$2=$A53,AV$3*AtomicWeights!$B$46/AV$5,0)</f>
        <v>0.87938349048803988</v>
      </c>
      <c r="AW53" s="14">
        <f>IF(AW$2=$A53,AW$3*AtomicWeights!$B$46/AW$5,0)</f>
        <v>0</v>
      </c>
    </row>
    <row r="54" spans="1:49" x14ac:dyDescent="0.25">
      <c r="A54" s="13" t="s">
        <v>67</v>
      </c>
      <c r="B54" t="str">
        <f>AtomicWeights!$C$47</f>
        <v>yes</v>
      </c>
      <c r="C54" s="14">
        <f>IF(C$2=$A54,C$3*AtomicWeights!$B$47/C$5,0)</f>
        <v>0</v>
      </c>
      <c r="D54" s="14">
        <f>IF(D$2=$A54,D$3*AtomicWeights!$B$47/D$5,0)</f>
        <v>0</v>
      </c>
      <c r="E54" s="14">
        <f>IF(E$2=$A54,E$3*AtomicWeights!$B$47/E$5,0)</f>
        <v>0</v>
      </c>
      <c r="F54" s="14">
        <f>IF(F$2=$A54,F$3*AtomicWeights!$B$47/F$5,0)</f>
        <v>0</v>
      </c>
      <c r="G54" s="14">
        <f>IF(G$2=$A54,G$3*AtomicWeights!$B$47/G$5,0)</f>
        <v>0</v>
      </c>
      <c r="H54" s="14">
        <f>IF(H$2=$A54,H$3*AtomicWeights!$B$47/H$5,0)</f>
        <v>0</v>
      </c>
      <c r="I54" s="14">
        <f>IF(I$2=$A54,I$3*AtomicWeights!$B$47/I$5,0)</f>
        <v>0</v>
      </c>
      <c r="J54" s="14">
        <f>IF(J$2=$A54,J$3*AtomicWeights!$B$47/J$5,0)</f>
        <v>0</v>
      </c>
      <c r="K54" s="14">
        <f>IF(K$2=$A54,K$3*AtomicWeights!$B$47/K$5,0)</f>
        <v>0</v>
      </c>
      <c r="L54" s="14">
        <f>IF(L$2=$A54,L$3*AtomicWeights!$B$47/L$5,0)</f>
        <v>0</v>
      </c>
      <c r="M54" s="14">
        <f>IF(M$2=$A54,M$3*AtomicWeights!$B$47/M$5,0)</f>
        <v>0</v>
      </c>
      <c r="N54" s="14">
        <f>IF(N$2=$A54,N$3*AtomicWeights!$B$47/N$5,0)</f>
        <v>0</v>
      </c>
      <c r="O54" s="14">
        <f>IF(O$2=$A54,O$3*AtomicWeights!$B$47/O$5,0)</f>
        <v>0</v>
      </c>
      <c r="P54" s="14">
        <f>IF(P$2=$A54,P$3*AtomicWeights!$B$47/P$5,0)</f>
        <v>0</v>
      </c>
      <c r="Q54" s="14">
        <f>IF(Q$2=$A54,Q$3*AtomicWeights!$B$47/Q$5,0)</f>
        <v>0</v>
      </c>
      <c r="R54" s="14">
        <f>IF(R$2=$A54,R$3*AtomicWeights!$B$47/R$5,0)</f>
        <v>0</v>
      </c>
      <c r="S54" s="14">
        <f>IF(S$2=$A54,S$3*AtomicWeights!$B$47/S$5,0)</f>
        <v>0</v>
      </c>
      <c r="T54" s="14">
        <f>IF(T$2=$A54,T$3*AtomicWeights!$B$47/T$5,0)</f>
        <v>0</v>
      </c>
      <c r="U54" s="14">
        <f>IF(U$2=$A54,U$3*AtomicWeights!$B$47/U$5,0)</f>
        <v>0</v>
      </c>
      <c r="V54" s="14">
        <f>IF(V$2=$A54,V$3*AtomicWeights!$B$47/V$5,0)</f>
        <v>0</v>
      </c>
      <c r="W54" s="14">
        <f>IF(W$2=$A54,W$3*AtomicWeights!$B$47/W$5,0)</f>
        <v>0</v>
      </c>
      <c r="X54" s="14">
        <f>IF(X$2=$A54,X$3*AtomicWeights!$B$47/X$5,0)</f>
        <v>0</v>
      </c>
      <c r="Y54" s="14">
        <f>IF(Y$2=$A54,Y$3*AtomicWeights!$B$47/Y$5,0)</f>
        <v>0</v>
      </c>
      <c r="Z54" s="14">
        <f>IF(Z$2=$A54,Z$3*AtomicWeights!$B$47/Z$5,0)</f>
        <v>0</v>
      </c>
      <c r="AA54" s="14">
        <f>IF(AA$2=$A54,AA$3*AtomicWeights!$B$47/AA$5,0)</f>
        <v>0</v>
      </c>
      <c r="AB54" s="14">
        <f>IF(AB$2=$A54,AB$3*AtomicWeights!$B$47/AB$5,0)</f>
        <v>0</v>
      </c>
      <c r="AC54" s="14">
        <f>IF(AC$2=$A54,AC$3*AtomicWeights!$B$47/AC$5,0)</f>
        <v>0</v>
      </c>
      <c r="AD54" s="14">
        <f>IF(AD$2=$A54,AD$3*AtomicWeights!$B$47/AD$5,0)</f>
        <v>0</v>
      </c>
      <c r="AE54" s="14">
        <f>IF(AE$2=$A54,AE$3*AtomicWeights!$B$47/AE$5,0)</f>
        <v>0</v>
      </c>
      <c r="AF54" s="14">
        <f>IF(AF$2=$A54,AF$3*AtomicWeights!$B$47/AF$5,0)</f>
        <v>0</v>
      </c>
      <c r="AG54" s="14">
        <f>IF(AG$2=$A54,AG$3*AtomicWeights!$B$47/AG$5,0)</f>
        <v>0</v>
      </c>
      <c r="AH54" s="14">
        <f>IF(AH$2=$A54,AH$3*AtomicWeights!$B$47/AH$5,0)</f>
        <v>0</v>
      </c>
      <c r="AI54" s="14">
        <f>IF(AI$2=$A54,AI$3*AtomicWeights!$B$47/AI$5,0)</f>
        <v>0</v>
      </c>
      <c r="AJ54" s="14">
        <f>IF(AJ$2=$A54,AJ$3*AtomicWeights!$B$47/AJ$5,0)</f>
        <v>0</v>
      </c>
      <c r="AK54" s="14">
        <f>IF(AK$2=$A54,AK$3*AtomicWeights!$B$47/AK$5,0)</f>
        <v>0</v>
      </c>
      <c r="AL54" s="14">
        <f>IF(AL$2=$A54,AL$3*AtomicWeights!$B$47/AL$5,0)</f>
        <v>0</v>
      </c>
      <c r="AM54" s="14">
        <f>IF(AM$2=$A54,AM$3*AtomicWeights!$B$47/AM$5,0)</f>
        <v>0</v>
      </c>
      <c r="AN54" s="14">
        <f>IF(AN$2=$A54,AN$3*AtomicWeights!$B$47/AN$5,0)</f>
        <v>0</v>
      </c>
      <c r="AO54" s="14">
        <f>IF(AO$2=$A54,AO$3*AtomicWeights!$B$47/AO$5,0)</f>
        <v>0</v>
      </c>
      <c r="AP54" s="14">
        <f>IF(AP$2=$A54,AP$3*AtomicWeights!$B$47/AP$5,0)</f>
        <v>0</v>
      </c>
      <c r="AQ54" s="14">
        <f>IF(AQ$2=$A54,AQ$3*AtomicWeights!$B$47/AQ$5,0)</f>
        <v>0</v>
      </c>
      <c r="AR54" s="14">
        <f>IF(AR$2=$A54,AR$3*AtomicWeights!$B$47/AR$5,0)</f>
        <v>0</v>
      </c>
      <c r="AS54" s="14">
        <f>IF(AS$2=$A54,AS$3*AtomicWeights!$B$47/AS$5,0)</f>
        <v>0</v>
      </c>
      <c r="AT54" s="14">
        <f>IF(AT$2=$A54,AT$3*AtomicWeights!$B$47/AT$5,0)</f>
        <v>0</v>
      </c>
      <c r="AU54" s="14">
        <f>IF(AU$2=$A54,AU$3*AtomicWeights!$B$47/AU$5,0)</f>
        <v>0</v>
      </c>
      <c r="AV54" s="14">
        <f>IF(AV$2=$A54,AV$3*AtomicWeights!$B$47/AV$5,0)</f>
        <v>0</v>
      </c>
      <c r="AW54" s="14">
        <f>IF(AW$2=$A54,AW$3*AtomicWeights!$B$47/AW$5,0)</f>
        <v>0.89699281780453077</v>
      </c>
    </row>
    <row r="56" spans="1:49" x14ac:dyDescent="0.25">
      <c r="A56" s="7" t="s">
        <v>120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Z29"/>
  <sheetViews>
    <sheetView workbookViewId="0">
      <pane xSplit="2" ySplit="1" topLeftCell="C2" activePane="bottomRight" state="frozen"/>
      <selection pane="topRight"/>
      <selection pane="bottomLeft"/>
      <selection pane="bottomRight"/>
    </sheetView>
  </sheetViews>
  <sheetFormatPr defaultRowHeight="15" x14ac:dyDescent="0.25"/>
  <cols>
    <col min="1" max="1" width="30" customWidth="1"/>
    <col min="2" max="2" width="34" customWidth="1"/>
    <col min="3" max="49" width="8.42578125" customWidth="1"/>
    <col min="50" max="52" width="11" customWidth="1"/>
  </cols>
  <sheetData>
    <row r="1" spans="1:52" ht="30" customHeight="1" x14ac:dyDescent="0.25">
      <c r="A1" s="4" t="s">
        <v>121</v>
      </c>
      <c r="B1" s="4" t="s">
        <v>122</v>
      </c>
      <c r="C1" s="4" t="s">
        <v>70</v>
      </c>
      <c r="D1" s="4" t="s">
        <v>71</v>
      </c>
      <c r="E1" s="4" t="s">
        <v>72</v>
      </c>
      <c r="F1" s="4" t="s">
        <v>73</v>
      </c>
      <c r="G1" s="4" t="s">
        <v>74</v>
      </c>
      <c r="H1" s="4" t="s">
        <v>75</v>
      </c>
      <c r="I1" s="4" t="s">
        <v>76</v>
      </c>
      <c r="J1" s="4" t="s">
        <v>77</v>
      </c>
      <c r="K1" s="4" t="s">
        <v>78</v>
      </c>
      <c r="L1" s="4" t="s">
        <v>79</v>
      </c>
      <c r="M1" s="4" t="s">
        <v>80</v>
      </c>
      <c r="N1" s="4" t="s">
        <v>81</v>
      </c>
      <c r="O1" s="4" t="s">
        <v>82</v>
      </c>
      <c r="P1" s="4" t="s">
        <v>83</v>
      </c>
      <c r="Q1" s="4" t="s">
        <v>84</v>
      </c>
      <c r="R1" s="4" t="s">
        <v>85</v>
      </c>
      <c r="S1" s="4" t="s">
        <v>86</v>
      </c>
      <c r="T1" s="4" t="s">
        <v>87</v>
      </c>
      <c r="U1" s="4" t="s">
        <v>88</v>
      </c>
      <c r="V1" s="4" t="s">
        <v>89</v>
      </c>
      <c r="W1" s="4" t="s">
        <v>90</v>
      </c>
      <c r="X1" s="4" t="s">
        <v>91</v>
      </c>
      <c r="Y1" s="4" t="s">
        <v>92</v>
      </c>
      <c r="Z1" s="4" t="s">
        <v>93</v>
      </c>
      <c r="AA1" s="4" t="s">
        <v>94</v>
      </c>
      <c r="AB1" s="4" t="s">
        <v>47</v>
      </c>
      <c r="AC1" s="4" t="s">
        <v>48</v>
      </c>
      <c r="AD1" s="4" t="s">
        <v>95</v>
      </c>
      <c r="AE1" s="4" t="s">
        <v>96</v>
      </c>
      <c r="AF1" s="4" t="s">
        <v>97</v>
      </c>
      <c r="AG1" s="4" t="s">
        <v>98</v>
      </c>
      <c r="AH1" s="4" t="s">
        <v>99</v>
      </c>
      <c r="AI1" s="4" t="s">
        <v>100</v>
      </c>
      <c r="AJ1" s="4" t="s">
        <v>101</v>
      </c>
      <c r="AK1" s="4" t="s">
        <v>102</v>
      </c>
      <c r="AL1" s="4" t="s">
        <v>103</v>
      </c>
      <c r="AM1" s="4" t="s">
        <v>104</v>
      </c>
      <c r="AN1" s="4" t="s">
        <v>105</v>
      </c>
      <c r="AO1" s="4" t="s">
        <v>106</v>
      </c>
      <c r="AP1" s="4" t="s">
        <v>107</v>
      </c>
      <c r="AQ1" s="4" t="s">
        <v>108</v>
      </c>
      <c r="AR1" s="4" t="s">
        <v>109</v>
      </c>
      <c r="AS1" s="4" t="s">
        <v>110</v>
      </c>
      <c r="AT1" s="4" t="s">
        <v>111</v>
      </c>
      <c r="AU1" s="4" t="s">
        <v>112</v>
      </c>
      <c r="AV1" s="4" t="s">
        <v>113</v>
      </c>
      <c r="AW1" s="4" t="s">
        <v>114</v>
      </c>
      <c r="AX1" s="4" t="s">
        <v>123</v>
      </c>
      <c r="AY1" s="4" t="s">
        <v>124</v>
      </c>
      <c r="AZ1" s="4" t="s">
        <v>125</v>
      </c>
    </row>
    <row r="2" spans="1:52" x14ac:dyDescent="0.25">
      <c r="A2" s="13" t="s">
        <v>126</v>
      </c>
      <c r="B2" s="15" t="s">
        <v>127</v>
      </c>
      <c r="C2" s="16">
        <v>0.4</v>
      </c>
      <c r="H2" s="16">
        <v>0.02</v>
      </c>
      <c r="J2" s="16">
        <v>0</v>
      </c>
      <c r="M2" s="16">
        <v>1</v>
      </c>
      <c r="N2" s="16">
        <v>0</v>
      </c>
      <c r="P2" s="16">
        <v>9.8000000000000004E-2</v>
      </c>
      <c r="W2" s="16">
        <v>27.4</v>
      </c>
      <c r="Y2" s="16">
        <v>0</v>
      </c>
      <c r="AD2" s="16">
        <v>11.6</v>
      </c>
      <c r="AE2" s="16">
        <v>0.38500000000000001</v>
      </c>
      <c r="AG2" s="16">
        <v>0</v>
      </c>
      <c r="AH2" s="16">
        <v>21.7</v>
      </c>
      <c r="AI2" s="16">
        <v>28.7</v>
      </c>
      <c r="AK2" s="16">
        <v>1.84</v>
      </c>
      <c r="AL2" s="16">
        <v>6</v>
      </c>
      <c r="AM2" s="16">
        <v>0.6</v>
      </c>
      <c r="AN2" s="16">
        <v>0</v>
      </c>
      <c r="AO2" s="16">
        <v>0.09</v>
      </c>
      <c r="AP2" s="16">
        <v>0</v>
      </c>
      <c r="AQ2" s="16">
        <v>0.2</v>
      </c>
      <c r="AR2" s="16">
        <v>0.05</v>
      </c>
      <c r="AS2" s="16">
        <v>0</v>
      </c>
      <c r="AT2" s="16">
        <v>0</v>
      </c>
      <c r="AU2" s="16">
        <v>0</v>
      </c>
      <c r="AV2" s="16">
        <v>0</v>
      </c>
      <c r="AX2" s="17">
        <f t="shared" ref="AX2:AX26" si="0">SUM(C2:AW2)</f>
        <v>100.083</v>
      </c>
      <c r="AY2" s="17">
        <f>AC2*Factors!AC$6+AB2*Factors!AB$6</f>
        <v>0</v>
      </c>
      <c r="AZ2" s="18">
        <f t="shared" ref="AZ2:AZ26" si="1">AX2+AY2</f>
        <v>100.083</v>
      </c>
    </row>
    <row r="3" spans="1:52" x14ac:dyDescent="0.25">
      <c r="A3" s="13" t="s">
        <v>128</v>
      </c>
      <c r="B3" s="15" t="s">
        <v>129</v>
      </c>
      <c r="C3" s="16">
        <v>0</v>
      </c>
      <c r="J3" s="16">
        <v>0</v>
      </c>
      <c r="M3" s="16">
        <v>0.3</v>
      </c>
      <c r="N3" s="16">
        <v>0</v>
      </c>
      <c r="O3" s="16">
        <v>0</v>
      </c>
      <c r="W3" s="16">
        <v>0</v>
      </c>
      <c r="Z3" s="16">
        <v>20.07</v>
      </c>
      <c r="AA3" s="16">
        <v>0</v>
      </c>
      <c r="AB3" s="16">
        <v>8.67</v>
      </c>
      <c r="AD3" s="16">
        <v>0.15</v>
      </c>
      <c r="AE3" s="16">
        <v>0</v>
      </c>
      <c r="AG3" s="16">
        <v>0.15</v>
      </c>
      <c r="AH3" s="16">
        <v>24.52</v>
      </c>
      <c r="AI3" s="16">
        <v>36.68</v>
      </c>
      <c r="AK3" s="16">
        <v>3.38</v>
      </c>
      <c r="AL3" s="16">
        <v>9.2100000000000009</v>
      </c>
      <c r="AM3" s="16">
        <v>0.64</v>
      </c>
      <c r="AN3" s="16">
        <v>0.08</v>
      </c>
      <c r="AO3" s="16">
        <v>0.25</v>
      </c>
      <c r="AQ3" s="16">
        <v>0</v>
      </c>
      <c r="AX3" s="17">
        <f t="shared" si="0"/>
        <v>104.1</v>
      </c>
      <c r="AY3" s="17">
        <f>AC3*Factors!AC$6+AB3*Factors!AB$6</f>
        <v>-3.6506049695309333</v>
      </c>
      <c r="AZ3" s="18">
        <f t="shared" si="1"/>
        <v>100.44939503046906</v>
      </c>
    </row>
    <row r="4" spans="1:52" x14ac:dyDescent="0.25">
      <c r="A4" s="13" t="s">
        <v>130</v>
      </c>
      <c r="B4" s="15" t="s">
        <v>131</v>
      </c>
      <c r="C4" s="16">
        <v>0.1</v>
      </c>
      <c r="H4" s="16">
        <v>0</v>
      </c>
      <c r="J4" s="16">
        <v>0</v>
      </c>
      <c r="M4" s="16">
        <v>7.0000000000000007E-2</v>
      </c>
      <c r="P4" s="16">
        <v>0</v>
      </c>
      <c r="W4" s="16">
        <v>33.89</v>
      </c>
      <c r="AD4" s="16">
        <v>0.38</v>
      </c>
      <c r="AE4" s="16">
        <v>0.96</v>
      </c>
      <c r="AG4" s="16">
        <v>46.49</v>
      </c>
      <c r="AH4" s="16">
        <v>0</v>
      </c>
      <c r="AI4" s="16">
        <v>0</v>
      </c>
      <c r="AK4" s="16">
        <v>0</v>
      </c>
      <c r="AL4" s="16">
        <v>0</v>
      </c>
      <c r="AM4" s="16">
        <v>0</v>
      </c>
      <c r="AN4" s="16">
        <v>0.04</v>
      </c>
      <c r="AO4" s="16">
        <v>1.89</v>
      </c>
      <c r="AP4" s="16">
        <v>0.6</v>
      </c>
      <c r="AQ4" s="16">
        <v>5.15</v>
      </c>
      <c r="AR4" s="16">
        <v>1.06</v>
      </c>
      <c r="AS4" s="16">
        <v>3.86</v>
      </c>
      <c r="AT4" s="16">
        <v>0</v>
      </c>
      <c r="AU4" s="16">
        <v>4.0999999999999996</v>
      </c>
      <c r="AV4" s="16">
        <v>0.52</v>
      </c>
      <c r="AX4" s="17">
        <f t="shared" si="0"/>
        <v>99.110000000000014</v>
      </c>
      <c r="AY4" s="17">
        <f>AC4*Factors!AC$6+AB4*Factors!AB$6</f>
        <v>0</v>
      </c>
      <c r="AZ4" s="18">
        <f t="shared" si="1"/>
        <v>99.110000000000014</v>
      </c>
    </row>
    <row r="5" spans="1:52" x14ac:dyDescent="0.25">
      <c r="A5" s="13" t="s">
        <v>132</v>
      </c>
      <c r="B5" s="15" t="s">
        <v>133</v>
      </c>
      <c r="C5" s="16">
        <v>0</v>
      </c>
      <c r="J5" s="16">
        <v>0</v>
      </c>
      <c r="M5" s="16">
        <v>10.7</v>
      </c>
      <c r="N5" s="16">
        <v>0</v>
      </c>
      <c r="O5" s="16">
        <v>0</v>
      </c>
      <c r="Q5" s="16">
        <v>0</v>
      </c>
      <c r="Z5" s="16">
        <v>24.58</v>
      </c>
      <c r="AB5" s="16">
        <v>5.34</v>
      </c>
      <c r="AD5" s="16">
        <v>0</v>
      </c>
      <c r="AE5" s="16">
        <v>0</v>
      </c>
      <c r="AG5" s="16">
        <v>0</v>
      </c>
      <c r="AH5" s="16">
        <v>15.1</v>
      </c>
      <c r="AI5" s="16">
        <v>28.87</v>
      </c>
      <c r="AK5" s="16">
        <v>3</v>
      </c>
      <c r="AL5" s="16">
        <v>11.65</v>
      </c>
      <c r="AM5" s="16">
        <v>1.46</v>
      </c>
      <c r="AN5" s="16">
        <v>0.2</v>
      </c>
      <c r="AO5" s="16">
        <v>0</v>
      </c>
      <c r="AQ5" s="16">
        <v>0</v>
      </c>
      <c r="AX5" s="17">
        <f t="shared" si="0"/>
        <v>100.9</v>
      </c>
      <c r="AY5" s="17">
        <f>AC5*Factors!AC$6+AB5*Factors!AB$6</f>
        <v>-2.2484694968045194</v>
      </c>
      <c r="AZ5" s="18">
        <f t="shared" si="1"/>
        <v>98.651530503195488</v>
      </c>
    </row>
    <row r="6" spans="1:52" x14ac:dyDescent="0.25">
      <c r="A6" s="13" t="s">
        <v>134</v>
      </c>
      <c r="B6" s="15" t="s">
        <v>135</v>
      </c>
      <c r="C6" s="16">
        <v>0.14000000000000001</v>
      </c>
      <c r="J6" s="16">
        <v>0</v>
      </c>
      <c r="M6" s="16">
        <v>18.14</v>
      </c>
      <c r="N6" s="16">
        <v>0</v>
      </c>
      <c r="Z6" s="16">
        <v>27.95</v>
      </c>
      <c r="AB6" s="16">
        <v>5.73</v>
      </c>
      <c r="AD6" s="16">
        <v>0</v>
      </c>
      <c r="AE6" s="16">
        <v>0</v>
      </c>
      <c r="AG6" s="16">
        <v>0.45</v>
      </c>
      <c r="AH6" s="16">
        <v>9.9600000000000009</v>
      </c>
      <c r="AI6" s="16">
        <v>22.34</v>
      </c>
      <c r="AK6" s="16">
        <v>2.27</v>
      </c>
      <c r="AL6" s="16">
        <v>12.73</v>
      </c>
      <c r="AM6" s="16">
        <v>1.79</v>
      </c>
      <c r="AN6" s="16">
        <v>0</v>
      </c>
      <c r="AO6" s="16">
        <v>1.27</v>
      </c>
      <c r="AQ6" s="16">
        <v>0</v>
      </c>
      <c r="AX6" s="17">
        <f t="shared" si="0"/>
        <v>102.77000000000001</v>
      </c>
      <c r="AY6" s="17">
        <f>AC6*Factors!AC$6+AB6*Factors!AB$6</f>
        <v>-2.4126835611778836</v>
      </c>
      <c r="AZ6" s="18">
        <f t="shared" si="1"/>
        <v>100.35731643882212</v>
      </c>
    </row>
    <row r="7" spans="1:52" x14ac:dyDescent="0.25">
      <c r="A7" s="13" t="s">
        <v>136</v>
      </c>
      <c r="B7" s="15" t="s">
        <v>137</v>
      </c>
      <c r="C7" s="16">
        <v>29.79</v>
      </c>
      <c r="D7" s="16">
        <v>0.02</v>
      </c>
      <c r="H7" s="16">
        <v>12.75</v>
      </c>
      <c r="I7" s="16">
        <v>10.64</v>
      </c>
      <c r="J7" s="16">
        <v>9.02</v>
      </c>
      <c r="K7" s="16">
        <v>0.85</v>
      </c>
      <c r="L7" s="16">
        <v>0.64</v>
      </c>
      <c r="M7" s="16">
        <v>10.1</v>
      </c>
      <c r="Q7" s="16">
        <v>0</v>
      </c>
      <c r="W7" s="16">
        <v>0</v>
      </c>
      <c r="AA7" s="16">
        <v>1.74</v>
      </c>
      <c r="AB7" s="16">
        <v>0</v>
      </c>
      <c r="AD7" s="16">
        <v>0</v>
      </c>
      <c r="AE7" s="16">
        <v>0</v>
      </c>
      <c r="AG7" s="16">
        <v>0.04</v>
      </c>
      <c r="AH7" s="16">
        <v>7.2</v>
      </c>
      <c r="AI7" s="16">
        <v>12.8</v>
      </c>
      <c r="AK7" s="16">
        <v>1</v>
      </c>
      <c r="AL7" s="16">
        <v>3.1</v>
      </c>
      <c r="AM7" s="16">
        <v>0.6</v>
      </c>
      <c r="AN7" s="16">
        <v>0</v>
      </c>
      <c r="AO7" s="16">
        <v>0.06</v>
      </c>
      <c r="AP7" s="16">
        <v>0</v>
      </c>
      <c r="AQ7" s="16">
        <v>0</v>
      </c>
      <c r="AR7" s="16">
        <v>0</v>
      </c>
      <c r="AS7" s="16">
        <v>0.02</v>
      </c>
      <c r="AT7" s="16">
        <v>0</v>
      </c>
      <c r="AU7" s="16">
        <v>0</v>
      </c>
      <c r="AV7" s="16">
        <v>0</v>
      </c>
      <c r="AX7" s="17">
        <f t="shared" si="0"/>
        <v>100.36999999999999</v>
      </c>
      <c r="AY7" s="17">
        <f>AC7*Factors!AC$6+AB7*Factors!AB$6</f>
        <v>0</v>
      </c>
      <c r="AZ7" s="18">
        <f t="shared" si="1"/>
        <v>100.36999999999999</v>
      </c>
    </row>
    <row r="8" spans="1:52" x14ac:dyDescent="0.25">
      <c r="A8" s="13" t="s">
        <v>138</v>
      </c>
      <c r="B8" s="15" t="s">
        <v>139</v>
      </c>
      <c r="C8" s="16">
        <v>0.47</v>
      </c>
      <c r="J8" s="16">
        <v>0.1</v>
      </c>
      <c r="K8" s="16">
        <v>0.06</v>
      </c>
      <c r="M8" s="16">
        <v>53.59</v>
      </c>
      <c r="N8" s="16">
        <v>0.31</v>
      </c>
      <c r="Q8" s="16">
        <v>0.15</v>
      </c>
      <c r="W8" s="16">
        <v>41.09</v>
      </c>
      <c r="Y8" s="16">
        <v>0.08</v>
      </c>
      <c r="Z8" s="16">
        <v>0</v>
      </c>
      <c r="AA8" s="16">
        <v>0.05</v>
      </c>
      <c r="AB8" s="16">
        <v>3.54</v>
      </c>
      <c r="AC8" s="16">
        <v>0.14000000000000001</v>
      </c>
      <c r="AD8" s="16">
        <v>0</v>
      </c>
      <c r="AE8" s="16">
        <v>0</v>
      </c>
      <c r="AG8" s="16">
        <v>0.16</v>
      </c>
      <c r="AH8" s="16">
        <v>0.42</v>
      </c>
      <c r="AI8" s="16">
        <v>0.81</v>
      </c>
      <c r="AK8" s="16">
        <v>0.1</v>
      </c>
      <c r="AL8" s="16">
        <v>0.33</v>
      </c>
      <c r="AM8" s="16">
        <v>7.0000000000000007E-2</v>
      </c>
      <c r="AN8" s="16">
        <v>0</v>
      </c>
      <c r="AO8" s="16">
        <v>0.05</v>
      </c>
      <c r="AQ8" s="16">
        <v>0.03</v>
      </c>
      <c r="AS8" s="16">
        <v>0</v>
      </c>
      <c r="AU8" s="16">
        <v>0</v>
      </c>
      <c r="AX8" s="17">
        <f t="shared" si="0"/>
        <v>101.55</v>
      </c>
      <c r="AY8" s="17">
        <f>AC8*Factors!AC$6+AB8*Factors!AB$6</f>
        <v>-1.5221502499299513</v>
      </c>
      <c r="AZ8" s="18">
        <f t="shared" si="1"/>
        <v>100.02784975007005</v>
      </c>
    </row>
    <row r="9" spans="1:52" x14ac:dyDescent="0.25">
      <c r="A9" s="13" t="s">
        <v>140</v>
      </c>
      <c r="B9" s="15" t="s">
        <v>141</v>
      </c>
      <c r="C9" s="16">
        <v>0</v>
      </c>
      <c r="H9" s="16">
        <v>29.6</v>
      </c>
      <c r="I9" s="16">
        <v>0</v>
      </c>
      <c r="M9" s="16">
        <v>0.47</v>
      </c>
      <c r="N9" s="16">
        <v>0</v>
      </c>
      <c r="O9" s="16">
        <v>0</v>
      </c>
      <c r="W9" s="16">
        <v>27.4</v>
      </c>
      <c r="Y9" s="16">
        <v>0</v>
      </c>
      <c r="AA9" s="16">
        <v>10.46</v>
      </c>
      <c r="AB9" s="16">
        <v>0</v>
      </c>
      <c r="AD9" s="16">
        <v>0</v>
      </c>
      <c r="AG9" s="16">
        <v>0</v>
      </c>
      <c r="AH9" s="16">
        <v>8.68</v>
      </c>
      <c r="AI9" s="16">
        <v>17.79</v>
      </c>
      <c r="AK9" s="16">
        <v>0</v>
      </c>
      <c r="AL9" s="16">
        <v>3.78</v>
      </c>
      <c r="AM9" s="16">
        <v>1.48</v>
      </c>
      <c r="AN9" s="16">
        <v>0</v>
      </c>
      <c r="AO9" s="16">
        <v>0</v>
      </c>
      <c r="AQ9" s="16">
        <v>0</v>
      </c>
      <c r="AX9" s="17">
        <f t="shared" si="0"/>
        <v>99.660000000000011</v>
      </c>
      <c r="AY9" s="17">
        <f>AC9*Factors!AC$6+AB9*Factors!AB$6</f>
        <v>0</v>
      </c>
      <c r="AZ9" s="18">
        <f t="shared" si="1"/>
        <v>99.660000000000011</v>
      </c>
    </row>
    <row r="10" spans="1:52" x14ac:dyDescent="0.25">
      <c r="A10" s="13" t="s">
        <v>142</v>
      </c>
      <c r="B10" s="15" t="s">
        <v>143</v>
      </c>
      <c r="C10" s="16">
        <v>0.3</v>
      </c>
      <c r="E10" s="16">
        <v>0</v>
      </c>
      <c r="J10" s="16">
        <v>0.4</v>
      </c>
      <c r="M10" s="16">
        <v>0.8</v>
      </c>
      <c r="T10" s="16">
        <v>0</v>
      </c>
      <c r="U10" s="16">
        <v>0</v>
      </c>
      <c r="W10" s="16">
        <v>0</v>
      </c>
      <c r="AA10" s="16">
        <v>0.5</v>
      </c>
      <c r="AD10" s="16">
        <v>4</v>
      </c>
      <c r="AG10" s="16">
        <v>0.5</v>
      </c>
      <c r="AH10" s="16">
        <v>1.5</v>
      </c>
      <c r="AJ10" s="16">
        <v>90</v>
      </c>
      <c r="AK10" s="16">
        <v>0.3</v>
      </c>
      <c r="AL10" s="16">
        <v>1.5</v>
      </c>
      <c r="AU10" s="16">
        <v>0</v>
      </c>
      <c r="AX10" s="17">
        <f t="shared" si="0"/>
        <v>99.8</v>
      </c>
      <c r="AY10" s="17">
        <f>AC10*Factors!AC$6+AB10*Factors!AB$6</f>
        <v>0</v>
      </c>
      <c r="AZ10" s="18">
        <f t="shared" si="1"/>
        <v>99.8</v>
      </c>
    </row>
    <row r="11" spans="1:52" x14ac:dyDescent="0.25">
      <c r="A11" s="13" t="s">
        <v>144</v>
      </c>
      <c r="B11" s="15" t="s">
        <v>145</v>
      </c>
      <c r="C11" s="16">
        <v>0</v>
      </c>
      <c r="D11" s="16">
        <v>3.63</v>
      </c>
      <c r="E11" s="16">
        <v>3.24</v>
      </c>
      <c r="H11" s="16">
        <v>0</v>
      </c>
      <c r="J11" s="16">
        <v>1.1399999999999999</v>
      </c>
      <c r="K11" s="16">
        <v>0.09</v>
      </c>
      <c r="L11" s="16">
        <v>0.01</v>
      </c>
      <c r="M11" s="16">
        <v>16.7</v>
      </c>
      <c r="N11" s="16">
        <v>0.34</v>
      </c>
      <c r="O11" s="16">
        <v>0</v>
      </c>
      <c r="P11" s="16">
        <v>0.24</v>
      </c>
      <c r="Q11" s="16">
        <v>5.22</v>
      </c>
      <c r="R11" s="16">
        <v>0</v>
      </c>
      <c r="T11" s="16">
        <v>60.6</v>
      </c>
      <c r="U11" s="16">
        <v>0.06</v>
      </c>
      <c r="AA11" s="16">
        <v>0</v>
      </c>
      <c r="AB11" s="16">
        <v>3.8</v>
      </c>
      <c r="AD11" s="16">
        <v>1.08</v>
      </c>
      <c r="AE11" s="16">
        <v>0.1</v>
      </c>
      <c r="AG11" s="16">
        <v>0.24</v>
      </c>
      <c r="AH11" s="16">
        <v>0.6</v>
      </c>
      <c r="AI11" s="16">
        <v>1.85</v>
      </c>
      <c r="AK11" s="16">
        <v>0.17</v>
      </c>
      <c r="AL11" s="16">
        <v>0.57999999999999996</v>
      </c>
      <c r="AM11" s="16">
        <v>0.1</v>
      </c>
      <c r="AX11" s="17">
        <f t="shared" si="0"/>
        <v>99.789999999999964</v>
      </c>
      <c r="AY11" s="17">
        <f>AC11*Factors!AC$6+AB11*Factors!AB$6</f>
        <v>-1.6000344733814933</v>
      </c>
      <c r="AZ11" s="18">
        <f t="shared" si="1"/>
        <v>98.189965526618465</v>
      </c>
    </row>
    <row r="12" spans="1:52" x14ac:dyDescent="0.25">
      <c r="A12" s="13" t="s">
        <v>146</v>
      </c>
      <c r="B12" s="15" t="s">
        <v>147</v>
      </c>
      <c r="J12" s="16">
        <v>0.19</v>
      </c>
      <c r="M12" s="16">
        <v>1.35</v>
      </c>
      <c r="N12" s="16">
        <v>23.97</v>
      </c>
      <c r="O12" s="16">
        <v>0</v>
      </c>
      <c r="Z12" s="16">
        <v>23.44</v>
      </c>
      <c r="AA12" s="16">
        <v>7.06</v>
      </c>
      <c r="AB12" s="16">
        <v>0</v>
      </c>
      <c r="AD12" s="16">
        <v>0.53</v>
      </c>
      <c r="AG12" s="16">
        <v>0</v>
      </c>
      <c r="AH12" s="16">
        <v>13.08</v>
      </c>
      <c r="AI12" s="16">
        <v>23.4</v>
      </c>
      <c r="AK12" s="16">
        <v>1.94</v>
      </c>
      <c r="AL12" s="16">
        <v>5.35</v>
      </c>
      <c r="AM12" s="16">
        <v>0.28999999999999998</v>
      </c>
      <c r="AO12" s="16">
        <v>0.14000000000000001</v>
      </c>
      <c r="AX12" s="17">
        <f t="shared" si="0"/>
        <v>100.74000000000001</v>
      </c>
      <c r="AY12" s="17">
        <f>AC12*Factors!AC$6+AB12*Factors!AB$6</f>
        <v>0</v>
      </c>
      <c r="AZ12" s="18">
        <f t="shared" si="1"/>
        <v>100.74000000000001</v>
      </c>
    </row>
    <row r="13" spans="1:52" x14ac:dyDescent="0.25">
      <c r="A13" s="13" t="s">
        <v>148</v>
      </c>
      <c r="B13" s="15" t="s">
        <v>149</v>
      </c>
      <c r="C13" s="16">
        <v>60.8</v>
      </c>
      <c r="D13" s="16">
        <v>0.06</v>
      </c>
      <c r="H13" s="16">
        <v>24.3</v>
      </c>
      <c r="I13" s="16">
        <v>0.76</v>
      </c>
      <c r="K13" s="16">
        <v>0.12</v>
      </c>
      <c r="L13" s="16">
        <v>0.05</v>
      </c>
      <c r="M13" s="16">
        <v>0.06</v>
      </c>
      <c r="Q13" s="16">
        <v>0.14000000000000001</v>
      </c>
      <c r="R13" s="16">
        <v>5.82</v>
      </c>
      <c r="W13" s="16">
        <v>0.01</v>
      </c>
      <c r="AA13" s="16">
        <v>7.5</v>
      </c>
      <c r="AG13" s="16">
        <v>9.8000000000000004E-2</v>
      </c>
      <c r="AH13" s="16">
        <v>2.7000000000000001E-3</v>
      </c>
      <c r="AI13" s="16">
        <v>5.9999999999999995E-4</v>
      </c>
      <c r="AK13" s="16">
        <v>1E-3</v>
      </c>
      <c r="AL13" s="16">
        <v>4.4999999999999997E-3</v>
      </c>
      <c r="AM13" s="16">
        <v>4.1999999999999997E-3</v>
      </c>
      <c r="AN13" s="16">
        <v>1.4999999999999999E-4</v>
      </c>
      <c r="AO13" s="16">
        <v>1.04E-2</v>
      </c>
      <c r="AP13" s="16">
        <v>2E-3</v>
      </c>
      <c r="AQ13" s="16">
        <v>1.01E-2</v>
      </c>
      <c r="AR13" s="16">
        <v>2.3999999999999998E-3</v>
      </c>
      <c r="AS13" s="16">
        <v>7.4000000000000003E-3</v>
      </c>
      <c r="AT13" s="16">
        <v>1.1000000000000001E-3</v>
      </c>
      <c r="AU13" s="16">
        <v>3.8E-3</v>
      </c>
      <c r="AV13" s="16">
        <v>5.9999999999999995E-4</v>
      </c>
      <c r="AX13" s="17">
        <f t="shared" si="0"/>
        <v>99.768950000000018</v>
      </c>
      <c r="AY13" s="17">
        <f>AC13*Factors!AC$6+AB13*Factors!AB$6</f>
        <v>0</v>
      </c>
      <c r="AZ13" s="18">
        <f t="shared" si="1"/>
        <v>99.768950000000018</v>
      </c>
    </row>
    <row r="14" spans="1:52" x14ac:dyDescent="0.25">
      <c r="A14" s="13" t="s">
        <v>150</v>
      </c>
      <c r="B14" s="15" t="s">
        <v>151</v>
      </c>
      <c r="C14" s="16">
        <v>19.100000000000001</v>
      </c>
      <c r="H14" s="16">
        <v>0</v>
      </c>
      <c r="J14" s="16">
        <v>0.18</v>
      </c>
      <c r="K14" s="16">
        <v>0</v>
      </c>
      <c r="M14" s="16">
        <v>14.62</v>
      </c>
      <c r="N14" s="16">
        <v>0.4</v>
      </c>
      <c r="Q14" s="16">
        <v>0.2</v>
      </c>
      <c r="W14" s="16">
        <v>4.51</v>
      </c>
      <c r="AA14" s="16">
        <v>0.46</v>
      </c>
      <c r="AB14" s="16">
        <v>1.45</v>
      </c>
      <c r="AC14" s="16">
        <v>0</v>
      </c>
      <c r="AD14" s="16">
        <v>3.36</v>
      </c>
      <c r="AE14" s="16">
        <v>0.17</v>
      </c>
      <c r="AG14" s="16">
        <v>1.1499999999999999</v>
      </c>
      <c r="AH14" s="16">
        <v>12.84</v>
      </c>
      <c r="AI14" s="16">
        <v>27.55</v>
      </c>
      <c r="AK14" s="16">
        <v>2.52</v>
      </c>
      <c r="AL14" s="16">
        <v>9.6300000000000008</v>
      </c>
      <c r="AM14" s="16">
        <v>1.33</v>
      </c>
      <c r="AN14" s="16">
        <v>0</v>
      </c>
      <c r="AO14" s="16">
        <v>0.92</v>
      </c>
      <c r="AQ14" s="16">
        <v>0.24</v>
      </c>
      <c r="AS14" s="16">
        <v>0</v>
      </c>
      <c r="AU14" s="16">
        <v>0</v>
      </c>
      <c r="AX14" s="17">
        <f t="shared" si="0"/>
        <v>100.62999999999998</v>
      </c>
      <c r="AY14" s="17">
        <f>AC14*Factors!AC$6+AB14*Factors!AB$6</f>
        <v>-0.6105394701060961</v>
      </c>
      <c r="AZ14" s="18">
        <f t="shared" si="1"/>
        <v>100.01946052989389</v>
      </c>
    </row>
    <row r="15" spans="1:52" x14ac:dyDescent="0.25">
      <c r="A15" s="13" t="s">
        <v>152</v>
      </c>
      <c r="B15" s="15" t="s">
        <v>153</v>
      </c>
      <c r="C15" s="16">
        <v>0</v>
      </c>
      <c r="H15" s="16">
        <v>0</v>
      </c>
      <c r="I15" s="16">
        <v>0</v>
      </c>
      <c r="M15" s="16">
        <v>0.73</v>
      </c>
      <c r="W15" s="16">
        <v>30.59</v>
      </c>
      <c r="AA15" s="16">
        <v>15.53</v>
      </c>
      <c r="AG15" s="16">
        <v>37.96</v>
      </c>
      <c r="AH15" s="16">
        <v>0.35</v>
      </c>
      <c r="AI15" s="16">
        <v>0.71</v>
      </c>
      <c r="AK15" s="16">
        <v>0</v>
      </c>
      <c r="AL15" s="16">
        <v>1.45</v>
      </c>
      <c r="AM15" s="16">
        <v>0.75</v>
      </c>
      <c r="AN15" s="16">
        <v>0.15</v>
      </c>
      <c r="AO15" s="16">
        <v>2.34</v>
      </c>
      <c r="AP15" s="16">
        <v>0.39</v>
      </c>
      <c r="AQ15" s="16">
        <v>3.22</v>
      </c>
      <c r="AR15" s="16">
        <v>0.81</v>
      </c>
      <c r="AS15" s="16">
        <v>2.4700000000000002</v>
      </c>
      <c r="AT15" s="16">
        <v>0.42</v>
      </c>
      <c r="AU15" s="16">
        <v>1.7</v>
      </c>
      <c r="AV15" s="16">
        <v>0.43</v>
      </c>
      <c r="AX15" s="17">
        <f t="shared" si="0"/>
        <v>100.00000000000001</v>
      </c>
      <c r="AY15" s="17">
        <f>AC15*Factors!AC$6+AB15*Factors!AB$6</f>
        <v>0</v>
      </c>
      <c r="AZ15" s="18">
        <f t="shared" si="1"/>
        <v>100.00000000000001</v>
      </c>
    </row>
    <row r="16" spans="1:52" x14ac:dyDescent="0.25">
      <c r="A16" s="13" t="s">
        <v>154</v>
      </c>
      <c r="B16" s="15" t="s">
        <v>155</v>
      </c>
      <c r="C16" s="16">
        <v>0</v>
      </c>
      <c r="H16" s="16">
        <v>0</v>
      </c>
      <c r="I16" s="16">
        <v>0</v>
      </c>
      <c r="M16" s="16">
        <v>0.78</v>
      </c>
      <c r="N16" s="16">
        <v>0</v>
      </c>
      <c r="P16" s="16">
        <v>0</v>
      </c>
      <c r="W16" s="16">
        <v>28.04</v>
      </c>
      <c r="AA16" s="16">
        <v>7.12</v>
      </c>
      <c r="AD16" s="16">
        <v>3.65</v>
      </c>
      <c r="AE16" s="16">
        <v>0</v>
      </c>
      <c r="AG16" s="16">
        <v>0.45</v>
      </c>
      <c r="AH16" s="16">
        <v>14.16</v>
      </c>
      <c r="AI16" s="16">
        <v>30.48</v>
      </c>
      <c r="AK16" s="16">
        <v>3.26</v>
      </c>
      <c r="AL16" s="16">
        <v>9.9700000000000006</v>
      </c>
      <c r="AM16" s="16">
        <v>1.38</v>
      </c>
      <c r="AN16" s="16">
        <v>0</v>
      </c>
      <c r="AO16" s="16">
        <v>0.72</v>
      </c>
      <c r="AP16" s="16">
        <v>0</v>
      </c>
      <c r="AQ16" s="16">
        <v>0</v>
      </c>
      <c r="AR16" s="16">
        <v>0</v>
      </c>
      <c r="AS16" s="16">
        <v>0</v>
      </c>
      <c r="AT16" s="16">
        <v>0</v>
      </c>
      <c r="AU16" s="16">
        <v>0</v>
      </c>
      <c r="AV16" s="16">
        <v>0</v>
      </c>
      <c r="AX16" s="17">
        <f t="shared" si="0"/>
        <v>100.01</v>
      </c>
      <c r="AY16" s="17">
        <f>AC16*Factors!AC$6+AB16*Factors!AB$6</f>
        <v>0</v>
      </c>
      <c r="AZ16" s="18">
        <f t="shared" si="1"/>
        <v>100.01</v>
      </c>
    </row>
    <row r="17" spans="1:52" x14ac:dyDescent="0.25">
      <c r="A17" s="13" t="s">
        <v>156</v>
      </c>
      <c r="B17" s="15" t="s">
        <v>157</v>
      </c>
      <c r="C17" s="16">
        <v>0</v>
      </c>
      <c r="I17" s="16">
        <v>0</v>
      </c>
      <c r="M17" s="16">
        <v>0</v>
      </c>
      <c r="AB17" s="16">
        <v>28.92</v>
      </c>
      <c r="AD17" s="16">
        <v>0</v>
      </c>
      <c r="AG17" s="16">
        <v>0</v>
      </c>
      <c r="AH17" s="16">
        <v>23.14</v>
      </c>
      <c r="AI17" s="16">
        <v>45.8</v>
      </c>
      <c r="AK17" s="16">
        <v>3.77</v>
      </c>
      <c r="AL17" s="16">
        <v>9.39</v>
      </c>
      <c r="AM17" s="16">
        <v>0.88</v>
      </c>
      <c r="AN17" s="16">
        <v>0</v>
      </c>
      <c r="AO17" s="16">
        <v>0.28000000000000003</v>
      </c>
      <c r="AX17" s="17">
        <f t="shared" si="0"/>
        <v>112.17999999999999</v>
      </c>
      <c r="AY17" s="17">
        <f>AC17*Factors!AC$6+AB17*Factors!AB$6</f>
        <v>-12.177104465840207</v>
      </c>
      <c r="AZ17" s="18">
        <f t="shared" si="1"/>
        <v>100.00289553415979</v>
      </c>
    </row>
    <row r="18" spans="1:52" x14ac:dyDescent="0.25">
      <c r="A18" s="13" t="s">
        <v>158</v>
      </c>
      <c r="B18" s="15" t="s">
        <v>159</v>
      </c>
      <c r="C18" s="16">
        <v>22.24</v>
      </c>
      <c r="D18" s="16">
        <v>0.08</v>
      </c>
      <c r="H18" s="16">
        <v>1.1399999999999999</v>
      </c>
      <c r="I18" s="16">
        <v>0.92</v>
      </c>
      <c r="K18" s="16">
        <v>0.2</v>
      </c>
      <c r="L18" s="16">
        <v>1.9</v>
      </c>
      <c r="M18" s="16">
        <v>4.4800000000000004</v>
      </c>
      <c r="N18" s="16">
        <v>0</v>
      </c>
      <c r="O18" s="16">
        <v>0.45</v>
      </c>
      <c r="Q18" s="16">
        <v>0.24</v>
      </c>
      <c r="R18" s="16">
        <v>0.16</v>
      </c>
      <c r="W18" s="16">
        <v>0</v>
      </c>
      <c r="Y18" s="16">
        <v>0.14000000000000001</v>
      </c>
      <c r="AA18" s="16">
        <v>2.89</v>
      </c>
      <c r="AB18" s="16">
        <v>7.0000000000000007E-2</v>
      </c>
      <c r="AD18" s="16">
        <v>0</v>
      </c>
      <c r="AG18" s="16">
        <v>0</v>
      </c>
      <c r="AH18" s="16">
        <v>20.309999999999999</v>
      </c>
      <c r="AI18" s="16">
        <v>35.049999999999997</v>
      </c>
      <c r="AK18" s="16">
        <v>2.46</v>
      </c>
      <c r="AL18" s="16">
        <v>6.73</v>
      </c>
      <c r="AM18" s="16">
        <v>0.54</v>
      </c>
      <c r="AN18" s="16">
        <v>0</v>
      </c>
      <c r="AO18" s="16">
        <v>0</v>
      </c>
      <c r="AP18" s="16">
        <v>0</v>
      </c>
      <c r="AQ18" s="16">
        <v>0</v>
      </c>
      <c r="AS18" s="16">
        <v>0</v>
      </c>
      <c r="AU18" s="16">
        <v>0</v>
      </c>
      <c r="AX18" s="17">
        <f t="shared" si="0"/>
        <v>100</v>
      </c>
      <c r="AY18" s="17">
        <f>AC18*Factors!AC$6+AB18*Factors!AB$6</f>
        <v>-2.9474319246501197E-2</v>
      </c>
      <c r="AZ18" s="18">
        <f t="shared" si="1"/>
        <v>99.970525680753497</v>
      </c>
    </row>
    <row r="19" spans="1:52" x14ac:dyDescent="0.25">
      <c r="A19" s="13" t="s">
        <v>160</v>
      </c>
      <c r="B19" s="15" t="s">
        <v>161</v>
      </c>
      <c r="C19" s="16">
        <v>49.95</v>
      </c>
      <c r="D19" s="16">
        <v>0.6</v>
      </c>
      <c r="E19" s="16">
        <v>13.53</v>
      </c>
      <c r="F19" s="16">
        <v>0.28999999999999998</v>
      </c>
      <c r="H19" s="16">
        <v>0</v>
      </c>
      <c r="I19" s="16">
        <v>0</v>
      </c>
      <c r="J19" s="16">
        <v>3.89</v>
      </c>
      <c r="K19" s="16">
        <v>1.99</v>
      </c>
      <c r="L19" s="16">
        <v>0</v>
      </c>
      <c r="M19" s="16">
        <v>7.3</v>
      </c>
      <c r="N19" s="16">
        <v>1.35</v>
      </c>
      <c r="O19" s="16">
        <v>0.11</v>
      </c>
      <c r="Q19" s="16">
        <v>16.18</v>
      </c>
      <c r="R19" s="16">
        <v>0.38</v>
      </c>
      <c r="T19" s="16">
        <v>0.75</v>
      </c>
      <c r="Y19" s="16">
        <v>0.26</v>
      </c>
      <c r="AA19" s="16">
        <v>1</v>
      </c>
      <c r="AB19" s="16">
        <v>0</v>
      </c>
      <c r="AC19" s="16">
        <v>1.4</v>
      </c>
      <c r="AD19" s="16">
        <v>0</v>
      </c>
      <c r="AE19" s="16">
        <v>0</v>
      </c>
      <c r="AG19" s="16">
        <v>0.63</v>
      </c>
      <c r="AH19" s="16">
        <v>0.34</v>
      </c>
      <c r="AI19" s="16">
        <v>0.56999999999999995</v>
      </c>
      <c r="AK19" s="16">
        <v>0.15</v>
      </c>
      <c r="AL19" s="16">
        <v>0.37</v>
      </c>
      <c r="AM19" s="16">
        <v>9.1999999999999998E-2</v>
      </c>
      <c r="AN19" s="16">
        <v>2.5999999999999999E-2</v>
      </c>
      <c r="AO19" s="16">
        <v>7.8E-2</v>
      </c>
      <c r="AP19" s="16">
        <v>0.02</v>
      </c>
      <c r="AQ19" s="16">
        <v>0.10299999999999999</v>
      </c>
      <c r="AR19" s="16">
        <v>2.1000000000000001E-2</v>
      </c>
      <c r="AS19" s="16">
        <v>5.5E-2</v>
      </c>
      <c r="AT19" s="16">
        <v>8.0000000000000002E-3</v>
      </c>
      <c r="AU19" s="16">
        <v>0.05</v>
      </c>
      <c r="AV19" s="16">
        <v>6.0000000000000001E-3</v>
      </c>
      <c r="AX19" s="17">
        <f t="shared" si="0"/>
        <v>101.499</v>
      </c>
      <c r="AY19" s="17">
        <f>AC19*Factors!AC$6+AB19*Factors!AB$6</f>
        <v>-0.31591819464033849</v>
      </c>
      <c r="AZ19" s="18">
        <f t="shared" si="1"/>
        <v>101.18308180535966</v>
      </c>
    </row>
    <row r="20" spans="1:52" x14ac:dyDescent="0.25">
      <c r="A20" s="13" t="s">
        <v>162</v>
      </c>
      <c r="B20" s="15" t="s">
        <v>163</v>
      </c>
      <c r="C20" s="16">
        <v>23.36</v>
      </c>
      <c r="I20" s="16">
        <v>0</v>
      </c>
      <c r="J20" s="16">
        <v>12.08</v>
      </c>
      <c r="K20" s="16">
        <v>0</v>
      </c>
      <c r="L20" s="16">
        <v>0</v>
      </c>
      <c r="M20" s="16">
        <v>0.03</v>
      </c>
      <c r="Q20" s="16">
        <v>0</v>
      </c>
      <c r="S20" s="16">
        <v>9.7100000000000009</v>
      </c>
      <c r="AA20" s="16">
        <v>0.46</v>
      </c>
      <c r="AD20" s="16">
        <v>0</v>
      </c>
      <c r="AE20" s="16">
        <v>0</v>
      </c>
      <c r="AG20" s="16">
        <v>28.55</v>
      </c>
      <c r="AH20" s="16">
        <v>0.21</v>
      </c>
      <c r="AI20" s="16">
        <v>2.54</v>
      </c>
      <c r="AK20" s="16">
        <v>1.2</v>
      </c>
      <c r="AL20" s="16">
        <v>4.55</v>
      </c>
      <c r="AM20" s="16">
        <v>2.82</v>
      </c>
      <c r="AN20" s="16">
        <v>0.6</v>
      </c>
      <c r="AO20" s="16">
        <v>2.93</v>
      </c>
      <c r="AP20" s="16">
        <v>1.1000000000000001</v>
      </c>
      <c r="AQ20" s="16">
        <v>4.0599999999999996</v>
      </c>
      <c r="AR20" s="16">
        <v>1.98</v>
      </c>
      <c r="AS20" s="16">
        <v>1.54</v>
      </c>
      <c r="AT20" s="16">
        <v>0.2</v>
      </c>
      <c r="AU20" s="16">
        <v>0.57999999999999996</v>
      </c>
      <c r="AV20" s="16">
        <v>0</v>
      </c>
      <c r="AX20" s="17">
        <f t="shared" si="0"/>
        <v>98.5</v>
      </c>
      <c r="AY20" s="17">
        <f>AC20*Factors!AC$6+AB20*Factors!AB$6</f>
        <v>0</v>
      </c>
      <c r="AZ20" s="18">
        <f t="shared" si="1"/>
        <v>98.5</v>
      </c>
    </row>
    <row r="21" spans="1:52" x14ac:dyDescent="0.25">
      <c r="A21" s="13" t="s">
        <v>164</v>
      </c>
      <c r="B21" s="15" t="s">
        <v>165</v>
      </c>
      <c r="C21" s="16">
        <v>26.49</v>
      </c>
      <c r="E21" s="16">
        <v>49.81</v>
      </c>
      <c r="F21" s="16">
        <v>1.83</v>
      </c>
      <c r="H21" s="16">
        <v>0.11</v>
      </c>
      <c r="J21" s="16">
        <v>0.01</v>
      </c>
      <c r="K21" s="16">
        <v>0.03</v>
      </c>
      <c r="M21" s="16">
        <v>0.4</v>
      </c>
      <c r="P21" s="16">
        <v>0.87</v>
      </c>
      <c r="Q21" s="16">
        <v>0</v>
      </c>
      <c r="T21" s="16">
        <v>0</v>
      </c>
      <c r="W21" s="16">
        <v>5.46</v>
      </c>
      <c r="X21" s="16">
        <v>0.05</v>
      </c>
      <c r="AA21" s="16">
        <v>0</v>
      </c>
      <c r="AB21" s="16">
        <v>0.28000000000000003</v>
      </c>
      <c r="AD21" s="16">
        <v>0.92</v>
      </c>
      <c r="AE21" s="16">
        <v>3.09</v>
      </c>
      <c r="AF21" s="16">
        <v>0.42</v>
      </c>
      <c r="AG21" s="16">
        <v>5.47</v>
      </c>
      <c r="AH21" s="16">
        <v>0.02</v>
      </c>
      <c r="AI21" s="16">
        <v>0.36</v>
      </c>
      <c r="AK21" s="16">
        <v>0.02</v>
      </c>
      <c r="AL21" s="16">
        <v>0.02</v>
      </c>
      <c r="AM21" s="16">
        <v>0.11</v>
      </c>
      <c r="AN21" s="16">
        <v>0</v>
      </c>
      <c r="AO21" s="16">
        <v>0.35</v>
      </c>
      <c r="AP21" s="16">
        <v>0</v>
      </c>
      <c r="AQ21" s="16">
        <v>0.81</v>
      </c>
      <c r="AR21" s="16">
        <v>0</v>
      </c>
      <c r="AS21" s="16">
        <v>0.5</v>
      </c>
      <c r="AT21" s="16">
        <v>0</v>
      </c>
      <c r="AU21" s="16">
        <v>0.78</v>
      </c>
      <c r="AV21" s="16">
        <v>0</v>
      </c>
      <c r="AW21" s="16">
        <v>0.12</v>
      </c>
      <c r="AX21" s="17">
        <f t="shared" si="0"/>
        <v>98.33</v>
      </c>
      <c r="AY21" s="17">
        <f>AC21*Factors!AC$6+AB21*Factors!AB$6</f>
        <v>-0.11789727698600479</v>
      </c>
      <c r="AZ21" s="18">
        <f t="shared" si="1"/>
        <v>98.212102723013999</v>
      </c>
    </row>
    <row r="22" spans="1:52" x14ac:dyDescent="0.25">
      <c r="A22" s="13" t="s">
        <v>166</v>
      </c>
      <c r="B22" s="15" t="s">
        <v>167</v>
      </c>
      <c r="C22" s="16">
        <v>0.14000000000000001</v>
      </c>
      <c r="D22" s="16">
        <v>32.54</v>
      </c>
      <c r="E22" s="16">
        <v>1.9</v>
      </c>
      <c r="G22" s="16">
        <v>0</v>
      </c>
      <c r="I22" s="16">
        <v>6.22</v>
      </c>
      <c r="J22" s="16">
        <v>0</v>
      </c>
      <c r="K22" s="16">
        <v>0</v>
      </c>
      <c r="M22" s="16">
        <v>1.55</v>
      </c>
      <c r="T22" s="16">
        <v>10.85</v>
      </c>
      <c r="U22" s="16">
        <v>0.08</v>
      </c>
      <c r="AA22" s="16">
        <v>2.64</v>
      </c>
      <c r="AB22" s="16">
        <v>0.34</v>
      </c>
      <c r="AD22" s="16">
        <v>0</v>
      </c>
      <c r="AE22" s="16">
        <v>0</v>
      </c>
      <c r="AG22" s="16">
        <v>2.9</v>
      </c>
      <c r="AH22" s="16">
        <v>5.4</v>
      </c>
      <c r="AI22" s="16">
        <v>16.940000000000001</v>
      </c>
      <c r="AK22" s="16">
        <v>2.27</v>
      </c>
      <c r="AL22" s="16">
        <v>8.83</v>
      </c>
      <c r="AM22" s="16">
        <v>1.86</v>
      </c>
      <c r="AN22" s="16">
        <v>1.27</v>
      </c>
      <c r="AO22" s="16">
        <v>1.75</v>
      </c>
      <c r="AQ22" s="16">
        <v>0.84</v>
      </c>
      <c r="AS22" s="16">
        <v>0</v>
      </c>
      <c r="AU22" s="16">
        <v>0</v>
      </c>
      <c r="AX22" s="17">
        <f t="shared" si="0"/>
        <v>98.32</v>
      </c>
      <c r="AY22" s="17">
        <f>AC22*Factors!AC$6+AB22*Factors!AB$6</f>
        <v>-0.14316097919729151</v>
      </c>
      <c r="AZ22" s="18">
        <f t="shared" si="1"/>
        <v>98.176839020802703</v>
      </c>
    </row>
    <row r="23" spans="1:52" x14ac:dyDescent="0.25">
      <c r="A23" s="13" t="s">
        <v>168</v>
      </c>
      <c r="B23" s="15" t="s">
        <v>169</v>
      </c>
      <c r="C23" s="16">
        <v>0</v>
      </c>
      <c r="D23" s="16">
        <v>20.7</v>
      </c>
      <c r="E23" s="16">
        <v>0</v>
      </c>
      <c r="G23" s="16">
        <v>0.14000000000000001</v>
      </c>
      <c r="H23" s="16">
        <v>0</v>
      </c>
      <c r="I23" s="16">
        <v>0</v>
      </c>
      <c r="J23" s="16">
        <v>0.23</v>
      </c>
      <c r="K23" s="16">
        <v>0.23</v>
      </c>
      <c r="L23" s="16">
        <v>0</v>
      </c>
      <c r="M23" s="16">
        <v>1.0900000000000001</v>
      </c>
      <c r="P23" s="16">
        <v>0</v>
      </c>
      <c r="Q23" s="16">
        <v>0</v>
      </c>
      <c r="R23" s="16">
        <v>0</v>
      </c>
      <c r="T23" s="16">
        <v>32.090000000000003</v>
      </c>
      <c r="U23" s="16">
        <v>10.050000000000001</v>
      </c>
      <c r="V23" s="16">
        <v>0.1</v>
      </c>
      <c r="AA23" s="16">
        <v>0</v>
      </c>
      <c r="AD23" s="16">
        <v>0.65</v>
      </c>
      <c r="AE23" s="16">
        <v>4.47</v>
      </c>
      <c r="AF23" s="16">
        <v>0.05</v>
      </c>
      <c r="AG23" s="16">
        <v>19.89</v>
      </c>
      <c r="AH23" s="16">
        <v>0</v>
      </c>
      <c r="AI23" s="16">
        <v>0.12</v>
      </c>
      <c r="AK23" s="16">
        <v>0</v>
      </c>
      <c r="AL23" s="16">
        <v>0.47</v>
      </c>
      <c r="AM23" s="16">
        <v>1.02</v>
      </c>
      <c r="AN23" s="16">
        <v>0.47</v>
      </c>
      <c r="AO23" s="16">
        <v>1.68</v>
      </c>
      <c r="AP23" s="16">
        <v>0.36</v>
      </c>
      <c r="AQ23" s="16">
        <v>1.93</v>
      </c>
      <c r="AR23" s="16">
        <v>0.42</v>
      </c>
      <c r="AS23" s="16">
        <v>1.01</v>
      </c>
      <c r="AT23" s="16">
        <v>0.39</v>
      </c>
      <c r="AU23" s="16">
        <v>1.07</v>
      </c>
      <c r="AV23" s="16">
        <v>0.16</v>
      </c>
      <c r="AX23" s="17">
        <f t="shared" si="0"/>
        <v>98.79</v>
      </c>
      <c r="AY23" s="17">
        <f>AC23*Factors!AC$6+AB23*Factors!AB$6</f>
        <v>0</v>
      </c>
      <c r="AZ23" s="18">
        <f t="shared" si="1"/>
        <v>98.79</v>
      </c>
    </row>
    <row r="24" spans="1:52" x14ac:dyDescent="0.25">
      <c r="A24" s="13" t="s">
        <v>170</v>
      </c>
      <c r="B24" s="15" t="s">
        <v>171</v>
      </c>
      <c r="C24" s="16">
        <v>0</v>
      </c>
      <c r="D24" s="16">
        <v>0.97</v>
      </c>
      <c r="G24" s="16">
        <v>0</v>
      </c>
      <c r="J24" s="16">
        <v>0</v>
      </c>
      <c r="M24" s="16">
        <v>0.82</v>
      </c>
      <c r="T24" s="16">
        <v>44.42</v>
      </c>
      <c r="U24" s="16">
        <v>0</v>
      </c>
      <c r="V24" s="16">
        <v>0</v>
      </c>
      <c r="AA24" s="16">
        <v>0</v>
      </c>
      <c r="AD24" s="16">
        <v>4.0599999999999996</v>
      </c>
      <c r="AE24" s="16">
        <v>2.39</v>
      </c>
      <c r="AG24" s="16">
        <v>27.49</v>
      </c>
      <c r="AH24" s="16">
        <v>0.11</v>
      </c>
      <c r="AI24" s="16">
        <v>0.94</v>
      </c>
      <c r="AK24" s="16">
        <v>0.15</v>
      </c>
      <c r="AL24" s="16">
        <v>1.82</v>
      </c>
      <c r="AM24" s="16">
        <v>1.17</v>
      </c>
      <c r="AN24" s="16">
        <v>0.03</v>
      </c>
      <c r="AO24" s="16">
        <v>2.21</v>
      </c>
      <c r="AP24" s="16">
        <v>0.55000000000000004</v>
      </c>
      <c r="AQ24" s="16">
        <v>4.59</v>
      </c>
      <c r="AR24" s="16">
        <v>1.02</v>
      </c>
      <c r="AS24" s="16">
        <v>3.21</v>
      </c>
      <c r="AT24" s="16">
        <v>0.59</v>
      </c>
      <c r="AU24" s="16">
        <v>3.53</v>
      </c>
      <c r="AV24" s="16">
        <v>0.1</v>
      </c>
      <c r="AX24" s="17">
        <f t="shared" si="0"/>
        <v>100.16999999999999</v>
      </c>
      <c r="AY24" s="17">
        <f>AC24*Factors!AC$6+AB24*Factors!AB$6</f>
        <v>0</v>
      </c>
      <c r="AZ24" s="18">
        <f t="shared" si="1"/>
        <v>100.16999999999999</v>
      </c>
    </row>
    <row r="25" spans="1:52" x14ac:dyDescent="0.25">
      <c r="A25" s="13" t="s">
        <v>172</v>
      </c>
      <c r="B25" s="15" t="s">
        <v>173</v>
      </c>
      <c r="C25" s="16">
        <v>0</v>
      </c>
      <c r="D25" s="16">
        <v>39.47</v>
      </c>
      <c r="E25" s="16">
        <v>0</v>
      </c>
      <c r="H25" s="16">
        <v>0</v>
      </c>
      <c r="I25" s="16">
        <v>0</v>
      </c>
      <c r="J25" s="16">
        <v>0.18</v>
      </c>
      <c r="M25" s="16">
        <v>4.47</v>
      </c>
      <c r="N25" s="16">
        <v>3.4</v>
      </c>
      <c r="Q25" s="16">
        <v>7.45</v>
      </c>
      <c r="R25" s="16">
        <v>0</v>
      </c>
      <c r="T25" s="16">
        <v>9.4600000000000009</v>
      </c>
      <c r="U25" s="16">
        <v>0.63</v>
      </c>
      <c r="AB25" s="16">
        <v>0</v>
      </c>
      <c r="AD25" s="16">
        <v>0.81</v>
      </c>
      <c r="AE25" s="16">
        <v>0</v>
      </c>
      <c r="AH25" s="16">
        <v>8.7799999999999994</v>
      </c>
      <c r="AI25" s="16">
        <v>17.61</v>
      </c>
      <c r="AK25" s="16">
        <v>1.63</v>
      </c>
      <c r="AL25" s="16">
        <v>5.05</v>
      </c>
      <c r="AM25" s="16">
        <v>0</v>
      </c>
      <c r="AX25" s="17">
        <f t="shared" si="0"/>
        <v>98.94</v>
      </c>
      <c r="AY25" s="17">
        <f>AC25*Factors!AC$6+AB25*Factors!AB$6</f>
        <v>0</v>
      </c>
      <c r="AZ25" s="18">
        <f t="shared" si="1"/>
        <v>98.94</v>
      </c>
    </row>
    <row r="26" spans="1:52" x14ac:dyDescent="0.25">
      <c r="A26" s="13" t="s">
        <v>174</v>
      </c>
      <c r="B26" s="15" t="s">
        <v>175</v>
      </c>
      <c r="C26" s="16">
        <v>0</v>
      </c>
      <c r="D26" s="16">
        <v>4.05</v>
      </c>
      <c r="E26" s="16">
        <v>0</v>
      </c>
      <c r="G26" s="16">
        <v>1.05</v>
      </c>
      <c r="H26" s="16">
        <v>0</v>
      </c>
      <c r="I26" s="16">
        <v>6.06</v>
      </c>
      <c r="J26" s="16">
        <v>3.86</v>
      </c>
      <c r="K26" s="16">
        <v>1.1499999999999999</v>
      </c>
      <c r="L26" s="16">
        <v>0.1</v>
      </c>
      <c r="M26" s="16">
        <v>0.28000000000000003</v>
      </c>
      <c r="P26" s="16">
        <v>0</v>
      </c>
      <c r="Q26" s="16">
        <v>0</v>
      </c>
      <c r="R26" s="16">
        <v>0</v>
      </c>
      <c r="T26" s="16">
        <v>36.03</v>
      </c>
      <c r="U26" s="16">
        <v>13.13</v>
      </c>
      <c r="V26" s="16">
        <v>1.81</v>
      </c>
      <c r="AA26" s="16">
        <v>0</v>
      </c>
      <c r="AD26" s="16">
        <v>1.59</v>
      </c>
      <c r="AE26" s="16">
        <v>15.81</v>
      </c>
      <c r="AF26" s="16">
        <v>0.66</v>
      </c>
      <c r="AG26" s="16">
        <v>8.9499999999999993</v>
      </c>
      <c r="AH26" s="16">
        <v>0</v>
      </c>
      <c r="AI26" s="16">
        <v>0</v>
      </c>
      <c r="AK26" s="16">
        <v>0</v>
      </c>
      <c r="AL26" s="16">
        <v>1.1200000000000001</v>
      </c>
      <c r="AM26" s="16">
        <v>0.67</v>
      </c>
      <c r="AN26" s="16">
        <v>0</v>
      </c>
      <c r="AO26" s="16">
        <v>0.98</v>
      </c>
      <c r="AP26" s="16">
        <v>0</v>
      </c>
      <c r="AQ26" s="16">
        <v>0.96</v>
      </c>
      <c r="AR26" s="16">
        <v>0</v>
      </c>
      <c r="AS26" s="16">
        <v>0</v>
      </c>
      <c r="AT26" s="16">
        <v>0</v>
      </c>
      <c r="AU26" s="16">
        <v>1.07</v>
      </c>
      <c r="AV26" s="16">
        <v>0</v>
      </c>
      <c r="AX26" s="17">
        <f t="shared" si="0"/>
        <v>99.33</v>
      </c>
      <c r="AY26" s="17">
        <f>AC26*Factors!AC$6+AB26*Factors!AB$6</f>
        <v>0</v>
      </c>
      <c r="AZ26" s="18">
        <f t="shared" si="1"/>
        <v>99.33</v>
      </c>
    </row>
    <row r="28" spans="1:52" x14ac:dyDescent="0.25">
      <c r="A28" s="7" t="s">
        <v>176</v>
      </c>
    </row>
    <row r="29" spans="1:52" x14ac:dyDescent="0.25">
      <c r="A29" s="7" t="s">
        <v>177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Z29"/>
  <sheetViews>
    <sheetView workbookViewId="0">
      <pane xSplit="2" ySplit="1" topLeftCell="C2" activePane="bottomRight" state="frozen"/>
      <selection pane="topRight"/>
      <selection pane="bottomLeft"/>
      <selection pane="bottomRight"/>
    </sheetView>
  </sheetViews>
  <sheetFormatPr defaultRowHeight="15" x14ac:dyDescent="0.25"/>
  <cols>
    <col min="1" max="1" width="30" customWidth="1"/>
    <col min="2" max="2" width="34" customWidth="1"/>
    <col min="3" max="49" width="8.42578125" customWidth="1"/>
    <col min="50" max="52" width="11" customWidth="1"/>
  </cols>
  <sheetData>
    <row r="1" spans="1:52" ht="30" customHeight="1" x14ac:dyDescent="0.25">
      <c r="A1" s="4" t="s">
        <v>121</v>
      </c>
      <c r="B1" s="4" t="s">
        <v>122</v>
      </c>
      <c r="C1" s="4" t="s">
        <v>70</v>
      </c>
      <c r="D1" s="4" t="s">
        <v>71</v>
      </c>
      <c r="E1" s="4" t="s">
        <v>72</v>
      </c>
      <c r="F1" s="4" t="s">
        <v>73</v>
      </c>
      <c r="G1" s="4" t="s">
        <v>74</v>
      </c>
      <c r="H1" s="4" t="s">
        <v>75</v>
      </c>
      <c r="I1" s="4" t="s">
        <v>76</v>
      </c>
      <c r="J1" s="4" t="s">
        <v>77</v>
      </c>
      <c r="K1" s="4" t="s">
        <v>78</v>
      </c>
      <c r="L1" s="4" t="s">
        <v>79</v>
      </c>
      <c r="M1" s="4" t="s">
        <v>80</v>
      </c>
      <c r="N1" s="4" t="s">
        <v>81</v>
      </c>
      <c r="O1" s="4" t="s">
        <v>82</v>
      </c>
      <c r="P1" s="4" t="s">
        <v>83</v>
      </c>
      <c r="Q1" s="4" t="s">
        <v>84</v>
      </c>
      <c r="R1" s="4" t="s">
        <v>85</v>
      </c>
      <c r="S1" s="4" t="s">
        <v>86</v>
      </c>
      <c r="T1" s="4" t="s">
        <v>87</v>
      </c>
      <c r="U1" s="4" t="s">
        <v>88</v>
      </c>
      <c r="V1" s="4" t="s">
        <v>89</v>
      </c>
      <c r="W1" s="4" t="s">
        <v>90</v>
      </c>
      <c r="X1" s="4" t="s">
        <v>91</v>
      </c>
      <c r="Y1" s="4" t="s">
        <v>92</v>
      </c>
      <c r="Z1" s="4" t="s">
        <v>93</v>
      </c>
      <c r="AA1" s="4" t="s">
        <v>94</v>
      </c>
      <c r="AB1" s="4" t="s">
        <v>47</v>
      </c>
      <c r="AC1" s="4" t="s">
        <v>48</v>
      </c>
      <c r="AD1" s="4" t="s">
        <v>95</v>
      </c>
      <c r="AE1" s="4" t="s">
        <v>96</v>
      </c>
      <c r="AF1" s="4" t="s">
        <v>97</v>
      </c>
      <c r="AG1" s="4" t="s">
        <v>98</v>
      </c>
      <c r="AH1" s="4" t="s">
        <v>99</v>
      </c>
      <c r="AI1" s="4" t="s">
        <v>100</v>
      </c>
      <c r="AJ1" s="4" t="s">
        <v>101</v>
      </c>
      <c r="AK1" s="4" t="s">
        <v>102</v>
      </c>
      <c r="AL1" s="4" t="s">
        <v>103</v>
      </c>
      <c r="AM1" s="4" t="s">
        <v>104</v>
      </c>
      <c r="AN1" s="4" t="s">
        <v>105</v>
      </c>
      <c r="AO1" s="4" t="s">
        <v>106</v>
      </c>
      <c r="AP1" s="4" t="s">
        <v>107</v>
      </c>
      <c r="AQ1" s="4" t="s">
        <v>108</v>
      </c>
      <c r="AR1" s="4" t="s">
        <v>109</v>
      </c>
      <c r="AS1" s="4" t="s">
        <v>110</v>
      </c>
      <c r="AT1" s="4" t="s">
        <v>111</v>
      </c>
      <c r="AU1" s="4" t="s">
        <v>112</v>
      </c>
      <c r="AV1" s="4" t="s">
        <v>113</v>
      </c>
      <c r="AW1" s="4" t="s">
        <v>114</v>
      </c>
      <c r="AX1" s="4" t="s">
        <v>123</v>
      </c>
      <c r="AY1" s="4" t="s">
        <v>124</v>
      </c>
      <c r="AZ1" s="4" t="s">
        <v>125</v>
      </c>
    </row>
    <row r="2" spans="1:52" x14ac:dyDescent="0.25">
      <c r="A2" s="13" t="s">
        <v>126</v>
      </c>
      <c r="B2" s="15" t="s">
        <v>127</v>
      </c>
      <c r="C2" s="16">
        <v>0.05</v>
      </c>
      <c r="H2" s="16">
        <v>0</v>
      </c>
      <c r="J2" s="16">
        <v>0</v>
      </c>
      <c r="M2" s="16">
        <v>0.1</v>
      </c>
      <c r="N2" s="16">
        <v>0</v>
      </c>
      <c r="P2" s="16">
        <v>0.01</v>
      </c>
      <c r="W2" s="16">
        <v>25</v>
      </c>
      <c r="Y2" s="16">
        <v>0</v>
      </c>
      <c r="AD2" s="16">
        <v>1</v>
      </c>
      <c r="AE2" s="16">
        <v>0</v>
      </c>
      <c r="AG2" s="16">
        <v>0</v>
      </c>
      <c r="AH2" s="16">
        <v>10</v>
      </c>
      <c r="AI2" s="16">
        <v>25</v>
      </c>
      <c r="AK2" s="16">
        <v>1</v>
      </c>
      <c r="AL2" s="16">
        <v>6</v>
      </c>
      <c r="AM2" s="16">
        <v>0.2</v>
      </c>
      <c r="AN2" s="16">
        <v>0</v>
      </c>
      <c r="AO2" s="16">
        <v>0.05</v>
      </c>
      <c r="AP2" s="16">
        <v>0</v>
      </c>
      <c r="AQ2" s="16">
        <v>0</v>
      </c>
      <c r="AR2" s="16">
        <v>0</v>
      </c>
      <c r="AS2" s="16">
        <v>0</v>
      </c>
      <c r="AT2" s="16">
        <v>0</v>
      </c>
      <c r="AU2" s="16">
        <v>0</v>
      </c>
      <c r="AV2" s="16">
        <v>0</v>
      </c>
      <c r="AX2" s="17">
        <f t="shared" ref="AX2:AX26" si="0">SUM(C2:AW2)</f>
        <v>68.41</v>
      </c>
      <c r="AY2" s="17">
        <f>AC2*Factors!AC$6+AB2*Factors!AB$6</f>
        <v>0</v>
      </c>
      <c r="AZ2" s="18">
        <f t="shared" ref="AZ2:AZ26" si="1">AX2+AY2</f>
        <v>68.41</v>
      </c>
    </row>
    <row r="3" spans="1:52" x14ac:dyDescent="0.25">
      <c r="A3" s="13" t="s">
        <v>128</v>
      </c>
      <c r="B3" s="15" t="s">
        <v>129</v>
      </c>
      <c r="C3" s="16">
        <v>0</v>
      </c>
      <c r="J3" s="16">
        <v>0</v>
      </c>
      <c r="M3" s="16">
        <v>0</v>
      </c>
      <c r="N3" s="16">
        <v>0</v>
      </c>
      <c r="O3" s="16">
        <v>0</v>
      </c>
      <c r="W3" s="16">
        <v>0</v>
      </c>
      <c r="Z3" s="16">
        <v>18.5</v>
      </c>
      <c r="AA3" s="16">
        <v>0</v>
      </c>
      <c r="AB3" s="16">
        <v>5.5</v>
      </c>
      <c r="AD3" s="16">
        <v>0</v>
      </c>
      <c r="AE3" s="16">
        <v>0</v>
      </c>
      <c r="AG3" s="16">
        <v>0</v>
      </c>
      <c r="AH3" s="16">
        <v>14</v>
      </c>
      <c r="AI3" s="16">
        <v>28</v>
      </c>
      <c r="AK3" s="16">
        <v>1.5</v>
      </c>
      <c r="AL3" s="16">
        <v>3</v>
      </c>
      <c r="AM3" s="16">
        <v>0.1</v>
      </c>
      <c r="AN3" s="16">
        <v>0</v>
      </c>
      <c r="AO3" s="16">
        <v>0</v>
      </c>
      <c r="AQ3" s="16">
        <v>0</v>
      </c>
      <c r="AX3" s="17">
        <f t="shared" si="0"/>
        <v>70.599999999999994</v>
      </c>
      <c r="AY3" s="17">
        <f>AC3*Factors!AC$6+AB3*Factors!AB$6</f>
        <v>-2.3158393693679509</v>
      </c>
      <c r="AZ3" s="18">
        <f t="shared" si="1"/>
        <v>68.284160630632044</v>
      </c>
    </row>
    <row r="4" spans="1:52" x14ac:dyDescent="0.25">
      <c r="A4" s="13" t="s">
        <v>130</v>
      </c>
      <c r="B4" s="15" t="s">
        <v>131</v>
      </c>
      <c r="C4" s="16">
        <v>0</v>
      </c>
      <c r="H4" s="16">
        <v>0</v>
      </c>
      <c r="J4" s="16">
        <v>0</v>
      </c>
      <c r="M4" s="16">
        <v>0</v>
      </c>
      <c r="P4" s="16">
        <v>0</v>
      </c>
      <c r="W4" s="16">
        <v>32</v>
      </c>
      <c r="AD4" s="16">
        <v>0</v>
      </c>
      <c r="AE4" s="16">
        <v>0</v>
      </c>
      <c r="AG4" s="16">
        <v>38</v>
      </c>
      <c r="AH4" s="16">
        <v>0</v>
      </c>
      <c r="AI4" s="16">
        <v>0</v>
      </c>
      <c r="AK4" s="16">
        <v>0</v>
      </c>
      <c r="AL4" s="16">
        <v>0</v>
      </c>
      <c r="AM4" s="16">
        <v>0.05</v>
      </c>
      <c r="AN4" s="16">
        <v>0</v>
      </c>
      <c r="AO4" s="16">
        <v>0.8</v>
      </c>
      <c r="AP4" s="16">
        <v>0.2</v>
      </c>
      <c r="AQ4" s="16">
        <v>3</v>
      </c>
      <c r="AR4" s="16">
        <v>0.6</v>
      </c>
      <c r="AS4" s="16">
        <v>2.5</v>
      </c>
      <c r="AT4" s="16">
        <v>0.3</v>
      </c>
      <c r="AU4" s="16">
        <v>2</v>
      </c>
      <c r="AV4" s="16">
        <v>0.2</v>
      </c>
      <c r="AX4" s="17">
        <f t="shared" si="0"/>
        <v>79.649999999999991</v>
      </c>
      <c r="AY4" s="17">
        <f>AC4*Factors!AC$6+AB4*Factors!AB$6</f>
        <v>0</v>
      </c>
      <c r="AZ4" s="18">
        <f t="shared" si="1"/>
        <v>79.649999999999991</v>
      </c>
    </row>
    <row r="5" spans="1:52" x14ac:dyDescent="0.25">
      <c r="A5" s="13" t="s">
        <v>132</v>
      </c>
      <c r="B5" s="15" t="s">
        <v>133</v>
      </c>
      <c r="C5" s="16">
        <v>0</v>
      </c>
      <c r="J5" s="16">
        <v>0</v>
      </c>
      <c r="M5" s="16">
        <v>9</v>
      </c>
      <c r="N5" s="16">
        <v>0</v>
      </c>
      <c r="O5" s="16">
        <v>0</v>
      </c>
      <c r="Q5" s="16">
        <v>0</v>
      </c>
      <c r="Z5" s="16">
        <v>23</v>
      </c>
      <c r="AB5" s="16">
        <v>5</v>
      </c>
      <c r="AD5" s="16">
        <v>0</v>
      </c>
      <c r="AE5" s="16">
        <v>0</v>
      </c>
      <c r="AG5" s="16">
        <v>0</v>
      </c>
      <c r="AH5" s="16">
        <v>9</v>
      </c>
      <c r="AI5" s="16">
        <v>24</v>
      </c>
      <c r="AK5" s="16">
        <v>1.5</v>
      </c>
      <c r="AL5" s="16">
        <v>5</v>
      </c>
      <c r="AM5" s="16">
        <v>0.3</v>
      </c>
      <c r="AN5" s="16">
        <v>0</v>
      </c>
      <c r="AO5" s="16">
        <v>0</v>
      </c>
      <c r="AQ5" s="16">
        <v>0</v>
      </c>
      <c r="AX5" s="17">
        <f t="shared" si="0"/>
        <v>76.8</v>
      </c>
      <c r="AY5" s="17">
        <f>AC5*Factors!AC$6+AB5*Factors!AB$6</f>
        <v>-2.1053085176072281</v>
      </c>
      <c r="AZ5" s="18">
        <f t="shared" si="1"/>
        <v>74.69469148239277</v>
      </c>
    </row>
    <row r="6" spans="1:52" x14ac:dyDescent="0.25">
      <c r="A6" s="13" t="s">
        <v>134</v>
      </c>
      <c r="B6" s="15" t="s">
        <v>135</v>
      </c>
      <c r="C6" s="16">
        <v>0</v>
      </c>
      <c r="J6" s="16">
        <v>0</v>
      </c>
      <c r="M6" s="16">
        <v>15.5</v>
      </c>
      <c r="N6" s="16">
        <v>0</v>
      </c>
      <c r="Z6" s="16">
        <v>26</v>
      </c>
      <c r="AB6" s="16">
        <v>4</v>
      </c>
      <c r="AD6" s="16">
        <v>0</v>
      </c>
      <c r="AE6" s="16">
        <v>0</v>
      </c>
      <c r="AG6" s="16">
        <v>0</v>
      </c>
      <c r="AH6" s="16">
        <v>6</v>
      </c>
      <c r="AI6" s="16">
        <v>18</v>
      </c>
      <c r="AK6" s="16">
        <v>1</v>
      </c>
      <c r="AL6" s="16">
        <v>4</v>
      </c>
      <c r="AM6" s="16">
        <v>0.2</v>
      </c>
      <c r="AN6" s="16">
        <v>0</v>
      </c>
      <c r="AO6" s="16">
        <v>0</v>
      </c>
      <c r="AQ6" s="16">
        <v>0</v>
      </c>
      <c r="AX6" s="17">
        <f t="shared" si="0"/>
        <v>74.7</v>
      </c>
      <c r="AY6" s="17">
        <f>AC6*Factors!AC$6+AB6*Factors!AB$6</f>
        <v>-1.6842468140857825</v>
      </c>
      <c r="AZ6" s="18">
        <f t="shared" si="1"/>
        <v>73.015753185914221</v>
      </c>
    </row>
    <row r="7" spans="1:52" x14ac:dyDescent="0.25">
      <c r="A7" s="13" t="s">
        <v>136</v>
      </c>
      <c r="B7" s="15" t="s">
        <v>137</v>
      </c>
      <c r="C7" s="16">
        <v>29</v>
      </c>
      <c r="D7" s="16">
        <v>0</v>
      </c>
      <c r="H7" s="16">
        <v>10</v>
      </c>
      <c r="I7" s="16">
        <v>1</v>
      </c>
      <c r="J7" s="16">
        <v>3</v>
      </c>
      <c r="K7" s="16">
        <v>0.05</v>
      </c>
      <c r="L7" s="16">
        <v>0</v>
      </c>
      <c r="M7" s="16">
        <v>8</v>
      </c>
      <c r="Q7" s="16">
        <v>0</v>
      </c>
      <c r="W7" s="16">
        <v>0</v>
      </c>
      <c r="AA7" s="16">
        <v>1.2</v>
      </c>
      <c r="AB7" s="16">
        <v>0</v>
      </c>
      <c r="AD7" s="16">
        <v>0</v>
      </c>
      <c r="AE7" s="16">
        <v>0</v>
      </c>
      <c r="AG7" s="16">
        <v>0</v>
      </c>
      <c r="AH7" s="16">
        <v>2</v>
      </c>
      <c r="AI7" s="16">
        <v>8</v>
      </c>
      <c r="AK7" s="16">
        <v>0.5</v>
      </c>
      <c r="AL7" s="16">
        <v>1.5</v>
      </c>
      <c r="AM7" s="16">
        <v>0.1</v>
      </c>
      <c r="AN7" s="16">
        <v>0</v>
      </c>
      <c r="AO7" s="16">
        <v>0</v>
      </c>
      <c r="AP7" s="16">
        <v>0</v>
      </c>
      <c r="AQ7" s="16">
        <v>0</v>
      </c>
      <c r="AR7" s="16">
        <v>0</v>
      </c>
      <c r="AS7" s="16">
        <v>0</v>
      </c>
      <c r="AT7" s="16">
        <v>0</v>
      </c>
      <c r="AU7" s="16">
        <v>0</v>
      </c>
      <c r="AV7" s="16">
        <v>0</v>
      </c>
      <c r="AX7" s="17">
        <f t="shared" si="0"/>
        <v>64.349999999999994</v>
      </c>
      <c r="AY7" s="17">
        <f>AC7*Factors!AC$6+AB7*Factors!AB$6</f>
        <v>0</v>
      </c>
      <c r="AZ7" s="18">
        <f t="shared" si="1"/>
        <v>64.349999999999994</v>
      </c>
    </row>
    <row r="8" spans="1:52" x14ac:dyDescent="0.25">
      <c r="A8" s="13" t="s">
        <v>138</v>
      </c>
      <c r="B8" s="15" t="s">
        <v>139</v>
      </c>
      <c r="C8" s="16">
        <v>0</v>
      </c>
      <c r="J8" s="16">
        <v>0</v>
      </c>
      <c r="K8" s="16">
        <v>0</v>
      </c>
      <c r="M8" s="16">
        <v>51</v>
      </c>
      <c r="N8" s="16">
        <v>0</v>
      </c>
      <c r="Q8" s="16">
        <v>0</v>
      </c>
      <c r="W8" s="16">
        <v>38</v>
      </c>
      <c r="Y8" s="16">
        <v>0</v>
      </c>
      <c r="Z8" s="16">
        <v>0</v>
      </c>
      <c r="AA8" s="16">
        <v>0</v>
      </c>
      <c r="AB8" s="16">
        <v>2.5</v>
      </c>
      <c r="AC8" s="16">
        <v>0</v>
      </c>
      <c r="AD8" s="16">
        <v>0</v>
      </c>
      <c r="AE8" s="16">
        <v>0</v>
      </c>
      <c r="AG8" s="16">
        <v>0</v>
      </c>
      <c r="AH8" s="16">
        <v>0.1</v>
      </c>
      <c r="AI8" s="16">
        <v>0.3</v>
      </c>
      <c r="AK8" s="16">
        <v>0</v>
      </c>
      <c r="AL8" s="16">
        <v>0.1</v>
      </c>
      <c r="AM8" s="16">
        <v>0</v>
      </c>
      <c r="AN8" s="16">
        <v>0</v>
      </c>
      <c r="AO8" s="16">
        <v>0</v>
      </c>
      <c r="AQ8" s="16">
        <v>0</v>
      </c>
      <c r="AS8" s="16">
        <v>0</v>
      </c>
      <c r="AU8" s="16">
        <v>0</v>
      </c>
      <c r="AX8" s="17">
        <f t="shared" si="0"/>
        <v>91.999999999999986</v>
      </c>
      <c r="AY8" s="17">
        <f>AC8*Factors!AC$6+AB8*Factors!AB$6</f>
        <v>-1.0526542588036141</v>
      </c>
      <c r="AZ8" s="18">
        <f t="shared" si="1"/>
        <v>90.947345741196372</v>
      </c>
    </row>
    <row r="9" spans="1:52" x14ac:dyDescent="0.25">
      <c r="A9" s="13" t="s">
        <v>140</v>
      </c>
      <c r="B9" s="15" t="s">
        <v>141</v>
      </c>
      <c r="C9" s="16">
        <v>0</v>
      </c>
      <c r="H9" s="16">
        <v>27</v>
      </c>
      <c r="I9" s="16">
        <v>0</v>
      </c>
      <c r="M9" s="16">
        <v>0.2</v>
      </c>
      <c r="N9" s="16">
        <v>0</v>
      </c>
      <c r="O9" s="16">
        <v>0</v>
      </c>
      <c r="W9" s="16">
        <v>24</v>
      </c>
      <c r="Y9" s="16">
        <v>0</v>
      </c>
      <c r="AA9" s="16">
        <v>10</v>
      </c>
      <c r="AB9" s="16">
        <v>0</v>
      </c>
      <c r="AD9" s="16">
        <v>0</v>
      </c>
      <c r="AG9" s="16">
        <v>0</v>
      </c>
      <c r="AH9" s="16">
        <v>3</v>
      </c>
      <c r="AI9" s="16">
        <v>8</v>
      </c>
      <c r="AK9" s="16">
        <v>0.5</v>
      </c>
      <c r="AL9" s="16">
        <v>2</v>
      </c>
      <c r="AM9" s="16">
        <v>0</v>
      </c>
      <c r="AN9" s="16">
        <v>0</v>
      </c>
      <c r="AO9" s="16">
        <v>0</v>
      </c>
      <c r="AQ9" s="16">
        <v>0</v>
      </c>
      <c r="AX9" s="17">
        <f t="shared" si="0"/>
        <v>74.7</v>
      </c>
      <c r="AY9" s="17">
        <f>AC9*Factors!AC$6+AB9*Factors!AB$6</f>
        <v>0</v>
      </c>
      <c r="AZ9" s="18">
        <f t="shared" si="1"/>
        <v>74.7</v>
      </c>
    </row>
    <row r="10" spans="1:52" x14ac:dyDescent="0.25">
      <c r="A10" s="13" t="s">
        <v>142</v>
      </c>
      <c r="B10" s="15" t="s">
        <v>143</v>
      </c>
      <c r="C10" s="16">
        <v>0</v>
      </c>
      <c r="E10" s="16">
        <v>0</v>
      </c>
      <c r="J10" s="16">
        <v>0</v>
      </c>
      <c r="M10" s="16">
        <v>0</v>
      </c>
      <c r="T10" s="16">
        <v>0</v>
      </c>
      <c r="U10" s="16">
        <v>0</v>
      </c>
      <c r="W10" s="16">
        <v>0</v>
      </c>
      <c r="AA10" s="16">
        <v>0</v>
      </c>
      <c r="AD10" s="16">
        <v>0</v>
      </c>
      <c r="AG10" s="16">
        <v>0</v>
      </c>
      <c r="AH10" s="16">
        <v>0</v>
      </c>
      <c r="AJ10" s="16">
        <v>78</v>
      </c>
      <c r="AK10" s="16">
        <v>0</v>
      </c>
      <c r="AL10" s="16">
        <v>0</v>
      </c>
      <c r="AU10" s="16">
        <v>0</v>
      </c>
      <c r="AX10" s="17">
        <f t="shared" si="0"/>
        <v>78</v>
      </c>
      <c r="AY10" s="17">
        <f>AC10*Factors!AC$6+AB10*Factors!AB$6</f>
        <v>0</v>
      </c>
      <c r="AZ10" s="18">
        <f t="shared" si="1"/>
        <v>78</v>
      </c>
    </row>
    <row r="11" spans="1:52" x14ac:dyDescent="0.25">
      <c r="A11" s="13" t="s">
        <v>144</v>
      </c>
      <c r="B11" s="15" t="s">
        <v>145</v>
      </c>
      <c r="C11" s="16">
        <v>0</v>
      </c>
      <c r="D11" s="16">
        <v>1</v>
      </c>
      <c r="E11" s="16">
        <v>0</v>
      </c>
      <c r="H11" s="16">
        <v>0</v>
      </c>
      <c r="J11" s="16">
        <v>0</v>
      </c>
      <c r="K11" s="16">
        <v>0</v>
      </c>
      <c r="L11" s="16">
        <v>0</v>
      </c>
      <c r="M11" s="16">
        <v>10</v>
      </c>
      <c r="N11" s="16">
        <v>0</v>
      </c>
      <c r="O11" s="16">
        <v>0</v>
      </c>
      <c r="P11" s="16">
        <v>0</v>
      </c>
      <c r="Q11" s="16">
        <v>1</v>
      </c>
      <c r="R11" s="16">
        <v>0</v>
      </c>
      <c r="T11" s="16">
        <v>45</v>
      </c>
      <c r="U11" s="16">
        <v>0</v>
      </c>
      <c r="AA11" s="16">
        <v>0</v>
      </c>
      <c r="AB11" s="16">
        <v>1.2</v>
      </c>
      <c r="AD11" s="16">
        <v>0</v>
      </c>
      <c r="AE11" s="16">
        <v>0</v>
      </c>
      <c r="AG11" s="16">
        <v>0</v>
      </c>
      <c r="AH11" s="16">
        <v>0</v>
      </c>
      <c r="AI11" s="16">
        <v>0.5</v>
      </c>
      <c r="AK11" s="16">
        <v>0</v>
      </c>
      <c r="AL11" s="16">
        <v>0</v>
      </c>
      <c r="AM11" s="16">
        <v>0</v>
      </c>
      <c r="AX11" s="17">
        <f t="shared" si="0"/>
        <v>58.7</v>
      </c>
      <c r="AY11" s="17">
        <f>AC11*Factors!AC$6+AB11*Factors!AB$6</f>
        <v>-0.50527404422573474</v>
      </c>
      <c r="AZ11" s="18">
        <f t="shared" si="1"/>
        <v>58.194725955774267</v>
      </c>
    </row>
    <row r="12" spans="1:52" x14ac:dyDescent="0.25">
      <c r="A12" s="13" t="s">
        <v>146</v>
      </c>
      <c r="B12" s="15" t="s">
        <v>147</v>
      </c>
      <c r="J12" s="16">
        <v>0</v>
      </c>
      <c r="M12" s="16">
        <v>0</v>
      </c>
      <c r="N12" s="16">
        <v>17</v>
      </c>
      <c r="O12" s="16">
        <v>0</v>
      </c>
      <c r="Z12" s="16">
        <v>22</v>
      </c>
      <c r="AA12" s="16">
        <v>5.5</v>
      </c>
      <c r="AB12" s="16">
        <v>0</v>
      </c>
      <c r="AD12" s="16">
        <v>0</v>
      </c>
      <c r="AG12" s="16">
        <v>0</v>
      </c>
      <c r="AH12" s="16">
        <v>8</v>
      </c>
      <c r="AI12" s="16">
        <v>18</v>
      </c>
      <c r="AK12" s="16">
        <v>1</v>
      </c>
      <c r="AL12" s="16">
        <v>3</v>
      </c>
      <c r="AM12" s="16">
        <v>0</v>
      </c>
      <c r="AO12" s="16">
        <v>0</v>
      </c>
      <c r="AX12" s="17">
        <f t="shared" si="0"/>
        <v>74.5</v>
      </c>
      <c r="AY12" s="17">
        <f>AC12*Factors!AC$6+AB12*Factors!AB$6</f>
        <v>0</v>
      </c>
      <c r="AZ12" s="18">
        <f t="shared" si="1"/>
        <v>74.5</v>
      </c>
    </row>
    <row r="13" spans="1:52" x14ac:dyDescent="0.25">
      <c r="A13" s="13" t="s">
        <v>148</v>
      </c>
      <c r="B13" s="15" t="s">
        <v>149</v>
      </c>
      <c r="C13" s="16">
        <v>45</v>
      </c>
      <c r="D13" s="16">
        <v>0.03</v>
      </c>
      <c r="H13" s="16">
        <v>13</v>
      </c>
      <c r="I13" s="16">
        <v>0.5</v>
      </c>
      <c r="K13" s="16">
        <v>0.02</v>
      </c>
      <c r="L13" s="16">
        <v>0.03</v>
      </c>
      <c r="M13" s="16">
        <v>0.03</v>
      </c>
      <c r="Q13" s="16">
        <v>0.03</v>
      </c>
      <c r="R13" s="16">
        <v>0.5</v>
      </c>
      <c r="W13" s="16">
        <v>0.01</v>
      </c>
      <c r="AA13" s="16">
        <v>3</v>
      </c>
      <c r="AG13" s="16">
        <v>5.0000000000000001E-3</v>
      </c>
      <c r="AH13" s="16">
        <v>8.9999999999999998E-4</v>
      </c>
      <c r="AI13" s="16">
        <v>2.0000000000000001E-4</v>
      </c>
      <c r="AK13" s="16">
        <v>2.9999999999999997E-4</v>
      </c>
      <c r="AL13" s="16">
        <v>1.5E-3</v>
      </c>
      <c r="AM13" s="16">
        <v>1E-3</v>
      </c>
      <c r="AN13" s="16">
        <v>5.0000000000000002E-5</v>
      </c>
      <c r="AO13" s="16">
        <v>1.5E-3</v>
      </c>
      <c r="AP13" s="16">
        <v>0</v>
      </c>
      <c r="AQ13" s="16">
        <v>0</v>
      </c>
      <c r="AR13" s="16">
        <v>0</v>
      </c>
      <c r="AS13" s="16">
        <v>0</v>
      </c>
      <c r="AT13" s="16">
        <v>0</v>
      </c>
      <c r="AU13" s="16">
        <v>2.0000000000000001E-4</v>
      </c>
      <c r="AV13" s="16">
        <v>5.0000000000000002E-5</v>
      </c>
      <c r="AX13" s="17">
        <f t="shared" si="0"/>
        <v>62.160700000000013</v>
      </c>
      <c r="AY13" s="17">
        <f>AC13*Factors!AC$6+AB13*Factors!AB$6</f>
        <v>0</v>
      </c>
      <c r="AZ13" s="18">
        <f t="shared" si="1"/>
        <v>62.160700000000013</v>
      </c>
    </row>
    <row r="14" spans="1:52" x14ac:dyDescent="0.25">
      <c r="A14" s="13" t="s">
        <v>150</v>
      </c>
      <c r="B14" s="15" t="s">
        <v>151</v>
      </c>
      <c r="C14" s="16">
        <v>12</v>
      </c>
      <c r="H14" s="16">
        <v>0</v>
      </c>
      <c r="J14" s="16">
        <v>0</v>
      </c>
      <c r="K14" s="16">
        <v>0</v>
      </c>
      <c r="M14" s="16">
        <v>10</v>
      </c>
      <c r="N14" s="16">
        <v>0</v>
      </c>
      <c r="Q14" s="16">
        <v>0</v>
      </c>
      <c r="W14" s="16">
        <v>2</v>
      </c>
      <c r="AA14" s="16">
        <v>0</v>
      </c>
      <c r="AB14" s="16">
        <v>0.5</v>
      </c>
      <c r="AC14" s="16">
        <v>0</v>
      </c>
      <c r="AD14" s="16">
        <v>0.5</v>
      </c>
      <c r="AE14" s="16">
        <v>0</v>
      </c>
      <c r="AG14" s="16">
        <v>0</v>
      </c>
      <c r="AH14" s="16">
        <v>5</v>
      </c>
      <c r="AI14" s="16">
        <v>17</v>
      </c>
      <c r="AK14" s="16">
        <v>1</v>
      </c>
      <c r="AL14" s="16">
        <v>4</v>
      </c>
      <c r="AM14" s="16">
        <v>0.3</v>
      </c>
      <c r="AN14" s="16">
        <v>0</v>
      </c>
      <c r="AO14" s="16">
        <v>0.2</v>
      </c>
      <c r="AQ14" s="16">
        <v>0</v>
      </c>
      <c r="AS14" s="16">
        <v>0</v>
      </c>
      <c r="AU14" s="16">
        <v>0</v>
      </c>
      <c r="AX14" s="17">
        <f t="shared" si="0"/>
        <v>52.5</v>
      </c>
      <c r="AY14" s="17">
        <f>AC14*Factors!AC$6+AB14*Factors!AB$6</f>
        <v>-0.21053085176072281</v>
      </c>
      <c r="AZ14" s="18">
        <f t="shared" si="1"/>
        <v>52.289469148239277</v>
      </c>
    </row>
    <row r="15" spans="1:52" x14ac:dyDescent="0.25">
      <c r="A15" s="13" t="s">
        <v>152</v>
      </c>
      <c r="B15" s="15" t="s">
        <v>153</v>
      </c>
      <c r="C15" s="16">
        <v>0</v>
      </c>
      <c r="H15" s="16">
        <v>0</v>
      </c>
      <c r="I15" s="16">
        <v>0</v>
      </c>
      <c r="M15" s="16">
        <v>0</v>
      </c>
      <c r="W15" s="16">
        <v>29</v>
      </c>
      <c r="AA15" s="16">
        <v>14</v>
      </c>
      <c r="AG15" s="16">
        <v>35</v>
      </c>
      <c r="AH15" s="16">
        <v>0</v>
      </c>
      <c r="AI15" s="16">
        <v>0</v>
      </c>
      <c r="AK15" s="16">
        <v>0</v>
      </c>
      <c r="AL15" s="16">
        <v>0</v>
      </c>
      <c r="AM15" s="16">
        <v>0</v>
      </c>
      <c r="AN15" s="16">
        <v>0</v>
      </c>
      <c r="AO15" s="16">
        <v>1</v>
      </c>
      <c r="AP15" s="16">
        <v>0.1</v>
      </c>
      <c r="AQ15" s="16">
        <v>1.5</v>
      </c>
      <c r="AR15" s="16">
        <v>0.2</v>
      </c>
      <c r="AS15" s="16">
        <v>1</v>
      </c>
      <c r="AT15" s="16">
        <v>0</v>
      </c>
      <c r="AU15" s="16">
        <v>0.5</v>
      </c>
      <c r="AV15" s="16">
        <v>0</v>
      </c>
      <c r="AX15" s="17">
        <f t="shared" si="0"/>
        <v>82.3</v>
      </c>
      <c r="AY15" s="17">
        <f>AC15*Factors!AC$6+AB15*Factors!AB$6</f>
        <v>0</v>
      </c>
      <c r="AZ15" s="18">
        <f t="shared" si="1"/>
        <v>82.3</v>
      </c>
    </row>
    <row r="16" spans="1:52" x14ac:dyDescent="0.25">
      <c r="A16" s="13" t="s">
        <v>154</v>
      </c>
      <c r="B16" s="15" t="s">
        <v>155</v>
      </c>
      <c r="C16" s="16">
        <v>0</v>
      </c>
      <c r="H16" s="16">
        <v>0</v>
      </c>
      <c r="I16" s="16">
        <v>0</v>
      </c>
      <c r="M16" s="16">
        <v>0.2</v>
      </c>
      <c r="N16" s="16">
        <v>0</v>
      </c>
      <c r="P16" s="16">
        <v>0</v>
      </c>
      <c r="W16" s="16">
        <v>24</v>
      </c>
      <c r="AA16" s="16">
        <v>5</v>
      </c>
      <c r="AD16" s="16">
        <v>0</v>
      </c>
      <c r="AE16" s="16">
        <v>0</v>
      </c>
      <c r="AG16" s="16">
        <v>0</v>
      </c>
      <c r="AH16" s="16">
        <v>8</v>
      </c>
      <c r="AI16" s="16">
        <v>20</v>
      </c>
      <c r="AK16" s="16">
        <v>1</v>
      </c>
      <c r="AL16" s="16">
        <v>6</v>
      </c>
      <c r="AM16" s="16">
        <v>0.5</v>
      </c>
      <c r="AN16" s="16">
        <v>0</v>
      </c>
      <c r="AO16" s="16">
        <v>0.2</v>
      </c>
      <c r="AP16" s="16">
        <v>0</v>
      </c>
      <c r="AQ16" s="16">
        <v>0</v>
      </c>
      <c r="AR16" s="16">
        <v>0</v>
      </c>
      <c r="AS16" s="16">
        <v>0</v>
      </c>
      <c r="AT16" s="16">
        <v>0</v>
      </c>
      <c r="AU16" s="16">
        <v>0</v>
      </c>
      <c r="AV16" s="16">
        <v>0</v>
      </c>
      <c r="AX16" s="17">
        <f t="shared" si="0"/>
        <v>64.900000000000006</v>
      </c>
      <c r="AY16" s="17">
        <f>AC16*Factors!AC$6+AB16*Factors!AB$6</f>
        <v>0</v>
      </c>
      <c r="AZ16" s="18">
        <f t="shared" si="1"/>
        <v>64.900000000000006</v>
      </c>
    </row>
    <row r="17" spans="1:52" x14ac:dyDescent="0.25">
      <c r="A17" s="13" t="s">
        <v>156</v>
      </c>
      <c r="B17" s="15" t="s">
        <v>157</v>
      </c>
      <c r="C17" s="16">
        <v>0</v>
      </c>
      <c r="I17" s="16">
        <v>0</v>
      </c>
      <c r="M17" s="16">
        <v>0</v>
      </c>
      <c r="AB17" s="16">
        <v>24.5</v>
      </c>
      <c r="AD17" s="16">
        <v>0</v>
      </c>
      <c r="AG17" s="16">
        <v>0</v>
      </c>
      <c r="AH17" s="16">
        <v>15</v>
      </c>
      <c r="AI17" s="16">
        <v>38</v>
      </c>
      <c r="AK17" s="16">
        <v>2</v>
      </c>
      <c r="AL17" s="16">
        <v>3</v>
      </c>
      <c r="AM17" s="16">
        <v>0.1</v>
      </c>
      <c r="AN17" s="16">
        <v>0</v>
      </c>
      <c r="AO17" s="16">
        <v>0</v>
      </c>
      <c r="AX17" s="17">
        <f t="shared" si="0"/>
        <v>82.6</v>
      </c>
      <c r="AY17" s="17">
        <f>AC17*Factors!AC$6+AB17*Factors!AB$6</f>
        <v>-10.316011736275417</v>
      </c>
      <c r="AZ17" s="18">
        <f t="shared" si="1"/>
        <v>72.283988263724581</v>
      </c>
    </row>
    <row r="18" spans="1:52" x14ac:dyDescent="0.25">
      <c r="A18" s="13" t="s">
        <v>158</v>
      </c>
      <c r="B18" s="15" t="s">
        <v>159</v>
      </c>
      <c r="C18" s="16">
        <v>20</v>
      </c>
      <c r="D18" s="16">
        <v>0</v>
      </c>
      <c r="H18" s="16">
        <v>0</v>
      </c>
      <c r="I18" s="16">
        <v>0.5</v>
      </c>
      <c r="K18" s="16">
        <v>0</v>
      </c>
      <c r="L18" s="16">
        <v>0.3</v>
      </c>
      <c r="M18" s="16">
        <v>1.5</v>
      </c>
      <c r="N18" s="16">
        <v>0</v>
      </c>
      <c r="O18" s="16">
        <v>0</v>
      </c>
      <c r="Q18" s="16">
        <v>0</v>
      </c>
      <c r="R18" s="16">
        <v>0</v>
      </c>
      <c r="W18" s="16">
        <v>0</v>
      </c>
      <c r="Y18" s="16">
        <v>0</v>
      </c>
      <c r="AA18" s="16">
        <v>2.5</v>
      </c>
      <c r="AB18" s="16">
        <v>0</v>
      </c>
      <c r="AD18" s="16">
        <v>0</v>
      </c>
      <c r="AG18" s="16">
        <v>0</v>
      </c>
      <c r="AH18" s="16">
        <v>10</v>
      </c>
      <c r="AI18" s="16">
        <v>23</v>
      </c>
      <c r="AK18" s="16">
        <v>0.5</v>
      </c>
      <c r="AL18" s="16">
        <v>1.5</v>
      </c>
      <c r="AM18" s="16">
        <v>0.1</v>
      </c>
      <c r="AN18" s="16">
        <v>0</v>
      </c>
      <c r="AO18" s="16">
        <v>0</v>
      </c>
      <c r="AP18" s="16">
        <v>0</v>
      </c>
      <c r="AQ18" s="16">
        <v>0</v>
      </c>
      <c r="AS18" s="16">
        <v>0</v>
      </c>
      <c r="AU18" s="16">
        <v>0</v>
      </c>
      <c r="AX18" s="17">
        <f t="shared" si="0"/>
        <v>59.9</v>
      </c>
      <c r="AY18" s="17">
        <f>AC18*Factors!AC$6+AB18*Factors!AB$6</f>
        <v>0</v>
      </c>
      <c r="AZ18" s="18">
        <f t="shared" si="1"/>
        <v>59.9</v>
      </c>
    </row>
    <row r="19" spans="1:52" x14ac:dyDescent="0.25">
      <c r="A19" s="13" t="s">
        <v>160</v>
      </c>
      <c r="B19" s="15" t="s">
        <v>161</v>
      </c>
      <c r="C19" s="16">
        <v>45</v>
      </c>
      <c r="D19" s="16">
        <v>0.1</v>
      </c>
      <c r="E19" s="16">
        <v>9</v>
      </c>
      <c r="F19" s="16">
        <v>0</v>
      </c>
      <c r="H19" s="16">
        <v>0</v>
      </c>
      <c r="I19" s="16">
        <v>0</v>
      </c>
      <c r="J19" s="16">
        <v>0.8</v>
      </c>
      <c r="K19" s="16">
        <v>0.5</v>
      </c>
      <c r="L19" s="16">
        <v>0</v>
      </c>
      <c r="M19" s="16">
        <v>4.5</v>
      </c>
      <c r="N19" s="16">
        <v>0.1</v>
      </c>
      <c r="O19" s="16">
        <v>0</v>
      </c>
      <c r="Q19" s="16">
        <v>11</v>
      </c>
      <c r="R19" s="16">
        <v>0.2</v>
      </c>
      <c r="T19" s="16">
        <v>0.1</v>
      </c>
      <c r="Y19" s="16">
        <v>0</v>
      </c>
      <c r="AA19" s="16">
        <v>0.3</v>
      </c>
      <c r="AB19" s="16">
        <v>0</v>
      </c>
      <c r="AC19" s="16">
        <v>0.2</v>
      </c>
      <c r="AD19" s="16">
        <v>0</v>
      </c>
      <c r="AE19" s="16">
        <v>0</v>
      </c>
      <c r="AG19" s="16">
        <v>0.2</v>
      </c>
      <c r="AH19" s="16">
        <v>0.1</v>
      </c>
      <c r="AI19" s="16">
        <v>0.3</v>
      </c>
      <c r="AK19" s="16">
        <v>0</v>
      </c>
      <c r="AL19" s="16">
        <v>0.2</v>
      </c>
      <c r="AM19" s="16">
        <v>0</v>
      </c>
      <c r="AN19" s="16">
        <v>0</v>
      </c>
      <c r="AO19" s="16">
        <v>0</v>
      </c>
      <c r="AP19" s="16">
        <v>0</v>
      </c>
      <c r="AQ19" s="16">
        <v>0</v>
      </c>
      <c r="AR19" s="16">
        <v>0</v>
      </c>
      <c r="AS19" s="16">
        <v>0</v>
      </c>
      <c r="AT19" s="16">
        <v>0</v>
      </c>
      <c r="AU19" s="16">
        <v>0</v>
      </c>
      <c r="AV19" s="16">
        <v>0</v>
      </c>
      <c r="AX19" s="17">
        <f t="shared" si="0"/>
        <v>72.599999999999994</v>
      </c>
      <c r="AY19" s="17">
        <f>AC19*Factors!AC$6+AB19*Factors!AB$6</f>
        <v>-4.5131170662905506E-2</v>
      </c>
      <c r="AZ19" s="18">
        <f t="shared" si="1"/>
        <v>72.554868829337096</v>
      </c>
    </row>
    <row r="20" spans="1:52" x14ac:dyDescent="0.25">
      <c r="A20" s="13" t="s">
        <v>162</v>
      </c>
      <c r="B20" s="15" t="s">
        <v>163</v>
      </c>
      <c r="C20" s="16">
        <v>21</v>
      </c>
      <c r="I20" s="16">
        <v>0</v>
      </c>
      <c r="J20" s="16">
        <v>7</v>
      </c>
      <c r="K20" s="16">
        <v>0</v>
      </c>
      <c r="L20" s="16">
        <v>0</v>
      </c>
      <c r="M20" s="16">
        <v>0</v>
      </c>
      <c r="Q20" s="16">
        <v>0</v>
      </c>
      <c r="S20" s="16">
        <v>7</v>
      </c>
      <c r="AA20" s="16">
        <v>0.3</v>
      </c>
      <c r="AD20" s="16">
        <v>0</v>
      </c>
      <c r="AE20" s="16">
        <v>0</v>
      </c>
      <c r="AG20" s="16">
        <v>20</v>
      </c>
      <c r="AH20" s="16">
        <v>0</v>
      </c>
      <c r="AI20" s="16">
        <v>0.5</v>
      </c>
      <c r="AK20" s="16">
        <v>0.1</v>
      </c>
      <c r="AL20" s="16">
        <v>0.5</v>
      </c>
      <c r="AM20" s="16">
        <v>0.3</v>
      </c>
      <c r="AN20" s="16">
        <v>0</v>
      </c>
      <c r="AO20" s="16">
        <v>0.8</v>
      </c>
      <c r="AP20" s="16">
        <v>0.1</v>
      </c>
      <c r="AQ20" s="16">
        <v>1</v>
      </c>
      <c r="AR20" s="16">
        <v>0.2</v>
      </c>
      <c r="AS20" s="16">
        <v>0.8</v>
      </c>
      <c r="AT20" s="16">
        <v>0.1</v>
      </c>
      <c r="AU20" s="16">
        <v>0.5</v>
      </c>
      <c r="AV20" s="16">
        <v>0</v>
      </c>
      <c r="AX20" s="17">
        <f t="shared" si="0"/>
        <v>60.199999999999996</v>
      </c>
      <c r="AY20" s="17">
        <f>AC20*Factors!AC$6+AB20*Factors!AB$6</f>
        <v>0</v>
      </c>
      <c r="AZ20" s="18">
        <f t="shared" si="1"/>
        <v>60.199999999999996</v>
      </c>
    </row>
    <row r="21" spans="1:52" x14ac:dyDescent="0.25">
      <c r="A21" s="13" t="s">
        <v>164</v>
      </c>
      <c r="B21" s="15" t="s">
        <v>165</v>
      </c>
      <c r="C21" s="16">
        <v>22</v>
      </c>
      <c r="E21" s="16">
        <v>41</v>
      </c>
      <c r="F21" s="16">
        <v>0.5</v>
      </c>
      <c r="H21" s="16">
        <v>0</v>
      </c>
      <c r="J21" s="16">
        <v>0</v>
      </c>
      <c r="K21" s="16">
        <v>0</v>
      </c>
      <c r="M21" s="16">
        <v>0</v>
      </c>
      <c r="P21" s="16">
        <v>0</v>
      </c>
      <c r="Q21" s="16">
        <v>0</v>
      </c>
      <c r="T21" s="16">
        <v>0</v>
      </c>
      <c r="W21" s="16">
        <v>0</v>
      </c>
      <c r="X21" s="16">
        <v>0</v>
      </c>
      <c r="AA21" s="16">
        <v>0</v>
      </c>
      <c r="AB21" s="16">
        <v>0</v>
      </c>
      <c r="AD21" s="16">
        <v>0</v>
      </c>
      <c r="AE21" s="16">
        <v>0</v>
      </c>
      <c r="AF21" s="16">
        <v>0</v>
      </c>
      <c r="AG21" s="16">
        <v>0</v>
      </c>
      <c r="AH21" s="16">
        <v>0</v>
      </c>
      <c r="AI21" s="16">
        <v>0</v>
      </c>
      <c r="AK21" s="16">
        <v>0</v>
      </c>
      <c r="AL21" s="16">
        <v>0</v>
      </c>
      <c r="AM21" s="16">
        <v>0</v>
      </c>
      <c r="AN21" s="16">
        <v>0</v>
      </c>
      <c r="AO21" s="16">
        <v>0</v>
      </c>
      <c r="AP21" s="16">
        <v>0</v>
      </c>
      <c r="AQ21" s="16">
        <v>0</v>
      </c>
      <c r="AR21" s="16">
        <v>0</v>
      </c>
      <c r="AS21" s="16">
        <v>0</v>
      </c>
      <c r="AT21" s="16">
        <v>0</v>
      </c>
      <c r="AU21" s="16">
        <v>0</v>
      </c>
      <c r="AV21" s="16">
        <v>0</v>
      </c>
      <c r="AW21" s="16">
        <v>0</v>
      </c>
      <c r="AX21" s="17">
        <f t="shared" si="0"/>
        <v>63.5</v>
      </c>
      <c r="AY21" s="17">
        <f>AC21*Factors!AC$6+AB21*Factors!AB$6</f>
        <v>0</v>
      </c>
      <c r="AZ21" s="18">
        <f t="shared" si="1"/>
        <v>63.5</v>
      </c>
    </row>
    <row r="22" spans="1:52" x14ac:dyDescent="0.25">
      <c r="A22" s="13" t="s">
        <v>166</v>
      </c>
      <c r="B22" s="15" t="s">
        <v>167</v>
      </c>
      <c r="C22" s="16">
        <v>0</v>
      </c>
      <c r="D22" s="16">
        <v>19</v>
      </c>
      <c r="E22" s="16">
        <v>0</v>
      </c>
      <c r="G22" s="16">
        <v>0</v>
      </c>
      <c r="I22" s="16">
        <v>0.5</v>
      </c>
      <c r="J22" s="16">
        <v>0</v>
      </c>
      <c r="K22" s="16">
        <v>0</v>
      </c>
      <c r="M22" s="16">
        <v>0.7</v>
      </c>
      <c r="T22" s="16">
        <v>0.3</v>
      </c>
      <c r="U22" s="16">
        <v>0</v>
      </c>
      <c r="AA22" s="16">
        <v>0</v>
      </c>
      <c r="AB22" s="16">
        <v>0</v>
      </c>
      <c r="AD22" s="16">
        <v>0</v>
      </c>
      <c r="AE22" s="16">
        <v>0</v>
      </c>
      <c r="AG22" s="16">
        <v>0</v>
      </c>
      <c r="AH22" s="16">
        <v>2.6</v>
      </c>
      <c r="AI22" s="16">
        <v>8</v>
      </c>
      <c r="AK22" s="16">
        <v>1.4</v>
      </c>
      <c r="AL22" s="16">
        <v>4.2</v>
      </c>
      <c r="AM22" s="16">
        <v>0.4</v>
      </c>
      <c r="AN22" s="16">
        <v>0</v>
      </c>
      <c r="AO22" s="16">
        <v>0</v>
      </c>
      <c r="AQ22" s="16">
        <v>0</v>
      </c>
      <c r="AS22" s="16">
        <v>0</v>
      </c>
      <c r="AU22" s="16">
        <v>0</v>
      </c>
      <c r="AX22" s="17">
        <f t="shared" si="0"/>
        <v>37.1</v>
      </c>
      <c r="AY22" s="17">
        <f>AC22*Factors!AC$6+AB22*Factors!AB$6</f>
        <v>0</v>
      </c>
      <c r="AZ22" s="18">
        <f t="shared" si="1"/>
        <v>37.1</v>
      </c>
    </row>
    <row r="23" spans="1:52" x14ac:dyDescent="0.25">
      <c r="A23" s="13" t="s">
        <v>168</v>
      </c>
      <c r="B23" s="15" t="s">
        <v>169</v>
      </c>
      <c r="C23" s="16">
        <v>0</v>
      </c>
      <c r="D23" s="16">
        <v>16</v>
      </c>
      <c r="E23" s="16">
        <v>0</v>
      </c>
      <c r="G23" s="16">
        <v>0</v>
      </c>
      <c r="H23" s="16">
        <v>0</v>
      </c>
      <c r="I23" s="16">
        <v>0</v>
      </c>
      <c r="J23" s="16">
        <v>0</v>
      </c>
      <c r="K23" s="16">
        <v>0</v>
      </c>
      <c r="L23" s="16">
        <v>0</v>
      </c>
      <c r="M23" s="16">
        <v>0.2</v>
      </c>
      <c r="P23" s="16">
        <v>0</v>
      </c>
      <c r="Q23" s="16">
        <v>0</v>
      </c>
      <c r="R23" s="16">
        <v>0</v>
      </c>
      <c r="T23" s="16">
        <v>22</v>
      </c>
      <c r="U23" s="16">
        <v>0.5</v>
      </c>
      <c r="V23" s="16">
        <v>0</v>
      </c>
      <c r="AA23" s="16">
        <v>0</v>
      </c>
      <c r="AD23" s="16">
        <v>0.5</v>
      </c>
      <c r="AE23" s="16">
        <v>0.7</v>
      </c>
      <c r="AF23" s="16">
        <v>0</v>
      </c>
      <c r="AG23" s="16">
        <v>8.9</v>
      </c>
      <c r="AH23" s="16">
        <v>0</v>
      </c>
      <c r="AI23" s="16">
        <v>0.1</v>
      </c>
      <c r="AK23" s="16">
        <v>0</v>
      </c>
      <c r="AL23" s="16">
        <v>0.3</v>
      </c>
      <c r="AM23" s="16">
        <v>0.6</v>
      </c>
      <c r="AN23" s="16">
        <v>0.3</v>
      </c>
      <c r="AO23" s="16">
        <v>1.3</v>
      </c>
      <c r="AP23" s="16">
        <v>0.25</v>
      </c>
      <c r="AQ23" s="16">
        <v>1.5</v>
      </c>
      <c r="AR23" s="16">
        <v>0.2</v>
      </c>
      <c r="AS23" s="16">
        <v>0.7</v>
      </c>
      <c r="AT23" s="16">
        <v>0.1</v>
      </c>
      <c r="AU23" s="16">
        <v>0.4</v>
      </c>
      <c r="AV23" s="16">
        <v>0.1</v>
      </c>
      <c r="AX23" s="17">
        <f t="shared" si="0"/>
        <v>54.650000000000006</v>
      </c>
      <c r="AY23" s="17">
        <f>AC23*Factors!AC$6+AB23*Factors!AB$6</f>
        <v>0</v>
      </c>
      <c r="AZ23" s="18">
        <f t="shared" si="1"/>
        <v>54.650000000000006</v>
      </c>
    </row>
    <row r="24" spans="1:52" x14ac:dyDescent="0.25">
      <c r="A24" s="13" t="s">
        <v>170</v>
      </c>
      <c r="B24" s="15" t="s">
        <v>171</v>
      </c>
      <c r="C24" s="16">
        <v>0</v>
      </c>
      <c r="D24" s="16">
        <v>0.5</v>
      </c>
      <c r="G24" s="16">
        <v>0</v>
      </c>
      <c r="J24" s="16">
        <v>0</v>
      </c>
      <c r="M24" s="16">
        <v>0.5</v>
      </c>
      <c r="T24" s="16">
        <v>39.5</v>
      </c>
      <c r="U24" s="16">
        <v>0</v>
      </c>
      <c r="V24" s="16">
        <v>0</v>
      </c>
      <c r="AA24" s="16">
        <v>0</v>
      </c>
      <c r="AD24" s="16">
        <v>0.2</v>
      </c>
      <c r="AE24" s="16">
        <v>0.06</v>
      </c>
      <c r="AG24" s="16">
        <v>20.399999999999999</v>
      </c>
      <c r="AH24" s="16">
        <v>0</v>
      </c>
      <c r="AI24" s="16">
        <v>0.5</v>
      </c>
      <c r="AK24" s="16">
        <v>0.06</v>
      </c>
      <c r="AL24" s="16">
        <v>1.4</v>
      </c>
      <c r="AM24" s="16">
        <v>0.9</v>
      </c>
      <c r="AN24" s="16">
        <v>0</v>
      </c>
      <c r="AO24" s="16">
        <v>1.8</v>
      </c>
      <c r="AP24" s="16">
        <v>0.4</v>
      </c>
      <c r="AQ24" s="16">
        <v>3.6</v>
      </c>
      <c r="AR24" s="16">
        <v>0.8</v>
      </c>
      <c r="AS24" s="16">
        <v>1.4</v>
      </c>
      <c r="AT24" s="16">
        <v>0.2</v>
      </c>
      <c r="AU24" s="16">
        <v>2.1</v>
      </c>
      <c r="AV24" s="16">
        <v>0</v>
      </c>
      <c r="AX24" s="17">
        <f t="shared" si="0"/>
        <v>74.320000000000007</v>
      </c>
      <c r="AY24" s="17">
        <f>AC24*Factors!AC$6+AB24*Factors!AB$6</f>
        <v>0</v>
      </c>
      <c r="AZ24" s="18">
        <f t="shared" si="1"/>
        <v>74.320000000000007</v>
      </c>
    </row>
    <row r="25" spans="1:52" x14ac:dyDescent="0.25">
      <c r="A25" s="13" t="s">
        <v>172</v>
      </c>
      <c r="B25" s="15" t="s">
        <v>173</v>
      </c>
      <c r="C25" s="16">
        <v>0</v>
      </c>
      <c r="D25" s="16">
        <v>35</v>
      </c>
      <c r="E25" s="16">
        <v>0</v>
      </c>
      <c r="H25" s="16">
        <v>0</v>
      </c>
      <c r="I25" s="16">
        <v>0</v>
      </c>
      <c r="J25" s="16">
        <v>0</v>
      </c>
      <c r="M25" s="16">
        <v>0.6</v>
      </c>
      <c r="N25" s="16">
        <v>0.9</v>
      </c>
      <c r="Q25" s="16">
        <v>7.3</v>
      </c>
      <c r="R25" s="16">
        <v>0</v>
      </c>
      <c r="T25" s="16">
        <v>3.3</v>
      </c>
      <c r="U25" s="16">
        <v>0</v>
      </c>
      <c r="AB25" s="16">
        <v>0</v>
      </c>
      <c r="AD25" s="16">
        <v>0.1</v>
      </c>
      <c r="AE25" s="16">
        <v>0</v>
      </c>
      <c r="AH25" s="16">
        <v>7.4</v>
      </c>
      <c r="AI25" s="16">
        <v>15.2</v>
      </c>
      <c r="AK25" s="16">
        <v>1</v>
      </c>
      <c r="AL25" s="16">
        <v>2.9</v>
      </c>
      <c r="AM25" s="16">
        <v>0</v>
      </c>
      <c r="AX25" s="17">
        <f t="shared" si="0"/>
        <v>73.7</v>
      </c>
      <c r="AY25" s="17">
        <f>AC25*Factors!AC$6+AB25*Factors!AB$6</f>
        <v>0</v>
      </c>
      <c r="AZ25" s="18">
        <f t="shared" si="1"/>
        <v>73.7</v>
      </c>
    </row>
    <row r="26" spans="1:52" x14ac:dyDescent="0.25">
      <c r="A26" s="13" t="s">
        <v>174</v>
      </c>
      <c r="B26" s="15" t="s">
        <v>175</v>
      </c>
      <c r="C26" s="16">
        <v>0</v>
      </c>
      <c r="D26" s="16">
        <v>0.2</v>
      </c>
      <c r="E26" s="16">
        <v>0</v>
      </c>
      <c r="G26" s="16">
        <v>0</v>
      </c>
      <c r="H26" s="16">
        <v>0</v>
      </c>
      <c r="I26" s="16">
        <v>0</v>
      </c>
      <c r="J26" s="16">
        <v>3</v>
      </c>
      <c r="K26" s="16">
        <v>0.4</v>
      </c>
      <c r="L26" s="16">
        <v>0</v>
      </c>
      <c r="M26" s="16">
        <v>7.0000000000000007E-2</v>
      </c>
      <c r="P26" s="16">
        <v>0</v>
      </c>
      <c r="Q26" s="16">
        <v>0</v>
      </c>
      <c r="R26" s="16">
        <v>0</v>
      </c>
      <c r="T26" s="16">
        <v>22</v>
      </c>
      <c r="U26" s="16">
        <v>1</v>
      </c>
      <c r="V26" s="16">
        <v>0.5</v>
      </c>
      <c r="AA26" s="16">
        <v>0</v>
      </c>
      <c r="AD26" s="16">
        <v>0.5</v>
      </c>
      <c r="AE26" s="16">
        <v>2.5</v>
      </c>
      <c r="AF26" s="16">
        <v>0</v>
      </c>
      <c r="AG26" s="16">
        <v>3.9</v>
      </c>
      <c r="AH26" s="16">
        <v>0</v>
      </c>
      <c r="AI26" s="16">
        <v>0</v>
      </c>
      <c r="AK26" s="16">
        <v>0</v>
      </c>
      <c r="AL26" s="16">
        <v>0.26</v>
      </c>
      <c r="AM26" s="16">
        <v>0.5</v>
      </c>
      <c r="AN26" s="16">
        <v>0</v>
      </c>
      <c r="AO26" s="16">
        <v>0.9</v>
      </c>
      <c r="AP26" s="16">
        <v>0</v>
      </c>
      <c r="AQ26" s="16">
        <v>0.5</v>
      </c>
      <c r="AR26" s="16">
        <v>0</v>
      </c>
      <c r="AS26" s="16">
        <v>0</v>
      </c>
      <c r="AT26" s="16">
        <v>0</v>
      </c>
      <c r="AU26" s="16">
        <v>0.5</v>
      </c>
      <c r="AV26" s="16">
        <v>0</v>
      </c>
      <c r="AX26" s="17">
        <f t="shared" si="0"/>
        <v>36.729999999999997</v>
      </c>
      <c r="AY26" s="17">
        <f>AC26*Factors!AC$6+AB26*Factors!AB$6</f>
        <v>0</v>
      </c>
      <c r="AZ26" s="18">
        <f t="shared" si="1"/>
        <v>36.729999999999997</v>
      </c>
    </row>
    <row r="28" spans="1:52" x14ac:dyDescent="0.25">
      <c r="A28" s="7" t="s">
        <v>178</v>
      </c>
    </row>
    <row r="29" spans="1:52" x14ac:dyDescent="0.25">
      <c r="A29" s="7" t="s">
        <v>177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9"/>
  <sheetViews>
    <sheetView workbookViewId="0">
      <pane xSplit="2" ySplit="1" topLeftCell="C2" activePane="bottomRight" state="frozen"/>
      <selection pane="topRight"/>
      <selection pane="bottomLeft"/>
      <selection pane="bottomRight"/>
    </sheetView>
  </sheetViews>
  <sheetFormatPr defaultRowHeight="15" x14ac:dyDescent="0.25"/>
  <cols>
    <col min="1" max="1" width="30" customWidth="1"/>
    <col min="2" max="2" width="34" customWidth="1"/>
    <col min="3" max="49" width="8.42578125" customWidth="1"/>
    <col min="50" max="52" width="11" customWidth="1"/>
  </cols>
  <sheetData>
    <row r="1" spans="1:52" ht="30" customHeight="1" x14ac:dyDescent="0.25">
      <c r="A1" s="4" t="s">
        <v>121</v>
      </c>
      <c r="B1" s="4" t="s">
        <v>122</v>
      </c>
      <c r="C1" s="4" t="s">
        <v>70</v>
      </c>
      <c r="D1" s="4" t="s">
        <v>71</v>
      </c>
      <c r="E1" s="4" t="s">
        <v>72</v>
      </c>
      <c r="F1" s="4" t="s">
        <v>73</v>
      </c>
      <c r="G1" s="4" t="s">
        <v>74</v>
      </c>
      <c r="H1" s="4" t="s">
        <v>75</v>
      </c>
      <c r="I1" s="4" t="s">
        <v>76</v>
      </c>
      <c r="J1" s="4" t="s">
        <v>77</v>
      </c>
      <c r="K1" s="4" t="s">
        <v>78</v>
      </c>
      <c r="L1" s="4" t="s">
        <v>79</v>
      </c>
      <c r="M1" s="4" t="s">
        <v>80</v>
      </c>
      <c r="N1" s="4" t="s">
        <v>81</v>
      </c>
      <c r="O1" s="4" t="s">
        <v>82</v>
      </c>
      <c r="P1" s="4" t="s">
        <v>83</v>
      </c>
      <c r="Q1" s="4" t="s">
        <v>84</v>
      </c>
      <c r="R1" s="4" t="s">
        <v>85</v>
      </c>
      <c r="S1" s="4" t="s">
        <v>86</v>
      </c>
      <c r="T1" s="4" t="s">
        <v>87</v>
      </c>
      <c r="U1" s="4" t="s">
        <v>88</v>
      </c>
      <c r="V1" s="4" t="s">
        <v>89</v>
      </c>
      <c r="W1" s="4" t="s">
        <v>90</v>
      </c>
      <c r="X1" s="4" t="s">
        <v>91</v>
      </c>
      <c r="Y1" s="4" t="s">
        <v>92</v>
      </c>
      <c r="Z1" s="4" t="s">
        <v>93</v>
      </c>
      <c r="AA1" s="4" t="s">
        <v>94</v>
      </c>
      <c r="AB1" s="4" t="s">
        <v>47</v>
      </c>
      <c r="AC1" s="4" t="s">
        <v>48</v>
      </c>
      <c r="AD1" s="4" t="s">
        <v>95</v>
      </c>
      <c r="AE1" s="4" t="s">
        <v>96</v>
      </c>
      <c r="AF1" s="4" t="s">
        <v>97</v>
      </c>
      <c r="AG1" s="4" t="s">
        <v>98</v>
      </c>
      <c r="AH1" s="4" t="s">
        <v>99</v>
      </c>
      <c r="AI1" s="4" t="s">
        <v>100</v>
      </c>
      <c r="AJ1" s="4" t="s">
        <v>101</v>
      </c>
      <c r="AK1" s="4" t="s">
        <v>102</v>
      </c>
      <c r="AL1" s="4" t="s">
        <v>103</v>
      </c>
      <c r="AM1" s="4" t="s">
        <v>104</v>
      </c>
      <c r="AN1" s="4" t="s">
        <v>105</v>
      </c>
      <c r="AO1" s="4" t="s">
        <v>106</v>
      </c>
      <c r="AP1" s="4" t="s">
        <v>107</v>
      </c>
      <c r="AQ1" s="4" t="s">
        <v>108</v>
      </c>
      <c r="AR1" s="4" t="s">
        <v>109</v>
      </c>
      <c r="AS1" s="4" t="s">
        <v>110</v>
      </c>
      <c r="AT1" s="4" t="s">
        <v>111</v>
      </c>
      <c r="AU1" s="4" t="s">
        <v>112</v>
      </c>
      <c r="AV1" s="4" t="s">
        <v>113</v>
      </c>
      <c r="AW1" s="4" t="s">
        <v>114</v>
      </c>
      <c r="AX1" s="4" t="s">
        <v>123</v>
      </c>
      <c r="AY1" s="4" t="s">
        <v>124</v>
      </c>
      <c r="AZ1" s="4" t="s">
        <v>125</v>
      </c>
    </row>
    <row r="2" spans="1:52" x14ac:dyDescent="0.25">
      <c r="A2" s="13" t="s">
        <v>126</v>
      </c>
      <c r="B2" s="15" t="s">
        <v>127</v>
      </c>
      <c r="C2" s="16">
        <v>5</v>
      </c>
      <c r="H2" s="16">
        <v>0.3</v>
      </c>
      <c r="J2" s="16">
        <v>0.5</v>
      </c>
      <c r="M2" s="16">
        <v>4</v>
      </c>
      <c r="N2" s="16">
        <v>0.3</v>
      </c>
      <c r="P2" s="16">
        <v>1.5</v>
      </c>
      <c r="W2" s="16">
        <v>31</v>
      </c>
      <c r="Y2" s="16">
        <v>0.5</v>
      </c>
      <c r="AD2" s="16">
        <v>20</v>
      </c>
      <c r="AE2" s="16">
        <v>2</v>
      </c>
      <c r="AG2" s="16">
        <v>4</v>
      </c>
      <c r="AH2" s="16">
        <v>24</v>
      </c>
      <c r="AI2" s="16">
        <v>37</v>
      </c>
      <c r="AK2" s="16">
        <v>4</v>
      </c>
      <c r="AL2" s="16">
        <v>14</v>
      </c>
      <c r="AM2" s="16">
        <v>4</v>
      </c>
      <c r="AN2" s="16">
        <v>0.3</v>
      </c>
      <c r="AO2" s="16">
        <v>3</v>
      </c>
      <c r="AP2" s="16">
        <v>0.3</v>
      </c>
      <c r="AQ2" s="16">
        <v>1.5</v>
      </c>
      <c r="AR2" s="16">
        <v>0.3</v>
      </c>
      <c r="AS2" s="16">
        <v>0.5</v>
      </c>
      <c r="AT2" s="16">
        <v>0.05</v>
      </c>
      <c r="AU2" s="16">
        <v>0.3</v>
      </c>
      <c r="AV2" s="16">
        <v>0.05</v>
      </c>
      <c r="AX2" s="17">
        <f t="shared" ref="AX2:AX26" si="0">SUM(C2:AW2)</f>
        <v>158.40000000000006</v>
      </c>
      <c r="AY2" s="17">
        <f>AC2*Factors!AC$6+AB2*Factors!AB$6</f>
        <v>0</v>
      </c>
      <c r="AZ2" s="18">
        <f t="shared" ref="AZ2:AZ26" si="1">AX2+AY2</f>
        <v>158.40000000000006</v>
      </c>
    </row>
    <row r="3" spans="1:52" x14ac:dyDescent="0.25">
      <c r="A3" s="13" t="s">
        <v>128</v>
      </c>
      <c r="B3" s="15" t="s">
        <v>129</v>
      </c>
      <c r="C3" s="16">
        <v>1</v>
      </c>
      <c r="J3" s="16">
        <v>0.6</v>
      </c>
      <c r="M3" s="16">
        <v>2.5</v>
      </c>
      <c r="N3" s="16">
        <v>1</v>
      </c>
      <c r="O3" s="16">
        <v>1</v>
      </c>
      <c r="W3" s="16">
        <v>0.6</v>
      </c>
      <c r="Z3" s="16">
        <v>21</v>
      </c>
      <c r="AA3" s="16">
        <v>2</v>
      </c>
      <c r="AB3" s="16">
        <v>9.5</v>
      </c>
      <c r="AD3" s="16">
        <v>2.5</v>
      </c>
      <c r="AE3" s="16">
        <v>0.05</v>
      </c>
      <c r="AG3" s="16">
        <v>1.5</v>
      </c>
      <c r="AH3" s="16">
        <v>37.299999999999997</v>
      </c>
      <c r="AI3" s="16">
        <v>42</v>
      </c>
      <c r="AK3" s="16">
        <v>5</v>
      </c>
      <c r="AL3" s="16">
        <v>16</v>
      </c>
      <c r="AM3" s="16">
        <v>2.5</v>
      </c>
      <c r="AN3" s="16">
        <v>0.4</v>
      </c>
      <c r="AO3" s="16">
        <v>1.2</v>
      </c>
      <c r="AQ3" s="16">
        <v>0.4</v>
      </c>
      <c r="AX3" s="17">
        <f t="shared" si="0"/>
        <v>148.05000000000001</v>
      </c>
      <c r="AY3" s="17">
        <f>AC3*Factors!AC$6+AB3*Factors!AB$6</f>
        <v>-4.0000861834537336</v>
      </c>
      <c r="AZ3" s="18">
        <f t="shared" si="1"/>
        <v>144.04991381654628</v>
      </c>
    </row>
    <row r="4" spans="1:52" x14ac:dyDescent="0.25">
      <c r="A4" s="13" t="s">
        <v>130</v>
      </c>
      <c r="B4" s="15" t="s">
        <v>131</v>
      </c>
      <c r="C4" s="16">
        <v>2</v>
      </c>
      <c r="H4" s="16">
        <v>0.2</v>
      </c>
      <c r="J4" s="16">
        <v>0.5</v>
      </c>
      <c r="M4" s="16">
        <v>0.6</v>
      </c>
      <c r="P4" s="16">
        <v>0.3</v>
      </c>
      <c r="W4" s="16">
        <v>36</v>
      </c>
      <c r="AD4" s="16">
        <v>3</v>
      </c>
      <c r="AE4" s="16">
        <v>5</v>
      </c>
      <c r="AG4" s="16">
        <v>52</v>
      </c>
      <c r="AH4" s="16">
        <v>0.1</v>
      </c>
      <c r="AI4" s="16">
        <v>0.3</v>
      </c>
      <c r="AK4" s="16">
        <v>0.1</v>
      </c>
      <c r="AL4" s="16">
        <v>0.5</v>
      </c>
      <c r="AM4" s="16">
        <v>1</v>
      </c>
      <c r="AN4" s="16">
        <v>0.2</v>
      </c>
      <c r="AO4" s="16">
        <v>4.5</v>
      </c>
      <c r="AP4" s="16">
        <v>1</v>
      </c>
      <c r="AQ4" s="16">
        <v>7</v>
      </c>
      <c r="AR4" s="16">
        <v>1.8</v>
      </c>
      <c r="AS4" s="16">
        <v>5.5</v>
      </c>
      <c r="AT4" s="16">
        <v>1</v>
      </c>
      <c r="AU4" s="16">
        <v>7</v>
      </c>
      <c r="AV4" s="16">
        <v>1.5</v>
      </c>
      <c r="AX4" s="17">
        <f t="shared" si="0"/>
        <v>131.09999999999997</v>
      </c>
      <c r="AY4" s="17">
        <f>AC4*Factors!AC$6+AB4*Factors!AB$6</f>
        <v>0</v>
      </c>
      <c r="AZ4" s="18">
        <f t="shared" si="1"/>
        <v>131.09999999999997</v>
      </c>
    </row>
    <row r="5" spans="1:52" x14ac:dyDescent="0.25">
      <c r="A5" s="13" t="s">
        <v>132</v>
      </c>
      <c r="B5" s="15" t="s">
        <v>133</v>
      </c>
      <c r="C5" s="16">
        <v>0.5</v>
      </c>
      <c r="J5" s="16">
        <v>0.3</v>
      </c>
      <c r="M5" s="16">
        <v>12</v>
      </c>
      <c r="N5" s="16">
        <v>1</v>
      </c>
      <c r="O5" s="16">
        <v>0.5</v>
      </c>
      <c r="Q5" s="16">
        <v>0.2</v>
      </c>
      <c r="Z5" s="16">
        <v>25.5</v>
      </c>
      <c r="AB5" s="16">
        <v>7.5</v>
      </c>
      <c r="AD5" s="16">
        <v>1.5</v>
      </c>
      <c r="AE5" s="16">
        <v>0.05</v>
      </c>
      <c r="AG5" s="16">
        <v>2</v>
      </c>
      <c r="AH5" s="16">
        <v>20</v>
      </c>
      <c r="AI5" s="16">
        <v>33</v>
      </c>
      <c r="AK5" s="16">
        <v>4</v>
      </c>
      <c r="AL5" s="16">
        <v>13.5</v>
      </c>
      <c r="AM5" s="16">
        <v>2.5</v>
      </c>
      <c r="AN5" s="16">
        <v>0.5</v>
      </c>
      <c r="AO5" s="16">
        <v>1.5</v>
      </c>
      <c r="AQ5" s="16">
        <v>0.6</v>
      </c>
      <c r="AX5" s="17">
        <f t="shared" si="0"/>
        <v>126.64999999999999</v>
      </c>
      <c r="AY5" s="17">
        <f>AC5*Factors!AC$6+AB5*Factors!AB$6</f>
        <v>-3.1579627764108422</v>
      </c>
      <c r="AZ5" s="18">
        <f t="shared" si="1"/>
        <v>123.49203722358915</v>
      </c>
    </row>
    <row r="6" spans="1:52" x14ac:dyDescent="0.25">
      <c r="A6" s="13" t="s">
        <v>134</v>
      </c>
      <c r="B6" s="15" t="s">
        <v>135</v>
      </c>
      <c r="C6" s="16">
        <v>1</v>
      </c>
      <c r="J6" s="16">
        <v>0.5</v>
      </c>
      <c r="M6" s="16">
        <v>19.5</v>
      </c>
      <c r="N6" s="16">
        <v>1</v>
      </c>
      <c r="Z6" s="16">
        <v>29</v>
      </c>
      <c r="AB6" s="16">
        <v>6.5</v>
      </c>
      <c r="AD6" s="16">
        <v>2</v>
      </c>
      <c r="AE6" s="16">
        <v>0.1</v>
      </c>
      <c r="AG6" s="16">
        <v>3</v>
      </c>
      <c r="AH6" s="16">
        <v>17</v>
      </c>
      <c r="AI6" s="16">
        <v>30</v>
      </c>
      <c r="AK6" s="16">
        <v>3.5</v>
      </c>
      <c r="AL6" s="16">
        <v>13.5</v>
      </c>
      <c r="AM6" s="16">
        <v>2.5</v>
      </c>
      <c r="AN6" s="16">
        <v>0.5</v>
      </c>
      <c r="AO6" s="16">
        <v>2</v>
      </c>
      <c r="AQ6" s="16">
        <v>0.8</v>
      </c>
      <c r="AX6" s="17">
        <f t="shared" si="0"/>
        <v>132.4</v>
      </c>
      <c r="AY6" s="17">
        <f>AC6*Factors!AC$6+AB6*Factors!AB$6</f>
        <v>-2.7369010728893963</v>
      </c>
      <c r="AZ6" s="18">
        <f t="shared" si="1"/>
        <v>129.66309892711061</v>
      </c>
    </row>
    <row r="7" spans="1:52" x14ac:dyDescent="0.25">
      <c r="A7" s="13" t="s">
        <v>136</v>
      </c>
      <c r="B7" s="15" t="s">
        <v>137</v>
      </c>
      <c r="C7" s="16">
        <v>35</v>
      </c>
      <c r="D7" s="16">
        <v>2.5</v>
      </c>
      <c r="H7" s="16">
        <v>22</v>
      </c>
      <c r="I7" s="16">
        <v>12</v>
      </c>
      <c r="J7" s="16">
        <v>15</v>
      </c>
      <c r="K7" s="16">
        <v>3</v>
      </c>
      <c r="L7" s="16">
        <v>3</v>
      </c>
      <c r="M7" s="16">
        <v>16</v>
      </c>
      <c r="Q7" s="16">
        <v>0.3</v>
      </c>
      <c r="W7" s="16">
        <v>0.1</v>
      </c>
      <c r="AA7" s="16">
        <v>3</v>
      </c>
      <c r="AB7" s="16">
        <v>0.5</v>
      </c>
      <c r="AD7" s="16">
        <v>3.5</v>
      </c>
      <c r="AE7" s="16">
        <v>0.5</v>
      </c>
      <c r="AG7" s="16">
        <v>3</v>
      </c>
      <c r="AH7" s="16">
        <v>13</v>
      </c>
      <c r="AI7" s="16">
        <v>17</v>
      </c>
      <c r="AK7" s="16">
        <v>2.2999999999999998</v>
      </c>
      <c r="AL7" s="16">
        <v>7</v>
      </c>
      <c r="AM7" s="16">
        <v>1.2</v>
      </c>
      <c r="AN7" s="16">
        <v>0.1</v>
      </c>
      <c r="AO7" s="16">
        <v>0.7</v>
      </c>
      <c r="AP7" s="16">
        <v>0.1</v>
      </c>
      <c r="AQ7" s="16">
        <v>0.6</v>
      </c>
      <c r="AR7" s="16">
        <v>0.12</v>
      </c>
      <c r="AS7" s="16">
        <v>0.35</v>
      </c>
      <c r="AT7" s="16">
        <v>0.05</v>
      </c>
      <c r="AU7" s="16">
        <v>0.3</v>
      </c>
      <c r="AV7" s="16">
        <v>0.05</v>
      </c>
      <c r="AX7" s="17">
        <f t="shared" si="0"/>
        <v>162.26999999999998</v>
      </c>
      <c r="AY7" s="17">
        <f>AC7*Factors!AC$6+AB7*Factors!AB$6</f>
        <v>-0.21053085176072281</v>
      </c>
      <c r="AZ7" s="18">
        <f t="shared" si="1"/>
        <v>162.05946914823926</v>
      </c>
    </row>
    <row r="8" spans="1:52" x14ac:dyDescent="0.25">
      <c r="A8" s="13" t="s">
        <v>138</v>
      </c>
      <c r="B8" s="15" t="s">
        <v>139</v>
      </c>
      <c r="C8" s="16">
        <v>1.5</v>
      </c>
      <c r="J8" s="16">
        <v>0.6</v>
      </c>
      <c r="K8" s="16">
        <v>0.5</v>
      </c>
      <c r="M8" s="16">
        <v>56</v>
      </c>
      <c r="N8" s="16">
        <v>3</v>
      </c>
      <c r="Q8" s="16">
        <v>0.6</v>
      </c>
      <c r="W8" s="16">
        <v>42.5</v>
      </c>
      <c r="Y8" s="16">
        <v>0.8</v>
      </c>
      <c r="Z8" s="16">
        <v>1.5</v>
      </c>
      <c r="AA8" s="16">
        <v>0.5</v>
      </c>
      <c r="AB8" s="16">
        <v>4</v>
      </c>
      <c r="AC8" s="16">
        <v>1</v>
      </c>
      <c r="AD8" s="16">
        <v>0.05</v>
      </c>
      <c r="AE8" s="16">
        <v>0.02</v>
      </c>
      <c r="AG8" s="16">
        <v>0.5</v>
      </c>
      <c r="AH8" s="16">
        <v>1</v>
      </c>
      <c r="AI8" s="16">
        <v>1.5</v>
      </c>
      <c r="AK8" s="16">
        <v>0.2</v>
      </c>
      <c r="AL8" s="16">
        <v>0.8</v>
      </c>
      <c r="AM8" s="16">
        <v>0.15</v>
      </c>
      <c r="AN8" s="16">
        <v>0.03</v>
      </c>
      <c r="AO8" s="16">
        <v>0.15</v>
      </c>
      <c r="AQ8" s="16">
        <v>0.1</v>
      </c>
      <c r="AS8" s="16">
        <v>0.05</v>
      </c>
      <c r="AU8" s="16">
        <v>0.03</v>
      </c>
      <c r="AX8" s="17">
        <f t="shared" si="0"/>
        <v>117.08</v>
      </c>
      <c r="AY8" s="17">
        <f>AC8*Factors!AC$6+AB8*Factors!AB$6</f>
        <v>-1.9099026674003099</v>
      </c>
      <c r="AZ8" s="18">
        <f t="shared" si="1"/>
        <v>115.17009733259968</v>
      </c>
    </row>
    <row r="9" spans="1:52" x14ac:dyDescent="0.25">
      <c r="A9" s="13" t="s">
        <v>140</v>
      </c>
      <c r="B9" s="15" t="s">
        <v>141</v>
      </c>
      <c r="C9" s="16">
        <v>2</v>
      </c>
      <c r="H9" s="16">
        <v>33</v>
      </c>
      <c r="I9" s="16">
        <v>4</v>
      </c>
      <c r="M9" s="16">
        <v>4</v>
      </c>
      <c r="N9" s="16">
        <v>5</v>
      </c>
      <c r="O9" s="16">
        <v>2</v>
      </c>
      <c r="W9" s="16">
        <v>29</v>
      </c>
      <c r="Y9" s="16">
        <v>3</v>
      </c>
      <c r="AA9" s="16">
        <v>13</v>
      </c>
      <c r="AB9" s="16">
        <v>1.6</v>
      </c>
      <c r="AD9" s="16">
        <v>3</v>
      </c>
      <c r="AG9" s="16">
        <v>3</v>
      </c>
      <c r="AH9" s="16">
        <v>12</v>
      </c>
      <c r="AI9" s="16">
        <v>20</v>
      </c>
      <c r="AK9" s="16">
        <v>2.5</v>
      </c>
      <c r="AL9" s="16">
        <v>8</v>
      </c>
      <c r="AM9" s="16">
        <v>2</v>
      </c>
      <c r="AN9" s="16">
        <v>0.3</v>
      </c>
      <c r="AO9" s="16">
        <v>1</v>
      </c>
      <c r="AQ9" s="16">
        <v>0.3</v>
      </c>
      <c r="AX9" s="17">
        <f t="shared" si="0"/>
        <v>148.70000000000002</v>
      </c>
      <c r="AY9" s="17">
        <f>AC9*Factors!AC$6+AB9*Factors!AB$6</f>
        <v>-0.67369872563431299</v>
      </c>
      <c r="AZ9" s="18">
        <f t="shared" si="1"/>
        <v>148.02630127436569</v>
      </c>
    </row>
    <row r="10" spans="1:52" x14ac:dyDescent="0.25">
      <c r="A10" s="13" t="s">
        <v>142</v>
      </c>
      <c r="B10" s="15" t="s">
        <v>143</v>
      </c>
      <c r="C10" s="16">
        <v>2</v>
      </c>
      <c r="E10" s="16">
        <v>0.7</v>
      </c>
      <c r="J10" s="16">
        <v>3</v>
      </c>
      <c r="M10" s="16">
        <v>2.5</v>
      </c>
      <c r="T10" s="16">
        <v>2</v>
      </c>
      <c r="U10" s="16">
        <v>0.7</v>
      </c>
      <c r="W10" s="16">
        <v>2</v>
      </c>
      <c r="AA10" s="16">
        <v>3</v>
      </c>
      <c r="AD10" s="16">
        <v>8</v>
      </c>
      <c r="AG10" s="16">
        <v>1.5</v>
      </c>
      <c r="AH10" s="16">
        <v>3</v>
      </c>
      <c r="AJ10" s="16">
        <v>98</v>
      </c>
      <c r="AK10" s="16">
        <v>1</v>
      </c>
      <c r="AL10" s="16">
        <v>4</v>
      </c>
      <c r="AU10" s="16">
        <v>1.2</v>
      </c>
      <c r="AX10" s="17">
        <f t="shared" si="0"/>
        <v>132.6</v>
      </c>
      <c r="AY10" s="17">
        <f>AC10*Factors!AC$6+AB10*Factors!AB$6</f>
        <v>0</v>
      </c>
      <c r="AZ10" s="18">
        <f t="shared" si="1"/>
        <v>132.6</v>
      </c>
    </row>
    <row r="11" spans="1:52" x14ac:dyDescent="0.25">
      <c r="A11" s="13" t="s">
        <v>144</v>
      </c>
      <c r="B11" s="15" t="s">
        <v>145</v>
      </c>
      <c r="C11" s="16">
        <v>2.9</v>
      </c>
      <c r="D11" s="16">
        <v>10</v>
      </c>
      <c r="E11" s="16">
        <v>6.3</v>
      </c>
      <c r="H11" s="16">
        <v>0.1</v>
      </c>
      <c r="J11" s="16">
        <v>2.5</v>
      </c>
      <c r="K11" s="16">
        <v>1</v>
      </c>
      <c r="L11" s="16">
        <v>0.3</v>
      </c>
      <c r="M11" s="16">
        <v>18</v>
      </c>
      <c r="N11" s="16">
        <v>4</v>
      </c>
      <c r="O11" s="16">
        <v>2.2999999999999998</v>
      </c>
      <c r="P11" s="16">
        <v>0.5</v>
      </c>
      <c r="Q11" s="16">
        <v>8.1999999999999993</v>
      </c>
      <c r="R11" s="16">
        <v>0.1</v>
      </c>
      <c r="T11" s="16">
        <v>69</v>
      </c>
      <c r="U11" s="16">
        <v>6.5</v>
      </c>
      <c r="AA11" s="16">
        <v>3</v>
      </c>
      <c r="AB11" s="16">
        <v>5</v>
      </c>
      <c r="AD11" s="16">
        <v>5.7</v>
      </c>
      <c r="AE11" s="16">
        <v>5</v>
      </c>
      <c r="AG11" s="16">
        <v>0.5</v>
      </c>
      <c r="AH11" s="16">
        <v>2.5</v>
      </c>
      <c r="AI11" s="16">
        <v>7.5</v>
      </c>
      <c r="AK11" s="16">
        <v>0.6</v>
      </c>
      <c r="AL11" s="16">
        <v>2.2999999999999998</v>
      </c>
      <c r="AM11" s="16">
        <v>0.4</v>
      </c>
      <c r="AX11" s="17">
        <f t="shared" si="0"/>
        <v>164.2</v>
      </c>
      <c r="AY11" s="17">
        <f>AC11*Factors!AC$6+AB11*Factors!AB$6</f>
        <v>-2.1053085176072281</v>
      </c>
      <c r="AZ11" s="18">
        <f t="shared" si="1"/>
        <v>162.09469148239276</v>
      </c>
    </row>
    <row r="12" spans="1:52" x14ac:dyDescent="0.25">
      <c r="A12" s="13" t="s">
        <v>146</v>
      </c>
      <c r="B12" s="15" t="s">
        <v>147</v>
      </c>
      <c r="J12" s="16">
        <v>0.4</v>
      </c>
      <c r="M12" s="16">
        <v>5</v>
      </c>
      <c r="N12" s="16">
        <v>27</v>
      </c>
      <c r="O12" s="16">
        <v>1.5</v>
      </c>
      <c r="Z12" s="16">
        <v>24.5</v>
      </c>
      <c r="AA12" s="16">
        <v>7.5</v>
      </c>
      <c r="AB12" s="16">
        <v>2.2000000000000002</v>
      </c>
      <c r="AD12" s="16">
        <v>1.5</v>
      </c>
      <c r="AG12" s="16">
        <v>0.5</v>
      </c>
      <c r="AH12" s="16">
        <v>20</v>
      </c>
      <c r="AI12" s="16">
        <v>27</v>
      </c>
      <c r="AK12" s="16">
        <v>3</v>
      </c>
      <c r="AL12" s="16">
        <v>10</v>
      </c>
      <c r="AM12" s="16">
        <v>1</v>
      </c>
      <c r="AO12" s="16">
        <v>0.5</v>
      </c>
      <c r="AX12" s="17">
        <f t="shared" si="0"/>
        <v>131.60000000000002</v>
      </c>
      <c r="AY12" s="17">
        <f>AC12*Factors!AC$6+AB12*Factors!AB$6</f>
        <v>-0.92633574774718042</v>
      </c>
      <c r="AZ12" s="18">
        <f t="shared" si="1"/>
        <v>130.67366425225285</v>
      </c>
    </row>
    <row r="13" spans="1:52" x14ac:dyDescent="0.25">
      <c r="A13" s="13" t="s">
        <v>148</v>
      </c>
      <c r="B13" s="15" t="s">
        <v>149</v>
      </c>
      <c r="C13" s="16">
        <v>75</v>
      </c>
      <c r="D13" s="16">
        <v>0.8</v>
      </c>
      <c r="H13" s="16">
        <v>32</v>
      </c>
      <c r="I13" s="16">
        <v>7</v>
      </c>
      <c r="K13" s="16">
        <v>0.35</v>
      </c>
      <c r="L13" s="16">
        <v>1.3</v>
      </c>
      <c r="M13" s="16">
        <v>0.5</v>
      </c>
      <c r="Q13" s="16">
        <v>2.5</v>
      </c>
      <c r="R13" s="16">
        <v>6</v>
      </c>
      <c r="W13" s="16">
        <v>0.08</v>
      </c>
      <c r="AA13" s="16">
        <v>14</v>
      </c>
      <c r="AG13" s="16">
        <v>0.33</v>
      </c>
      <c r="AH13" s="16">
        <v>0.22</v>
      </c>
      <c r="AI13" s="16">
        <v>0.05</v>
      </c>
      <c r="AK13" s="16">
        <v>4.4999999999999998E-2</v>
      </c>
      <c r="AL13" s="16">
        <v>0.16</v>
      </c>
      <c r="AM13" s="16">
        <v>0.02</v>
      </c>
      <c r="AN13" s="16">
        <v>2.5000000000000001E-3</v>
      </c>
      <c r="AO13" s="16">
        <v>3.5000000000000003E-2</v>
      </c>
      <c r="AP13" s="16">
        <v>6.4999999999999997E-3</v>
      </c>
      <c r="AQ13" s="16">
        <v>3.4000000000000002E-2</v>
      </c>
      <c r="AR13" s="16">
        <v>8.0000000000000002E-3</v>
      </c>
      <c r="AS13" s="16">
        <v>2.5000000000000001E-2</v>
      </c>
      <c r="AT13" s="16">
        <v>3.5000000000000001E-3</v>
      </c>
      <c r="AU13" s="16">
        <v>1.2500000000000001E-2</v>
      </c>
      <c r="AV13" s="16">
        <v>2E-3</v>
      </c>
      <c r="AX13" s="17">
        <f t="shared" si="0"/>
        <v>140.48399999999998</v>
      </c>
      <c r="AY13" s="17">
        <f>AC13*Factors!AC$6+AB13*Factors!AB$6</f>
        <v>0</v>
      </c>
      <c r="AZ13" s="18">
        <f t="shared" si="1"/>
        <v>140.48399999999998</v>
      </c>
    </row>
    <row r="14" spans="1:52" x14ac:dyDescent="0.25">
      <c r="A14" s="13" t="s">
        <v>150</v>
      </c>
      <c r="B14" s="15" t="s">
        <v>151</v>
      </c>
      <c r="C14" s="16">
        <v>22</v>
      </c>
      <c r="H14" s="16">
        <v>0.5</v>
      </c>
      <c r="J14" s="16">
        <v>1</v>
      </c>
      <c r="K14" s="16">
        <v>0.5</v>
      </c>
      <c r="M14" s="16">
        <v>22</v>
      </c>
      <c r="N14" s="16">
        <v>3</v>
      </c>
      <c r="Q14" s="16">
        <v>2</v>
      </c>
      <c r="W14" s="16">
        <v>12</v>
      </c>
      <c r="AA14" s="16">
        <v>1.5</v>
      </c>
      <c r="AB14" s="16">
        <v>2.5</v>
      </c>
      <c r="AC14" s="16">
        <v>0.3</v>
      </c>
      <c r="AD14" s="16">
        <v>10</v>
      </c>
      <c r="AE14" s="16">
        <v>1.5</v>
      </c>
      <c r="AG14" s="16">
        <v>5</v>
      </c>
      <c r="AH14" s="16">
        <v>17</v>
      </c>
      <c r="AI14" s="16">
        <v>33</v>
      </c>
      <c r="AK14" s="16">
        <v>4</v>
      </c>
      <c r="AL14" s="16">
        <v>13</v>
      </c>
      <c r="AM14" s="16">
        <v>2.5</v>
      </c>
      <c r="AN14" s="16">
        <v>0.4</v>
      </c>
      <c r="AO14" s="16">
        <v>2</v>
      </c>
      <c r="AQ14" s="16">
        <v>1</v>
      </c>
      <c r="AS14" s="16">
        <v>0.5</v>
      </c>
      <c r="AU14" s="16">
        <v>0.3</v>
      </c>
      <c r="AX14" s="17">
        <f t="shared" si="0"/>
        <v>157.50000000000003</v>
      </c>
      <c r="AY14" s="17">
        <f>AC14*Factors!AC$6+AB14*Factors!AB$6</f>
        <v>-1.1203510147979723</v>
      </c>
      <c r="AZ14" s="18">
        <f t="shared" si="1"/>
        <v>156.37964898520207</v>
      </c>
    </row>
    <row r="15" spans="1:52" x14ac:dyDescent="0.25">
      <c r="A15" s="13" t="s">
        <v>152</v>
      </c>
      <c r="B15" s="15" t="s">
        <v>153</v>
      </c>
      <c r="C15" s="16">
        <v>0.5</v>
      </c>
      <c r="H15" s="16">
        <v>1</v>
      </c>
      <c r="I15" s="16">
        <v>1.5</v>
      </c>
      <c r="M15" s="16">
        <v>2</v>
      </c>
      <c r="W15" s="16">
        <v>33</v>
      </c>
      <c r="AA15" s="16">
        <v>17</v>
      </c>
      <c r="AG15" s="16">
        <v>50</v>
      </c>
      <c r="AH15" s="16">
        <v>4</v>
      </c>
      <c r="AI15" s="16">
        <v>1.5</v>
      </c>
      <c r="AK15" s="16">
        <v>0.5</v>
      </c>
      <c r="AL15" s="16">
        <v>4</v>
      </c>
      <c r="AM15" s="16">
        <v>1</v>
      </c>
      <c r="AN15" s="16">
        <v>0.3</v>
      </c>
      <c r="AO15" s="16">
        <v>4</v>
      </c>
      <c r="AP15" s="16">
        <v>0.8</v>
      </c>
      <c r="AQ15" s="16">
        <v>5</v>
      </c>
      <c r="AR15" s="16">
        <v>1.2</v>
      </c>
      <c r="AS15" s="16">
        <v>4</v>
      </c>
      <c r="AT15" s="16">
        <v>0.6</v>
      </c>
      <c r="AU15" s="16">
        <v>4</v>
      </c>
      <c r="AV15" s="16">
        <v>0.6</v>
      </c>
      <c r="AX15" s="17">
        <f t="shared" si="0"/>
        <v>136.5</v>
      </c>
      <c r="AY15" s="17">
        <f>AC15*Factors!AC$6+AB15*Factors!AB$6</f>
        <v>0</v>
      </c>
      <c r="AZ15" s="18">
        <f t="shared" si="1"/>
        <v>136.5</v>
      </c>
    </row>
    <row r="16" spans="1:52" x14ac:dyDescent="0.25">
      <c r="A16" s="13" t="s">
        <v>154</v>
      </c>
      <c r="B16" s="15" t="s">
        <v>155</v>
      </c>
      <c r="C16" s="16">
        <v>4</v>
      </c>
      <c r="H16" s="16">
        <v>2</v>
      </c>
      <c r="I16" s="16">
        <v>1.5</v>
      </c>
      <c r="M16" s="16">
        <v>4</v>
      </c>
      <c r="N16" s="16">
        <v>1</v>
      </c>
      <c r="P16" s="16">
        <v>0.2</v>
      </c>
      <c r="W16" s="16">
        <v>30</v>
      </c>
      <c r="AA16" s="16">
        <v>9</v>
      </c>
      <c r="AD16" s="16">
        <v>8</v>
      </c>
      <c r="AE16" s="16">
        <v>0.5</v>
      </c>
      <c r="AG16" s="16">
        <v>4</v>
      </c>
      <c r="AH16" s="16">
        <v>20</v>
      </c>
      <c r="AI16" s="16">
        <v>35</v>
      </c>
      <c r="AK16" s="16">
        <v>4</v>
      </c>
      <c r="AL16" s="16">
        <v>21</v>
      </c>
      <c r="AM16" s="16">
        <v>4</v>
      </c>
      <c r="AN16" s="16">
        <v>1.8</v>
      </c>
      <c r="AO16" s="16">
        <v>3.5</v>
      </c>
      <c r="AP16" s="16">
        <v>0.4</v>
      </c>
      <c r="AQ16" s="16">
        <v>1.7</v>
      </c>
      <c r="AR16" s="16">
        <v>0.4</v>
      </c>
      <c r="AS16" s="16">
        <v>1.1000000000000001</v>
      </c>
      <c r="AT16" s="16">
        <v>0.5</v>
      </c>
      <c r="AU16" s="16">
        <v>0.5</v>
      </c>
      <c r="AV16" s="16">
        <v>0.1</v>
      </c>
      <c r="AX16" s="17">
        <f t="shared" si="0"/>
        <v>158.19999999999999</v>
      </c>
      <c r="AY16" s="17">
        <f>AC16*Factors!AC$6+AB16*Factors!AB$6</f>
        <v>0</v>
      </c>
      <c r="AZ16" s="18">
        <f t="shared" si="1"/>
        <v>158.19999999999999</v>
      </c>
    </row>
    <row r="17" spans="1:52" x14ac:dyDescent="0.25">
      <c r="A17" s="13" t="s">
        <v>156</v>
      </c>
      <c r="B17" s="15" t="s">
        <v>157</v>
      </c>
      <c r="C17" s="16">
        <v>0.5</v>
      </c>
      <c r="I17" s="16">
        <v>0.3</v>
      </c>
      <c r="M17" s="16">
        <v>1</v>
      </c>
      <c r="AB17" s="16">
        <v>29.5</v>
      </c>
      <c r="AD17" s="16">
        <v>2</v>
      </c>
      <c r="AG17" s="16">
        <v>1</v>
      </c>
      <c r="AH17" s="16">
        <v>33</v>
      </c>
      <c r="AI17" s="16">
        <v>55</v>
      </c>
      <c r="AK17" s="16">
        <v>5.5</v>
      </c>
      <c r="AL17" s="16">
        <v>14</v>
      </c>
      <c r="AM17" s="16">
        <v>2</v>
      </c>
      <c r="AN17" s="16">
        <v>0.2</v>
      </c>
      <c r="AO17" s="16">
        <v>1</v>
      </c>
      <c r="AX17" s="17">
        <f t="shared" si="0"/>
        <v>145</v>
      </c>
      <c r="AY17" s="17">
        <f>AC17*Factors!AC$6+AB17*Factors!AB$6</f>
        <v>-12.421320253882646</v>
      </c>
      <c r="AZ17" s="18">
        <f t="shared" si="1"/>
        <v>132.57867974611736</v>
      </c>
    </row>
    <row r="18" spans="1:52" x14ac:dyDescent="0.25">
      <c r="A18" s="13" t="s">
        <v>158</v>
      </c>
      <c r="B18" s="15" t="s">
        <v>159</v>
      </c>
      <c r="C18" s="16">
        <v>24</v>
      </c>
      <c r="D18" s="16">
        <v>0.1</v>
      </c>
      <c r="H18" s="16">
        <v>1.5</v>
      </c>
      <c r="I18" s="16">
        <v>4</v>
      </c>
      <c r="K18" s="16">
        <v>0.3</v>
      </c>
      <c r="L18" s="16">
        <v>2.5</v>
      </c>
      <c r="M18" s="16">
        <v>6</v>
      </c>
      <c r="N18" s="16">
        <v>2</v>
      </c>
      <c r="O18" s="16">
        <v>0.5</v>
      </c>
      <c r="Q18" s="16">
        <v>0.3</v>
      </c>
      <c r="R18" s="16">
        <v>0.2</v>
      </c>
      <c r="W18" s="16">
        <v>1</v>
      </c>
      <c r="Y18" s="16">
        <v>0.2</v>
      </c>
      <c r="AA18" s="16">
        <v>3.5</v>
      </c>
      <c r="AB18" s="16">
        <v>0.8</v>
      </c>
      <c r="AD18" s="16">
        <v>1</v>
      </c>
      <c r="AG18" s="16">
        <v>1.5</v>
      </c>
      <c r="AH18" s="16">
        <v>38</v>
      </c>
      <c r="AI18" s="16">
        <v>38</v>
      </c>
      <c r="AK18" s="16">
        <v>4</v>
      </c>
      <c r="AL18" s="16">
        <v>13</v>
      </c>
      <c r="AM18" s="16">
        <v>2</v>
      </c>
      <c r="AN18" s="16">
        <v>0.2</v>
      </c>
      <c r="AO18" s="16">
        <v>1.2</v>
      </c>
      <c r="AP18" s="16">
        <v>0.1</v>
      </c>
      <c r="AQ18" s="16">
        <v>0.5</v>
      </c>
      <c r="AS18" s="16">
        <v>0.2</v>
      </c>
      <c r="AU18" s="16">
        <v>0.1</v>
      </c>
      <c r="AX18" s="17">
        <f t="shared" si="0"/>
        <v>146.69999999999996</v>
      </c>
      <c r="AY18" s="17">
        <f>AC18*Factors!AC$6+AB18*Factors!AB$6</f>
        <v>-0.33684936281715649</v>
      </c>
      <c r="AZ18" s="18">
        <f t="shared" si="1"/>
        <v>146.3631506371828</v>
      </c>
    </row>
    <row r="19" spans="1:52" x14ac:dyDescent="0.25">
      <c r="A19" s="13" t="s">
        <v>160</v>
      </c>
      <c r="B19" s="15" t="s">
        <v>161</v>
      </c>
      <c r="C19" s="16">
        <v>53</v>
      </c>
      <c r="D19" s="16">
        <v>1.5</v>
      </c>
      <c r="E19" s="16">
        <v>16</v>
      </c>
      <c r="F19" s="16">
        <v>0.5</v>
      </c>
      <c r="H19" s="16">
        <v>0.5</v>
      </c>
      <c r="I19" s="16">
        <v>1</v>
      </c>
      <c r="J19" s="16">
        <v>7</v>
      </c>
      <c r="K19" s="16">
        <v>5</v>
      </c>
      <c r="L19" s="16">
        <v>0.3</v>
      </c>
      <c r="M19" s="16">
        <v>12</v>
      </c>
      <c r="N19" s="16">
        <v>3.5</v>
      </c>
      <c r="O19" s="16">
        <v>0.7</v>
      </c>
      <c r="Q19" s="16">
        <v>17.5</v>
      </c>
      <c r="R19" s="16">
        <v>1.4</v>
      </c>
      <c r="T19" s="16">
        <v>3</v>
      </c>
      <c r="Y19" s="16">
        <v>0.6</v>
      </c>
      <c r="AA19" s="16">
        <v>2.5</v>
      </c>
      <c r="AB19" s="16">
        <v>0.3</v>
      </c>
      <c r="AC19" s="16">
        <v>1.9</v>
      </c>
      <c r="AD19" s="16">
        <v>0.1</v>
      </c>
      <c r="AE19" s="16">
        <v>0.16</v>
      </c>
      <c r="AG19" s="16">
        <v>3.5</v>
      </c>
      <c r="AH19" s="16">
        <v>2.5</v>
      </c>
      <c r="AI19" s="16">
        <v>3.5</v>
      </c>
      <c r="AK19" s="16">
        <v>0.5</v>
      </c>
      <c r="AL19" s="16">
        <v>1.5</v>
      </c>
      <c r="AM19" s="16">
        <v>0.3</v>
      </c>
      <c r="AN19" s="16">
        <v>0.1</v>
      </c>
      <c r="AO19" s="16">
        <v>0.35</v>
      </c>
      <c r="AP19" s="16">
        <v>0.05</v>
      </c>
      <c r="AQ19" s="16">
        <v>0.35</v>
      </c>
      <c r="AR19" s="16">
        <v>7.0000000000000007E-2</v>
      </c>
      <c r="AS19" s="16">
        <v>0.25</v>
      </c>
      <c r="AT19" s="16">
        <v>0.04</v>
      </c>
      <c r="AU19" s="16">
        <v>0.3</v>
      </c>
      <c r="AV19" s="16">
        <v>0.05</v>
      </c>
      <c r="AX19" s="17">
        <f t="shared" si="0"/>
        <v>141.82</v>
      </c>
      <c r="AY19" s="17">
        <f>AC19*Factors!AC$6+AB19*Factors!AB$6</f>
        <v>-0.55506463235403591</v>
      </c>
      <c r="AZ19" s="18">
        <f t="shared" si="1"/>
        <v>141.26493536764596</v>
      </c>
    </row>
    <row r="20" spans="1:52" x14ac:dyDescent="0.25">
      <c r="A20" s="13" t="s">
        <v>162</v>
      </c>
      <c r="B20" s="15" t="s">
        <v>163</v>
      </c>
      <c r="C20" s="16">
        <v>26</v>
      </c>
      <c r="I20" s="16">
        <v>3.5</v>
      </c>
      <c r="J20" s="16">
        <v>14</v>
      </c>
      <c r="K20" s="16">
        <v>0.7</v>
      </c>
      <c r="L20" s="16">
        <v>0.5</v>
      </c>
      <c r="M20" s="16">
        <v>3</v>
      </c>
      <c r="Q20" s="16">
        <v>0.5</v>
      </c>
      <c r="S20" s="16">
        <v>10.5</v>
      </c>
      <c r="AA20" s="16">
        <v>2</v>
      </c>
      <c r="AD20" s="16">
        <v>1.5</v>
      </c>
      <c r="AE20" s="16">
        <v>0.5</v>
      </c>
      <c r="AG20" s="16">
        <v>46</v>
      </c>
      <c r="AH20" s="16">
        <v>5</v>
      </c>
      <c r="AI20" s="16">
        <v>11.1</v>
      </c>
      <c r="AK20" s="16">
        <v>1.5</v>
      </c>
      <c r="AL20" s="16">
        <v>6</v>
      </c>
      <c r="AM20" s="16">
        <v>3</v>
      </c>
      <c r="AN20" s="16">
        <v>0.6</v>
      </c>
      <c r="AO20" s="16">
        <v>4</v>
      </c>
      <c r="AP20" s="16">
        <v>1.1000000000000001</v>
      </c>
      <c r="AQ20" s="16">
        <v>6</v>
      </c>
      <c r="AR20" s="16">
        <v>2</v>
      </c>
      <c r="AS20" s="16">
        <v>4.5</v>
      </c>
      <c r="AT20" s="16">
        <v>0.8</v>
      </c>
      <c r="AU20" s="16">
        <v>4.5</v>
      </c>
      <c r="AV20" s="16">
        <v>0.8</v>
      </c>
      <c r="AX20" s="17">
        <f t="shared" si="0"/>
        <v>159.60000000000002</v>
      </c>
      <c r="AY20" s="17">
        <f>AC20*Factors!AC$6+AB20*Factors!AB$6</f>
        <v>0</v>
      </c>
      <c r="AZ20" s="18">
        <f t="shared" si="1"/>
        <v>159.60000000000002</v>
      </c>
    </row>
    <row r="21" spans="1:52" x14ac:dyDescent="0.25">
      <c r="A21" s="13" t="s">
        <v>164</v>
      </c>
      <c r="B21" s="15" t="s">
        <v>165</v>
      </c>
      <c r="C21" s="16">
        <v>33.5</v>
      </c>
      <c r="E21" s="16">
        <v>67.5</v>
      </c>
      <c r="F21" s="16">
        <v>6</v>
      </c>
      <c r="H21" s="16">
        <v>1</v>
      </c>
      <c r="J21" s="16">
        <v>2</v>
      </c>
      <c r="K21" s="16">
        <v>0.1</v>
      </c>
      <c r="M21" s="16">
        <v>2.5</v>
      </c>
      <c r="P21" s="16">
        <v>0.9</v>
      </c>
      <c r="Q21" s="16">
        <v>0.3</v>
      </c>
      <c r="T21" s="16">
        <v>0.5</v>
      </c>
      <c r="W21" s="16">
        <v>6</v>
      </c>
      <c r="X21" s="16">
        <v>0.3</v>
      </c>
      <c r="AA21" s="16">
        <v>5</v>
      </c>
      <c r="AB21" s="16">
        <v>1.2</v>
      </c>
      <c r="AD21" s="16">
        <v>1.5</v>
      </c>
      <c r="AE21" s="16">
        <v>3.5</v>
      </c>
      <c r="AF21" s="16">
        <v>0.5</v>
      </c>
      <c r="AG21" s="16">
        <v>8</v>
      </c>
      <c r="AH21" s="16">
        <v>0.05</v>
      </c>
      <c r="AI21" s="16">
        <v>0.5</v>
      </c>
      <c r="AK21" s="16">
        <v>0.06</v>
      </c>
      <c r="AL21" s="16">
        <v>0.15</v>
      </c>
      <c r="AM21" s="16">
        <v>0.15</v>
      </c>
      <c r="AN21" s="16">
        <v>0.03</v>
      </c>
      <c r="AO21" s="16">
        <v>0.5</v>
      </c>
      <c r="AP21" s="16">
        <v>0.15</v>
      </c>
      <c r="AQ21" s="16">
        <v>1.2</v>
      </c>
      <c r="AR21" s="16">
        <v>0.25</v>
      </c>
      <c r="AS21" s="16">
        <v>1</v>
      </c>
      <c r="AT21" s="16">
        <v>0.2</v>
      </c>
      <c r="AU21" s="16">
        <v>2.2000000000000002</v>
      </c>
      <c r="AV21" s="16">
        <v>0.35</v>
      </c>
      <c r="AW21" s="16">
        <v>0.15</v>
      </c>
      <c r="AX21" s="17">
        <f t="shared" si="0"/>
        <v>147.24</v>
      </c>
      <c r="AY21" s="17">
        <f>AC21*Factors!AC$6+AB21*Factors!AB$6</f>
        <v>-0.50527404422573474</v>
      </c>
      <c r="AZ21" s="18">
        <f t="shared" si="1"/>
        <v>146.73472595577428</v>
      </c>
    </row>
    <row r="22" spans="1:52" x14ac:dyDescent="0.25">
      <c r="A22" s="13" t="s">
        <v>166</v>
      </c>
      <c r="B22" s="15" t="s">
        <v>167</v>
      </c>
      <c r="C22" s="16">
        <v>0.8</v>
      </c>
      <c r="D22" s="16">
        <v>44</v>
      </c>
      <c r="E22" s="16">
        <v>2.6</v>
      </c>
      <c r="G22" s="16">
        <v>0.2</v>
      </c>
      <c r="I22" s="16">
        <v>6.7</v>
      </c>
      <c r="J22" s="16">
        <v>4.3</v>
      </c>
      <c r="K22" s="16">
        <v>1.25</v>
      </c>
      <c r="M22" s="16">
        <v>3</v>
      </c>
      <c r="T22" s="16">
        <v>30</v>
      </c>
      <c r="U22" s="16">
        <v>7</v>
      </c>
      <c r="AA22" s="16">
        <v>3.2</v>
      </c>
      <c r="AB22" s="16">
        <v>0.5</v>
      </c>
      <c r="AD22" s="16">
        <v>16</v>
      </c>
      <c r="AE22" s="16">
        <v>1</v>
      </c>
      <c r="AG22" s="16">
        <v>6.3</v>
      </c>
      <c r="AH22" s="16">
        <v>14.2</v>
      </c>
      <c r="AI22" s="16">
        <v>21.8</v>
      </c>
      <c r="AK22" s="16">
        <v>2.5</v>
      </c>
      <c r="AL22" s="16">
        <v>17.5</v>
      </c>
      <c r="AM22" s="16">
        <v>3.2</v>
      </c>
      <c r="AN22" s="16">
        <v>1.5</v>
      </c>
      <c r="AO22" s="16">
        <v>3.1</v>
      </c>
      <c r="AQ22" s="16">
        <v>1.8</v>
      </c>
      <c r="AS22" s="16">
        <v>0.2</v>
      </c>
      <c r="AU22" s="16">
        <v>0.2</v>
      </c>
      <c r="AX22" s="17">
        <f t="shared" si="0"/>
        <v>192.84999999999997</v>
      </c>
      <c r="AY22" s="17">
        <f>AC22*Factors!AC$6+AB22*Factors!AB$6</f>
        <v>-0.21053085176072281</v>
      </c>
      <c r="AZ22" s="18">
        <f t="shared" si="1"/>
        <v>192.63946914823924</v>
      </c>
    </row>
    <row r="23" spans="1:52" x14ac:dyDescent="0.25">
      <c r="A23" s="13" t="s">
        <v>168</v>
      </c>
      <c r="B23" s="15" t="s">
        <v>169</v>
      </c>
      <c r="C23" s="16">
        <v>0.8</v>
      </c>
      <c r="D23" s="16">
        <v>24</v>
      </c>
      <c r="E23" s="16">
        <v>0.1</v>
      </c>
      <c r="G23" s="16">
        <v>0.4</v>
      </c>
      <c r="H23" s="16">
        <v>0.15</v>
      </c>
      <c r="I23" s="16">
        <v>1.4</v>
      </c>
      <c r="J23" s="16">
        <v>1</v>
      </c>
      <c r="K23" s="16">
        <v>0.6</v>
      </c>
      <c r="L23" s="16">
        <v>0.15</v>
      </c>
      <c r="M23" s="16">
        <v>4.9000000000000004</v>
      </c>
      <c r="P23" s="16">
        <v>0.6</v>
      </c>
      <c r="Q23" s="16">
        <v>0.2</v>
      </c>
      <c r="R23" s="16">
        <v>0.1</v>
      </c>
      <c r="T23" s="16">
        <v>42</v>
      </c>
      <c r="U23" s="16">
        <v>15</v>
      </c>
      <c r="V23" s="16">
        <v>0.3</v>
      </c>
      <c r="AA23" s="16">
        <v>3</v>
      </c>
      <c r="AD23" s="16">
        <v>5</v>
      </c>
      <c r="AE23" s="16">
        <v>12</v>
      </c>
      <c r="AF23" s="16">
        <v>0.1</v>
      </c>
      <c r="AG23" s="16">
        <v>22</v>
      </c>
      <c r="AH23" s="16">
        <v>0.2</v>
      </c>
      <c r="AI23" s="16">
        <v>1.5</v>
      </c>
      <c r="AK23" s="16">
        <v>0.3</v>
      </c>
      <c r="AL23" s="16">
        <v>1.5</v>
      </c>
      <c r="AM23" s="16">
        <v>1.8</v>
      </c>
      <c r="AN23" s="16">
        <v>0.6</v>
      </c>
      <c r="AO23" s="16">
        <v>2.2000000000000002</v>
      </c>
      <c r="AP23" s="16">
        <v>0.5</v>
      </c>
      <c r="AQ23" s="16">
        <v>2.8</v>
      </c>
      <c r="AR23" s="16">
        <v>0.6</v>
      </c>
      <c r="AS23" s="16">
        <v>1.8</v>
      </c>
      <c r="AT23" s="16">
        <v>0.5</v>
      </c>
      <c r="AU23" s="16">
        <v>2.2000000000000002</v>
      </c>
      <c r="AV23" s="16">
        <v>0.4</v>
      </c>
      <c r="AX23" s="17">
        <f t="shared" si="0"/>
        <v>150.70000000000002</v>
      </c>
      <c r="AY23" s="17">
        <f>AC23*Factors!AC$6+AB23*Factors!AB$6</f>
        <v>0</v>
      </c>
      <c r="AZ23" s="18">
        <f t="shared" si="1"/>
        <v>150.70000000000002</v>
      </c>
    </row>
    <row r="24" spans="1:52" x14ac:dyDescent="0.25">
      <c r="A24" s="13" t="s">
        <v>170</v>
      </c>
      <c r="B24" s="15" t="s">
        <v>171</v>
      </c>
      <c r="C24" s="16">
        <v>1</v>
      </c>
      <c r="D24" s="16">
        <v>4.7</v>
      </c>
      <c r="G24" s="16">
        <v>0.5</v>
      </c>
      <c r="J24" s="16">
        <v>4.5</v>
      </c>
      <c r="M24" s="16">
        <v>1.8</v>
      </c>
      <c r="T24" s="16">
        <v>48</v>
      </c>
      <c r="U24" s="16">
        <v>6.3</v>
      </c>
      <c r="V24" s="16">
        <v>0.2</v>
      </c>
      <c r="AA24" s="16">
        <v>2</v>
      </c>
      <c r="AD24" s="16">
        <v>6</v>
      </c>
      <c r="AE24" s="16">
        <v>4.7</v>
      </c>
      <c r="AG24" s="16">
        <v>30.6</v>
      </c>
      <c r="AH24" s="16">
        <v>0.2</v>
      </c>
      <c r="AI24" s="16">
        <v>2</v>
      </c>
      <c r="AK24" s="16">
        <v>0.4</v>
      </c>
      <c r="AL24" s="16">
        <v>3.1</v>
      </c>
      <c r="AM24" s="16">
        <v>1.6</v>
      </c>
      <c r="AN24" s="16">
        <v>0.15</v>
      </c>
      <c r="AO24" s="16">
        <v>2.5</v>
      </c>
      <c r="AP24" s="16">
        <v>0.7</v>
      </c>
      <c r="AQ24" s="16">
        <v>5.8</v>
      </c>
      <c r="AR24" s="16">
        <v>1.35</v>
      </c>
      <c r="AS24" s="16">
        <v>5</v>
      </c>
      <c r="AT24" s="16">
        <v>0.9</v>
      </c>
      <c r="AU24" s="16">
        <v>5.6</v>
      </c>
      <c r="AV24" s="16">
        <v>0.66</v>
      </c>
      <c r="AX24" s="17">
        <f t="shared" si="0"/>
        <v>140.26000000000002</v>
      </c>
      <c r="AY24" s="17">
        <f>AC24*Factors!AC$6+AB24*Factors!AB$6</f>
        <v>0</v>
      </c>
      <c r="AZ24" s="18">
        <f t="shared" si="1"/>
        <v>140.26000000000002</v>
      </c>
    </row>
    <row r="25" spans="1:52" x14ac:dyDescent="0.25">
      <c r="A25" s="13" t="s">
        <v>172</v>
      </c>
      <c r="B25" s="15" t="s">
        <v>173</v>
      </c>
      <c r="C25" s="16">
        <v>0.4</v>
      </c>
      <c r="D25" s="16">
        <v>43</v>
      </c>
      <c r="E25" s="16">
        <v>0.2</v>
      </c>
      <c r="H25" s="16">
        <v>0.2</v>
      </c>
      <c r="I25" s="16">
        <v>0.6</v>
      </c>
      <c r="J25" s="16">
        <v>0.9</v>
      </c>
      <c r="M25" s="16">
        <v>5.5</v>
      </c>
      <c r="N25" s="16">
        <v>7.1</v>
      </c>
      <c r="Q25" s="16">
        <v>10.7</v>
      </c>
      <c r="R25" s="16">
        <v>0.15</v>
      </c>
      <c r="T25" s="16">
        <v>17.600000000000001</v>
      </c>
      <c r="U25" s="16">
        <v>1.2</v>
      </c>
      <c r="AB25" s="16">
        <v>0.1</v>
      </c>
      <c r="AD25" s="16">
        <v>5.2</v>
      </c>
      <c r="AE25" s="16">
        <v>0.34</v>
      </c>
      <c r="AH25" s="16">
        <v>13.8</v>
      </c>
      <c r="AI25" s="16">
        <v>22</v>
      </c>
      <c r="AK25" s="16">
        <v>2.8</v>
      </c>
      <c r="AL25" s="16">
        <v>6.3</v>
      </c>
      <c r="AM25" s="16">
        <v>0.5</v>
      </c>
      <c r="AX25" s="17">
        <f t="shared" si="0"/>
        <v>138.59000000000003</v>
      </c>
      <c r="AY25" s="17">
        <f>AC25*Factors!AC$6+AB25*Factors!AB$6</f>
        <v>-4.2106170352144562E-2</v>
      </c>
      <c r="AZ25" s="18">
        <f t="shared" si="1"/>
        <v>138.54789382964788</v>
      </c>
    </row>
    <row r="26" spans="1:52" x14ac:dyDescent="0.25">
      <c r="A26" s="13" t="s">
        <v>174</v>
      </c>
      <c r="B26" s="15" t="s">
        <v>175</v>
      </c>
      <c r="C26" s="16">
        <v>0.5</v>
      </c>
      <c r="D26" s="16">
        <v>6.5</v>
      </c>
      <c r="E26" s="16">
        <v>1.1000000000000001</v>
      </c>
      <c r="G26" s="16">
        <v>2</v>
      </c>
      <c r="H26" s="16">
        <v>0.3</v>
      </c>
      <c r="I26" s="16">
        <v>6.1</v>
      </c>
      <c r="J26" s="16">
        <v>11.2</v>
      </c>
      <c r="K26" s="16">
        <v>1.6</v>
      </c>
      <c r="L26" s="16">
        <v>0.4</v>
      </c>
      <c r="M26" s="16">
        <v>1.2</v>
      </c>
      <c r="P26" s="16">
        <v>0.2</v>
      </c>
      <c r="Q26" s="16">
        <v>0.3</v>
      </c>
      <c r="R26" s="16">
        <v>0.2</v>
      </c>
      <c r="T26" s="16">
        <v>42</v>
      </c>
      <c r="U26" s="16">
        <v>32</v>
      </c>
      <c r="V26" s="16">
        <v>3.7</v>
      </c>
      <c r="AA26" s="16">
        <v>3</v>
      </c>
      <c r="AD26" s="16">
        <v>4</v>
      </c>
      <c r="AE26" s="16">
        <v>21</v>
      </c>
      <c r="AF26" s="16">
        <v>1</v>
      </c>
      <c r="AG26" s="16">
        <v>12.9</v>
      </c>
      <c r="AH26" s="16">
        <v>0.4</v>
      </c>
      <c r="AI26" s="16">
        <v>0.5</v>
      </c>
      <c r="AK26" s="16">
        <v>0.3</v>
      </c>
      <c r="AL26" s="16">
        <v>1.2</v>
      </c>
      <c r="AM26" s="16">
        <v>1.9</v>
      </c>
      <c r="AN26" s="16">
        <v>0.2</v>
      </c>
      <c r="AO26" s="16">
        <v>2</v>
      </c>
      <c r="AP26" s="16">
        <v>0.45</v>
      </c>
      <c r="AQ26" s="16">
        <v>2</v>
      </c>
      <c r="AR26" s="16">
        <v>0.35</v>
      </c>
      <c r="AS26" s="16">
        <v>1</v>
      </c>
      <c r="AT26" s="16">
        <v>0.3</v>
      </c>
      <c r="AU26" s="16">
        <v>1.9</v>
      </c>
      <c r="AV26" s="16">
        <v>0.45</v>
      </c>
      <c r="AX26" s="17">
        <f t="shared" si="0"/>
        <v>164.15</v>
      </c>
      <c r="AY26" s="17">
        <f>AC26*Factors!AC$6+AB26*Factors!AB$6</f>
        <v>0</v>
      </c>
      <c r="AZ26" s="18">
        <f t="shared" si="1"/>
        <v>164.15</v>
      </c>
    </row>
    <row r="28" spans="1:52" x14ac:dyDescent="0.25">
      <c r="A28" s="7" t="s">
        <v>179</v>
      </c>
    </row>
    <row r="29" spans="1:52" x14ac:dyDescent="0.25">
      <c r="A29" s="7" t="s">
        <v>177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V26"/>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48" width="8" customWidth="1"/>
  </cols>
  <sheetData>
    <row r="1" spans="1:48" x14ac:dyDescent="0.25">
      <c r="A1" s="4" t="s">
        <v>180</v>
      </c>
      <c r="B1" s="4" t="s">
        <v>20</v>
      </c>
      <c r="C1" s="4" t="s">
        <v>22</v>
      </c>
      <c r="D1" s="4" t="s">
        <v>23</v>
      </c>
      <c r="E1" s="19" t="s">
        <v>24</v>
      </c>
      <c r="F1" s="4" t="s">
        <v>26</v>
      </c>
      <c r="G1" s="4" t="s">
        <v>27</v>
      </c>
      <c r="H1" s="4" t="s">
        <v>28</v>
      </c>
      <c r="I1" s="4" t="s">
        <v>29</v>
      </c>
      <c r="J1" s="4" t="s">
        <v>30</v>
      </c>
      <c r="K1" s="4" t="s">
        <v>31</v>
      </c>
      <c r="L1" s="4" t="s">
        <v>32</v>
      </c>
      <c r="M1" s="4" t="s">
        <v>33</v>
      </c>
      <c r="N1" s="4" t="s">
        <v>34</v>
      </c>
      <c r="O1" s="4" t="s">
        <v>35</v>
      </c>
      <c r="P1" s="4" t="s">
        <v>36</v>
      </c>
      <c r="Q1" s="4" t="s">
        <v>37</v>
      </c>
      <c r="R1" s="4" t="s">
        <v>38</v>
      </c>
      <c r="S1" s="19" t="s">
        <v>39</v>
      </c>
      <c r="T1" s="4" t="s">
        <v>40</v>
      </c>
      <c r="U1" s="4" t="s">
        <v>41</v>
      </c>
      <c r="V1" s="4" t="s">
        <v>42</v>
      </c>
      <c r="W1" s="4" t="s">
        <v>43</v>
      </c>
      <c r="X1" s="4" t="s">
        <v>44</v>
      </c>
      <c r="Y1" s="4" t="s">
        <v>45</v>
      </c>
      <c r="Z1" s="4" t="s">
        <v>46</v>
      </c>
      <c r="AA1" s="4" t="s">
        <v>47</v>
      </c>
      <c r="AB1" s="4" t="s">
        <v>48</v>
      </c>
      <c r="AC1" s="19" t="s">
        <v>49</v>
      </c>
      <c r="AD1" s="19" t="s">
        <v>50</v>
      </c>
      <c r="AE1" s="4" t="s">
        <v>51</v>
      </c>
      <c r="AF1" s="4" t="s">
        <v>52</v>
      </c>
      <c r="AG1" s="4" t="s">
        <v>53</v>
      </c>
      <c r="AH1" s="4" t="s">
        <v>54</v>
      </c>
      <c r="AI1" s="4" t="s">
        <v>55</v>
      </c>
      <c r="AJ1" s="4" t="s">
        <v>56</v>
      </c>
      <c r="AK1" s="4" t="s">
        <v>57</v>
      </c>
      <c r="AL1" s="4" t="s">
        <v>58</v>
      </c>
      <c r="AM1" s="4" t="s">
        <v>59</v>
      </c>
      <c r="AN1" s="4" t="s">
        <v>60</v>
      </c>
      <c r="AO1" s="4" t="s">
        <v>61</v>
      </c>
      <c r="AP1" s="4" t="s">
        <v>62</v>
      </c>
      <c r="AQ1" s="4" t="s">
        <v>63</v>
      </c>
      <c r="AR1" s="4" t="s">
        <v>64</v>
      </c>
      <c r="AS1" s="4" t="s">
        <v>65</v>
      </c>
      <c r="AT1" s="4" t="s">
        <v>66</v>
      </c>
      <c r="AU1" s="4" t="s">
        <v>67</v>
      </c>
      <c r="AV1" s="4" t="s">
        <v>181</v>
      </c>
    </row>
    <row r="2" spans="1:48" x14ac:dyDescent="0.25">
      <c r="A2" s="13" t="s">
        <v>126</v>
      </c>
      <c r="B2" s="20">
        <f>MAX(0,(SUMPRODUCT(Oxides_min!$C2:$AW2,Factors!$C$9:$AW$9)+SUMPRODUCT(Oxides_max!$C2:$AW2,Factors!$C$9:$AW$9))/2)</f>
        <v>29.409387914656897</v>
      </c>
      <c r="C2" s="20">
        <f>MAX(0,(SUMPRODUCT(Oxides_min!$C2:$AW2,Factors!$C$10:$AW$10)+SUMPRODUCT(Oxides_max!$C2:$AW2,Factors!$C$10:$AW$10))/2)</f>
        <v>1.1802776991827972</v>
      </c>
      <c r="D2" s="20">
        <f>MAX(0,(SUMPRODUCT(Oxides_min!$C2:$AW2,Factors!$C$11:$AW$11)+SUMPRODUCT(Oxides_max!$C2:$AW2,Factors!$C$11:$AW$11))/2)</f>
        <v>0</v>
      </c>
      <c r="E2" s="20">
        <f>MAX(0,(SUMPRODUCT(Oxides_min!$C2:$AW2,Factors!$C$12:$AW$12)+SUMPRODUCT(Oxides_max!$C2:$AW2,Factors!$C$12:$AW$12))/2)</f>
        <v>0</v>
      </c>
      <c r="F2" s="20">
        <f>MAX(0,(SUMPRODUCT(Oxides_min!$C2:$AW2,Factors!$C$13:$AW$13)+SUMPRODUCT(Oxides_max!$C2:$AW2,Factors!$C$13:$AW$13))/2)</f>
        <v>0</v>
      </c>
      <c r="G2" s="20">
        <f>MAX(0,(SUMPRODUCT(Oxides_min!$C2:$AW2,Factors!$C$14:$AW$14)+SUMPRODUCT(Oxides_max!$C2:$AW2,Factors!$C$14:$AW$14))/2)</f>
        <v>0</v>
      </c>
      <c r="H2" s="20">
        <f>MAX(0,(SUMPRODUCT(Oxides_min!$C2:$AW2,Factors!$C$15:$AW$15)+SUMPRODUCT(Oxides_max!$C2:$AW2,Factors!$C$15:$AW$15))/2)</f>
        <v>7.9388539006301453E-2</v>
      </c>
      <c r="I2" s="20">
        <f>MAX(0,(SUMPRODUCT(Oxides_min!$C2:$AW2,Factors!$C$16:$AW$16)+SUMPRODUCT(Oxides_max!$C2:$AW2,Factors!$C$16:$AW$16))/2)</f>
        <v>0.19432729246701186</v>
      </c>
      <c r="J2" s="20">
        <f>MAX(0,(SUMPRODUCT(Oxides_min!$C2:$AW2,Factors!$C$17:$AW$17)+SUMPRODUCT(Oxides_max!$C2:$AW2,Factors!$C$17:$AW$17))/2)</f>
        <v>0</v>
      </c>
      <c r="K2" s="20">
        <f>MAX(0,(SUMPRODUCT(Oxides_min!$C2:$AW2,Factors!$C$18:$AW$18)+SUMPRODUCT(Oxides_max!$C2:$AW2,Factors!$C$18:$AW$18))/2)</f>
        <v>0</v>
      </c>
      <c r="L2" s="20">
        <f>MAX(0,(SUMPRODUCT(Oxides_min!$C2:$AW2,Factors!$C$19:$AW$19)+SUMPRODUCT(Oxides_max!$C2:$AW2,Factors!$C$19:$AW$19))/2)</f>
        <v>1.4651265224601886</v>
      </c>
      <c r="M2" s="20">
        <f>MAX(0,(SUMPRODUCT(Oxides_min!$C2:$AW2,Factors!$C$20:$AW$20)+SUMPRODUCT(Oxides_max!$C2:$AW2,Factors!$C$20:$AW$20))/2)</f>
        <v>0.12683967226087881</v>
      </c>
      <c r="N2" s="20">
        <f>MAX(0,(SUMPRODUCT(Oxides_min!$C2:$AW2,Factors!$C$21:$AW$21)+SUMPRODUCT(Oxides_max!$C2:$AW2,Factors!$C$21:$AW$21))/2)</f>
        <v>0</v>
      </c>
      <c r="O2" s="20">
        <f>MAX(0,(SUMPRODUCT(Oxides_min!$C2:$AW2,Factors!$C$22:$AW$22)+SUMPRODUCT(Oxides_max!$C2:$AW2,Factors!$C$22:$AW$22))/2)</f>
        <v>0.70088127634980446</v>
      </c>
      <c r="P2" s="20">
        <f>MAX(0,(SUMPRODUCT(Oxides_min!$C2:$AW2,Factors!$C$23:$AW$23)+SUMPRODUCT(Oxides_max!$C2:$AW2,Factors!$C$23:$AW$23))/2)</f>
        <v>0</v>
      </c>
      <c r="Q2" s="20">
        <f>MAX(0,(SUMPRODUCT(Oxides_min!$C2:$AW2,Factors!$C$24:$AW$24)+SUMPRODUCT(Oxides_max!$C2:$AW2,Factors!$C$24:$AW$24))/2)</f>
        <v>0</v>
      </c>
      <c r="R2" s="20">
        <f>MAX(0,(SUMPRODUCT(Oxides_min!$C2:$AW2,Factors!$C$25:$AW$25)+SUMPRODUCT(Oxides_max!$C2:$AW2,Factors!$C$25:$AW$25))/2)</f>
        <v>0</v>
      </c>
      <c r="S2" s="20">
        <f>MAX(0,(SUMPRODUCT(Oxides_min!$C2:$AW2,Factors!$C$26:$AW$26)+SUMPRODUCT(Oxides_max!$C2:$AW2,Factors!$C$26:$AW$26))/2)</f>
        <v>0</v>
      </c>
      <c r="T2" s="20">
        <f>MAX(0,(SUMPRODUCT(Oxides_min!$C2:$AW2,Factors!$C$27:$AW$27)+SUMPRODUCT(Oxides_max!$C2:$AW2,Factors!$C$27:$AW$27))/2)</f>
        <v>0</v>
      </c>
      <c r="U2" s="20">
        <f>MAX(0,(SUMPRODUCT(Oxides_min!$C2:$AW2,Factors!$C$28:$AW$28)+SUMPRODUCT(Oxides_max!$C2:$AW2,Factors!$C$28:$AW$28))/2)</f>
        <v>0</v>
      </c>
      <c r="V2" s="20">
        <f>MAX(0,(SUMPRODUCT(Oxides_min!$C2:$AW2,Factors!$C$29:$AW$29)+SUMPRODUCT(Oxides_max!$C2:$AW2,Factors!$C$29:$AW$29))/2)</f>
        <v>12.219950886155017</v>
      </c>
      <c r="W2" s="20">
        <f>MAX(0,(SUMPRODUCT(Oxides_min!$C2:$AW2,Factors!$C$30:$AW$30)+SUMPRODUCT(Oxides_max!$C2:$AW2,Factors!$C$30:$AW$30))/2)</f>
        <v>0</v>
      </c>
      <c r="X2" s="20">
        <f>MAX(0,(SUMPRODUCT(Oxides_min!$C2:$AW2,Factors!$C$31:$AW$31)+SUMPRODUCT(Oxides_max!$C2:$AW2,Factors!$C$31:$AW$31))/2)</f>
        <v>0.10011616723084803</v>
      </c>
      <c r="Y2" s="20">
        <f>MAX(0,(SUMPRODUCT(Oxides_min!$C2:$AW2,Factors!$C$32:$AW$32)+SUMPRODUCT(Oxides_max!$C2:$AW2,Factors!$C$32:$AW$32))/2)</f>
        <v>0</v>
      </c>
      <c r="Z2" s="20">
        <f>MAX(0,(SUMPRODUCT(Oxides_min!$C2:$AW2,Factors!$C$33:$AW$33)+SUMPRODUCT(Oxides_max!$C2:$AW2,Factors!$C$33:$AW$33))/2)</f>
        <v>0</v>
      </c>
      <c r="AA2" s="20">
        <f>MAX(0,(SUMPRODUCT(Oxides_min!$C2:$AW2,Factors!$C$34:$AW$34)+SUMPRODUCT(Oxides_max!$C2:$AW2,Factors!$C$34:$AW$34))/2)</f>
        <v>0</v>
      </c>
      <c r="AB2" s="20">
        <f>MAX(0,(SUMPRODUCT(Oxides_min!$C2:$AW2,Factors!$C$35:$AW$35)+SUMPRODUCT(Oxides_max!$C2:$AW2,Factors!$C$35:$AW$35))/2)</f>
        <v>0</v>
      </c>
      <c r="AC2" s="20">
        <f>MAX(0,(SUMPRODUCT(Oxides_min!$C2:$AW2,Factors!$C$36:$AW$36)+SUMPRODUCT(Oxides_max!$C2:$AW2,Factors!$C$36:$AW$36))/2)</f>
        <v>9.2275243461395569</v>
      </c>
      <c r="AD2" s="20">
        <f>MAX(0,(SUMPRODUCT(Oxides_min!$C2:$AW2,Factors!$C$37:$AW$37)+SUMPRODUCT(Oxides_max!$C2:$AW2,Factors!$C$37:$AW$37))/2)</f>
        <v>0.88150069931919006</v>
      </c>
      <c r="AE2" s="20">
        <f>MAX(0,(SUMPRODUCT(Oxides_min!$C2:$AW2,Factors!$C$38:$AW$38)+SUMPRODUCT(Oxides_max!$C2:$AW2,Factors!$C$38:$AW$38))/2)</f>
        <v>0</v>
      </c>
      <c r="AF2" s="20">
        <f>MAX(0,(SUMPRODUCT(Oxides_min!$C2:$AW2,Factors!$C$39:$AW$39)+SUMPRODUCT(Oxides_max!$C2:$AW2,Factors!$C$39:$AW$39))/2)</f>
        <v>1.5748879095347443</v>
      </c>
      <c r="AG2" s="20">
        <f>MAX(0,(SUMPRODUCT(Oxides_min!$C2:$AW2,Factors!$C$40:$AW$40)+SUMPRODUCT(Oxides_max!$C2:$AW2,Factors!$C$40:$AW$40))/2)</f>
        <v>14.49561352003883</v>
      </c>
      <c r="AH2" s="20">
        <f>MAX(0,(SUMPRODUCT(Oxides_min!$C2:$AW2,Factors!$C$41:$AW$41)+SUMPRODUCT(Oxides_max!$C2:$AW2,Factors!$C$41:$AW$41))/2)</f>
        <v>26.466863074256082</v>
      </c>
      <c r="AI2" s="20">
        <f>MAX(0,(SUMPRODUCT(Oxides_min!$C2:$AW2,Factors!$C$42:$AW$42)+SUMPRODUCT(Oxides_max!$C2:$AW2,Factors!$C$42:$AW$42))/2)</f>
        <v>2.1361794489666122</v>
      </c>
      <c r="AJ2" s="20">
        <f>MAX(0,(SUMPRODUCT(Oxides_min!$C2:$AW2,Factors!$C$43:$AW$43)+SUMPRODUCT(Oxides_max!$C2:$AW2,Factors!$C$43:$AW$43))/2)</f>
        <v>8.5735598741087902</v>
      </c>
      <c r="AK2" s="20">
        <f>MAX(0,(SUMPRODUCT(Oxides_min!$C2:$AW2,Factors!$C$44:$AW$44)+SUMPRODUCT(Oxides_max!$C2:$AW2,Factors!$C$44:$AW$44))/2)</f>
        <v>1.8109584562840355</v>
      </c>
      <c r="AL2" s="20">
        <f>MAX(0,(SUMPRODUCT(Oxides_min!$C2:$AW2,Factors!$C$45:$AW$45)+SUMPRODUCT(Oxides_max!$C2:$AW2,Factors!$C$45:$AW$45))/2)</f>
        <v>0.12954237408538749</v>
      </c>
      <c r="AM2" s="20">
        <f>MAX(0,(SUMPRODUCT(Oxides_min!$C2:$AW2,Factors!$C$46:$AW$46)+SUMPRODUCT(Oxides_max!$C2:$AW2,Factors!$C$46:$AW$46))/2)</f>
        <v>1.3230799151441253</v>
      </c>
      <c r="AN2" s="20">
        <f>MAX(0,(SUMPRODUCT(Oxides_min!$C2:$AW2,Factors!$C$47:$AW$47)+SUMPRODUCT(Oxides_max!$C2:$AW2,Factors!$C$47:$AW$47))/2)</f>
        <v>0.13032090949321259</v>
      </c>
      <c r="AO2" s="20">
        <f>MAX(0,(SUMPRODUCT(Oxides_min!$C2:$AW2,Factors!$C$48:$AW$48)+SUMPRODUCT(Oxides_max!$C2:$AW2,Factors!$C$48:$AW$48))/2)</f>
        <v>0.6534905106475386</v>
      </c>
      <c r="AP2" s="20">
        <f>MAX(0,(SUMPRODUCT(Oxides_min!$C2:$AW2,Factors!$C$49:$AW$49)+SUMPRODUCT(Oxides_max!$C2:$AW2,Factors!$C$49:$AW$49))/2)</f>
        <v>0.1309463965875404</v>
      </c>
      <c r="AQ2" s="20">
        <f>MAX(0,(SUMPRODUCT(Oxides_min!$C2:$AW2,Factors!$C$50:$AW$50)+SUMPRODUCT(Oxides_max!$C2:$AW2,Factors!$C$50:$AW$50))/2)</f>
        <v>0.21863064193561035</v>
      </c>
      <c r="AR2" s="20">
        <f>MAX(0,(SUMPRODUCT(Oxides_min!$C2:$AW2,Factors!$C$51:$AW$51)+SUMPRODUCT(Oxides_max!$C2:$AW2,Factors!$C$51:$AW$51))/2)</f>
        <v>2.1890301966405699E-2</v>
      </c>
      <c r="AS2" s="20">
        <f>MAX(0,(SUMPRODUCT(Oxides_min!$C2:$AW2,Factors!$C$52:$AW$52)+SUMPRODUCT(Oxides_max!$C2:$AW2,Factors!$C$52:$AW$52))/2)</f>
        <v>0.13173106446038566</v>
      </c>
      <c r="AT2" s="20">
        <f>MAX(0,(SUMPRODUCT(Oxides_min!$C2:$AW2,Factors!$C$53:$AW$53)+SUMPRODUCT(Oxides_max!$C2:$AW2,Factors!$C$53:$AW$53))/2)</f>
        <v>2.1984587262200997E-2</v>
      </c>
      <c r="AU2" s="20">
        <f>MAX(0,(SUMPRODUCT(Oxides_min!$C2:$AW2,Factors!$C$54:$AW$54)+SUMPRODUCT(Oxides_max!$C2:$AW2,Factors!$C$54:$AW$54))/2)</f>
        <v>0</v>
      </c>
      <c r="AV2" s="18">
        <f t="shared" ref="AV2:AV26" si="0">SUM(B2:AU2)</f>
        <v>113.40499999999999</v>
      </c>
    </row>
    <row r="3" spans="1:48" x14ac:dyDescent="0.25">
      <c r="A3" s="13" t="s">
        <v>128</v>
      </c>
      <c r="B3" s="20">
        <f>MAX(0,(SUMPRODUCT(Oxides_min!$C3:$AW3,Factors!$C$9:$AW$9)+SUMPRODUCT(Oxides_max!$C3:$AW3,Factors!$C$9:$AW$9))/2)</f>
        <v>24.428168902130988</v>
      </c>
      <c r="C3" s="20">
        <f>MAX(0,(SUMPRODUCT(Oxides_min!$C3:$AW3,Factors!$C$10:$AW$10)+SUMPRODUCT(Oxides_max!$C3:$AW3,Factors!$C$10:$AW$10))/2)</f>
        <v>0.23371835627382123</v>
      </c>
      <c r="D3" s="20">
        <f>MAX(0,(SUMPRODUCT(Oxides_min!$C3:$AW3,Factors!$C$11:$AW$11)+SUMPRODUCT(Oxides_max!$C3:$AW3,Factors!$C$11:$AW$11))/2)</f>
        <v>0</v>
      </c>
      <c r="E3" s="20">
        <f>MAX(0,(SUMPRODUCT(Oxides_min!$C3:$AW3,Factors!$C$12:$AW$12)+SUMPRODUCT(Oxides_max!$C3:$AW3,Factors!$C$12:$AW$12))/2)</f>
        <v>0</v>
      </c>
      <c r="F3" s="20">
        <f>MAX(0,(SUMPRODUCT(Oxides_min!$C3:$AW3,Factors!$C$13:$AW$13)+SUMPRODUCT(Oxides_max!$C3:$AW3,Factors!$C$13:$AW$13))/2)</f>
        <v>0</v>
      </c>
      <c r="G3" s="20">
        <f>MAX(0,(SUMPRODUCT(Oxides_min!$C3:$AW3,Factors!$C$14:$AW$14)+SUMPRODUCT(Oxides_max!$C3:$AW3,Factors!$C$14:$AW$14))/2)</f>
        <v>0</v>
      </c>
      <c r="H3" s="20">
        <f>MAX(0,(SUMPRODUCT(Oxides_min!$C3:$AW3,Factors!$C$15:$AW$15)+SUMPRODUCT(Oxides_max!$C3:$AW3,Factors!$C$15:$AW$15))/2)</f>
        <v>0</v>
      </c>
      <c r="I3" s="20">
        <f>MAX(0,(SUMPRODUCT(Oxides_min!$C3:$AW3,Factors!$C$16:$AW$16)+SUMPRODUCT(Oxides_max!$C3:$AW3,Factors!$C$16:$AW$16))/2)</f>
        <v>0.23319275096041422</v>
      </c>
      <c r="J3" s="20">
        <f>MAX(0,(SUMPRODUCT(Oxides_min!$C3:$AW3,Factors!$C$17:$AW$17)+SUMPRODUCT(Oxides_max!$C3:$AW3,Factors!$C$17:$AW$17))/2)</f>
        <v>0</v>
      </c>
      <c r="K3" s="20">
        <f>MAX(0,(SUMPRODUCT(Oxides_min!$C3:$AW3,Factors!$C$18:$AW$18)+SUMPRODUCT(Oxides_max!$C3:$AW3,Factors!$C$18:$AW$18))/2)</f>
        <v>0</v>
      </c>
      <c r="L3" s="20">
        <f>MAX(0,(SUMPRODUCT(Oxides_min!$C3:$AW3,Factors!$C$19:$AW$19)+SUMPRODUCT(Oxides_max!$C3:$AW3,Factors!$C$19:$AW$19))/2)</f>
        <v>0.8933698307684077</v>
      </c>
      <c r="M3" s="20">
        <f>MAX(0,(SUMPRODUCT(Oxides_min!$C3:$AW3,Factors!$C$20:$AW$20)+SUMPRODUCT(Oxides_max!$C3:$AW3,Factors!$C$20:$AW$20))/2)</f>
        <v>0.4227989075362627</v>
      </c>
      <c r="N3" s="20">
        <f>MAX(0,(SUMPRODUCT(Oxides_min!$C3:$AW3,Factors!$C$21:$AW$21)+SUMPRODUCT(Oxides_max!$C3:$AW3,Factors!$C$21:$AW$21))/2)</f>
        <v>0.44782685258860205</v>
      </c>
      <c r="O3" s="20">
        <f>MAX(0,(SUMPRODUCT(Oxides_min!$C3:$AW3,Factors!$C$22:$AW$22)+SUMPRODUCT(Oxides_max!$C3:$AW3,Factors!$C$22:$AW$22))/2)</f>
        <v>0</v>
      </c>
      <c r="P3" s="20">
        <f>MAX(0,(SUMPRODUCT(Oxides_min!$C3:$AW3,Factors!$C$23:$AW$23)+SUMPRODUCT(Oxides_max!$C3:$AW3,Factors!$C$23:$AW$23))/2)</f>
        <v>0</v>
      </c>
      <c r="Q3" s="20">
        <f>MAX(0,(SUMPRODUCT(Oxides_min!$C3:$AW3,Factors!$C$24:$AW$24)+SUMPRODUCT(Oxides_max!$C3:$AW3,Factors!$C$24:$AW$24))/2)</f>
        <v>0</v>
      </c>
      <c r="R3" s="20">
        <f>MAX(0,(SUMPRODUCT(Oxides_min!$C3:$AW3,Factors!$C$25:$AW$25)+SUMPRODUCT(Oxides_max!$C3:$AW3,Factors!$C$25:$AW$25))/2)</f>
        <v>0</v>
      </c>
      <c r="S3" s="20">
        <f>MAX(0,(SUMPRODUCT(Oxides_min!$C3:$AW3,Factors!$C$26:$AW$26)+SUMPRODUCT(Oxides_max!$C3:$AW3,Factors!$C$26:$AW$26))/2)</f>
        <v>0</v>
      </c>
      <c r="T3" s="20">
        <f>MAX(0,(SUMPRODUCT(Oxides_min!$C3:$AW3,Factors!$C$27:$AW$27)+SUMPRODUCT(Oxides_max!$C3:$AW3,Factors!$C$27:$AW$27))/2)</f>
        <v>0</v>
      </c>
      <c r="U3" s="20">
        <f>MAX(0,(SUMPRODUCT(Oxides_min!$C3:$AW3,Factors!$C$28:$AW$28)+SUMPRODUCT(Oxides_max!$C3:$AW3,Factors!$C$28:$AW$28))/2)</f>
        <v>0</v>
      </c>
      <c r="V3" s="20">
        <f>MAX(0,(SUMPRODUCT(Oxides_min!$C3:$AW3,Factors!$C$29:$AW$29)+SUMPRODUCT(Oxides_max!$C3:$AW3,Factors!$C$29:$AW$29))/2)</f>
        <v>0.13092804520880374</v>
      </c>
      <c r="W3" s="20">
        <f>MAX(0,(SUMPRODUCT(Oxides_min!$C3:$AW3,Factors!$C$30:$AW$30)+SUMPRODUCT(Oxides_max!$C3:$AW3,Factors!$C$30:$AW$30))/2)</f>
        <v>0</v>
      </c>
      <c r="X3" s="20">
        <f>MAX(0,(SUMPRODUCT(Oxides_min!$C3:$AW3,Factors!$C$31:$AW$31)+SUMPRODUCT(Oxides_max!$C3:$AW3,Factors!$C$31:$AW$31))/2)</f>
        <v>0</v>
      </c>
      <c r="Y3" s="20">
        <f>MAX(0,(SUMPRODUCT(Oxides_min!$C3:$AW3,Factors!$C$32:$AW$32)+SUMPRODUCT(Oxides_max!$C3:$AW3,Factors!$C$32:$AW$32))/2)</f>
        <v>5.3901985957417802</v>
      </c>
      <c r="Z3" s="20">
        <f>MAX(0,(SUMPRODUCT(Oxides_min!$C3:$AW3,Factors!$C$33:$AW$33)+SUMPRODUCT(Oxides_max!$C3:$AW3,Factors!$C$33:$AW$33))/2)</f>
        <v>0.11190674437968359</v>
      </c>
      <c r="AA3" s="20">
        <f>MAX(0,(SUMPRODUCT(Oxides_min!$C3:$AW3,Factors!$C$34:$AW$34)+SUMPRODUCT(Oxides_max!$C3:$AW3,Factors!$C$34:$AW$34))/2)</f>
        <v>7.5</v>
      </c>
      <c r="AB3" s="20">
        <f>MAX(0,(SUMPRODUCT(Oxides_min!$C3:$AW3,Factors!$C$35:$AW$35)+SUMPRODUCT(Oxides_max!$C3:$AW3,Factors!$C$35:$AW$35))/2)</f>
        <v>0</v>
      </c>
      <c r="AC3" s="20">
        <f>MAX(0,(SUMPRODUCT(Oxides_min!$C3:$AW3,Factors!$C$36:$AW$36)+SUMPRODUCT(Oxides_max!$C3:$AW3,Factors!$C$36:$AW$36))/2)</f>
        <v>1.0985148031118519</v>
      </c>
      <c r="AD3" s="20">
        <f>MAX(0,(SUMPRODUCT(Oxides_min!$C3:$AW3,Factors!$C$37:$AW$37)+SUMPRODUCT(Oxides_max!$C3:$AW3,Factors!$C$37:$AW$37))/2)</f>
        <v>2.2037517482979753E-2</v>
      </c>
      <c r="AE3" s="20">
        <f>MAX(0,(SUMPRODUCT(Oxides_min!$C3:$AW3,Factors!$C$38:$AW$38)+SUMPRODUCT(Oxides_max!$C3:$AW3,Factors!$C$38:$AW$38))/2)</f>
        <v>0</v>
      </c>
      <c r="AF3" s="20">
        <f>MAX(0,(SUMPRODUCT(Oxides_min!$C3:$AW3,Factors!$C$39:$AW$39)+SUMPRODUCT(Oxides_max!$C3:$AW3,Factors!$C$39:$AW$39))/2)</f>
        <v>0.59058296607552907</v>
      </c>
      <c r="AG3" s="20">
        <f>MAX(0,(SUMPRODUCT(Oxides_min!$C3:$AW3,Factors!$C$40:$AW$40)+SUMPRODUCT(Oxides_max!$C3:$AW3,Factors!$C$40:$AW$40))/2)</f>
        <v>21.871322752293878</v>
      </c>
      <c r="AH3" s="20">
        <f>MAX(0,(SUMPRODUCT(Oxides_min!$C3:$AW3,Factors!$C$41:$AW$41)+SUMPRODUCT(Oxides_max!$C3:$AW3,Factors!$C$41:$AW$41))/2)</f>
        <v>29.881942180611702</v>
      </c>
      <c r="AI3" s="20">
        <f>MAX(0,(SUMPRODUCT(Oxides_min!$C3:$AW3,Factors!$C$42:$AW$42)+SUMPRODUCT(Oxides_max!$C3:$AW3,Factors!$C$42:$AW$42))/2)</f>
        <v>2.7770332836565959</v>
      </c>
      <c r="AJ3" s="20">
        <f>MAX(0,(SUMPRODUCT(Oxides_min!$C3:$AW3,Factors!$C$43:$AW$43)+SUMPRODUCT(Oxides_max!$C3:$AW3,Factors!$C$43:$AW$43))/2)</f>
        <v>8.14488188040335</v>
      </c>
      <c r="AK3" s="20">
        <f>MAX(0,(SUMPRODUCT(Oxides_min!$C3:$AW3,Factors!$C$44:$AW$44)+SUMPRODUCT(Oxides_max!$C3:$AW3,Factors!$C$44:$AW$44))/2)</f>
        <v>1.1210695205567838</v>
      </c>
      <c r="AL3" s="20">
        <f>MAX(0,(SUMPRODUCT(Oxides_min!$C3:$AW3,Factors!$C$45:$AW$45)+SUMPRODUCT(Oxides_max!$C3:$AW3,Factors!$C$45:$AW$45))/2)</f>
        <v>0.17272316544718336</v>
      </c>
      <c r="AM3" s="20">
        <f>MAX(0,(SUMPRODUCT(Oxides_min!$C3:$AW3,Factors!$C$46:$AW$46)+SUMPRODUCT(Oxides_max!$C3:$AW3,Factors!$C$46:$AW$46))/2)</f>
        <v>0.52055603218785251</v>
      </c>
      <c r="AN3" s="20">
        <f>MAX(0,(SUMPRODUCT(Oxides_min!$C3:$AW3,Factors!$C$47:$AW$47)+SUMPRODUCT(Oxides_max!$C3:$AW3,Factors!$C$47:$AW$47))/2)</f>
        <v>0</v>
      </c>
      <c r="AO3" s="20">
        <f>MAX(0,(SUMPRODUCT(Oxides_min!$C3:$AW3,Factors!$C$48:$AW$48)+SUMPRODUCT(Oxides_max!$C3:$AW3,Factors!$C$48:$AW$48))/2)</f>
        <v>0.174264136172677</v>
      </c>
      <c r="AP3" s="20">
        <f>MAX(0,(SUMPRODUCT(Oxides_min!$C3:$AW3,Factors!$C$49:$AW$49)+SUMPRODUCT(Oxides_max!$C3:$AW3,Factors!$C$49:$AW$49))/2)</f>
        <v>0</v>
      </c>
      <c r="AQ3" s="20">
        <f>MAX(0,(SUMPRODUCT(Oxides_min!$C3:$AW3,Factors!$C$50:$AW$50)+SUMPRODUCT(Oxides_max!$C3:$AW3,Factors!$C$50:$AW$50))/2)</f>
        <v>0</v>
      </c>
      <c r="AR3" s="20">
        <f>MAX(0,(SUMPRODUCT(Oxides_min!$C3:$AW3,Factors!$C$51:$AW$51)+SUMPRODUCT(Oxides_max!$C3:$AW3,Factors!$C$51:$AW$51))/2)</f>
        <v>0</v>
      </c>
      <c r="AS3" s="20">
        <f>MAX(0,(SUMPRODUCT(Oxides_min!$C3:$AW3,Factors!$C$52:$AW$52)+SUMPRODUCT(Oxides_max!$C3:$AW3,Factors!$C$52:$AW$52))/2)</f>
        <v>0</v>
      </c>
      <c r="AT3" s="20">
        <f>MAX(0,(SUMPRODUCT(Oxides_min!$C3:$AW3,Factors!$C$53:$AW$53)+SUMPRODUCT(Oxides_max!$C3:$AW3,Factors!$C$53:$AW$53))/2)</f>
        <v>0</v>
      </c>
      <c r="AU3" s="20">
        <f>MAX(0,(SUMPRODUCT(Oxides_min!$C3:$AW3,Factors!$C$54:$AW$54)+SUMPRODUCT(Oxides_max!$C3:$AW3,Factors!$C$54:$AW$54))/2)</f>
        <v>0</v>
      </c>
      <c r="AV3" s="18">
        <f t="shared" si="0"/>
        <v>106.16703722358915</v>
      </c>
    </row>
    <row r="4" spans="1:48" x14ac:dyDescent="0.25">
      <c r="A4" s="13" t="s">
        <v>130</v>
      </c>
      <c r="B4" s="20">
        <f>MAX(0,(SUMPRODUCT(Oxides_min!$C4:$AW4,Factors!$C$9:$AW$9)+SUMPRODUCT(Oxides_max!$C4:$AW4,Factors!$C$9:$AW$9))/2)</f>
        <v>32.553104220500359</v>
      </c>
      <c r="C4" s="20">
        <f>MAX(0,(SUMPRODUCT(Oxides_min!$C4:$AW4,Factors!$C$10:$AW$10)+SUMPRODUCT(Oxides_max!$C4:$AW4,Factors!$C$10:$AW$10))/2)</f>
        <v>0.46743671254764246</v>
      </c>
      <c r="D4" s="20">
        <f>MAX(0,(SUMPRODUCT(Oxides_min!$C4:$AW4,Factors!$C$11:$AW$11)+SUMPRODUCT(Oxides_max!$C4:$AW4,Factors!$C$11:$AW$11))/2)</f>
        <v>0</v>
      </c>
      <c r="E4" s="20">
        <f>MAX(0,(SUMPRODUCT(Oxides_min!$C4:$AW4,Factors!$C$12:$AW$12)+SUMPRODUCT(Oxides_max!$C4:$AW4,Factors!$C$12:$AW$12))/2)</f>
        <v>0</v>
      </c>
      <c r="F4" s="20">
        <f>MAX(0,(SUMPRODUCT(Oxides_min!$C4:$AW4,Factors!$C$13:$AW$13)+SUMPRODUCT(Oxides_max!$C4:$AW4,Factors!$C$13:$AW$13))/2)</f>
        <v>0</v>
      </c>
      <c r="G4" s="20">
        <f>MAX(0,(SUMPRODUCT(Oxides_min!$C4:$AW4,Factors!$C$14:$AW$14)+SUMPRODUCT(Oxides_max!$C4:$AW4,Factors!$C$14:$AW$14))/2)</f>
        <v>0</v>
      </c>
      <c r="H4" s="20">
        <f>MAX(0,(SUMPRODUCT(Oxides_min!$C4:$AW4,Factors!$C$15:$AW$15)+SUMPRODUCT(Oxides_max!$C4:$AW4,Factors!$C$15:$AW$15))/2)</f>
        <v>5.2925692670867643E-2</v>
      </c>
      <c r="I4" s="20">
        <f>MAX(0,(SUMPRODUCT(Oxides_min!$C4:$AW4,Factors!$C$16:$AW$16)+SUMPRODUCT(Oxides_max!$C4:$AW4,Factors!$C$16:$AW$16))/2)</f>
        <v>0.19432729246701186</v>
      </c>
      <c r="J4" s="20">
        <f>MAX(0,(SUMPRODUCT(Oxides_min!$C4:$AW4,Factors!$C$17:$AW$17)+SUMPRODUCT(Oxides_max!$C4:$AW4,Factors!$C$17:$AW$17))/2)</f>
        <v>0</v>
      </c>
      <c r="K4" s="20">
        <f>MAX(0,(SUMPRODUCT(Oxides_min!$C4:$AW4,Factors!$C$18:$AW$18)+SUMPRODUCT(Oxides_max!$C4:$AW4,Factors!$C$18:$AW$18))/2)</f>
        <v>0</v>
      </c>
      <c r="L4" s="20">
        <f>MAX(0,(SUMPRODUCT(Oxides_min!$C4:$AW4,Factors!$C$19:$AW$19)+SUMPRODUCT(Oxides_max!$C4:$AW4,Factors!$C$19:$AW$19))/2)</f>
        <v>0.21440875938441784</v>
      </c>
      <c r="M4" s="20">
        <f>MAX(0,(SUMPRODUCT(Oxides_min!$C4:$AW4,Factors!$C$20:$AW$20)+SUMPRODUCT(Oxides_max!$C4:$AW4,Factors!$C$20:$AW$20))/2)</f>
        <v>0</v>
      </c>
      <c r="N4" s="20">
        <f>MAX(0,(SUMPRODUCT(Oxides_min!$C4:$AW4,Factors!$C$21:$AW$21)+SUMPRODUCT(Oxides_max!$C4:$AW4,Factors!$C$21:$AW$21))/2)</f>
        <v>0</v>
      </c>
      <c r="O4" s="20">
        <f>MAX(0,(SUMPRODUCT(Oxides_min!$C4:$AW4,Factors!$C$22:$AW$22)+SUMPRODUCT(Oxides_max!$C4:$AW4,Factors!$C$22:$AW$22))/2)</f>
        <v>0.13924793569863664</v>
      </c>
      <c r="P4" s="20">
        <f>MAX(0,(SUMPRODUCT(Oxides_min!$C4:$AW4,Factors!$C$23:$AW$23)+SUMPRODUCT(Oxides_max!$C4:$AW4,Factors!$C$23:$AW$23))/2)</f>
        <v>0</v>
      </c>
      <c r="Q4" s="20">
        <f>MAX(0,(SUMPRODUCT(Oxides_min!$C4:$AW4,Factors!$C$24:$AW$24)+SUMPRODUCT(Oxides_max!$C4:$AW4,Factors!$C$24:$AW$24))/2)</f>
        <v>0</v>
      </c>
      <c r="R4" s="20">
        <f>MAX(0,(SUMPRODUCT(Oxides_min!$C4:$AW4,Factors!$C$25:$AW$25)+SUMPRODUCT(Oxides_max!$C4:$AW4,Factors!$C$25:$AW$25))/2)</f>
        <v>0</v>
      </c>
      <c r="S4" s="20">
        <f>MAX(0,(SUMPRODUCT(Oxides_min!$C4:$AW4,Factors!$C$26:$AW$26)+SUMPRODUCT(Oxides_max!$C4:$AW4,Factors!$C$26:$AW$26))/2)</f>
        <v>0</v>
      </c>
      <c r="T4" s="20">
        <f>MAX(0,(SUMPRODUCT(Oxides_min!$C4:$AW4,Factors!$C$27:$AW$27)+SUMPRODUCT(Oxides_max!$C4:$AW4,Factors!$C$27:$AW$27))/2)</f>
        <v>0</v>
      </c>
      <c r="U4" s="20">
        <f>MAX(0,(SUMPRODUCT(Oxides_min!$C4:$AW4,Factors!$C$28:$AW$28)+SUMPRODUCT(Oxides_max!$C4:$AW4,Factors!$C$28:$AW$28))/2)</f>
        <v>0</v>
      </c>
      <c r="V4" s="20">
        <f>MAX(0,(SUMPRODUCT(Oxides_min!$C4:$AW4,Factors!$C$29:$AW$29)+SUMPRODUCT(Oxides_max!$C4:$AW4,Factors!$C$29:$AW$29))/2)</f>
        <v>14.838511790331093</v>
      </c>
      <c r="W4" s="20">
        <f>MAX(0,(SUMPRODUCT(Oxides_min!$C4:$AW4,Factors!$C$30:$AW$30)+SUMPRODUCT(Oxides_max!$C4:$AW4,Factors!$C$30:$AW$30))/2)</f>
        <v>0</v>
      </c>
      <c r="X4" s="20">
        <f>MAX(0,(SUMPRODUCT(Oxides_min!$C4:$AW4,Factors!$C$31:$AW$31)+SUMPRODUCT(Oxides_max!$C4:$AW4,Factors!$C$31:$AW$31))/2)</f>
        <v>0</v>
      </c>
      <c r="Y4" s="20">
        <f>MAX(0,(SUMPRODUCT(Oxides_min!$C4:$AW4,Factors!$C$32:$AW$32)+SUMPRODUCT(Oxides_max!$C4:$AW4,Factors!$C$32:$AW$32))/2)</f>
        <v>0</v>
      </c>
      <c r="Z4" s="20">
        <f>MAX(0,(SUMPRODUCT(Oxides_min!$C4:$AW4,Factors!$C$33:$AW$33)+SUMPRODUCT(Oxides_max!$C4:$AW4,Factors!$C$33:$AW$33))/2)</f>
        <v>0</v>
      </c>
      <c r="AA4" s="20">
        <f>MAX(0,(SUMPRODUCT(Oxides_min!$C4:$AW4,Factors!$C$34:$AW$34)+SUMPRODUCT(Oxides_max!$C4:$AW4,Factors!$C$34:$AW$34))/2)</f>
        <v>0</v>
      </c>
      <c r="AB4" s="20">
        <f>MAX(0,(SUMPRODUCT(Oxides_min!$C4:$AW4,Factors!$C$35:$AW$35)+SUMPRODUCT(Oxides_max!$C4:$AW4,Factors!$C$35:$AW$35))/2)</f>
        <v>0</v>
      </c>
      <c r="AC4" s="20">
        <f>MAX(0,(SUMPRODUCT(Oxides_min!$C4:$AW4,Factors!$C$36:$AW$36)+SUMPRODUCT(Oxides_max!$C4:$AW4,Factors!$C$36:$AW$36))/2)</f>
        <v>1.3182177637342223</v>
      </c>
      <c r="AD4" s="20">
        <f>MAX(0,(SUMPRODUCT(Oxides_min!$C4:$AW4,Factors!$C$37:$AW$37)+SUMPRODUCT(Oxides_max!$C4:$AW4,Factors!$C$37:$AW$37))/2)</f>
        <v>2.2037517482979752</v>
      </c>
      <c r="AE4" s="20">
        <f>MAX(0,(SUMPRODUCT(Oxides_min!$C4:$AW4,Factors!$C$38:$AW$38)+SUMPRODUCT(Oxides_max!$C4:$AW4,Factors!$C$38:$AW$38))/2)</f>
        <v>0</v>
      </c>
      <c r="AF4" s="20">
        <f>MAX(0,(SUMPRODUCT(Oxides_min!$C4:$AW4,Factors!$C$39:$AW$39)+SUMPRODUCT(Oxides_max!$C4:$AW4,Factors!$C$39:$AW$39))/2)</f>
        <v>35.434977964531747</v>
      </c>
      <c r="AG4" s="20">
        <f>MAX(0,(SUMPRODUCT(Oxides_min!$C4:$AW4,Factors!$C$40:$AW$40)+SUMPRODUCT(Oxides_max!$C4:$AW4,Factors!$C$40:$AW$40))/2)</f>
        <v>4.2634157411878912E-2</v>
      </c>
      <c r="AH4" s="20">
        <f>MAX(0,(SUMPRODUCT(Oxides_min!$C4:$AW4,Factors!$C$41:$AW$41)+SUMPRODUCT(Oxides_max!$C4:$AW4,Factors!$C$41:$AW$41))/2)</f>
        <v>0.12806546648833586</v>
      </c>
      <c r="AI4" s="20">
        <f>MAX(0,(SUMPRODUCT(Oxides_min!$C4:$AW4,Factors!$C$42:$AW$42)+SUMPRODUCT(Oxides_max!$C4:$AW4,Factors!$C$42:$AW$42))/2)</f>
        <v>4.2723588979332247E-2</v>
      </c>
      <c r="AJ4" s="20">
        <f>MAX(0,(SUMPRODUCT(Oxides_min!$C4:$AW4,Factors!$C$43:$AW$43)+SUMPRODUCT(Oxides_max!$C4:$AW4,Factors!$C$43:$AW$43))/2)</f>
        <v>0.21433899685271976</v>
      </c>
      <c r="AK4" s="20">
        <f>MAX(0,(SUMPRODUCT(Oxides_min!$C4:$AW4,Factors!$C$44:$AW$44)+SUMPRODUCT(Oxides_max!$C4:$AW4,Factors!$C$44:$AW$44))/2)</f>
        <v>0.45273961407100888</v>
      </c>
      <c r="AL4" s="20">
        <f>MAX(0,(SUMPRODUCT(Oxides_min!$C4:$AW4,Factors!$C$45:$AW$45)+SUMPRODUCT(Oxides_max!$C4:$AW4,Factors!$C$45:$AW$45))/2)</f>
        <v>8.6361582723591679E-2</v>
      </c>
      <c r="AM4" s="20">
        <f>MAX(0,(SUMPRODUCT(Oxides_min!$C4:$AW4,Factors!$C$46:$AW$46)+SUMPRODUCT(Oxides_max!$C4:$AW4,Factors!$C$46:$AW$46))/2)</f>
        <v>2.2991224754963491</v>
      </c>
      <c r="AN4" s="20">
        <f>MAX(0,(SUMPRODUCT(Oxides_min!$C4:$AW4,Factors!$C$47:$AW$47)+SUMPRODUCT(Oxides_max!$C4:$AW4,Factors!$C$47:$AW$47))/2)</f>
        <v>0.52128363797285049</v>
      </c>
      <c r="AO4" s="20">
        <f>MAX(0,(SUMPRODUCT(Oxides_min!$C4:$AW4,Factors!$C$48:$AW$48)+SUMPRODUCT(Oxides_max!$C4:$AW4,Factors!$C$48:$AW$48))/2)</f>
        <v>4.3566034043169246</v>
      </c>
      <c r="AP4" s="20">
        <f>MAX(0,(SUMPRODUCT(Oxides_min!$C4:$AW4,Factors!$C$49:$AW$49)+SUMPRODUCT(Oxides_max!$C4:$AW4,Factors!$C$49:$AW$49))/2)</f>
        <v>1.0475711727003232</v>
      </c>
      <c r="AQ4" s="20">
        <f>MAX(0,(SUMPRODUCT(Oxides_min!$C4:$AW4,Factors!$C$50:$AW$50)+SUMPRODUCT(Oxides_max!$C4:$AW4,Factors!$C$50:$AW$50))/2)</f>
        <v>3.4980902709697657</v>
      </c>
      <c r="AR4" s="20">
        <f>MAX(0,(SUMPRODUCT(Oxides_min!$C4:$AW4,Factors!$C$51:$AW$51)+SUMPRODUCT(Oxides_max!$C4:$AW4,Factors!$C$51:$AW$51))/2)</f>
        <v>0.5691478511265482</v>
      </c>
      <c r="AS4" s="20">
        <f>MAX(0,(SUMPRODUCT(Oxides_min!$C4:$AW4,Factors!$C$52:$AW$52)+SUMPRODUCT(Oxides_max!$C4:$AW4,Factors!$C$52:$AW$52))/2)</f>
        <v>3.9519319338115695</v>
      </c>
      <c r="AT4" s="20">
        <f>MAX(0,(SUMPRODUCT(Oxides_min!$C4:$AW4,Factors!$C$53:$AW$53)+SUMPRODUCT(Oxides_max!$C4:$AW4,Factors!$C$53:$AW$53))/2)</f>
        <v>0.74747596691483387</v>
      </c>
      <c r="AU4" s="20">
        <f>MAX(0,(SUMPRODUCT(Oxides_min!$C4:$AW4,Factors!$C$54:$AW$54)+SUMPRODUCT(Oxides_max!$C4:$AW4,Factors!$C$54:$AW$54))/2)</f>
        <v>0</v>
      </c>
      <c r="AV4" s="18">
        <f t="shared" si="0"/>
        <v>105.37500000000003</v>
      </c>
    </row>
    <row r="5" spans="1:48" x14ac:dyDescent="0.25">
      <c r="A5" s="13" t="s">
        <v>132</v>
      </c>
      <c r="B5" s="20">
        <f>MAX(0,(SUMPRODUCT(Oxides_min!$C5:$AW5,Factors!$C$9:$AW$9)+SUMPRODUCT(Oxides_max!$C5:$AW5,Factors!$C$9:$AW$9))/2)</f>
        <v>26.985782797481743</v>
      </c>
      <c r="C5" s="20">
        <f>MAX(0,(SUMPRODUCT(Oxides_min!$C5:$AW5,Factors!$C$10:$AW$10)+SUMPRODUCT(Oxides_max!$C5:$AW5,Factors!$C$10:$AW$10))/2)</f>
        <v>0.11685917813691062</v>
      </c>
      <c r="D5" s="20">
        <f>MAX(0,(SUMPRODUCT(Oxides_min!$C5:$AW5,Factors!$C$11:$AW$11)+SUMPRODUCT(Oxides_max!$C5:$AW5,Factors!$C$11:$AW$11))/2)</f>
        <v>0</v>
      </c>
      <c r="E5" s="20">
        <f>MAX(0,(SUMPRODUCT(Oxides_min!$C5:$AW5,Factors!$C$12:$AW$12)+SUMPRODUCT(Oxides_max!$C5:$AW5,Factors!$C$12:$AW$12))/2)</f>
        <v>0</v>
      </c>
      <c r="F5" s="20">
        <f>MAX(0,(SUMPRODUCT(Oxides_min!$C5:$AW5,Factors!$C$13:$AW$13)+SUMPRODUCT(Oxides_max!$C5:$AW5,Factors!$C$13:$AW$13))/2)</f>
        <v>0</v>
      </c>
      <c r="G5" s="20">
        <f>MAX(0,(SUMPRODUCT(Oxides_min!$C5:$AW5,Factors!$C$14:$AW$14)+SUMPRODUCT(Oxides_max!$C5:$AW5,Factors!$C$14:$AW$14))/2)</f>
        <v>0</v>
      </c>
      <c r="H5" s="20">
        <f>MAX(0,(SUMPRODUCT(Oxides_min!$C5:$AW5,Factors!$C$15:$AW$15)+SUMPRODUCT(Oxides_max!$C5:$AW5,Factors!$C$15:$AW$15))/2)</f>
        <v>0</v>
      </c>
      <c r="I5" s="20">
        <f>MAX(0,(SUMPRODUCT(Oxides_min!$C5:$AW5,Factors!$C$16:$AW$16)+SUMPRODUCT(Oxides_max!$C5:$AW5,Factors!$C$16:$AW$16))/2)</f>
        <v>0.11659637548020711</v>
      </c>
      <c r="J5" s="20">
        <f>MAX(0,(SUMPRODUCT(Oxides_min!$C5:$AW5,Factors!$C$17:$AW$17)+SUMPRODUCT(Oxides_max!$C5:$AW5,Factors!$C$17:$AW$17))/2)</f>
        <v>0</v>
      </c>
      <c r="K5" s="20">
        <f>MAX(0,(SUMPRODUCT(Oxides_min!$C5:$AW5,Factors!$C$18:$AW$18)+SUMPRODUCT(Oxides_max!$C5:$AW5,Factors!$C$18:$AW$18))/2)</f>
        <v>0</v>
      </c>
      <c r="L5" s="20">
        <f>MAX(0,(SUMPRODUCT(Oxides_min!$C5:$AW5,Factors!$C$19:$AW$19)+SUMPRODUCT(Oxides_max!$C5:$AW5,Factors!$C$19:$AW$19))/2)</f>
        <v>7.5043065784546243</v>
      </c>
      <c r="M5" s="20">
        <f>MAX(0,(SUMPRODUCT(Oxides_min!$C5:$AW5,Factors!$C$20:$AW$20)+SUMPRODUCT(Oxides_max!$C5:$AW5,Factors!$C$20:$AW$20))/2)</f>
        <v>0.4227989075362627</v>
      </c>
      <c r="N5" s="20">
        <f>MAX(0,(SUMPRODUCT(Oxides_min!$C5:$AW5,Factors!$C$21:$AW$21)+SUMPRODUCT(Oxides_max!$C5:$AW5,Factors!$C$21:$AW$21))/2)</f>
        <v>0.22391342629430103</v>
      </c>
      <c r="O5" s="20">
        <f>MAX(0,(SUMPRODUCT(Oxides_min!$C5:$AW5,Factors!$C$22:$AW$22)+SUMPRODUCT(Oxides_max!$C5:$AW5,Factors!$C$22:$AW$22))/2)</f>
        <v>0</v>
      </c>
      <c r="P5" s="20">
        <f>MAX(0,(SUMPRODUCT(Oxides_min!$C5:$AW5,Factors!$C$23:$AW$23)+SUMPRODUCT(Oxides_max!$C5:$AW5,Factors!$C$23:$AW$23))/2)</f>
        <v>7.4186225794092037E-2</v>
      </c>
      <c r="Q5" s="20">
        <f>MAX(0,(SUMPRODUCT(Oxides_min!$C5:$AW5,Factors!$C$24:$AW$24)+SUMPRODUCT(Oxides_max!$C5:$AW5,Factors!$C$24:$AW$24))/2)</f>
        <v>0</v>
      </c>
      <c r="R5" s="20">
        <f>MAX(0,(SUMPRODUCT(Oxides_min!$C5:$AW5,Factors!$C$25:$AW$25)+SUMPRODUCT(Oxides_max!$C5:$AW5,Factors!$C$25:$AW$25))/2)</f>
        <v>0</v>
      </c>
      <c r="S5" s="20">
        <f>MAX(0,(SUMPRODUCT(Oxides_min!$C5:$AW5,Factors!$C$26:$AW$26)+SUMPRODUCT(Oxides_max!$C5:$AW5,Factors!$C$26:$AW$26))/2)</f>
        <v>0</v>
      </c>
      <c r="T5" s="20">
        <f>MAX(0,(SUMPRODUCT(Oxides_min!$C5:$AW5,Factors!$C$27:$AW$27)+SUMPRODUCT(Oxides_max!$C5:$AW5,Factors!$C$27:$AW$27))/2)</f>
        <v>0</v>
      </c>
      <c r="U5" s="20">
        <f>MAX(0,(SUMPRODUCT(Oxides_min!$C5:$AW5,Factors!$C$28:$AW$28)+SUMPRODUCT(Oxides_max!$C5:$AW5,Factors!$C$28:$AW$28))/2)</f>
        <v>0</v>
      </c>
      <c r="V5" s="20">
        <f>MAX(0,(SUMPRODUCT(Oxides_min!$C5:$AW5,Factors!$C$29:$AW$29)+SUMPRODUCT(Oxides_max!$C5:$AW5,Factors!$C$29:$AW$29))/2)</f>
        <v>0</v>
      </c>
      <c r="W5" s="20">
        <f>MAX(0,(SUMPRODUCT(Oxides_min!$C5:$AW5,Factors!$C$30:$AW$30)+SUMPRODUCT(Oxides_max!$C5:$AW5,Factors!$C$30:$AW$30))/2)</f>
        <v>0</v>
      </c>
      <c r="X5" s="20">
        <f>MAX(0,(SUMPRODUCT(Oxides_min!$C5:$AW5,Factors!$C$31:$AW$31)+SUMPRODUCT(Oxides_max!$C5:$AW5,Factors!$C$31:$AW$31))/2)</f>
        <v>0</v>
      </c>
      <c r="Y5" s="20">
        <f>MAX(0,(SUMPRODUCT(Oxides_min!$C5:$AW5,Factors!$C$32:$AW$32)+SUMPRODUCT(Oxides_max!$C5:$AW5,Factors!$C$32:$AW$32))/2)</f>
        <v>6.6183451112272493</v>
      </c>
      <c r="Z5" s="20">
        <f>MAX(0,(SUMPRODUCT(Oxides_min!$C5:$AW5,Factors!$C$33:$AW$33)+SUMPRODUCT(Oxides_max!$C5:$AW5,Factors!$C$33:$AW$33))/2)</f>
        <v>0</v>
      </c>
      <c r="AA5" s="20">
        <f>MAX(0,(SUMPRODUCT(Oxides_min!$C5:$AW5,Factors!$C$34:$AW$34)+SUMPRODUCT(Oxides_max!$C5:$AW5,Factors!$C$34:$AW$34))/2)</f>
        <v>6.25</v>
      </c>
      <c r="AB5" s="20">
        <f>MAX(0,(SUMPRODUCT(Oxides_min!$C5:$AW5,Factors!$C$35:$AW$35)+SUMPRODUCT(Oxides_max!$C5:$AW5,Factors!$C$35:$AW$35))/2)</f>
        <v>0</v>
      </c>
      <c r="AC5" s="20">
        <f>MAX(0,(SUMPRODUCT(Oxides_min!$C5:$AW5,Factors!$C$36:$AW$36)+SUMPRODUCT(Oxides_max!$C5:$AW5,Factors!$C$36:$AW$36))/2)</f>
        <v>0.65910888186711114</v>
      </c>
      <c r="AD5" s="20">
        <f>MAX(0,(SUMPRODUCT(Oxides_min!$C5:$AW5,Factors!$C$37:$AW$37)+SUMPRODUCT(Oxides_max!$C5:$AW5,Factors!$C$37:$AW$37))/2)</f>
        <v>2.2037517482979753E-2</v>
      </c>
      <c r="AE5" s="20">
        <f>MAX(0,(SUMPRODUCT(Oxides_min!$C5:$AW5,Factors!$C$38:$AW$38)+SUMPRODUCT(Oxides_max!$C5:$AW5,Factors!$C$38:$AW$38))/2)</f>
        <v>0</v>
      </c>
      <c r="AF5" s="20">
        <f>MAX(0,(SUMPRODUCT(Oxides_min!$C5:$AW5,Factors!$C$39:$AW$39)+SUMPRODUCT(Oxides_max!$C5:$AW5,Factors!$C$39:$AW$39))/2)</f>
        <v>0.78744395476737217</v>
      </c>
      <c r="AG5" s="20">
        <f>MAX(0,(SUMPRODUCT(Oxides_min!$C5:$AW5,Factors!$C$40:$AW$40)+SUMPRODUCT(Oxides_max!$C5:$AW5,Factors!$C$40:$AW$40))/2)</f>
        <v>12.363905649444884</v>
      </c>
      <c r="AH5" s="20">
        <f>MAX(0,(SUMPRODUCT(Oxides_min!$C5:$AW5,Factors!$C$41:$AW$41)+SUMPRODUCT(Oxides_max!$C5:$AW5,Factors!$C$41:$AW$41))/2)</f>
        <v>24.332438632783816</v>
      </c>
      <c r="AI5" s="20">
        <f>MAX(0,(SUMPRODUCT(Oxides_min!$C5:$AW5,Factors!$C$42:$AW$42)+SUMPRODUCT(Oxides_max!$C5:$AW5,Factors!$C$42:$AW$42))/2)</f>
        <v>2.3497973938632732</v>
      </c>
      <c r="AJ5" s="20">
        <f>MAX(0,(SUMPRODUCT(Oxides_min!$C5:$AW5,Factors!$C$43:$AW$43)+SUMPRODUCT(Oxides_max!$C5:$AW5,Factors!$C$43:$AW$43))/2)</f>
        <v>7.9305428835506309</v>
      </c>
      <c r="AK5" s="20">
        <f>MAX(0,(SUMPRODUCT(Oxides_min!$C5:$AW5,Factors!$C$44:$AW$44)+SUMPRODUCT(Oxides_max!$C5:$AW5,Factors!$C$44:$AW$44))/2)</f>
        <v>1.2073056375226903</v>
      </c>
      <c r="AL5" s="20">
        <f>MAX(0,(SUMPRODUCT(Oxides_min!$C5:$AW5,Factors!$C$45:$AW$45)+SUMPRODUCT(Oxides_max!$C5:$AW5,Factors!$C$45:$AW$45))/2)</f>
        <v>0.21590395680897917</v>
      </c>
      <c r="AM5" s="20">
        <f>MAX(0,(SUMPRODUCT(Oxides_min!$C5:$AW5,Factors!$C$46:$AW$46)+SUMPRODUCT(Oxides_max!$C5:$AW5,Factors!$C$46:$AW$46))/2)</f>
        <v>0.65069504023481572</v>
      </c>
      <c r="AN5" s="20">
        <f>MAX(0,(SUMPRODUCT(Oxides_min!$C5:$AW5,Factors!$C$47:$AW$47)+SUMPRODUCT(Oxides_max!$C5:$AW5,Factors!$C$47:$AW$47))/2)</f>
        <v>0</v>
      </c>
      <c r="AO5" s="20">
        <f>MAX(0,(SUMPRODUCT(Oxides_min!$C5:$AW5,Factors!$C$48:$AW$48)+SUMPRODUCT(Oxides_max!$C5:$AW5,Factors!$C$48:$AW$48))/2)</f>
        <v>0.26139620425901544</v>
      </c>
      <c r="AP5" s="20">
        <f>MAX(0,(SUMPRODUCT(Oxides_min!$C5:$AW5,Factors!$C$49:$AW$49)+SUMPRODUCT(Oxides_max!$C5:$AW5,Factors!$C$49:$AW$49))/2)</f>
        <v>0</v>
      </c>
      <c r="AQ5" s="20">
        <f>MAX(0,(SUMPRODUCT(Oxides_min!$C5:$AW5,Factors!$C$50:$AW$50)+SUMPRODUCT(Oxides_max!$C5:$AW5,Factors!$C$50:$AW$50))/2)</f>
        <v>0</v>
      </c>
      <c r="AR5" s="20">
        <f>MAX(0,(SUMPRODUCT(Oxides_min!$C5:$AW5,Factors!$C$51:$AW$51)+SUMPRODUCT(Oxides_max!$C5:$AW5,Factors!$C$51:$AW$51))/2)</f>
        <v>0</v>
      </c>
      <c r="AS5" s="20">
        <f>MAX(0,(SUMPRODUCT(Oxides_min!$C5:$AW5,Factors!$C$52:$AW$52)+SUMPRODUCT(Oxides_max!$C5:$AW5,Factors!$C$52:$AW$52))/2)</f>
        <v>0</v>
      </c>
      <c r="AT5" s="20">
        <f>MAX(0,(SUMPRODUCT(Oxides_min!$C5:$AW5,Factors!$C$53:$AW$53)+SUMPRODUCT(Oxides_max!$C5:$AW5,Factors!$C$53:$AW$53))/2)</f>
        <v>0</v>
      </c>
      <c r="AU5" s="20">
        <f>MAX(0,(SUMPRODUCT(Oxides_min!$C5:$AW5,Factors!$C$54:$AW$54)+SUMPRODUCT(Oxides_max!$C5:$AW5,Factors!$C$54:$AW$54))/2)</f>
        <v>0</v>
      </c>
      <c r="AV5" s="18">
        <f t="shared" si="0"/>
        <v>99.09336435299096</v>
      </c>
    </row>
    <row r="6" spans="1:48" x14ac:dyDescent="0.25">
      <c r="A6" s="13" t="s">
        <v>134</v>
      </c>
      <c r="B6" s="20">
        <f>MAX(0,(SUMPRODUCT(Oxides_min!$C6:$AW6,Factors!$C$9:$AW$9)+SUMPRODUCT(Oxides_max!$C6:$AW6,Factors!$C$9:$AW$9))/2)</f>
        <v>30.805040811060604</v>
      </c>
      <c r="C6" s="20">
        <f>MAX(0,(SUMPRODUCT(Oxides_min!$C6:$AW6,Factors!$C$10:$AW$10)+SUMPRODUCT(Oxides_max!$C6:$AW6,Factors!$C$10:$AW$10))/2)</f>
        <v>0.23371835627382123</v>
      </c>
      <c r="D6" s="20">
        <f>MAX(0,(SUMPRODUCT(Oxides_min!$C6:$AW6,Factors!$C$11:$AW$11)+SUMPRODUCT(Oxides_max!$C6:$AW6,Factors!$C$11:$AW$11))/2)</f>
        <v>0</v>
      </c>
      <c r="E6" s="20">
        <f>MAX(0,(SUMPRODUCT(Oxides_min!$C6:$AW6,Factors!$C$12:$AW$12)+SUMPRODUCT(Oxides_max!$C6:$AW6,Factors!$C$12:$AW$12))/2)</f>
        <v>0</v>
      </c>
      <c r="F6" s="20">
        <f>MAX(0,(SUMPRODUCT(Oxides_min!$C6:$AW6,Factors!$C$13:$AW$13)+SUMPRODUCT(Oxides_max!$C6:$AW6,Factors!$C$13:$AW$13))/2)</f>
        <v>0</v>
      </c>
      <c r="G6" s="20">
        <f>MAX(0,(SUMPRODUCT(Oxides_min!$C6:$AW6,Factors!$C$14:$AW$14)+SUMPRODUCT(Oxides_max!$C6:$AW6,Factors!$C$14:$AW$14))/2)</f>
        <v>0</v>
      </c>
      <c r="H6" s="20">
        <f>MAX(0,(SUMPRODUCT(Oxides_min!$C6:$AW6,Factors!$C$15:$AW$15)+SUMPRODUCT(Oxides_max!$C6:$AW6,Factors!$C$15:$AW$15))/2)</f>
        <v>0</v>
      </c>
      <c r="I6" s="20">
        <f>MAX(0,(SUMPRODUCT(Oxides_min!$C6:$AW6,Factors!$C$16:$AW$16)+SUMPRODUCT(Oxides_max!$C6:$AW6,Factors!$C$16:$AW$16))/2)</f>
        <v>0.19432729246701186</v>
      </c>
      <c r="J6" s="20">
        <f>MAX(0,(SUMPRODUCT(Oxides_min!$C6:$AW6,Factors!$C$17:$AW$17)+SUMPRODUCT(Oxides_max!$C6:$AW6,Factors!$C$17:$AW$17))/2)</f>
        <v>0</v>
      </c>
      <c r="K6" s="20">
        <f>MAX(0,(SUMPRODUCT(Oxides_min!$C6:$AW6,Factors!$C$18:$AW$18)+SUMPRODUCT(Oxides_max!$C6:$AW6,Factors!$C$18:$AW$18))/2)</f>
        <v>0</v>
      </c>
      <c r="L6" s="20">
        <f>MAX(0,(SUMPRODUCT(Oxides_min!$C6:$AW6,Factors!$C$19:$AW$19)+SUMPRODUCT(Oxides_max!$C6:$AW6,Factors!$C$19:$AW$19))/2)</f>
        <v>12.507177630757706</v>
      </c>
      <c r="M6" s="20">
        <f>MAX(0,(SUMPRODUCT(Oxides_min!$C6:$AW6,Factors!$C$20:$AW$20)+SUMPRODUCT(Oxides_max!$C6:$AW6,Factors!$C$20:$AW$20))/2)</f>
        <v>0.4227989075362627</v>
      </c>
      <c r="N6" s="20">
        <f>MAX(0,(SUMPRODUCT(Oxides_min!$C6:$AW6,Factors!$C$21:$AW$21)+SUMPRODUCT(Oxides_max!$C6:$AW6,Factors!$C$21:$AW$21))/2)</f>
        <v>0</v>
      </c>
      <c r="O6" s="20">
        <f>MAX(0,(SUMPRODUCT(Oxides_min!$C6:$AW6,Factors!$C$22:$AW$22)+SUMPRODUCT(Oxides_max!$C6:$AW6,Factors!$C$22:$AW$22))/2)</f>
        <v>0</v>
      </c>
      <c r="P6" s="20">
        <f>MAX(0,(SUMPRODUCT(Oxides_min!$C6:$AW6,Factors!$C$23:$AW$23)+SUMPRODUCT(Oxides_max!$C6:$AW6,Factors!$C$23:$AW$23))/2)</f>
        <v>0</v>
      </c>
      <c r="Q6" s="20">
        <f>MAX(0,(SUMPRODUCT(Oxides_min!$C6:$AW6,Factors!$C$24:$AW$24)+SUMPRODUCT(Oxides_max!$C6:$AW6,Factors!$C$24:$AW$24))/2)</f>
        <v>0</v>
      </c>
      <c r="R6" s="20">
        <f>MAX(0,(SUMPRODUCT(Oxides_min!$C6:$AW6,Factors!$C$25:$AW$25)+SUMPRODUCT(Oxides_max!$C6:$AW6,Factors!$C$25:$AW$25))/2)</f>
        <v>0</v>
      </c>
      <c r="S6" s="20">
        <f>MAX(0,(SUMPRODUCT(Oxides_min!$C6:$AW6,Factors!$C$26:$AW$26)+SUMPRODUCT(Oxides_max!$C6:$AW6,Factors!$C$26:$AW$26))/2)</f>
        <v>0</v>
      </c>
      <c r="T6" s="20">
        <f>MAX(0,(SUMPRODUCT(Oxides_min!$C6:$AW6,Factors!$C$27:$AW$27)+SUMPRODUCT(Oxides_max!$C6:$AW6,Factors!$C$27:$AW$27))/2)</f>
        <v>0</v>
      </c>
      <c r="U6" s="20">
        <f>MAX(0,(SUMPRODUCT(Oxides_min!$C6:$AW6,Factors!$C$28:$AW$28)+SUMPRODUCT(Oxides_max!$C6:$AW6,Factors!$C$28:$AW$28))/2)</f>
        <v>0</v>
      </c>
      <c r="V6" s="20">
        <f>MAX(0,(SUMPRODUCT(Oxides_min!$C6:$AW6,Factors!$C$29:$AW$29)+SUMPRODUCT(Oxides_max!$C6:$AW6,Factors!$C$29:$AW$29))/2)</f>
        <v>0</v>
      </c>
      <c r="W6" s="20">
        <f>MAX(0,(SUMPRODUCT(Oxides_min!$C6:$AW6,Factors!$C$30:$AW$30)+SUMPRODUCT(Oxides_max!$C6:$AW6,Factors!$C$30:$AW$30))/2)</f>
        <v>0</v>
      </c>
      <c r="X6" s="20">
        <f>MAX(0,(SUMPRODUCT(Oxides_min!$C6:$AW6,Factors!$C$31:$AW$31)+SUMPRODUCT(Oxides_max!$C6:$AW6,Factors!$C$31:$AW$31))/2)</f>
        <v>0</v>
      </c>
      <c r="Y6" s="20">
        <f>MAX(0,(SUMPRODUCT(Oxides_min!$C6:$AW6,Factors!$C$32:$AW$32)+SUMPRODUCT(Oxides_max!$C6:$AW6,Factors!$C$32:$AW$32))/2)</f>
        <v>7.5053398168556438</v>
      </c>
      <c r="Z6" s="20">
        <f>MAX(0,(SUMPRODUCT(Oxides_min!$C6:$AW6,Factors!$C$33:$AW$33)+SUMPRODUCT(Oxides_max!$C6:$AW6,Factors!$C$33:$AW$33))/2)</f>
        <v>0</v>
      </c>
      <c r="AA6" s="20">
        <f>MAX(0,(SUMPRODUCT(Oxides_min!$C6:$AW6,Factors!$C$34:$AW$34)+SUMPRODUCT(Oxides_max!$C6:$AW6,Factors!$C$34:$AW$34))/2)</f>
        <v>5.25</v>
      </c>
      <c r="AB6" s="20">
        <f>MAX(0,(SUMPRODUCT(Oxides_min!$C6:$AW6,Factors!$C$35:$AW$35)+SUMPRODUCT(Oxides_max!$C6:$AW6,Factors!$C$35:$AW$35))/2)</f>
        <v>0</v>
      </c>
      <c r="AC6" s="20">
        <f>MAX(0,(SUMPRODUCT(Oxides_min!$C6:$AW6,Factors!$C$36:$AW$36)+SUMPRODUCT(Oxides_max!$C6:$AW6,Factors!$C$36:$AW$36))/2)</f>
        <v>0.87881184248948152</v>
      </c>
      <c r="AD6" s="20">
        <f>MAX(0,(SUMPRODUCT(Oxides_min!$C6:$AW6,Factors!$C$37:$AW$37)+SUMPRODUCT(Oxides_max!$C6:$AW6,Factors!$C$37:$AW$37))/2)</f>
        <v>4.4075034965959506E-2</v>
      </c>
      <c r="AE6" s="20">
        <f>MAX(0,(SUMPRODUCT(Oxides_min!$C6:$AW6,Factors!$C$38:$AW$38)+SUMPRODUCT(Oxides_max!$C6:$AW6,Factors!$C$38:$AW$38))/2)</f>
        <v>0</v>
      </c>
      <c r="AF6" s="20">
        <f>MAX(0,(SUMPRODUCT(Oxides_min!$C6:$AW6,Factors!$C$39:$AW$39)+SUMPRODUCT(Oxides_max!$C6:$AW6,Factors!$C$39:$AW$39))/2)</f>
        <v>1.1811659321510581</v>
      </c>
      <c r="AG6" s="20">
        <f>MAX(0,(SUMPRODUCT(Oxides_min!$C6:$AW6,Factors!$C$40:$AW$40)+SUMPRODUCT(Oxides_max!$C6:$AW6,Factors!$C$40:$AW$40))/2)</f>
        <v>9.805856204732148</v>
      </c>
      <c r="AH6" s="20">
        <f>MAX(0,(SUMPRODUCT(Oxides_min!$C6:$AW6,Factors!$C$41:$AW$41)+SUMPRODUCT(Oxides_max!$C6:$AW6,Factors!$C$41:$AW$41))/2)</f>
        <v>20.49047463813374</v>
      </c>
      <c r="AI6" s="20">
        <f>MAX(0,(SUMPRODUCT(Oxides_min!$C6:$AW6,Factors!$C$42:$AW$42)+SUMPRODUCT(Oxides_max!$C6:$AW6,Factors!$C$42:$AW$42))/2)</f>
        <v>1.9225615040699509</v>
      </c>
      <c r="AJ6" s="20">
        <f>MAX(0,(SUMPRODUCT(Oxides_min!$C6:$AW6,Factors!$C$43:$AW$43)+SUMPRODUCT(Oxides_max!$C6:$AW6,Factors!$C$43:$AW$43))/2)</f>
        <v>7.5018648898451916</v>
      </c>
      <c r="AK6" s="20">
        <f>MAX(0,(SUMPRODUCT(Oxides_min!$C6:$AW6,Factors!$C$44:$AW$44)+SUMPRODUCT(Oxides_max!$C6:$AW6,Factors!$C$44:$AW$44))/2)</f>
        <v>1.1641875790397371</v>
      </c>
      <c r="AL6" s="20">
        <f>MAX(0,(SUMPRODUCT(Oxides_min!$C6:$AW6,Factors!$C$45:$AW$45)+SUMPRODUCT(Oxides_max!$C6:$AW6,Factors!$C$45:$AW$45))/2)</f>
        <v>0.21590395680897917</v>
      </c>
      <c r="AM6" s="20">
        <f>MAX(0,(SUMPRODUCT(Oxides_min!$C6:$AW6,Factors!$C$46:$AW$46)+SUMPRODUCT(Oxides_max!$C6:$AW6,Factors!$C$46:$AW$46))/2)</f>
        <v>0.8675933869797543</v>
      </c>
      <c r="AN6" s="20">
        <f>MAX(0,(SUMPRODUCT(Oxides_min!$C6:$AW6,Factors!$C$47:$AW$47)+SUMPRODUCT(Oxides_max!$C6:$AW6,Factors!$C$47:$AW$47))/2)</f>
        <v>0</v>
      </c>
      <c r="AO6" s="20">
        <f>MAX(0,(SUMPRODUCT(Oxides_min!$C6:$AW6,Factors!$C$48:$AW$48)+SUMPRODUCT(Oxides_max!$C6:$AW6,Factors!$C$48:$AW$48))/2)</f>
        <v>0.348528272345354</v>
      </c>
      <c r="AP6" s="20">
        <f>MAX(0,(SUMPRODUCT(Oxides_min!$C6:$AW6,Factors!$C$49:$AW$49)+SUMPRODUCT(Oxides_max!$C6:$AW6,Factors!$C$49:$AW$49))/2)</f>
        <v>0</v>
      </c>
      <c r="AQ6" s="20">
        <f>MAX(0,(SUMPRODUCT(Oxides_min!$C6:$AW6,Factors!$C$50:$AW$50)+SUMPRODUCT(Oxides_max!$C6:$AW6,Factors!$C$50:$AW$50))/2)</f>
        <v>0</v>
      </c>
      <c r="AR6" s="20">
        <f>MAX(0,(SUMPRODUCT(Oxides_min!$C6:$AW6,Factors!$C$51:$AW$51)+SUMPRODUCT(Oxides_max!$C6:$AW6,Factors!$C$51:$AW$51))/2)</f>
        <v>0</v>
      </c>
      <c r="AS6" s="20">
        <f>MAX(0,(SUMPRODUCT(Oxides_min!$C6:$AW6,Factors!$C$52:$AW$52)+SUMPRODUCT(Oxides_max!$C6:$AW6,Factors!$C$52:$AW$52))/2)</f>
        <v>0</v>
      </c>
      <c r="AT6" s="20">
        <f>MAX(0,(SUMPRODUCT(Oxides_min!$C6:$AW6,Factors!$C$53:$AW$53)+SUMPRODUCT(Oxides_max!$C6:$AW6,Factors!$C$53:$AW$53))/2)</f>
        <v>0</v>
      </c>
      <c r="AU6" s="20">
        <f>MAX(0,(SUMPRODUCT(Oxides_min!$C6:$AW6,Factors!$C$54:$AW$54)+SUMPRODUCT(Oxides_max!$C6:$AW6,Factors!$C$54:$AW$54))/2)</f>
        <v>0</v>
      </c>
      <c r="AV6" s="18">
        <f t="shared" si="0"/>
        <v>101.33942605651239</v>
      </c>
    </row>
    <row r="7" spans="1:48" x14ac:dyDescent="0.25">
      <c r="A7" s="13" t="s">
        <v>136</v>
      </c>
      <c r="B7" s="20">
        <f>MAX(0,(SUMPRODUCT(Oxides_min!$C7:$AW7,Factors!$C$9:$AW$9)+SUMPRODUCT(Oxides_max!$C7:$AW7,Factors!$C$9:$AW$9))/2)</f>
        <v>39.767340976173941</v>
      </c>
      <c r="C7" s="20">
        <f>MAX(0,(SUMPRODUCT(Oxides_min!$C7:$AW7,Factors!$C$10:$AW$10)+SUMPRODUCT(Oxides_max!$C7:$AW7,Factors!$C$10:$AW$10))/2)</f>
        <v>14.957974801524557</v>
      </c>
      <c r="D7" s="20">
        <f>MAX(0,(SUMPRODUCT(Oxides_min!$C7:$AW7,Factors!$C$11:$AW$11)+SUMPRODUCT(Oxides_max!$C7:$AW7,Factors!$C$11:$AW$11))/2)</f>
        <v>0.74918612658861838</v>
      </c>
      <c r="E7" s="20">
        <f>MAX(0,(SUMPRODUCT(Oxides_min!$C7:$AW7,Factors!$C$12:$AW$12)+SUMPRODUCT(Oxides_max!$C7:$AW7,Factors!$C$12:$AW$12))/2)</f>
        <v>0</v>
      </c>
      <c r="F7" s="20">
        <f>MAX(0,(SUMPRODUCT(Oxides_min!$C7:$AW7,Factors!$C$13:$AW$13)+SUMPRODUCT(Oxides_max!$C7:$AW7,Factors!$C$13:$AW$13))/2)</f>
        <v>0</v>
      </c>
      <c r="G7" s="20">
        <f>MAX(0,(SUMPRODUCT(Oxides_min!$C7:$AW7,Factors!$C$14:$AW$14)+SUMPRODUCT(Oxides_max!$C7:$AW7,Factors!$C$14:$AW$14))/2)</f>
        <v>0</v>
      </c>
      <c r="H7" s="20">
        <f>MAX(0,(SUMPRODUCT(Oxides_min!$C7:$AW7,Factors!$C$15:$AW$15)+SUMPRODUCT(Oxides_max!$C7:$AW7,Factors!$C$15:$AW$15))/2)</f>
        <v>8.4681108273388226</v>
      </c>
      <c r="I7" s="20">
        <f>MAX(0,(SUMPRODUCT(Oxides_min!$C7:$AW7,Factors!$C$16:$AW$16)+SUMPRODUCT(Oxides_max!$C7:$AW7,Factors!$C$16:$AW$16))/2)</f>
        <v>11.542082478088197</v>
      </c>
      <c r="J7" s="20">
        <f>MAX(0,(SUMPRODUCT(Oxides_min!$C7:$AW7,Factors!$C$17:$AW$17)+SUMPRODUCT(Oxides_max!$C7:$AW7,Factors!$C$17:$AW$17))/2)</f>
        <v>1.1810545291399512</v>
      </c>
      <c r="K7" s="20">
        <f>MAX(0,(SUMPRODUCT(Oxides_min!$C7:$AW7,Factors!$C$18:$AW$18)+SUMPRODUCT(Oxides_max!$C7:$AW7,Factors!$C$18:$AW$18))/2)</f>
        <v>0.90456282254863041</v>
      </c>
      <c r="L7" s="20">
        <f>MAX(0,(SUMPRODUCT(Oxides_min!$C7:$AW7,Factors!$C$19:$AW$19)+SUMPRODUCT(Oxides_max!$C7:$AW7,Factors!$C$19:$AW$19))/2)</f>
        <v>8.5763503753767125</v>
      </c>
      <c r="M7" s="20">
        <f>MAX(0,(SUMPRODUCT(Oxides_min!$C7:$AW7,Factors!$C$20:$AW$20)+SUMPRODUCT(Oxides_max!$C7:$AW7,Factors!$C$20:$AW$20))/2)</f>
        <v>0</v>
      </c>
      <c r="N7" s="20">
        <f>MAX(0,(SUMPRODUCT(Oxides_min!$C7:$AW7,Factors!$C$21:$AW$21)+SUMPRODUCT(Oxides_max!$C7:$AW7,Factors!$C$21:$AW$21))/2)</f>
        <v>0</v>
      </c>
      <c r="O7" s="20">
        <f>MAX(0,(SUMPRODUCT(Oxides_min!$C7:$AW7,Factors!$C$22:$AW$22)+SUMPRODUCT(Oxides_max!$C7:$AW7,Factors!$C$22:$AW$22))/2)</f>
        <v>0</v>
      </c>
      <c r="P7" s="20">
        <f>MAX(0,(SUMPRODUCT(Oxides_min!$C7:$AW7,Factors!$C$23:$AW$23)+SUMPRODUCT(Oxides_max!$C7:$AW7,Factors!$C$23:$AW$23))/2)</f>
        <v>0.11127933869113804</v>
      </c>
      <c r="Q7" s="20">
        <f>MAX(0,(SUMPRODUCT(Oxides_min!$C7:$AW7,Factors!$C$24:$AW$24)+SUMPRODUCT(Oxides_max!$C7:$AW7,Factors!$C$24:$AW$24))/2)</f>
        <v>0</v>
      </c>
      <c r="R7" s="20">
        <f>MAX(0,(SUMPRODUCT(Oxides_min!$C7:$AW7,Factors!$C$25:$AW$25)+SUMPRODUCT(Oxides_max!$C7:$AW7,Factors!$C$25:$AW$25))/2)</f>
        <v>0</v>
      </c>
      <c r="S7" s="20">
        <f>MAX(0,(SUMPRODUCT(Oxides_min!$C7:$AW7,Factors!$C$26:$AW$26)+SUMPRODUCT(Oxides_max!$C7:$AW7,Factors!$C$26:$AW$26))/2)</f>
        <v>0</v>
      </c>
      <c r="T7" s="20">
        <f>MAX(0,(SUMPRODUCT(Oxides_min!$C7:$AW7,Factors!$C$27:$AW$27)+SUMPRODUCT(Oxides_max!$C7:$AW7,Factors!$C$27:$AW$27))/2)</f>
        <v>0</v>
      </c>
      <c r="U7" s="20">
        <f>MAX(0,(SUMPRODUCT(Oxides_min!$C7:$AW7,Factors!$C$28:$AW$28)+SUMPRODUCT(Oxides_max!$C7:$AW7,Factors!$C$28:$AW$28))/2)</f>
        <v>0</v>
      </c>
      <c r="V7" s="20">
        <f>MAX(0,(SUMPRODUCT(Oxides_min!$C7:$AW7,Factors!$C$29:$AW$29)+SUMPRODUCT(Oxides_max!$C7:$AW7,Factors!$C$29:$AW$29))/2)</f>
        <v>2.1821340868133962E-2</v>
      </c>
      <c r="W7" s="20">
        <f>MAX(0,(SUMPRODUCT(Oxides_min!$C7:$AW7,Factors!$C$30:$AW$30)+SUMPRODUCT(Oxides_max!$C7:$AW7,Factors!$C$30:$AW$30))/2)</f>
        <v>0</v>
      </c>
      <c r="X7" s="20">
        <f>MAX(0,(SUMPRODUCT(Oxides_min!$C7:$AW7,Factors!$C$31:$AW$31)+SUMPRODUCT(Oxides_max!$C7:$AW7,Factors!$C$31:$AW$31))/2)</f>
        <v>0</v>
      </c>
      <c r="Y7" s="20">
        <f>MAX(0,(SUMPRODUCT(Oxides_min!$C7:$AW7,Factors!$C$32:$AW$32)+SUMPRODUCT(Oxides_max!$C7:$AW7,Factors!$C$32:$AW$32))/2)</f>
        <v>0</v>
      </c>
      <c r="Z7" s="20">
        <f>MAX(0,(SUMPRODUCT(Oxides_min!$C7:$AW7,Factors!$C$33:$AW$33)+SUMPRODUCT(Oxides_max!$C7:$AW7,Factors!$C$33:$AW$33))/2)</f>
        <v>0.23500416319733552</v>
      </c>
      <c r="AA7" s="20">
        <f>MAX(0,(SUMPRODUCT(Oxides_min!$C7:$AW7,Factors!$C$34:$AW$34)+SUMPRODUCT(Oxides_max!$C7:$AW7,Factors!$C$34:$AW$34))/2)</f>
        <v>0.25</v>
      </c>
      <c r="AB7" s="20">
        <f>MAX(0,(SUMPRODUCT(Oxides_min!$C7:$AW7,Factors!$C$35:$AW$35)+SUMPRODUCT(Oxides_max!$C7:$AW7,Factors!$C$35:$AW$35))/2)</f>
        <v>0</v>
      </c>
      <c r="AC7" s="20">
        <f>MAX(0,(SUMPRODUCT(Oxides_min!$C7:$AW7,Factors!$C$36:$AW$36)+SUMPRODUCT(Oxides_max!$C7:$AW7,Factors!$C$36:$AW$36))/2)</f>
        <v>1.5379207243565927</v>
      </c>
      <c r="AD7" s="20">
        <f>MAX(0,(SUMPRODUCT(Oxides_min!$C7:$AW7,Factors!$C$37:$AW$37)+SUMPRODUCT(Oxides_max!$C7:$AW7,Factors!$C$37:$AW$37))/2)</f>
        <v>0.22037517482979752</v>
      </c>
      <c r="AE7" s="20">
        <f>MAX(0,(SUMPRODUCT(Oxides_min!$C7:$AW7,Factors!$C$38:$AW$38)+SUMPRODUCT(Oxides_max!$C7:$AW7,Factors!$C$38:$AW$38))/2)</f>
        <v>0</v>
      </c>
      <c r="AF7" s="20">
        <f>MAX(0,(SUMPRODUCT(Oxides_min!$C7:$AW7,Factors!$C$39:$AW$39)+SUMPRODUCT(Oxides_max!$C7:$AW7,Factors!$C$39:$AW$39))/2)</f>
        <v>1.1811659321510581</v>
      </c>
      <c r="AG7" s="20">
        <f>MAX(0,(SUMPRODUCT(Oxides_min!$C7:$AW7,Factors!$C$40:$AW$40)+SUMPRODUCT(Oxides_max!$C7:$AW7,Factors!$C$40:$AW$40))/2)</f>
        <v>6.3951236117818366</v>
      </c>
      <c r="AH7" s="20">
        <f>MAX(0,(SUMPRODUCT(Oxides_min!$C7:$AW7,Factors!$C$41:$AW$41)+SUMPRODUCT(Oxides_max!$C7:$AW7,Factors!$C$41:$AW$41))/2)</f>
        <v>10.672122207361323</v>
      </c>
      <c r="AI7" s="20">
        <f>MAX(0,(SUMPRODUCT(Oxides_min!$C7:$AW7,Factors!$C$42:$AW$42)+SUMPRODUCT(Oxides_max!$C7:$AW7,Factors!$C$42:$AW$42))/2)</f>
        <v>1.1962604914213029</v>
      </c>
      <c r="AJ7" s="20">
        <f>MAX(0,(SUMPRODUCT(Oxides_min!$C7:$AW7,Factors!$C$43:$AW$43)+SUMPRODUCT(Oxides_max!$C7:$AW7,Factors!$C$43:$AW$43))/2)</f>
        <v>3.6437629464962358</v>
      </c>
      <c r="AK7" s="20">
        <f>MAX(0,(SUMPRODUCT(Oxides_min!$C7:$AW7,Factors!$C$44:$AW$44)+SUMPRODUCT(Oxides_max!$C7:$AW7,Factors!$C$44:$AW$44))/2)</f>
        <v>0.56053476027839189</v>
      </c>
      <c r="AL7" s="20">
        <f>MAX(0,(SUMPRODUCT(Oxides_min!$C7:$AW7,Factors!$C$45:$AW$45)+SUMPRODUCT(Oxides_max!$C7:$AW7,Factors!$C$45:$AW$45))/2)</f>
        <v>4.3180791361795839E-2</v>
      </c>
      <c r="AM7" s="20">
        <f>MAX(0,(SUMPRODUCT(Oxides_min!$C7:$AW7,Factors!$C$46:$AW$46)+SUMPRODUCT(Oxides_max!$C7:$AW7,Factors!$C$46:$AW$46))/2)</f>
        <v>0.30365768544291399</v>
      </c>
      <c r="AN7" s="20">
        <f>MAX(0,(SUMPRODUCT(Oxides_min!$C7:$AW7,Factors!$C$47:$AW$47)+SUMPRODUCT(Oxides_max!$C7:$AW7,Factors!$C$47:$AW$47))/2)</f>
        <v>4.3440303164404205E-2</v>
      </c>
      <c r="AO7" s="20">
        <f>MAX(0,(SUMPRODUCT(Oxides_min!$C7:$AW7,Factors!$C$48:$AW$48)+SUMPRODUCT(Oxides_max!$C7:$AW7,Factors!$C$48:$AW$48))/2)</f>
        <v>0.26139620425901544</v>
      </c>
      <c r="AP7" s="20">
        <f>MAX(0,(SUMPRODUCT(Oxides_min!$C7:$AW7,Factors!$C$49:$AW$49)+SUMPRODUCT(Oxides_max!$C7:$AW7,Factors!$C$49:$AW$49))/2)</f>
        <v>5.2378558635016156E-2</v>
      </c>
      <c r="AQ7" s="20">
        <f>MAX(0,(SUMPRODUCT(Oxides_min!$C7:$AW7,Factors!$C$50:$AW$50)+SUMPRODUCT(Oxides_max!$C7:$AW7,Factors!$C$50:$AW$50))/2)</f>
        <v>0.15304144935492725</v>
      </c>
      <c r="AR7" s="20">
        <f>MAX(0,(SUMPRODUCT(Oxides_min!$C7:$AW7,Factors!$C$51:$AW$51)+SUMPRODUCT(Oxides_max!$C7:$AW7,Factors!$C$51:$AW$51))/2)</f>
        <v>2.1890301966405699E-2</v>
      </c>
      <c r="AS7" s="20">
        <f>MAX(0,(SUMPRODUCT(Oxides_min!$C7:$AW7,Factors!$C$52:$AW$52)+SUMPRODUCT(Oxides_max!$C7:$AW7,Factors!$C$52:$AW$52))/2)</f>
        <v>0.13173106446038566</v>
      </c>
      <c r="AT7" s="20">
        <f>MAX(0,(SUMPRODUCT(Oxides_min!$C7:$AW7,Factors!$C$53:$AW$53)+SUMPRODUCT(Oxides_max!$C7:$AW7,Factors!$C$53:$AW$53))/2)</f>
        <v>2.1984587262200997E-2</v>
      </c>
      <c r="AU7" s="20">
        <f>MAX(0,(SUMPRODUCT(Oxides_min!$C7:$AW7,Factors!$C$54:$AW$54)+SUMPRODUCT(Oxides_max!$C7:$AW7,Factors!$C$54:$AW$54))/2)</f>
        <v>0</v>
      </c>
      <c r="AV7" s="18">
        <f t="shared" si="0"/>
        <v>113.20473457411964</v>
      </c>
    </row>
    <row r="8" spans="1:48" x14ac:dyDescent="0.25">
      <c r="A8" s="13" t="s">
        <v>138</v>
      </c>
      <c r="B8" s="20">
        <f>MAX(0,(SUMPRODUCT(Oxides_min!$C8:$AW8,Factors!$C$9:$AW$9)+SUMPRODUCT(Oxides_max!$C8:$AW8,Factors!$C$9:$AW$9))/2)</f>
        <v>38.68754333130056</v>
      </c>
      <c r="C8" s="20">
        <f>MAX(0,(SUMPRODUCT(Oxides_min!$C8:$AW8,Factors!$C$10:$AW$10)+SUMPRODUCT(Oxides_max!$C8:$AW8,Factors!$C$10:$AW$10))/2)</f>
        <v>0.35057753441073186</v>
      </c>
      <c r="D8" s="20">
        <f>MAX(0,(SUMPRODUCT(Oxides_min!$C8:$AW8,Factors!$C$11:$AW$11)+SUMPRODUCT(Oxides_max!$C8:$AW8,Factors!$C$11:$AW$11))/2)</f>
        <v>0</v>
      </c>
      <c r="E8" s="20">
        <f>MAX(0,(SUMPRODUCT(Oxides_min!$C8:$AW8,Factors!$C$12:$AW$12)+SUMPRODUCT(Oxides_max!$C8:$AW8,Factors!$C$12:$AW$12))/2)</f>
        <v>0</v>
      </c>
      <c r="F8" s="20">
        <f>MAX(0,(SUMPRODUCT(Oxides_min!$C8:$AW8,Factors!$C$13:$AW$13)+SUMPRODUCT(Oxides_max!$C8:$AW8,Factors!$C$13:$AW$13))/2)</f>
        <v>0</v>
      </c>
      <c r="G8" s="20">
        <f>MAX(0,(SUMPRODUCT(Oxides_min!$C8:$AW8,Factors!$C$14:$AW$14)+SUMPRODUCT(Oxides_max!$C8:$AW8,Factors!$C$14:$AW$14))/2)</f>
        <v>0</v>
      </c>
      <c r="H8" s="20">
        <f>MAX(0,(SUMPRODUCT(Oxides_min!$C8:$AW8,Factors!$C$15:$AW$15)+SUMPRODUCT(Oxides_max!$C8:$AW8,Factors!$C$15:$AW$15))/2)</f>
        <v>0</v>
      </c>
      <c r="I8" s="20">
        <f>MAX(0,(SUMPRODUCT(Oxides_min!$C8:$AW8,Factors!$C$16:$AW$16)+SUMPRODUCT(Oxides_max!$C8:$AW8,Factors!$C$16:$AW$16))/2)</f>
        <v>0.23319275096041422</v>
      </c>
      <c r="J8" s="20">
        <f>MAX(0,(SUMPRODUCT(Oxides_min!$C8:$AW8,Factors!$C$17:$AW$17)+SUMPRODUCT(Oxides_max!$C8:$AW8,Factors!$C$17:$AW$17))/2)</f>
        <v>0.19361549658031987</v>
      </c>
      <c r="K8" s="20">
        <f>MAX(0,(SUMPRODUCT(Oxides_min!$C8:$AW8,Factors!$C$18:$AW$18)+SUMPRODUCT(Oxides_max!$C8:$AW8,Factors!$C$18:$AW$18))/2)</f>
        <v>0</v>
      </c>
      <c r="L8" s="20">
        <f>MAX(0,(SUMPRODUCT(Oxides_min!$C8:$AW8,Factors!$C$19:$AW$19)+SUMPRODUCT(Oxides_max!$C8:$AW8,Factors!$C$19:$AW$19))/2)</f>
        <v>38.236228756887847</v>
      </c>
      <c r="M8" s="20">
        <f>MAX(0,(SUMPRODUCT(Oxides_min!$C8:$AW8,Factors!$C$20:$AW$20)+SUMPRODUCT(Oxides_max!$C8:$AW8,Factors!$C$20:$AW$20))/2)</f>
        <v>1.268396722608788</v>
      </c>
      <c r="N8" s="20">
        <f>MAX(0,(SUMPRODUCT(Oxides_min!$C8:$AW8,Factors!$C$21:$AW$21)+SUMPRODUCT(Oxides_max!$C8:$AW8,Factors!$C$21:$AW$21))/2)</f>
        <v>0</v>
      </c>
      <c r="O8" s="20">
        <f>MAX(0,(SUMPRODUCT(Oxides_min!$C8:$AW8,Factors!$C$22:$AW$22)+SUMPRODUCT(Oxides_max!$C8:$AW8,Factors!$C$22:$AW$22))/2)</f>
        <v>0</v>
      </c>
      <c r="P8" s="20">
        <f>MAX(0,(SUMPRODUCT(Oxides_min!$C8:$AW8,Factors!$C$23:$AW$23)+SUMPRODUCT(Oxides_max!$C8:$AW8,Factors!$C$23:$AW$23))/2)</f>
        <v>0.22255867738227608</v>
      </c>
      <c r="Q8" s="20">
        <f>MAX(0,(SUMPRODUCT(Oxides_min!$C8:$AW8,Factors!$C$24:$AW$24)+SUMPRODUCT(Oxides_max!$C8:$AW8,Factors!$C$24:$AW$24))/2)</f>
        <v>0</v>
      </c>
      <c r="R8" s="20">
        <f>MAX(0,(SUMPRODUCT(Oxides_min!$C8:$AW8,Factors!$C$25:$AW$25)+SUMPRODUCT(Oxides_max!$C8:$AW8,Factors!$C$25:$AW$25))/2)</f>
        <v>0</v>
      </c>
      <c r="S8" s="20">
        <f>MAX(0,(SUMPRODUCT(Oxides_min!$C8:$AW8,Factors!$C$26:$AW$26)+SUMPRODUCT(Oxides_max!$C8:$AW8,Factors!$C$26:$AW$26))/2)</f>
        <v>0</v>
      </c>
      <c r="T8" s="20">
        <f>MAX(0,(SUMPRODUCT(Oxides_min!$C8:$AW8,Factors!$C$27:$AW$27)+SUMPRODUCT(Oxides_max!$C8:$AW8,Factors!$C$27:$AW$27))/2)</f>
        <v>0</v>
      </c>
      <c r="U8" s="20">
        <f>MAX(0,(SUMPRODUCT(Oxides_min!$C8:$AW8,Factors!$C$28:$AW$28)+SUMPRODUCT(Oxides_max!$C8:$AW8,Factors!$C$28:$AW$28))/2)</f>
        <v>0</v>
      </c>
      <c r="V8" s="20">
        <f>MAX(0,(SUMPRODUCT(Oxides_min!$C8:$AW8,Factors!$C$29:$AW$29)+SUMPRODUCT(Oxides_max!$C8:$AW8,Factors!$C$29:$AW$29))/2)</f>
        <v>17.566179398847837</v>
      </c>
      <c r="W8" s="20">
        <f>MAX(0,(SUMPRODUCT(Oxides_min!$C8:$AW8,Factors!$C$30:$AW$30)+SUMPRODUCT(Oxides_max!$C8:$AW8,Factors!$C$30:$AW$30))/2)</f>
        <v>0</v>
      </c>
      <c r="X8" s="20">
        <f>MAX(0,(SUMPRODUCT(Oxides_min!$C8:$AW8,Factors!$C$31:$AW$31)+SUMPRODUCT(Oxides_max!$C8:$AW8,Factors!$C$31:$AW$31))/2)</f>
        <v>0.16018586756935685</v>
      </c>
      <c r="Y8" s="20">
        <f>MAX(0,(SUMPRODUCT(Oxides_min!$C8:$AW8,Factors!$C$32:$AW$32)+SUMPRODUCT(Oxides_max!$C8:$AW8,Factors!$C$32:$AW$32))/2)</f>
        <v>0.20469108591424481</v>
      </c>
      <c r="Z8" s="20">
        <f>MAX(0,(SUMPRODUCT(Oxides_min!$C8:$AW8,Factors!$C$33:$AW$33)+SUMPRODUCT(Oxides_max!$C8:$AW8,Factors!$C$33:$AW$33))/2)</f>
        <v>2.7976686094920898E-2</v>
      </c>
      <c r="AA8" s="20">
        <f>MAX(0,(SUMPRODUCT(Oxides_min!$C8:$AW8,Factors!$C$34:$AW$34)+SUMPRODUCT(Oxides_max!$C8:$AW8,Factors!$C$34:$AW$34))/2)</f>
        <v>3.25</v>
      </c>
      <c r="AB8" s="20">
        <f>MAX(0,(SUMPRODUCT(Oxides_min!$C8:$AW8,Factors!$C$35:$AW$35)+SUMPRODUCT(Oxides_max!$C8:$AW8,Factors!$C$35:$AW$35))/2)</f>
        <v>0.5</v>
      </c>
      <c r="AC8" s="20">
        <f>MAX(0,(SUMPRODUCT(Oxides_min!$C8:$AW8,Factors!$C$36:$AW$36)+SUMPRODUCT(Oxides_max!$C8:$AW8,Factors!$C$36:$AW$36))/2)</f>
        <v>2.1970296062237039E-2</v>
      </c>
      <c r="AD8" s="20">
        <f>MAX(0,(SUMPRODUCT(Oxides_min!$C8:$AW8,Factors!$C$37:$AW$37)+SUMPRODUCT(Oxides_max!$C8:$AW8,Factors!$C$37:$AW$37))/2)</f>
        <v>8.8150069931919005E-3</v>
      </c>
      <c r="AE8" s="20">
        <f>MAX(0,(SUMPRODUCT(Oxides_min!$C8:$AW8,Factors!$C$38:$AW$38)+SUMPRODUCT(Oxides_max!$C8:$AW8,Factors!$C$38:$AW$38))/2)</f>
        <v>0</v>
      </c>
      <c r="AF8" s="20">
        <f>MAX(0,(SUMPRODUCT(Oxides_min!$C8:$AW8,Factors!$C$39:$AW$39)+SUMPRODUCT(Oxides_max!$C8:$AW8,Factors!$C$39:$AW$39))/2)</f>
        <v>0.19686098869184304</v>
      </c>
      <c r="AG8" s="20">
        <f>MAX(0,(SUMPRODUCT(Oxides_min!$C8:$AW8,Factors!$C$40:$AW$40)+SUMPRODUCT(Oxides_max!$C8:$AW8,Factors!$C$40:$AW$40))/2)</f>
        <v>0.46897573153066802</v>
      </c>
      <c r="AH8" s="20">
        <f>MAX(0,(SUMPRODUCT(Oxides_min!$C8:$AW8,Factors!$C$41:$AW$41)+SUMPRODUCT(Oxides_max!$C8:$AW8,Factors!$C$41:$AW$41))/2)</f>
        <v>0.76839279893001522</v>
      </c>
      <c r="AI8" s="20">
        <f>MAX(0,(SUMPRODUCT(Oxides_min!$C8:$AW8,Factors!$C$42:$AW$42)+SUMPRODUCT(Oxides_max!$C8:$AW8,Factors!$C$42:$AW$42))/2)</f>
        <v>8.5447177958664494E-2</v>
      </c>
      <c r="AJ8" s="20">
        <f>MAX(0,(SUMPRODUCT(Oxides_min!$C8:$AW8,Factors!$C$43:$AW$43)+SUMPRODUCT(Oxides_max!$C8:$AW8,Factors!$C$43:$AW$43))/2)</f>
        <v>0.38581019433489561</v>
      </c>
      <c r="AK8" s="20">
        <f>MAX(0,(SUMPRODUCT(Oxides_min!$C8:$AW8,Factors!$C$44:$AW$44)+SUMPRODUCT(Oxides_max!$C8:$AW8,Factors!$C$44:$AW$44))/2)</f>
        <v>6.467708772442983E-2</v>
      </c>
      <c r="AL8" s="20">
        <f>MAX(0,(SUMPRODUCT(Oxides_min!$C8:$AW8,Factors!$C$45:$AW$45)+SUMPRODUCT(Oxides_max!$C8:$AW8,Factors!$C$45:$AW$45))/2)</f>
        <v>1.295423740853875E-2</v>
      </c>
      <c r="AM8" s="20">
        <f>MAX(0,(SUMPRODUCT(Oxides_min!$C8:$AW8,Factors!$C$46:$AW$46)+SUMPRODUCT(Oxides_max!$C8:$AW8,Factors!$C$46:$AW$46))/2)</f>
        <v>6.5069504023481564E-2</v>
      </c>
      <c r="AN8" s="20">
        <f>MAX(0,(SUMPRODUCT(Oxides_min!$C8:$AW8,Factors!$C$47:$AW$47)+SUMPRODUCT(Oxides_max!$C8:$AW8,Factors!$C$47:$AW$47))/2)</f>
        <v>0</v>
      </c>
      <c r="AO8" s="20">
        <f>MAX(0,(SUMPRODUCT(Oxides_min!$C8:$AW8,Factors!$C$48:$AW$48)+SUMPRODUCT(Oxides_max!$C8:$AW8,Factors!$C$48:$AW$48))/2)</f>
        <v>4.3566034043169249E-2</v>
      </c>
      <c r="AP8" s="20">
        <f>MAX(0,(SUMPRODUCT(Oxides_min!$C8:$AW8,Factors!$C$49:$AW$49)+SUMPRODUCT(Oxides_max!$C8:$AW8,Factors!$C$49:$AW$49))/2)</f>
        <v>0</v>
      </c>
      <c r="AQ8" s="20">
        <f>MAX(0,(SUMPRODUCT(Oxides_min!$C8:$AW8,Factors!$C$50:$AW$50)+SUMPRODUCT(Oxides_max!$C8:$AW8,Factors!$C$50:$AW$50))/2)</f>
        <v>2.1863064193561037E-2</v>
      </c>
      <c r="AR8" s="20">
        <f>MAX(0,(SUMPRODUCT(Oxides_min!$C8:$AW8,Factors!$C$51:$AW$51)+SUMPRODUCT(Oxides_max!$C8:$AW8,Factors!$C$51:$AW$51))/2)</f>
        <v>0</v>
      </c>
      <c r="AS8" s="20">
        <f>MAX(0,(SUMPRODUCT(Oxides_min!$C8:$AW8,Factors!$C$52:$AW$52)+SUMPRODUCT(Oxides_max!$C8:$AW8,Factors!$C$52:$AW$52))/2)</f>
        <v>1.3173106446038564E-2</v>
      </c>
      <c r="AT8" s="20">
        <f>MAX(0,(SUMPRODUCT(Oxides_min!$C8:$AW8,Factors!$C$53:$AW$53)+SUMPRODUCT(Oxides_max!$C8:$AW8,Factors!$C$53:$AW$53))/2)</f>
        <v>0</v>
      </c>
      <c r="AU8" s="20">
        <f>MAX(0,(SUMPRODUCT(Oxides_min!$C8:$AW8,Factors!$C$54:$AW$54)+SUMPRODUCT(Oxides_max!$C8:$AW8,Factors!$C$54:$AW$54))/2)</f>
        <v>0</v>
      </c>
      <c r="AV8" s="18">
        <f t="shared" si="0"/>
        <v>103.05872153689801</v>
      </c>
    </row>
    <row r="9" spans="1:48" x14ac:dyDescent="0.25">
      <c r="A9" s="13" t="s">
        <v>140</v>
      </c>
      <c r="B9" s="20">
        <f>MAX(0,(SUMPRODUCT(Oxides_min!$C9:$AW9,Factors!$C$9:$AW$9)+SUMPRODUCT(Oxides_max!$C9:$AW9,Factors!$C$9:$AW$9))/2)</f>
        <v>46.883529692398938</v>
      </c>
      <c r="C9" s="20">
        <f>MAX(0,(SUMPRODUCT(Oxides_min!$C9:$AW9,Factors!$C$10:$AW$10)+SUMPRODUCT(Oxides_max!$C9:$AW9,Factors!$C$10:$AW$10))/2)</f>
        <v>0.46743671254764246</v>
      </c>
      <c r="D9" s="20">
        <f>MAX(0,(SUMPRODUCT(Oxides_min!$C9:$AW9,Factors!$C$11:$AW$11)+SUMPRODUCT(Oxides_max!$C9:$AW9,Factors!$C$11:$AW$11))/2)</f>
        <v>0</v>
      </c>
      <c r="E9" s="20">
        <f>MAX(0,(SUMPRODUCT(Oxides_min!$C9:$AW9,Factors!$C$12:$AW$12)+SUMPRODUCT(Oxides_max!$C9:$AW9,Factors!$C$12:$AW$12))/2)</f>
        <v>0</v>
      </c>
      <c r="F9" s="20">
        <f>MAX(0,(SUMPRODUCT(Oxides_min!$C9:$AW9,Factors!$C$13:$AW$13)+SUMPRODUCT(Oxides_max!$C9:$AW9,Factors!$C$13:$AW$13))/2)</f>
        <v>0</v>
      </c>
      <c r="G9" s="20">
        <f>MAX(0,(SUMPRODUCT(Oxides_min!$C9:$AW9,Factors!$C$14:$AW$14)+SUMPRODUCT(Oxides_max!$C9:$AW9,Factors!$C$14:$AW$14))/2)</f>
        <v>0</v>
      </c>
      <c r="H9" s="20">
        <f>MAX(0,(SUMPRODUCT(Oxides_min!$C9:$AW9,Factors!$C$15:$AW$15)+SUMPRODUCT(Oxides_max!$C9:$AW9,Factors!$C$15:$AW$15))/2)</f>
        <v>15.877707801260293</v>
      </c>
      <c r="I9" s="20">
        <f>MAX(0,(SUMPRODUCT(Oxides_min!$C9:$AW9,Factors!$C$16:$AW$16)+SUMPRODUCT(Oxides_max!$C9:$AW9,Factors!$C$16:$AW$16))/2)</f>
        <v>1.3988615228540833</v>
      </c>
      <c r="J9" s="20">
        <f>MAX(0,(SUMPRODUCT(Oxides_min!$C9:$AW9,Factors!$C$17:$AW$17)+SUMPRODUCT(Oxides_max!$C9:$AW9,Factors!$C$17:$AW$17))/2)</f>
        <v>0</v>
      </c>
      <c r="K9" s="20">
        <f>MAX(0,(SUMPRODUCT(Oxides_min!$C9:$AW9,Factors!$C$18:$AW$18)+SUMPRODUCT(Oxides_max!$C9:$AW9,Factors!$C$18:$AW$18))/2)</f>
        <v>0</v>
      </c>
      <c r="L9" s="20">
        <f>MAX(0,(SUMPRODUCT(Oxides_min!$C9:$AW9,Factors!$C$19:$AW$19)+SUMPRODUCT(Oxides_max!$C9:$AW9,Factors!$C$19:$AW$19))/2)</f>
        <v>1.500861315690925</v>
      </c>
      <c r="M9" s="20">
        <f>MAX(0,(SUMPRODUCT(Oxides_min!$C9:$AW9,Factors!$C$20:$AW$20)+SUMPRODUCT(Oxides_max!$C9:$AW9,Factors!$C$20:$AW$20))/2)</f>
        <v>2.1139945376813136</v>
      </c>
      <c r="N9" s="20">
        <f>MAX(0,(SUMPRODUCT(Oxides_min!$C9:$AW9,Factors!$C$21:$AW$21)+SUMPRODUCT(Oxides_max!$C9:$AW9,Factors!$C$21:$AW$21))/2)</f>
        <v>0.89565370517720411</v>
      </c>
      <c r="O9" s="20">
        <f>MAX(0,(SUMPRODUCT(Oxides_min!$C9:$AW9,Factors!$C$22:$AW$22)+SUMPRODUCT(Oxides_max!$C9:$AW9,Factors!$C$22:$AW$22))/2)</f>
        <v>0</v>
      </c>
      <c r="P9" s="20">
        <f>MAX(0,(SUMPRODUCT(Oxides_min!$C9:$AW9,Factors!$C$23:$AW$23)+SUMPRODUCT(Oxides_max!$C9:$AW9,Factors!$C$23:$AW$23))/2)</f>
        <v>0</v>
      </c>
      <c r="Q9" s="20">
        <f>MAX(0,(SUMPRODUCT(Oxides_min!$C9:$AW9,Factors!$C$24:$AW$24)+SUMPRODUCT(Oxides_max!$C9:$AW9,Factors!$C$24:$AW$24))/2)</f>
        <v>0</v>
      </c>
      <c r="R9" s="20">
        <f>MAX(0,(SUMPRODUCT(Oxides_min!$C9:$AW9,Factors!$C$25:$AW$25)+SUMPRODUCT(Oxides_max!$C9:$AW9,Factors!$C$25:$AW$25))/2)</f>
        <v>0</v>
      </c>
      <c r="S9" s="20">
        <f>MAX(0,(SUMPRODUCT(Oxides_min!$C9:$AW9,Factors!$C$26:$AW$26)+SUMPRODUCT(Oxides_max!$C9:$AW9,Factors!$C$26:$AW$26))/2)</f>
        <v>0</v>
      </c>
      <c r="T9" s="20">
        <f>MAX(0,(SUMPRODUCT(Oxides_min!$C9:$AW9,Factors!$C$27:$AW$27)+SUMPRODUCT(Oxides_max!$C9:$AW9,Factors!$C$27:$AW$27))/2)</f>
        <v>0</v>
      </c>
      <c r="U9" s="20">
        <f>MAX(0,(SUMPRODUCT(Oxides_min!$C9:$AW9,Factors!$C$28:$AW$28)+SUMPRODUCT(Oxides_max!$C9:$AW9,Factors!$C$28:$AW$28))/2)</f>
        <v>0</v>
      </c>
      <c r="V9" s="20">
        <f>MAX(0,(SUMPRODUCT(Oxides_min!$C9:$AW9,Factors!$C$29:$AW$29)+SUMPRODUCT(Oxides_max!$C9:$AW9,Factors!$C$29:$AW$29))/2)</f>
        <v>11.565310660110999</v>
      </c>
      <c r="W9" s="20">
        <f>MAX(0,(SUMPRODUCT(Oxides_min!$C9:$AW9,Factors!$C$30:$AW$30)+SUMPRODUCT(Oxides_max!$C9:$AW9,Factors!$C$30:$AW$30))/2)</f>
        <v>0</v>
      </c>
      <c r="X9" s="20">
        <f>MAX(0,(SUMPRODUCT(Oxides_min!$C9:$AW9,Factors!$C$31:$AW$31)+SUMPRODUCT(Oxides_max!$C9:$AW9,Factors!$C$31:$AW$31))/2)</f>
        <v>0.60069700338508814</v>
      </c>
      <c r="Y9" s="20">
        <f>MAX(0,(SUMPRODUCT(Oxides_min!$C9:$AW9,Factors!$C$32:$AW$32)+SUMPRODUCT(Oxides_max!$C9:$AW9,Factors!$C$32:$AW$32))/2)</f>
        <v>0</v>
      </c>
      <c r="Z9" s="20">
        <f>MAX(0,(SUMPRODUCT(Oxides_min!$C9:$AW9,Factors!$C$33:$AW$33)+SUMPRODUCT(Oxides_max!$C9:$AW9,Factors!$C$33:$AW$33))/2)</f>
        <v>1.2869275603663612</v>
      </c>
      <c r="AA9" s="20">
        <f>MAX(0,(SUMPRODUCT(Oxides_min!$C9:$AW9,Factors!$C$34:$AW$34)+SUMPRODUCT(Oxides_max!$C9:$AW9,Factors!$C$34:$AW$34))/2)</f>
        <v>0.8</v>
      </c>
      <c r="AB9" s="20">
        <f>MAX(0,(SUMPRODUCT(Oxides_min!$C9:$AW9,Factors!$C$35:$AW$35)+SUMPRODUCT(Oxides_max!$C9:$AW9,Factors!$C$35:$AW$35))/2)</f>
        <v>0</v>
      </c>
      <c r="AC9" s="20">
        <f>MAX(0,(SUMPRODUCT(Oxides_min!$C9:$AW9,Factors!$C$36:$AW$36)+SUMPRODUCT(Oxides_max!$C9:$AW9,Factors!$C$36:$AW$36))/2)</f>
        <v>1.3182177637342223</v>
      </c>
      <c r="AD9" s="20">
        <f>MAX(0,(SUMPRODUCT(Oxides_min!$C9:$AW9,Factors!$C$37:$AW$37)+SUMPRODUCT(Oxides_max!$C9:$AW9,Factors!$C$37:$AW$37))/2)</f>
        <v>0</v>
      </c>
      <c r="AE9" s="20">
        <f>MAX(0,(SUMPRODUCT(Oxides_min!$C9:$AW9,Factors!$C$38:$AW$38)+SUMPRODUCT(Oxides_max!$C9:$AW9,Factors!$C$38:$AW$38))/2)</f>
        <v>0</v>
      </c>
      <c r="AF9" s="20">
        <f>MAX(0,(SUMPRODUCT(Oxides_min!$C9:$AW9,Factors!$C$39:$AW$39)+SUMPRODUCT(Oxides_max!$C9:$AW9,Factors!$C$39:$AW$39))/2)</f>
        <v>1.1811659321510581</v>
      </c>
      <c r="AG9" s="20">
        <f>MAX(0,(SUMPRODUCT(Oxides_min!$C9:$AW9,Factors!$C$40:$AW$40)+SUMPRODUCT(Oxides_max!$C9:$AW9,Factors!$C$40:$AW$40))/2)</f>
        <v>6.3951236117818366</v>
      </c>
      <c r="AH9" s="20">
        <f>MAX(0,(SUMPRODUCT(Oxides_min!$C9:$AW9,Factors!$C$41:$AW$41)+SUMPRODUCT(Oxides_max!$C9:$AW9,Factors!$C$41:$AW$41))/2)</f>
        <v>11.952776872244682</v>
      </c>
      <c r="AI9" s="20">
        <f>MAX(0,(SUMPRODUCT(Oxides_min!$C9:$AW9,Factors!$C$42:$AW$42)+SUMPRODUCT(Oxides_max!$C9:$AW9,Factors!$C$42:$AW$42))/2)</f>
        <v>1.2817076693799674</v>
      </c>
      <c r="AJ9" s="20">
        <f>MAX(0,(SUMPRODUCT(Oxides_min!$C9:$AW9,Factors!$C$43:$AW$43)+SUMPRODUCT(Oxides_max!$C9:$AW9,Factors!$C$43:$AW$43))/2)</f>
        <v>4.2867799370543951</v>
      </c>
      <c r="AK9" s="20">
        <f>MAX(0,(SUMPRODUCT(Oxides_min!$C9:$AW9,Factors!$C$44:$AW$44)+SUMPRODUCT(Oxides_max!$C9:$AW9,Factors!$C$44:$AW$44))/2)</f>
        <v>0.86236116965906451</v>
      </c>
      <c r="AL9" s="20">
        <f>MAX(0,(SUMPRODUCT(Oxides_min!$C9:$AW9,Factors!$C$45:$AW$45)+SUMPRODUCT(Oxides_max!$C9:$AW9,Factors!$C$45:$AW$45))/2)</f>
        <v>0.12954237408538749</v>
      </c>
      <c r="AM9" s="20">
        <f>MAX(0,(SUMPRODUCT(Oxides_min!$C9:$AW9,Factors!$C$46:$AW$46)+SUMPRODUCT(Oxides_max!$C9:$AW9,Factors!$C$46:$AW$46))/2)</f>
        <v>0.43379669348987715</v>
      </c>
      <c r="AN9" s="20">
        <f>MAX(0,(SUMPRODUCT(Oxides_min!$C9:$AW9,Factors!$C$47:$AW$47)+SUMPRODUCT(Oxides_max!$C9:$AW9,Factors!$C$47:$AW$47))/2)</f>
        <v>0</v>
      </c>
      <c r="AO9" s="20">
        <f>MAX(0,(SUMPRODUCT(Oxides_min!$C9:$AW9,Factors!$C$48:$AW$48)+SUMPRODUCT(Oxides_max!$C9:$AW9,Factors!$C$48:$AW$48))/2)</f>
        <v>0.13069810212950772</v>
      </c>
      <c r="AP9" s="20">
        <f>MAX(0,(SUMPRODUCT(Oxides_min!$C9:$AW9,Factors!$C$49:$AW$49)+SUMPRODUCT(Oxides_max!$C9:$AW9,Factors!$C$49:$AW$49))/2)</f>
        <v>0</v>
      </c>
      <c r="AQ9" s="20">
        <f>MAX(0,(SUMPRODUCT(Oxides_min!$C9:$AW9,Factors!$C$50:$AW$50)+SUMPRODUCT(Oxides_max!$C9:$AW9,Factors!$C$50:$AW$50))/2)</f>
        <v>0</v>
      </c>
      <c r="AR9" s="20">
        <f>MAX(0,(SUMPRODUCT(Oxides_min!$C9:$AW9,Factors!$C$51:$AW$51)+SUMPRODUCT(Oxides_max!$C9:$AW9,Factors!$C$51:$AW$51))/2)</f>
        <v>0</v>
      </c>
      <c r="AS9" s="20">
        <f>MAX(0,(SUMPRODUCT(Oxides_min!$C9:$AW9,Factors!$C$52:$AW$52)+SUMPRODUCT(Oxides_max!$C9:$AW9,Factors!$C$52:$AW$52))/2)</f>
        <v>0</v>
      </c>
      <c r="AT9" s="20">
        <f>MAX(0,(SUMPRODUCT(Oxides_min!$C9:$AW9,Factors!$C$53:$AW$53)+SUMPRODUCT(Oxides_max!$C9:$AW9,Factors!$C$53:$AW$53))/2)</f>
        <v>0</v>
      </c>
      <c r="AU9" s="20">
        <f>MAX(0,(SUMPRODUCT(Oxides_min!$C9:$AW9,Factors!$C$54:$AW$54)+SUMPRODUCT(Oxides_max!$C9:$AW9,Factors!$C$54:$AW$54))/2)</f>
        <v>0</v>
      </c>
      <c r="AV9" s="18">
        <f t="shared" si="0"/>
        <v>111.36315063718287</v>
      </c>
    </row>
    <row r="10" spans="1:48" x14ac:dyDescent="0.25">
      <c r="A10" s="13" t="s">
        <v>142</v>
      </c>
      <c r="B10" s="20">
        <f>MAX(0,(SUMPRODUCT(Oxides_min!$C10:$AW10,Factors!$C$9:$AW$9)+SUMPRODUCT(Oxides_max!$C10:$AW10,Factors!$C$9:$AW$9))/2)</f>
        <v>21.230639848734512</v>
      </c>
      <c r="C10" s="20">
        <f>MAX(0,(SUMPRODUCT(Oxides_min!$C10:$AW10,Factors!$C$10:$AW$10)+SUMPRODUCT(Oxides_max!$C10:$AW10,Factors!$C$10:$AW$10))/2)</f>
        <v>0.46743671254764246</v>
      </c>
      <c r="D10" s="20">
        <f>MAX(0,(SUMPRODUCT(Oxides_min!$C10:$AW10,Factors!$C$11:$AW$11)+SUMPRODUCT(Oxides_max!$C10:$AW10,Factors!$C$11:$AW$11))/2)</f>
        <v>0</v>
      </c>
      <c r="E10" s="20">
        <f>MAX(0,(SUMPRODUCT(Oxides_min!$C10:$AW10,Factors!$C$12:$AW$12)+SUMPRODUCT(Oxides_max!$C10:$AW10,Factors!$C$12:$AW$12))/2)</f>
        <v>0.25911282076252617</v>
      </c>
      <c r="F10" s="20">
        <f>MAX(0,(SUMPRODUCT(Oxides_min!$C10:$AW10,Factors!$C$13:$AW$13)+SUMPRODUCT(Oxides_max!$C10:$AW10,Factors!$C$13:$AW$13))/2)</f>
        <v>0</v>
      </c>
      <c r="G10" s="20">
        <f>MAX(0,(SUMPRODUCT(Oxides_min!$C10:$AW10,Factors!$C$14:$AW$14)+SUMPRODUCT(Oxides_max!$C10:$AW10,Factors!$C$14:$AW$14))/2)</f>
        <v>0</v>
      </c>
      <c r="H10" s="20">
        <f>MAX(0,(SUMPRODUCT(Oxides_min!$C10:$AW10,Factors!$C$15:$AW$15)+SUMPRODUCT(Oxides_max!$C10:$AW10,Factors!$C$15:$AW$15))/2)</f>
        <v>0</v>
      </c>
      <c r="I10" s="20">
        <f>MAX(0,(SUMPRODUCT(Oxides_min!$C10:$AW10,Factors!$C$16:$AW$16)+SUMPRODUCT(Oxides_max!$C10:$AW10,Factors!$C$16:$AW$16))/2)</f>
        <v>1.1659637548020712</v>
      </c>
      <c r="J10" s="20">
        <f>MAX(0,(SUMPRODUCT(Oxides_min!$C10:$AW10,Factors!$C$17:$AW$17)+SUMPRODUCT(Oxides_max!$C10:$AW10,Factors!$C$17:$AW$17))/2)</f>
        <v>0</v>
      </c>
      <c r="K10" s="20">
        <f>MAX(0,(SUMPRODUCT(Oxides_min!$C10:$AW10,Factors!$C$18:$AW$18)+SUMPRODUCT(Oxides_max!$C10:$AW10,Factors!$C$18:$AW$18))/2)</f>
        <v>0</v>
      </c>
      <c r="L10" s="20">
        <f>MAX(0,(SUMPRODUCT(Oxides_min!$C10:$AW10,Factors!$C$19:$AW$19)+SUMPRODUCT(Oxides_max!$C10:$AW10,Factors!$C$19:$AW$19))/2)</f>
        <v>0.8933698307684077</v>
      </c>
      <c r="M10" s="20">
        <f>MAX(0,(SUMPRODUCT(Oxides_min!$C10:$AW10,Factors!$C$20:$AW$20)+SUMPRODUCT(Oxides_max!$C10:$AW10,Factors!$C$20:$AW$20))/2)</f>
        <v>0</v>
      </c>
      <c r="N10" s="20">
        <f>MAX(0,(SUMPRODUCT(Oxides_min!$C10:$AW10,Factors!$C$21:$AW$21)+SUMPRODUCT(Oxides_max!$C10:$AW10,Factors!$C$21:$AW$21))/2)</f>
        <v>0</v>
      </c>
      <c r="O10" s="20">
        <f>MAX(0,(SUMPRODUCT(Oxides_min!$C10:$AW10,Factors!$C$22:$AW$22)+SUMPRODUCT(Oxides_max!$C10:$AW10,Factors!$C$22:$AW$22))/2)</f>
        <v>0</v>
      </c>
      <c r="P10" s="20">
        <f>MAX(0,(SUMPRODUCT(Oxides_min!$C10:$AW10,Factors!$C$23:$AW$23)+SUMPRODUCT(Oxides_max!$C10:$AW10,Factors!$C$23:$AW$23))/2)</f>
        <v>0</v>
      </c>
      <c r="Q10" s="20">
        <f>MAX(0,(SUMPRODUCT(Oxides_min!$C10:$AW10,Factors!$C$24:$AW$24)+SUMPRODUCT(Oxides_max!$C10:$AW10,Factors!$C$24:$AW$24))/2)</f>
        <v>0</v>
      </c>
      <c r="R10" s="20">
        <f>MAX(0,(SUMPRODUCT(Oxides_min!$C10:$AW10,Factors!$C$25:$AW$25)+SUMPRODUCT(Oxides_max!$C10:$AW10,Factors!$C$25:$AW$25))/2)</f>
        <v>0</v>
      </c>
      <c r="S10" s="20">
        <f>MAX(0,(SUMPRODUCT(Oxides_min!$C10:$AW10,Factors!$C$26:$AW$26)+SUMPRODUCT(Oxides_max!$C10:$AW10,Factors!$C$26:$AW$26))/2)</f>
        <v>0.69904939562708002</v>
      </c>
      <c r="T10" s="20">
        <f>MAX(0,(SUMPRODUCT(Oxides_min!$C10:$AW10,Factors!$C$27:$AW$27)+SUMPRODUCT(Oxides_max!$C10:$AW10,Factors!$C$27:$AW$27))/2)</f>
        <v>0.28663988357665593</v>
      </c>
      <c r="U10" s="20">
        <f>MAX(0,(SUMPRODUCT(Oxides_min!$C10:$AW10,Factors!$C$28:$AW$28)+SUMPRODUCT(Oxides_max!$C10:$AW10,Factors!$C$28:$AW$28))/2)</f>
        <v>0</v>
      </c>
      <c r="V10" s="20">
        <f>MAX(0,(SUMPRODUCT(Oxides_min!$C10:$AW10,Factors!$C$29:$AW$29)+SUMPRODUCT(Oxides_max!$C10:$AW10,Factors!$C$29:$AW$29))/2)</f>
        <v>0.43642681736267919</v>
      </c>
      <c r="W10" s="20">
        <f>MAX(0,(SUMPRODUCT(Oxides_min!$C10:$AW10,Factors!$C$30:$AW$30)+SUMPRODUCT(Oxides_max!$C10:$AW10,Factors!$C$30:$AW$30))/2)</f>
        <v>0</v>
      </c>
      <c r="X10" s="20">
        <f>MAX(0,(SUMPRODUCT(Oxides_min!$C10:$AW10,Factors!$C$31:$AW$31)+SUMPRODUCT(Oxides_max!$C10:$AW10,Factors!$C$31:$AW$31))/2)</f>
        <v>0</v>
      </c>
      <c r="Y10" s="20">
        <f>MAX(0,(SUMPRODUCT(Oxides_min!$C10:$AW10,Factors!$C$32:$AW$32)+SUMPRODUCT(Oxides_max!$C10:$AW10,Factors!$C$32:$AW$32))/2)</f>
        <v>0</v>
      </c>
      <c r="Z10" s="20">
        <f>MAX(0,(SUMPRODUCT(Oxides_min!$C10:$AW10,Factors!$C$33:$AW$33)+SUMPRODUCT(Oxides_max!$C10:$AW10,Factors!$C$33:$AW$33))/2)</f>
        <v>0.16786011656952537</v>
      </c>
      <c r="AA10" s="20">
        <f>MAX(0,(SUMPRODUCT(Oxides_min!$C10:$AW10,Factors!$C$34:$AW$34)+SUMPRODUCT(Oxides_max!$C10:$AW10,Factors!$C$34:$AW$34))/2)</f>
        <v>0</v>
      </c>
      <c r="AB10" s="20">
        <f>MAX(0,(SUMPRODUCT(Oxides_min!$C10:$AW10,Factors!$C$35:$AW$35)+SUMPRODUCT(Oxides_max!$C10:$AW10,Factors!$C$35:$AW$35))/2)</f>
        <v>0</v>
      </c>
      <c r="AC10" s="20">
        <f>MAX(0,(SUMPRODUCT(Oxides_min!$C10:$AW10,Factors!$C$36:$AW$36)+SUMPRODUCT(Oxides_max!$C10:$AW10,Factors!$C$36:$AW$36))/2)</f>
        <v>3.5152473699579261</v>
      </c>
      <c r="AD10" s="20">
        <f>MAX(0,(SUMPRODUCT(Oxides_min!$C10:$AW10,Factors!$C$37:$AW$37)+SUMPRODUCT(Oxides_max!$C10:$AW10,Factors!$C$37:$AW$37))/2)</f>
        <v>0</v>
      </c>
      <c r="AE10" s="20">
        <f>MAX(0,(SUMPRODUCT(Oxides_min!$C10:$AW10,Factors!$C$38:$AW$38)+SUMPRODUCT(Oxides_max!$C10:$AW10,Factors!$C$38:$AW$38))/2)</f>
        <v>0</v>
      </c>
      <c r="AF10" s="20">
        <f>MAX(0,(SUMPRODUCT(Oxides_min!$C10:$AW10,Factors!$C$39:$AW$39)+SUMPRODUCT(Oxides_max!$C10:$AW10,Factors!$C$39:$AW$39))/2)</f>
        <v>0.59058296607552907</v>
      </c>
      <c r="AG10" s="20">
        <f>MAX(0,(SUMPRODUCT(Oxides_min!$C10:$AW10,Factors!$C$40:$AW$40)+SUMPRODUCT(Oxides_max!$C10:$AW10,Factors!$C$40:$AW$40))/2)</f>
        <v>1.2790247223563673</v>
      </c>
      <c r="AH10" s="20">
        <f>MAX(0,(SUMPRODUCT(Oxides_min!$C10:$AW10,Factors!$C$41:$AW$41)+SUMPRODUCT(Oxides_max!$C10:$AW10,Factors!$C$41:$AW$41))/2)</f>
        <v>71.63977363840246</v>
      </c>
      <c r="AI10" s="20">
        <f>MAX(0,(SUMPRODUCT(Oxides_min!$C10:$AW10,Factors!$C$42:$AW$42)+SUMPRODUCT(Oxides_max!$C10:$AW10,Factors!$C$42:$AW$42))/2)</f>
        <v>0.42723588979332244</v>
      </c>
      <c r="AJ10" s="20">
        <f>MAX(0,(SUMPRODUCT(Oxides_min!$C10:$AW10,Factors!$C$43:$AW$43)+SUMPRODUCT(Oxides_max!$C10:$AW10,Factors!$C$43:$AW$43))/2)</f>
        <v>1.7147119748217581</v>
      </c>
      <c r="AK10" s="20">
        <f>MAX(0,(SUMPRODUCT(Oxides_min!$C10:$AW10,Factors!$C$44:$AW$44)+SUMPRODUCT(Oxides_max!$C10:$AW10,Factors!$C$44:$AW$44))/2)</f>
        <v>0</v>
      </c>
      <c r="AL10" s="20">
        <f>MAX(0,(SUMPRODUCT(Oxides_min!$C10:$AW10,Factors!$C$45:$AW$45)+SUMPRODUCT(Oxides_max!$C10:$AW10,Factors!$C$45:$AW$45))/2)</f>
        <v>0</v>
      </c>
      <c r="AM10" s="20">
        <f>MAX(0,(SUMPRODUCT(Oxides_min!$C10:$AW10,Factors!$C$46:$AW$46)+SUMPRODUCT(Oxides_max!$C10:$AW10,Factors!$C$46:$AW$46))/2)</f>
        <v>0</v>
      </c>
      <c r="AN10" s="20">
        <f>MAX(0,(SUMPRODUCT(Oxides_min!$C10:$AW10,Factors!$C$47:$AW$47)+SUMPRODUCT(Oxides_max!$C10:$AW10,Factors!$C$47:$AW$47))/2)</f>
        <v>0</v>
      </c>
      <c r="AO10" s="20">
        <f>MAX(0,(SUMPRODUCT(Oxides_min!$C10:$AW10,Factors!$C$48:$AW$48)+SUMPRODUCT(Oxides_max!$C10:$AW10,Factors!$C$48:$AW$48))/2)</f>
        <v>0</v>
      </c>
      <c r="AP10" s="20">
        <f>MAX(0,(SUMPRODUCT(Oxides_min!$C10:$AW10,Factors!$C$49:$AW$49)+SUMPRODUCT(Oxides_max!$C10:$AW10,Factors!$C$49:$AW$49))/2)</f>
        <v>0</v>
      </c>
      <c r="AQ10" s="20">
        <f>MAX(0,(SUMPRODUCT(Oxides_min!$C10:$AW10,Factors!$C$50:$AW$50)+SUMPRODUCT(Oxides_max!$C10:$AW10,Factors!$C$50:$AW$50))/2)</f>
        <v>0</v>
      </c>
      <c r="AR10" s="20">
        <f>MAX(0,(SUMPRODUCT(Oxides_min!$C10:$AW10,Factors!$C$51:$AW$51)+SUMPRODUCT(Oxides_max!$C10:$AW10,Factors!$C$51:$AW$51))/2)</f>
        <v>0</v>
      </c>
      <c r="AS10" s="20">
        <f>MAX(0,(SUMPRODUCT(Oxides_min!$C10:$AW10,Factors!$C$52:$AW$52)+SUMPRODUCT(Oxides_max!$C10:$AW10,Factors!$C$52:$AW$52))/2)</f>
        <v>0.52692425784154262</v>
      </c>
      <c r="AT10" s="20">
        <f>MAX(0,(SUMPRODUCT(Oxides_min!$C10:$AW10,Factors!$C$53:$AW$53)+SUMPRODUCT(Oxides_max!$C10:$AW10,Factors!$C$53:$AW$53))/2)</f>
        <v>0</v>
      </c>
      <c r="AU10" s="20">
        <f>MAX(0,(SUMPRODUCT(Oxides_min!$C10:$AW10,Factors!$C$54:$AW$54)+SUMPRODUCT(Oxides_max!$C10:$AW10,Factors!$C$54:$AW$54))/2)</f>
        <v>0</v>
      </c>
      <c r="AV10" s="18">
        <f t="shared" si="0"/>
        <v>105.3</v>
      </c>
    </row>
    <row r="11" spans="1:48" x14ac:dyDescent="0.25">
      <c r="A11" s="13" t="s">
        <v>144</v>
      </c>
      <c r="B11" s="20">
        <f>MAX(0,(SUMPRODUCT(Oxides_min!$C11:$AW11,Factors!$C$9:$AW$9)+SUMPRODUCT(Oxides_max!$C11:$AW11,Factors!$C$9:$AW$9))/2)</f>
        <v>29.373346805613224</v>
      </c>
      <c r="C11" s="20">
        <f>MAX(0,(SUMPRODUCT(Oxides_min!$C11:$AW11,Factors!$C$10:$AW$10)+SUMPRODUCT(Oxides_max!$C11:$AW11,Factors!$C$10:$AW$10))/2)</f>
        <v>0.67778323319408151</v>
      </c>
      <c r="D11" s="20">
        <f>MAX(0,(SUMPRODUCT(Oxides_min!$C11:$AW11,Factors!$C$11:$AW$11)+SUMPRODUCT(Oxides_max!$C11:$AW11,Factors!$C$11:$AW$11))/2)</f>
        <v>3.2964189569899207</v>
      </c>
      <c r="E11" s="20">
        <f>MAX(0,(SUMPRODUCT(Oxides_min!$C11:$AW11,Factors!$C$12:$AW$12)+SUMPRODUCT(Oxides_max!$C11:$AW11,Factors!$C$12:$AW$12))/2)</f>
        <v>2.3320153868627354</v>
      </c>
      <c r="F11" s="20">
        <f>MAX(0,(SUMPRODUCT(Oxides_min!$C11:$AW11,Factors!$C$13:$AW$13)+SUMPRODUCT(Oxides_max!$C11:$AW11,Factors!$C$13:$AW$13))/2)</f>
        <v>0</v>
      </c>
      <c r="G11" s="20">
        <f>MAX(0,(SUMPRODUCT(Oxides_min!$C11:$AW11,Factors!$C$14:$AW$14)+SUMPRODUCT(Oxides_max!$C11:$AW11,Factors!$C$14:$AW$14))/2)</f>
        <v>0</v>
      </c>
      <c r="H11" s="20">
        <f>MAX(0,(SUMPRODUCT(Oxides_min!$C11:$AW11,Factors!$C$15:$AW$15)+SUMPRODUCT(Oxides_max!$C11:$AW11,Factors!$C$15:$AW$15))/2)</f>
        <v>2.6462846335433821E-2</v>
      </c>
      <c r="I11" s="20">
        <f>MAX(0,(SUMPRODUCT(Oxides_min!$C11:$AW11,Factors!$C$16:$AW$16)+SUMPRODUCT(Oxides_max!$C11:$AW11,Factors!$C$16:$AW$16))/2)</f>
        <v>0.97163646233505929</v>
      </c>
      <c r="J11" s="20">
        <f>MAX(0,(SUMPRODUCT(Oxides_min!$C11:$AW11,Factors!$C$17:$AW$17)+SUMPRODUCT(Oxides_max!$C11:$AW11,Factors!$C$17:$AW$17))/2)</f>
        <v>0.38723099316063975</v>
      </c>
      <c r="K11" s="20">
        <f>MAX(0,(SUMPRODUCT(Oxides_min!$C11:$AW11,Factors!$C$18:$AW$18)+SUMPRODUCT(Oxides_max!$C11:$AW11,Factors!$C$18:$AW$18))/2)</f>
        <v>9.0456282254863032E-2</v>
      </c>
      <c r="L11" s="20">
        <f>MAX(0,(SUMPRODUCT(Oxides_min!$C11:$AW11,Factors!$C$19:$AW$19)+SUMPRODUCT(Oxides_max!$C11:$AW11,Factors!$C$19:$AW$19))/2)</f>
        <v>10.005742104606167</v>
      </c>
      <c r="M11" s="20">
        <f>MAX(0,(SUMPRODUCT(Oxides_min!$C11:$AW11,Factors!$C$20:$AW$20)+SUMPRODUCT(Oxides_max!$C11:$AW11,Factors!$C$20:$AW$20))/2)</f>
        <v>1.6911956301450508</v>
      </c>
      <c r="N11" s="20">
        <f>MAX(0,(SUMPRODUCT(Oxides_min!$C11:$AW11,Factors!$C$21:$AW$21)+SUMPRODUCT(Oxides_max!$C11:$AW11,Factors!$C$21:$AW$21))/2)</f>
        <v>1.0300017609537846</v>
      </c>
      <c r="O11" s="20">
        <f>MAX(0,(SUMPRODUCT(Oxides_min!$C11:$AW11,Factors!$C$22:$AW$22)+SUMPRODUCT(Oxides_max!$C11:$AW11,Factors!$C$22:$AW$22))/2)</f>
        <v>0.23207989283106106</v>
      </c>
      <c r="P11" s="20">
        <f>MAX(0,(SUMPRODUCT(Oxides_min!$C11:$AW11,Factors!$C$23:$AW$23)+SUMPRODUCT(Oxides_max!$C11:$AW11,Factors!$C$23:$AW$23))/2)</f>
        <v>3.4125663865282334</v>
      </c>
      <c r="Q11" s="20">
        <f>MAX(0,(SUMPRODUCT(Oxides_min!$C11:$AW11,Factors!$C$24:$AW$24)+SUMPRODUCT(Oxides_max!$C11:$AW11,Factors!$C$24:$AW$24))/2)</f>
        <v>4.1507565109198313E-2</v>
      </c>
      <c r="R11" s="20">
        <f>MAX(0,(SUMPRODUCT(Oxides_min!$C11:$AW11,Factors!$C$25:$AW$25)+SUMPRODUCT(Oxides_max!$C11:$AW11,Factors!$C$25:$AW$25))/2)</f>
        <v>0</v>
      </c>
      <c r="S11" s="20">
        <f>MAX(0,(SUMPRODUCT(Oxides_min!$C11:$AW11,Factors!$C$26:$AW$26)+SUMPRODUCT(Oxides_max!$C11:$AW11,Factors!$C$26:$AW$26))/2)</f>
        <v>39.845815550743559</v>
      </c>
      <c r="T11" s="20">
        <f>MAX(0,(SUMPRODUCT(Oxides_min!$C11:$AW11,Factors!$C$27:$AW$27)+SUMPRODUCT(Oxides_max!$C11:$AW11,Factors!$C$27:$AW$27))/2)</f>
        <v>2.6616560617832334</v>
      </c>
      <c r="U11" s="20">
        <f>MAX(0,(SUMPRODUCT(Oxides_min!$C11:$AW11,Factors!$C$28:$AW$28)+SUMPRODUCT(Oxides_max!$C11:$AW11,Factors!$C$28:$AW$28))/2)</f>
        <v>0</v>
      </c>
      <c r="V11" s="20">
        <f>MAX(0,(SUMPRODUCT(Oxides_min!$C11:$AW11,Factors!$C$29:$AW$29)+SUMPRODUCT(Oxides_max!$C11:$AW11,Factors!$C$29:$AW$29))/2)</f>
        <v>0</v>
      </c>
      <c r="W11" s="20">
        <f>MAX(0,(SUMPRODUCT(Oxides_min!$C11:$AW11,Factors!$C$30:$AW$30)+SUMPRODUCT(Oxides_max!$C11:$AW11,Factors!$C$30:$AW$30))/2)</f>
        <v>0</v>
      </c>
      <c r="X11" s="20">
        <f>MAX(0,(SUMPRODUCT(Oxides_min!$C11:$AW11,Factors!$C$31:$AW$31)+SUMPRODUCT(Oxides_max!$C11:$AW11,Factors!$C$31:$AW$31))/2)</f>
        <v>0</v>
      </c>
      <c r="Y11" s="20">
        <f>MAX(0,(SUMPRODUCT(Oxides_min!$C11:$AW11,Factors!$C$32:$AW$32)+SUMPRODUCT(Oxides_max!$C11:$AW11,Factors!$C$32:$AW$32))/2)</f>
        <v>0</v>
      </c>
      <c r="Z11" s="20">
        <f>MAX(0,(SUMPRODUCT(Oxides_min!$C11:$AW11,Factors!$C$33:$AW$33)+SUMPRODUCT(Oxides_max!$C11:$AW11,Factors!$C$33:$AW$33))/2)</f>
        <v>0.16786011656952537</v>
      </c>
      <c r="AA11" s="20">
        <f>MAX(0,(SUMPRODUCT(Oxides_min!$C11:$AW11,Factors!$C$34:$AW$34)+SUMPRODUCT(Oxides_max!$C11:$AW11,Factors!$C$34:$AW$34))/2)</f>
        <v>3.1</v>
      </c>
      <c r="AB11" s="20">
        <f>MAX(0,(SUMPRODUCT(Oxides_min!$C11:$AW11,Factors!$C$35:$AW$35)+SUMPRODUCT(Oxides_max!$C11:$AW11,Factors!$C$35:$AW$35))/2)</f>
        <v>0</v>
      </c>
      <c r="AC11" s="20">
        <f>MAX(0,(SUMPRODUCT(Oxides_min!$C11:$AW11,Factors!$C$36:$AW$36)+SUMPRODUCT(Oxides_max!$C11:$AW11,Factors!$C$36:$AW$36))/2)</f>
        <v>2.5046137510950226</v>
      </c>
      <c r="AD11" s="20">
        <f>MAX(0,(SUMPRODUCT(Oxides_min!$C11:$AW11,Factors!$C$37:$AW$37)+SUMPRODUCT(Oxides_max!$C11:$AW11,Factors!$C$37:$AW$37))/2)</f>
        <v>2.2037517482979752</v>
      </c>
      <c r="AE11" s="20">
        <f>MAX(0,(SUMPRODUCT(Oxides_min!$C11:$AW11,Factors!$C$38:$AW$38)+SUMPRODUCT(Oxides_max!$C11:$AW11,Factors!$C$38:$AW$38))/2)</f>
        <v>0</v>
      </c>
      <c r="AF11" s="20">
        <f>MAX(0,(SUMPRODUCT(Oxides_min!$C11:$AW11,Factors!$C$39:$AW$39)+SUMPRODUCT(Oxides_max!$C11:$AW11,Factors!$C$39:$AW$39))/2)</f>
        <v>0.19686098869184304</v>
      </c>
      <c r="AG11" s="20">
        <f>MAX(0,(SUMPRODUCT(Oxides_min!$C11:$AW11,Factors!$C$40:$AW$40)+SUMPRODUCT(Oxides_max!$C11:$AW11,Factors!$C$40:$AW$40))/2)</f>
        <v>1.0658539352969727</v>
      </c>
      <c r="AH11" s="20">
        <f>MAX(0,(SUMPRODUCT(Oxides_min!$C11:$AW11,Factors!$C$41:$AW$41)+SUMPRODUCT(Oxides_max!$C11:$AW11,Factors!$C$41:$AW$41))/2)</f>
        <v>3.4150791063556234</v>
      </c>
      <c r="AI11" s="20">
        <f>MAX(0,(SUMPRODUCT(Oxides_min!$C11:$AW11,Factors!$C$42:$AW$42)+SUMPRODUCT(Oxides_max!$C11:$AW11,Factors!$C$42:$AW$42))/2)</f>
        <v>0.25634153387599345</v>
      </c>
      <c r="AJ11" s="20">
        <f>MAX(0,(SUMPRODUCT(Oxides_min!$C11:$AW11,Factors!$C$43:$AW$43)+SUMPRODUCT(Oxides_max!$C11:$AW11,Factors!$C$43:$AW$43))/2)</f>
        <v>0.98595938552251083</v>
      </c>
      <c r="AK11" s="20">
        <f>MAX(0,(SUMPRODUCT(Oxides_min!$C11:$AW11,Factors!$C$44:$AW$44)+SUMPRODUCT(Oxides_max!$C11:$AW11,Factors!$C$44:$AW$44))/2)</f>
        <v>0.17247223393181291</v>
      </c>
      <c r="AL11" s="20">
        <f>MAX(0,(SUMPRODUCT(Oxides_min!$C11:$AW11,Factors!$C$45:$AW$45)+SUMPRODUCT(Oxides_max!$C11:$AW11,Factors!$C$45:$AW$45))/2)</f>
        <v>0</v>
      </c>
      <c r="AM11" s="20">
        <f>MAX(0,(SUMPRODUCT(Oxides_min!$C11:$AW11,Factors!$C$46:$AW$46)+SUMPRODUCT(Oxides_max!$C11:$AW11,Factors!$C$46:$AW$46))/2)</f>
        <v>0</v>
      </c>
      <c r="AN11" s="20">
        <f>MAX(0,(SUMPRODUCT(Oxides_min!$C11:$AW11,Factors!$C$47:$AW$47)+SUMPRODUCT(Oxides_max!$C11:$AW11,Factors!$C$47:$AW$47))/2)</f>
        <v>0</v>
      </c>
      <c r="AO11" s="20">
        <f>MAX(0,(SUMPRODUCT(Oxides_min!$C11:$AW11,Factors!$C$48:$AW$48)+SUMPRODUCT(Oxides_max!$C11:$AW11,Factors!$C$48:$AW$48))/2)</f>
        <v>0</v>
      </c>
      <c r="AP11" s="20">
        <f>MAX(0,(SUMPRODUCT(Oxides_min!$C11:$AW11,Factors!$C$49:$AW$49)+SUMPRODUCT(Oxides_max!$C11:$AW11,Factors!$C$49:$AW$49))/2)</f>
        <v>0</v>
      </c>
      <c r="AQ11" s="20">
        <f>MAX(0,(SUMPRODUCT(Oxides_min!$C11:$AW11,Factors!$C$50:$AW$50)+SUMPRODUCT(Oxides_max!$C11:$AW11,Factors!$C$50:$AW$50))/2)</f>
        <v>0</v>
      </c>
      <c r="AR11" s="20">
        <f>MAX(0,(SUMPRODUCT(Oxides_min!$C11:$AW11,Factors!$C$51:$AW$51)+SUMPRODUCT(Oxides_max!$C11:$AW11,Factors!$C$51:$AW$51))/2)</f>
        <v>0</v>
      </c>
      <c r="AS11" s="20">
        <f>MAX(0,(SUMPRODUCT(Oxides_min!$C11:$AW11,Factors!$C$52:$AW$52)+SUMPRODUCT(Oxides_max!$C11:$AW11,Factors!$C$52:$AW$52))/2)</f>
        <v>0</v>
      </c>
      <c r="AT11" s="20">
        <f>MAX(0,(SUMPRODUCT(Oxides_min!$C11:$AW11,Factors!$C$53:$AW$53)+SUMPRODUCT(Oxides_max!$C11:$AW11,Factors!$C$53:$AW$53))/2)</f>
        <v>0</v>
      </c>
      <c r="AU11" s="20">
        <f>MAX(0,(SUMPRODUCT(Oxides_min!$C11:$AW11,Factors!$C$54:$AW$54)+SUMPRODUCT(Oxides_max!$C11:$AW11,Factors!$C$54:$AW$54))/2)</f>
        <v>0</v>
      </c>
      <c r="AV11" s="18">
        <f t="shared" si="0"/>
        <v>110.14470871908351</v>
      </c>
    </row>
    <row r="12" spans="1:48" x14ac:dyDescent="0.25">
      <c r="A12" s="13" t="s">
        <v>146</v>
      </c>
      <c r="B12" s="20">
        <f>MAX(0,(SUMPRODUCT(Oxides_min!$C12:$AW12,Factors!$C$9:$AW$9)+SUMPRODUCT(Oxides_max!$C12:$AW12,Factors!$C$9:$AW$9))/2)</f>
        <v>33.263730590274086</v>
      </c>
      <c r="C12" s="20">
        <f>MAX(0,(SUMPRODUCT(Oxides_min!$C12:$AW12,Factors!$C$10:$AW$10)+SUMPRODUCT(Oxides_max!$C12:$AW12,Factors!$C$10:$AW$10))/2)</f>
        <v>0</v>
      </c>
      <c r="D12" s="20">
        <f>MAX(0,(SUMPRODUCT(Oxides_min!$C12:$AW12,Factors!$C$11:$AW$11)+SUMPRODUCT(Oxides_max!$C12:$AW12,Factors!$C$11:$AW$11))/2)</f>
        <v>0</v>
      </c>
      <c r="E12" s="20">
        <f>MAX(0,(SUMPRODUCT(Oxides_min!$C12:$AW12,Factors!$C$12:$AW$12)+SUMPRODUCT(Oxides_max!$C12:$AW12,Factors!$C$12:$AW$12))/2)</f>
        <v>0</v>
      </c>
      <c r="F12" s="20">
        <f>MAX(0,(SUMPRODUCT(Oxides_min!$C12:$AW12,Factors!$C$13:$AW$13)+SUMPRODUCT(Oxides_max!$C12:$AW12,Factors!$C$13:$AW$13))/2)</f>
        <v>0</v>
      </c>
      <c r="G12" s="20">
        <f>MAX(0,(SUMPRODUCT(Oxides_min!$C12:$AW12,Factors!$C$14:$AW$14)+SUMPRODUCT(Oxides_max!$C12:$AW12,Factors!$C$14:$AW$14))/2)</f>
        <v>0</v>
      </c>
      <c r="H12" s="20">
        <f>MAX(0,(SUMPRODUCT(Oxides_min!$C12:$AW12,Factors!$C$15:$AW$15)+SUMPRODUCT(Oxides_max!$C12:$AW12,Factors!$C$15:$AW$15))/2)</f>
        <v>0</v>
      </c>
      <c r="I12" s="20">
        <f>MAX(0,(SUMPRODUCT(Oxides_min!$C12:$AW12,Factors!$C$16:$AW$16)+SUMPRODUCT(Oxides_max!$C12:$AW12,Factors!$C$16:$AW$16))/2)</f>
        <v>0.15546183397360949</v>
      </c>
      <c r="J12" s="20">
        <f>MAX(0,(SUMPRODUCT(Oxides_min!$C12:$AW12,Factors!$C$17:$AW$17)+SUMPRODUCT(Oxides_max!$C12:$AW12,Factors!$C$17:$AW$17))/2)</f>
        <v>0</v>
      </c>
      <c r="K12" s="20">
        <f>MAX(0,(SUMPRODUCT(Oxides_min!$C12:$AW12,Factors!$C$18:$AW$18)+SUMPRODUCT(Oxides_max!$C12:$AW12,Factors!$C$18:$AW$18))/2)</f>
        <v>0</v>
      </c>
      <c r="L12" s="20">
        <f>MAX(0,(SUMPRODUCT(Oxides_min!$C12:$AW12,Factors!$C$19:$AW$19)+SUMPRODUCT(Oxides_max!$C12:$AW12,Factors!$C$19:$AW$19))/2)</f>
        <v>1.7867396615368154</v>
      </c>
      <c r="M12" s="20">
        <f>MAX(0,(SUMPRODUCT(Oxides_min!$C12:$AW12,Factors!$C$20:$AW$20)+SUMPRODUCT(Oxides_max!$C12:$AW12,Factors!$C$20:$AW$20))/2)</f>
        <v>18.603151931595558</v>
      </c>
      <c r="N12" s="20">
        <f>MAX(0,(SUMPRODUCT(Oxides_min!$C12:$AW12,Factors!$C$21:$AW$21)+SUMPRODUCT(Oxides_max!$C12:$AW12,Factors!$C$21:$AW$21))/2)</f>
        <v>0.67174027888290311</v>
      </c>
      <c r="O12" s="20">
        <f>MAX(0,(SUMPRODUCT(Oxides_min!$C12:$AW12,Factors!$C$22:$AW$22)+SUMPRODUCT(Oxides_max!$C12:$AW12,Factors!$C$22:$AW$22))/2)</f>
        <v>0</v>
      </c>
      <c r="P12" s="20">
        <f>MAX(0,(SUMPRODUCT(Oxides_min!$C12:$AW12,Factors!$C$23:$AW$23)+SUMPRODUCT(Oxides_max!$C12:$AW12,Factors!$C$23:$AW$23))/2)</f>
        <v>0</v>
      </c>
      <c r="Q12" s="20">
        <f>MAX(0,(SUMPRODUCT(Oxides_min!$C12:$AW12,Factors!$C$24:$AW$24)+SUMPRODUCT(Oxides_max!$C12:$AW12,Factors!$C$24:$AW$24))/2)</f>
        <v>0</v>
      </c>
      <c r="R12" s="20">
        <f>MAX(0,(SUMPRODUCT(Oxides_min!$C12:$AW12,Factors!$C$25:$AW$25)+SUMPRODUCT(Oxides_max!$C12:$AW12,Factors!$C$25:$AW$25))/2)</f>
        <v>0</v>
      </c>
      <c r="S12" s="20">
        <f>MAX(0,(SUMPRODUCT(Oxides_min!$C12:$AW12,Factors!$C$26:$AW$26)+SUMPRODUCT(Oxides_max!$C12:$AW12,Factors!$C$26:$AW$26))/2)</f>
        <v>0</v>
      </c>
      <c r="T12" s="20">
        <f>MAX(0,(SUMPRODUCT(Oxides_min!$C12:$AW12,Factors!$C$27:$AW$27)+SUMPRODUCT(Oxides_max!$C12:$AW12,Factors!$C$27:$AW$27))/2)</f>
        <v>0</v>
      </c>
      <c r="U12" s="20">
        <f>MAX(0,(SUMPRODUCT(Oxides_min!$C12:$AW12,Factors!$C$28:$AW$28)+SUMPRODUCT(Oxides_max!$C12:$AW12,Factors!$C$28:$AW$28))/2)</f>
        <v>0</v>
      </c>
      <c r="V12" s="20">
        <f>MAX(0,(SUMPRODUCT(Oxides_min!$C12:$AW12,Factors!$C$29:$AW$29)+SUMPRODUCT(Oxides_max!$C12:$AW12,Factors!$C$29:$AW$29))/2)</f>
        <v>0</v>
      </c>
      <c r="W12" s="20">
        <f>MAX(0,(SUMPRODUCT(Oxides_min!$C12:$AW12,Factors!$C$30:$AW$30)+SUMPRODUCT(Oxides_max!$C12:$AW12,Factors!$C$30:$AW$30))/2)</f>
        <v>0</v>
      </c>
      <c r="X12" s="20">
        <f>MAX(0,(SUMPRODUCT(Oxides_min!$C12:$AW12,Factors!$C$31:$AW$31)+SUMPRODUCT(Oxides_max!$C12:$AW12,Factors!$C$31:$AW$31))/2)</f>
        <v>0</v>
      </c>
      <c r="Y12" s="20">
        <f>MAX(0,(SUMPRODUCT(Oxides_min!$C12:$AW12,Factors!$C$32:$AW$32)+SUMPRODUCT(Oxides_max!$C12:$AW12,Factors!$C$32:$AW$32))/2)</f>
        <v>6.345423663341589</v>
      </c>
      <c r="Z12" s="20">
        <f>MAX(0,(SUMPRODUCT(Oxides_min!$C12:$AW12,Factors!$C$33:$AW$33)+SUMPRODUCT(Oxides_max!$C12:$AW12,Factors!$C$33:$AW$33))/2)</f>
        <v>0.72739383846794337</v>
      </c>
      <c r="AA12" s="20">
        <f>MAX(0,(SUMPRODUCT(Oxides_min!$C12:$AW12,Factors!$C$34:$AW$34)+SUMPRODUCT(Oxides_max!$C12:$AW12,Factors!$C$34:$AW$34))/2)</f>
        <v>1.1000000000000001</v>
      </c>
      <c r="AB12" s="20">
        <f>MAX(0,(SUMPRODUCT(Oxides_min!$C12:$AW12,Factors!$C$35:$AW$35)+SUMPRODUCT(Oxides_max!$C12:$AW12,Factors!$C$35:$AW$35))/2)</f>
        <v>0</v>
      </c>
      <c r="AC12" s="20">
        <f>MAX(0,(SUMPRODUCT(Oxides_min!$C12:$AW12,Factors!$C$36:$AW$36)+SUMPRODUCT(Oxides_max!$C12:$AW12,Factors!$C$36:$AW$36))/2)</f>
        <v>0.65910888186711114</v>
      </c>
      <c r="AD12" s="20">
        <f>MAX(0,(SUMPRODUCT(Oxides_min!$C12:$AW12,Factors!$C$37:$AW$37)+SUMPRODUCT(Oxides_max!$C12:$AW12,Factors!$C$37:$AW$37))/2)</f>
        <v>0</v>
      </c>
      <c r="AE12" s="20">
        <f>MAX(0,(SUMPRODUCT(Oxides_min!$C12:$AW12,Factors!$C$38:$AW$38)+SUMPRODUCT(Oxides_max!$C12:$AW12,Factors!$C$38:$AW$38))/2)</f>
        <v>0</v>
      </c>
      <c r="AF12" s="20">
        <f>MAX(0,(SUMPRODUCT(Oxides_min!$C12:$AW12,Factors!$C$39:$AW$39)+SUMPRODUCT(Oxides_max!$C12:$AW12,Factors!$C$39:$AW$39))/2)</f>
        <v>0.19686098869184304</v>
      </c>
      <c r="AG12" s="20">
        <f>MAX(0,(SUMPRODUCT(Oxides_min!$C12:$AW12,Factors!$C$40:$AW$40)+SUMPRODUCT(Oxides_max!$C12:$AW12,Factors!$C$40:$AW$40))/2)</f>
        <v>11.937564075326094</v>
      </c>
      <c r="AH12" s="20">
        <f>MAX(0,(SUMPRODUCT(Oxides_min!$C12:$AW12,Factors!$C$41:$AW$41)+SUMPRODUCT(Oxides_max!$C12:$AW12,Factors!$C$41:$AW$41))/2)</f>
        <v>19.209819973250383</v>
      </c>
      <c r="AI12" s="20">
        <f>MAX(0,(SUMPRODUCT(Oxides_min!$C12:$AW12,Factors!$C$42:$AW$42)+SUMPRODUCT(Oxides_max!$C12:$AW12,Factors!$C$42:$AW$42))/2)</f>
        <v>1.7089435591732898</v>
      </c>
      <c r="AJ12" s="20">
        <f>MAX(0,(SUMPRODUCT(Oxides_min!$C12:$AW12,Factors!$C$43:$AW$43)+SUMPRODUCT(Oxides_max!$C12:$AW12,Factors!$C$43:$AW$43))/2)</f>
        <v>5.5728139181707137</v>
      </c>
      <c r="AK12" s="20">
        <f>MAX(0,(SUMPRODUCT(Oxides_min!$C12:$AW12,Factors!$C$44:$AW$44)+SUMPRODUCT(Oxides_max!$C12:$AW12,Factors!$C$44:$AW$44))/2)</f>
        <v>0.43118058482953225</v>
      </c>
      <c r="AL12" s="20">
        <f>MAX(0,(SUMPRODUCT(Oxides_min!$C12:$AW12,Factors!$C$45:$AW$45)+SUMPRODUCT(Oxides_max!$C12:$AW12,Factors!$C$45:$AW$45))/2)</f>
        <v>0</v>
      </c>
      <c r="AM12" s="20">
        <f>MAX(0,(SUMPRODUCT(Oxides_min!$C12:$AW12,Factors!$C$46:$AW$46)+SUMPRODUCT(Oxides_max!$C12:$AW12,Factors!$C$46:$AW$46))/2)</f>
        <v>0.21689834674493857</v>
      </c>
      <c r="AN12" s="20">
        <f>MAX(0,(SUMPRODUCT(Oxides_min!$C12:$AW12,Factors!$C$47:$AW$47)+SUMPRODUCT(Oxides_max!$C12:$AW12,Factors!$C$47:$AW$47))/2)</f>
        <v>0</v>
      </c>
      <c r="AO12" s="20">
        <f>MAX(0,(SUMPRODUCT(Oxides_min!$C12:$AW12,Factors!$C$48:$AW$48)+SUMPRODUCT(Oxides_max!$C12:$AW12,Factors!$C$48:$AW$48))/2)</f>
        <v>0</v>
      </c>
      <c r="AP12" s="20">
        <f>MAX(0,(SUMPRODUCT(Oxides_min!$C12:$AW12,Factors!$C$49:$AW$49)+SUMPRODUCT(Oxides_max!$C12:$AW12,Factors!$C$49:$AW$49))/2)</f>
        <v>0</v>
      </c>
      <c r="AQ12" s="20">
        <f>MAX(0,(SUMPRODUCT(Oxides_min!$C12:$AW12,Factors!$C$50:$AW$50)+SUMPRODUCT(Oxides_max!$C12:$AW12,Factors!$C$50:$AW$50))/2)</f>
        <v>0</v>
      </c>
      <c r="AR12" s="20">
        <f>MAX(0,(SUMPRODUCT(Oxides_min!$C12:$AW12,Factors!$C$51:$AW$51)+SUMPRODUCT(Oxides_max!$C12:$AW12,Factors!$C$51:$AW$51))/2)</f>
        <v>0</v>
      </c>
      <c r="AS12" s="20">
        <f>MAX(0,(SUMPRODUCT(Oxides_min!$C12:$AW12,Factors!$C$52:$AW$52)+SUMPRODUCT(Oxides_max!$C12:$AW12,Factors!$C$52:$AW$52))/2)</f>
        <v>0</v>
      </c>
      <c r="AT12" s="20">
        <f>MAX(0,(SUMPRODUCT(Oxides_min!$C12:$AW12,Factors!$C$53:$AW$53)+SUMPRODUCT(Oxides_max!$C12:$AW12,Factors!$C$53:$AW$53))/2)</f>
        <v>0</v>
      </c>
      <c r="AU12" s="20">
        <f>MAX(0,(SUMPRODUCT(Oxides_min!$C12:$AW12,Factors!$C$54:$AW$54)+SUMPRODUCT(Oxides_max!$C12:$AW12,Factors!$C$54:$AW$54))/2)</f>
        <v>0</v>
      </c>
      <c r="AV12" s="18">
        <f t="shared" si="0"/>
        <v>102.58683212612641</v>
      </c>
    </row>
    <row r="13" spans="1:48" x14ac:dyDescent="0.25">
      <c r="A13" s="13" t="s">
        <v>148</v>
      </c>
      <c r="B13" s="20">
        <f>MAX(0,(SUMPRODUCT(Oxides_min!$C13:$AW13,Factors!$C$9:$AW$9)+SUMPRODUCT(Oxides_max!$C13:$AW13,Factors!$C$9:$AW$9))/2)</f>
        <v>52.753134588826342</v>
      </c>
      <c r="C13" s="20">
        <f>MAX(0,(SUMPRODUCT(Oxides_min!$C13:$AW13,Factors!$C$10:$AW$10)+SUMPRODUCT(Oxides_max!$C13:$AW13,Factors!$C$10:$AW$10))/2)</f>
        <v>28.046202752858548</v>
      </c>
      <c r="D13" s="20">
        <f>MAX(0,(SUMPRODUCT(Oxides_min!$C13:$AW13,Factors!$C$11:$AW$11)+SUMPRODUCT(Oxides_max!$C13:$AW13,Factors!$C$11:$AW$11))/2)</f>
        <v>0.24872979402742129</v>
      </c>
      <c r="E13" s="20">
        <f>MAX(0,(SUMPRODUCT(Oxides_min!$C13:$AW13,Factors!$C$12:$AW$12)+SUMPRODUCT(Oxides_max!$C13:$AW13,Factors!$C$12:$AW$12))/2)</f>
        <v>0</v>
      </c>
      <c r="F13" s="20">
        <f>MAX(0,(SUMPRODUCT(Oxides_min!$C13:$AW13,Factors!$C$13:$AW$13)+SUMPRODUCT(Oxides_max!$C13:$AW13,Factors!$C$13:$AW$13))/2)</f>
        <v>0</v>
      </c>
      <c r="G13" s="20">
        <f>MAX(0,(SUMPRODUCT(Oxides_min!$C13:$AW13,Factors!$C$14:$AW$14)+SUMPRODUCT(Oxides_max!$C13:$AW13,Factors!$C$14:$AW$14))/2)</f>
        <v>0</v>
      </c>
      <c r="H13" s="20">
        <f>MAX(0,(SUMPRODUCT(Oxides_min!$C13:$AW13,Factors!$C$15:$AW$15)+SUMPRODUCT(Oxides_max!$C13:$AW13,Factors!$C$15:$AW$15))/2)</f>
        <v>11.90828085094522</v>
      </c>
      <c r="I13" s="20">
        <f>MAX(0,(SUMPRODUCT(Oxides_min!$C13:$AW13,Factors!$C$16:$AW$16)+SUMPRODUCT(Oxides_max!$C13:$AW13,Factors!$C$16:$AW$16))/2)</f>
        <v>2.6228653553514061</v>
      </c>
      <c r="J13" s="20">
        <f>MAX(0,(SUMPRODUCT(Oxides_min!$C13:$AW13,Factors!$C$17:$AW$17)+SUMPRODUCT(Oxides_max!$C13:$AW13,Factors!$C$17:$AW$17))/2)</f>
        <v>0.1432754674694367</v>
      </c>
      <c r="K13" s="20">
        <f>MAX(0,(SUMPRODUCT(Oxides_min!$C13:$AW13,Factors!$C$18:$AW$18)+SUMPRODUCT(Oxides_max!$C13:$AW13,Factors!$C$18:$AW$18))/2)</f>
        <v>0.40102285132989285</v>
      </c>
      <c r="L13" s="20">
        <f>MAX(0,(SUMPRODUCT(Oxides_min!$C13:$AW13,Factors!$C$19:$AW$19)+SUMPRODUCT(Oxides_max!$C13:$AW13,Factors!$C$19:$AW$19))/2)</f>
        <v>0.18939440412290243</v>
      </c>
      <c r="M13" s="20">
        <f>MAX(0,(SUMPRODUCT(Oxides_min!$C13:$AW13,Factors!$C$20:$AW$20)+SUMPRODUCT(Oxides_max!$C13:$AW13,Factors!$C$20:$AW$20))/2)</f>
        <v>0</v>
      </c>
      <c r="N13" s="20">
        <f>MAX(0,(SUMPRODUCT(Oxides_min!$C13:$AW13,Factors!$C$21:$AW$21)+SUMPRODUCT(Oxides_max!$C13:$AW13,Factors!$C$21:$AW$21))/2)</f>
        <v>0</v>
      </c>
      <c r="O13" s="20">
        <f>MAX(0,(SUMPRODUCT(Oxides_min!$C13:$AW13,Factors!$C$22:$AW$22)+SUMPRODUCT(Oxides_max!$C13:$AW13,Factors!$C$22:$AW$22))/2)</f>
        <v>0</v>
      </c>
      <c r="P13" s="20">
        <f>MAX(0,(SUMPRODUCT(Oxides_min!$C13:$AW13,Factors!$C$23:$AW$23)+SUMPRODUCT(Oxides_max!$C13:$AW13,Factors!$C$23:$AW$23))/2)</f>
        <v>0.93845575629526423</v>
      </c>
      <c r="Q13" s="20">
        <f>MAX(0,(SUMPRODUCT(Oxides_min!$C13:$AW13,Factors!$C$24:$AW$24)+SUMPRODUCT(Oxides_max!$C13:$AW13,Factors!$C$24:$AW$24))/2)</f>
        <v>2.6979917320978899</v>
      </c>
      <c r="R13" s="20">
        <f>MAX(0,(SUMPRODUCT(Oxides_min!$C13:$AW13,Factors!$C$25:$AW$25)+SUMPRODUCT(Oxides_max!$C13:$AW13,Factors!$C$25:$AW$25))/2)</f>
        <v>0</v>
      </c>
      <c r="S13" s="20">
        <f>MAX(0,(SUMPRODUCT(Oxides_min!$C13:$AW13,Factors!$C$26:$AW$26)+SUMPRODUCT(Oxides_max!$C13:$AW13,Factors!$C$26:$AW$26))/2)</f>
        <v>0</v>
      </c>
      <c r="T13" s="20">
        <f>MAX(0,(SUMPRODUCT(Oxides_min!$C13:$AW13,Factors!$C$27:$AW$27)+SUMPRODUCT(Oxides_max!$C13:$AW13,Factors!$C$27:$AW$27))/2)</f>
        <v>0</v>
      </c>
      <c r="U13" s="20">
        <f>MAX(0,(SUMPRODUCT(Oxides_min!$C13:$AW13,Factors!$C$28:$AW$28)+SUMPRODUCT(Oxides_max!$C13:$AW13,Factors!$C$28:$AW$28))/2)</f>
        <v>0</v>
      </c>
      <c r="V13" s="20">
        <f>MAX(0,(SUMPRODUCT(Oxides_min!$C13:$AW13,Factors!$C$29:$AW$29)+SUMPRODUCT(Oxides_max!$C13:$AW13,Factors!$C$29:$AW$29))/2)</f>
        <v>1.9639206781320563E-2</v>
      </c>
      <c r="W13" s="20">
        <f>MAX(0,(SUMPRODUCT(Oxides_min!$C13:$AW13,Factors!$C$30:$AW$30)+SUMPRODUCT(Oxides_max!$C13:$AW13,Factors!$C$30:$AW$30))/2)</f>
        <v>0</v>
      </c>
      <c r="X13" s="20">
        <f>MAX(0,(SUMPRODUCT(Oxides_min!$C13:$AW13,Factors!$C$31:$AW$31)+SUMPRODUCT(Oxides_max!$C13:$AW13,Factors!$C$31:$AW$31))/2)</f>
        <v>0</v>
      </c>
      <c r="Y13" s="20">
        <f>MAX(0,(SUMPRODUCT(Oxides_min!$C13:$AW13,Factors!$C$32:$AW$32)+SUMPRODUCT(Oxides_max!$C13:$AW13,Factors!$C$32:$AW$32))/2)</f>
        <v>0</v>
      </c>
      <c r="Z13" s="20">
        <f>MAX(0,(SUMPRODUCT(Oxides_min!$C13:$AW13,Factors!$C$33:$AW$33)+SUMPRODUCT(Oxides_max!$C13:$AW13,Factors!$C$33:$AW$33))/2)</f>
        <v>0.9512073272273105</v>
      </c>
      <c r="AA13" s="20">
        <f>MAX(0,(SUMPRODUCT(Oxides_min!$C13:$AW13,Factors!$C$34:$AW$34)+SUMPRODUCT(Oxides_max!$C13:$AW13,Factors!$C$34:$AW$34))/2)</f>
        <v>0</v>
      </c>
      <c r="AB13" s="20">
        <f>MAX(0,(SUMPRODUCT(Oxides_min!$C13:$AW13,Factors!$C$35:$AW$35)+SUMPRODUCT(Oxides_max!$C13:$AW13,Factors!$C$35:$AW$35))/2)</f>
        <v>0</v>
      </c>
      <c r="AC13" s="20">
        <f>MAX(0,(SUMPRODUCT(Oxides_min!$C13:$AW13,Factors!$C$36:$AW$36)+SUMPRODUCT(Oxides_max!$C13:$AW13,Factors!$C$36:$AW$36))/2)</f>
        <v>0</v>
      </c>
      <c r="AD13" s="20">
        <f>MAX(0,(SUMPRODUCT(Oxides_min!$C13:$AW13,Factors!$C$37:$AW$37)+SUMPRODUCT(Oxides_max!$C13:$AW13,Factors!$C$37:$AW$37))/2)</f>
        <v>0</v>
      </c>
      <c r="AE13" s="20">
        <f>MAX(0,(SUMPRODUCT(Oxides_min!$C13:$AW13,Factors!$C$38:$AW$38)+SUMPRODUCT(Oxides_max!$C13:$AW13,Factors!$C$38:$AW$38))/2)</f>
        <v>0</v>
      </c>
      <c r="AF13" s="20">
        <f>MAX(0,(SUMPRODUCT(Oxides_min!$C13:$AW13,Factors!$C$39:$AW$39)+SUMPRODUCT(Oxides_max!$C13:$AW13,Factors!$C$39:$AW$39))/2)</f>
        <v>0.13189686242353485</v>
      </c>
      <c r="AG13" s="20">
        <f>MAX(0,(SUMPRODUCT(Oxides_min!$C13:$AW13,Factors!$C$40:$AW$40)+SUMPRODUCT(Oxides_max!$C13:$AW13,Factors!$C$40:$AW$40))/2)</f>
        <v>9.4178853722840516E-2</v>
      </c>
      <c r="AH13" s="20">
        <f>MAX(0,(SUMPRODUCT(Oxides_min!$C13:$AW13,Factors!$C$41:$AW$41)+SUMPRODUCT(Oxides_max!$C13:$AW13,Factors!$C$41:$AW$41))/2)</f>
        <v>2.1429621392381536E-2</v>
      </c>
      <c r="AI13" s="20">
        <f>MAX(0,(SUMPRODUCT(Oxides_min!$C13:$AW13,Factors!$C$42:$AW$42)+SUMPRODUCT(Oxides_max!$C13:$AW13,Factors!$C$42:$AW$42))/2)</f>
        <v>1.9353785807637504E-2</v>
      </c>
      <c r="AJ13" s="20">
        <f>MAX(0,(SUMPRODUCT(Oxides_min!$C13:$AW13,Factors!$C$43:$AW$43)+SUMPRODUCT(Oxides_max!$C13:$AW13,Factors!$C$43:$AW$43))/2)</f>
        <v>6.9231495983428482E-2</v>
      </c>
      <c r="AK13" s="20">
        <f>MAX(0,(SUMPRODUCT(Oxides_min!$C13:$AW13,Factors!$C$44:$AW$44)+SUMPRODUCT(Oxides_max!$C13:$AW13,Factors!$C$44:$AW$44))/2)</f>
        <v>9.0547922814201778E-3</v>
      </c>
      <c r="AL13" s="20">
        <f>MAX(0,(SUMPRODUCT(Oxides_min!$C13:$AW13,Factors!$C$45:$AW$45)+SUMPRODUCT(Oxides_max!$C13:$AW13,Factors!$C$45:$AW$45))/2)</f>
        <v>1.1011101797257937E-3</v>
      </c>
      <c r="AM13" s="20">
        <f>MAX(0,(SUMPRODUCT(Oxides_min!$C13:$AW13,Factors!$C$46:$AW$46)+SUMPRODUCT(Oxides_max!$C13:$AW13,Factors!$C$46:$AW$46))/2)</f>
        <v>1.5833579312380518E-2</v>
      </c>
      <c r="AN13" s="20">
        <f>MAX(0,(SUMPRODUCT(Oxides_min!$C13:$AW13,Factors!$C$47:$AW$47)+SUMPRODUCT(Oxides_max!$C13:$AW13,Factors!$C$47:$AW$47))/2)</f>
        <v>2.8236197056862732E-3</v>
      </c>
      <c r="AO13" s="20">
        <f>MAX(0,(SUMPRODUCT(Oxides_min!$C13:$AW13,Factors!$C$48:$AW$48)+SUMPRODUCT(Oxides_max!$C13:$AW13,Factors!$C$48:$AW$48))/2)</f>
        <v>1.4812451574677544E-2</v>
      </c>
      <c r="AP13" s="20">
        <f>MAX(0,(SUMPRODUCT(Oxides_min!$C13:$AW13,Factors!$C$49:$AW$49)+SUMPRODUCT(Oxides_max!$C13:$AW13,Factors!$C$49:$AW$49))/2)</f>
        <v>3.4919039090010773E-3</v>
      </c>
      <c r="AQ13" s="20">
        <f>MAX(0,(SUMPRODUCT(Oxides_min!$C13:$AW13,Factors!$C$50:$AW$50)+SUMPRODUCT(Oxides_max!$C13:$AW13,Factors!$C$50:$AW$50))/2)</f>
        <v>1.0931532096780518E-2</v>
      </c>
      <c r="AR13" s="20">
        <f>MAX(0,(SUMPRODUCT(Oxides_min!$C13:$AW13,Factors!$C$51:$AW$51)+SUMPRODUCT(Oxides_max!$C13:$AW13,Factors!$C$51:$AW$51))/2)</f>
        <v>1.5323211376483989E-3</v>
      </c>
      <c r="AS13" s="20">
        <f>MAX(0,(SUMPRODUCT(Oxides_min!$C13:$AW13,Factors!$C$52:$AW$52)+SUMPRODUCT(Oxides_max!$C13:$AW13,Factors!$C$52:$AW$52))/2)</f>
        <v>5.5766150621563261E-3</v>
      </c>
      <c r="AT13" s="20">
        <f>MAX(0,(SUMPRODUCT(Oxides_min!$C13:$AW13,Factors!$C$53:$AW$53)+SUMPRODUCT(Oxides_max!$C13:$AW13,Factors!$C$53:$AW$53))/2)</f>
        <v>9.0136807775024086E-4</v>
      </c>
      <c r="AU13" s="20">
        <f>MAX(0,(SUMPRODUCT(Oxides_min!$C13:$AW13,Factors!$C$54:$AW$54)+SUMPRODUCT(Oxides_max!$C13:$AW13,Factors!$C$54:$AW$54))/2)</f>
        <v>0</v>
      </c>
      <c r="AV13" s="18">
        <f t="shared" si="0"/>
        <v>101.32235000000001</v>
      </c>
    </row>
    <row r="14" spans="1:48" x14ac:dyDescent="0.25">
      <c r="A14" s="13" t="s">
        <v>150</v>
      </c>
      <c r="B14" s="20">
        <f>MAX(0,(SUMPRODUCT(Oxides_min!$C14:$AW14,Factors!$C$9:$AW$9)+SUMPRODUCT(Oxides_max!$C14:$AW14,Factors!$C$9:$AW$9))/2)</f>
        <v>26.927874498762385</v>
      </c>
      <c r="C14" s="20">
        <f>MAX(0,(SUMPRODUCT(Oxides_min!$C14:$AW14,Factors!$C$10:$AW$10)+SUMPRODUCT(Oxides_max!$C14:$AW14,Factors!$C$10:$AW$10))/2)</f>
        <v>7.9464241133099218</v>
      </c>
      <c r="D14" s="20">
        <f>MAX(0,(SUMPRODUCT(Oxides_min!$C14:$AW14,Factors!$C$11:$AW$11)+SUMPRODUCT(Oxides_max!$C14:$AW14,Factors!$C$11:$AW$11))/2)</f>
        <v>0</v>
      </c>
      <c r="E14" s="20">
        <f>MAX(0,(SUMPRODUCT(Oxides_min!$C14:$AW14,Factors!$C$12:$AW$12)+SUMPRODUCT(Oxides_max!$C14:$AW14,Factors!$C$12:$AW$12))/2)</f>
        <v>0</v>
      </c>
      <c r="F14" s="20">
        <f>MAX(0,(SUMPRODUCT(Oxides_min!$C14:$AW14,Factors!$C$13:$AW$13)+SUMPRODUCT(Oxides_max!$C14:$AW14,Factors!$C$13:$AW$13))/2)</f>
        <v>0</v>
      </c>
      <c r="G14" s="20">
        <f>MAX(0,(SUMPRODUCT(Oxides_min!$C14:$AW14,Factors!$C$14:$AW$14)+SUMPRODUCT(Oxides_max!$C14:$AW14,Factors!$C$14:$AW$14))/2)</f>
        <v>0</v>
      </c>
      <c r="H14" s="20">
        <f>MAX(0,(SUMPRODUCT(Oxides_min!$C14:$AW14,Factors!$C$15:$AW$15)+SUMPRODUCT(Oxides_max!$C14:$AW14,Factors!$C$15:$AW$15))/2)</f>
        <v>0.1323142316771691</v>
      </c>
      <c r="I14" s="20">
        <f>MAX(0,(SUMPRODUCT(Oxides_min!$C14:$AW14,Factors!$C$16:$AW$16)+SUMPRODUCT(Oxides_max!$C14:$AW14,Factors!$C$16:$AW$16))/2)</f>
        <v>0.38865458493402372</v>
      </c>
      <c r="J14" s="20">
        <f>MAX(0,(SUMPRODUCT(Oxides_min!$C14:$AW14,Factors!$C$17:$AW$17)+SUMPRODUCT(Oxides_max!$C14:$AW14,Factors!$C$17:$AW$17))/2)</f>
        <v>0.19361549658031987</v>
      </c>
      <c r="K14" s="20">
        <f>MAX(0,(SUMPRODUCT(Oxides_min!$C14:$AW14,Factors!$C$18:$AW$18)+SUMPRODUCT(Oxides_max!$C14:$AW14,Factors!$C$18:$AW$18))/2)</f>
        <v>0</v>
      </c>
      <c r="L14" s="20">
        <f>MAX(0,(SUMPRODUCT(Oxides_min!$C14:$AW14,Factors!$C$19:$AW$19)+SUMPRODUCT(Oxides_max!$C14:$AW14,Factors!$C$19:$AW$19))/2)</f>
        <v>11.435133833835618</v>
      </c>
      <c r="M14" s="20">
        <f>MAX(0,(SUMPRODUCT(Oxides_min!$C14:$AW14,Factors!$C$20:$AW$20)+SUMPRODUCT(Oxides_max!$C14:$AW14,Factors!$C$20:$AW$20))/2)</f>
        <v>1.268396722608788</v>
      </c>
      <c r="N14" s="20">
        <f>MAX(0,(SUMPRODUCT(Oxides_min!$C14:$AW14,Factors!$C$21:$AW$21)+SUMPRODUCT(Oxides_max!$C14:$AW14,Factors!$C$21:$AW$21))/2)</f>
        <v>0</v>
      </c>
      <c r="O14" s="20">
        <f>MAX(0,(SUMPRODUCT(Oxides_min!$C14:$AW14,Factors!$C$22:$AW$22)+SUMPRODUCT(Oxides_max!$C14:$AW14,Factors!$C$22:$AW$22))/2)</f>
        <v>0</v>
      </c>
      <c r="P14" s="20">
        <f>MAX(0,(SUMPRODUCT(Oxides_min!$C14:$AW14,Factors!$C$23:$AW$23)+SUMPRODUCT(Oxides_max!$C14:$AW14,Factors!$C$23:$AW$23))/2)</f>
        <v>0.74186225794092031</v>
      </c>
      <c r="Q14" s="20">
        <f>MAX(0,(SUMPRODUCT(Oxides_min!$C14:$AW14,Factors!$C$24:$AW$24)+SUMPRODUCT(Oxides_max!$C14:$AW14,Factors!$C$24:$AW$24))/2)</f>
        <v>0</v>
      </c>
      <c r="R14" s="20">
        <f>MAX(0,(SUMPRODUCT(Oxides_min!$C14:$AW14,Factors!$C$25:$AW$25)+SUMPRODUCT(Oxides_max!$C14:$AW14,Factors!$C$25:$AW$25))/2)</f>
        <v>0</v>
      </c>
      <c r="S14" s="20">
        <f>MAX(0,(SUMPRODUCT(Oxides_min!$C14:$AW14,Factors!$C$26:$AW$26)+SUMPRODUCT(Oxides_max!$C14:$AW14,Factors!$C$26:$AW$26))/2)</f>
        <v>0</v>
      </c>
      <c r="T14" s="20">
        <f>MAX(0,(SUMPRODUCT(Oxides_min!$C14:$AW14,Factors!$C$27:$AW$27)+SUMPRODUCT(Oxides_max!$C14:$AW14,Factors!$C$27:$AW$27))/2)</f>
        <v>0</v>
      </c>
      <c r="U14" s="20">
        <f>MAX(0,(SUMPRODUCT(Oxides_min!$C14:$AW14,Factors!$C$28:$AW$28)+SUMPRODUCT(Oxides_max!$C14:$AW14,Factors!$C$28:$AW$28))/2)</f>
        <v>0</v>
      </c>
      <c r="V14" s="20">
        <f>MAX(0,(SUMPRODUCT(Oxides_min!$C14:$AW14,Factors!$C$29:$AW$29)+SUMPRODUCT(Oxides_max!$C14:$AW14,Factors!$C$29:$AW$29))/2)</f>
        <v>3.0549877215387542</v>
      </c>
      <c r="W14" s="20">
        <f>MAX(0,(SUMPRODUCT(Oxides_min!$C14:$AW14,Factors!$C$30:$AW$30)+SUMPRODUCT(Oxides_max!$C14:$AW14,Factors!$C$30:$AW$30))/2)</f>
        <v>0</v>
      </c>
      <c r="X14" s="20">
        <f>MAX(0,(SUMPRODUCT(Oxides_min!$C14:$AW14,Factors!$C$31:$AW$31)+SUMPRODUCT(Oxides_max!$C14:$AW14,Factors!$C$31:$AW$31))/2)</f>
        <v>0</v>
      </c>
      <c r="Y14" s="20">
        <f>MAX(0,(SUMPRODUCT(Oxides_min!$C14:$AW14,Factors!$C$32:$AW$32)+SUMPRODUCT(Oxides_max!$C14:$AW14,Factors!$C$32:$AW$32))/2)</f>
        <v>0</v>
      </c>
      <c r="Z14" s="20">
        <f>MAX(0,(SUMPRODUCT(Oxides_min!$C14:$AW14,Factors!$C$33:$AW$33)+SUMPRODUCT(Oxides_max!$C14:$AW14,Factors!$C$33:$AW$33))/2)</f>
        <v>8.3930058284762687E-2</v>
      </c>
      <c r="AA14" s="20">
        <f>MAX(0,(SUMPRODUCT(Oxides_min!$C14:$AW14,Factors!$C$34:$AW$34)+SUMPRODUCT(Oxides_max!$C14:$AW14,Factors!$C$34:$AW$34))/2)</f>
        <v>1.5</v>
      </c>
      <c r="AB14" s="20">
        <f>MAX(0,(SUMPRODUCT(Oxides_min!$C14:$AW14,Factors!$C$35:$AW$35)+SUMPRODUCT(Oxides_max!$C14:$AW14,Factors!$C$35:$AW$35))/2)</f>
        <v>0.15</v>
      </c>
      <c r="AC14" s="20">
        <f>MAX(0,(SUMPRODUCT(Oxides_min!$C14:$AW14,Factors!$C$36:$AW$36)+SUMPRODUCT(Oxides_max!$C14:$AW14,Factors!$C$36:$AW$36))/2)</f>
        <v>4.6137621730697784</v>
      </c>
      <c r="AD14" s="20">
        <f>MAX(0,(SUMPRODUCT(Oxides_min!$C14:$AW14,Factors!$C$37:$AW$37)+SUMPRODUCT(Oxides_max!$C14:$AW14,Factors!$C$37:$AW$37))/2)</f>
        <v>0.66112552448939255</v>
      </c>
      <c r="AE14" s="20">
        <f>MAX(0,(SUMPRODUCT(Oxides_min!$C14:$AW14,Factors!$C$38:$AW$38)+SUMPRODUCT(Oxides_max!$C14:$AW14,Factors!$C$38:$AW$38))/2)</f>
        <v>0</v>
      </c>
      <c r="AF14" s="20">
        <f>MAX(0,(SUMPRODUCT(Oxides_min!$C14:$AW14,Factors!$C$39:$AW$39)+SUMPRODUCT(Oxides_max!$C14:$AW14,Factors!$C$39:$AW$39))/2)</f>
        <v>1.9686098869184305</v>
      </c>
      <c r="AG14" s="20">
        <f>MAX(0,(SUMPRODUCT(Oxides_min!$C14:$AW14,Factors!$C$40:$AW$40)+SUMPRODUCT(Oxides_max!$C14:$AW14,Factors!$C$40:$AW$40))/2)</f>
        <v>9.3795146306133592</v>
      </c>
      <c r="AH14" s="20">
        <f>MAX(0,(SUMPRODUCT(Oxides_min!$C14:$AW14,Factors!$C$41:$AW$41)+SUMPRODUCT(Oxides_max!$C14:$AW14,Factors!$C$41:$AW$41))/2)</f>
        <v>21.344244414722645</v>
      </c>
      <c r="AI14" s="20">
        <f>MAX(0,(SUMPRODUCT(Oxides_min!$C14:$AW14,Factors!$C$42:$AW$42)+SUMPRODUCT(Oxides_max!$C14:$AW14,Factors!$C$42:$AW$42))/2)</f>
        <v>2.1361794489666122</v>
      </c>
      <c r="AJ14" s="20">
        <f>MAX(0,(SUMPRODUCT(Oxides_min!$C14:$AW14,Factors!$C$43:$AW$43)+SUMPRODUCT(Oxides_max!$C14:$AW14,Factors!$C$43:$AW$43))/2)</f>
        <v>7.2875258929924716</v>
      </c>
      <c r="AK14" s="20">
        <f>MAX(0,(SUMPRODUCT(Oxides_min!$C14:$AW14,Factors!$C$44:$AW$44)+SUMPRODUCT(Oxides_max!$C14:$AW14,Factors!$C$44:$AW$44))/2)</f>
        <v>1.2073056375226903</v>
      </c>
      <c r="AL14" s="20">
        <f>MAX(0,(SUMPRODUCT(Oxides_min!$C14:$AW14,Factors!$C$45:$AW$45)+SUMPRODUCT(Oxides_max!$C14:$AW14,Factors!$C$45:$AW$45))/2)</f>
        <v>0.17272316544718336</v>
      </c>
      <c r="AM14" s="20">
        <f>MAX(0,(SUMPRODUCT(Oxides_min!$C14:$AW14,Factors!$C$46:$AW$46)+SUMPRODUCT(Oxides_max!$C14:$AW14,Factors!$C$46:$AW$46))/2)</f>
        <v>0.95435272567772977</v>
      </c>
      <c r="AN14" s="20">
        <f>MAX(0,(SUMPRODUCT(Oxides_min!$C14:$AW14,Factors!$C$47:$AW$47)+SUMPRODUCT(Oxides_max!$C14:$AW14,Factors!$C$47:$AW$47))/2)</f>
        <v>0</v>
      </c>
      <c r="AO14" s="20">
        <f>MAX(0,(SUMPRODUCT(Oxides_min!$C14:$AW14,Factors!$C$48:$AW$48)+SUMPRODUCT(Oxides_max!$C14:$AW14,Factors!$C$48:$AW$48))/2)</f>
        <v>0.43566034043169244</v>
      </c>
      <c r="AP14" s="20">
        <f>MAX(0,(SUMPRODUCT(Oxides_min!$C14:$AW14,Factors!$C$49:$AW$49)+SUMPRODUCT(Oxides_max!$C14:$AW14,Factors!$C$49:$AW$49))/2)</f>
        <v>0</v>
      </c>
      <c r="AQ14" s="20">
        <f>MAX(0,(SUMPRODUCT(Oxides_min!$C14:$AW14,Factors!$C$50:$AW$50)+SUMPRODUCT(Oxides_max!$C14:$AW14,Factors!$C$50:$AW$50))/2)</f>
        <v>0.21863064193561035</v>
      </c>
      <c r="AR14" s="20">
        <f>MAX(0,(SUMPRODUCT(Oxides_min!$C14:$AW14,Factors!$C$51:$AW$51)+SUMPRODUCT(Oxides_max!$C14:$AW14,Factors!$C$51:$AW$51))/2)</f>
        <v>0</v>
      </c>
      <c r="AS14" s="20">
        <f>MAX(0,(SUMPRODUCT(Oxides_min!$C14:$AW14,Factors!$C$52:$AW$52)+SUMPRODUCT(Oxides_max!$C14:$AW14,Factors!$C$52:$AW$52))/2)</f>
        <v>0.13173106446038566</v>
      </c>
      <c r="AT14" s="20">
        <f>MAX(0,(SUMPRODUCT(Oxides_min!$C14:$AW14,Factors!$C$53:$AW$53)+SUMPRODUCT(Oxides_max!$C14:$AW14,Factors!$C$53:$AW$53))/2)</f>
        <v>0</v>
      </c>
      <c r="AU14" s="20">
        <f>MAX(0,(SUMPRODUCT(Oxides_min!$C14:$AW14,Factors!$C$54:$AW$54)+SUMPRODUCT(Oxides_max!$C14:$AW14,Factors!$C$54:$AW$54))/2)</f>
        <v>0</v>
      </c>
      <c r="AV14" s="18">
        <f t="shared" si="0"/>
        <v>104.33455906672066</v>
      </c>
    </row>
    <row r="15" spans="1:48" x14ac:dyDescent="0.25">
      <c r="A15" s="13" t="s">
        <v>152</v>
      </c>
      <c r="B15" s="20">
        <f>MAX(0,(SUMPRODUCT(Oxides_min!$C15:$AW15,Factors!$C$9:$AW$9)+SUMPRODUCT(Oxides_max!$C15:$AW15,Factors!$C$9:$AW$9))/2)</f>
        <v>43.52275031171672</v>
      </c>
      <c r="C15" s="20">
        <f>MAX(0,(SUMPRODUCT(Oxides_min!$C15:$AW15,Factors!$C$10:$AW$10)+SUMPRODUCT(Oxides_max!$C15:$AW15,Factors!$C$10:$AW$10))/2)</f>
        <v>0.11685917813691062</v>
      </c>
      <c r="D15" s="20">
        <f>MAX(0,(SUMPRODUCT(Oxides_min!$C15:$AW15,Factors!$C$11:$AW$11)+SUMPRODUCT(Oxides_max!$C15:$AW15,Factors!$C$11:$AW$11))/2)</f>
        <v>0</v>
      </c>
      <c r="E15" s="20">
        <f>MAX(0,(SUMPRODUCT(Oxides_min!$C15:$AW15,Factors!$C$12:$AW$12)+SUMPRODUCT(Oxides_max!$C15:$AW15,Factors!$C$12:$AW$12))/2)</f>
        <v>0</v>
      </c>
      <c r="F15" s="20">
        <f>MAX(0,(SUMPRODUCT(Oxides_min!$C15:$AW15,Factors!$C$13:$AW$13)+SUMPRODUCT(Oxides_max!$C15:$AW15,Factors!$C$13:$AW$13))/2)</f>
        <v>0</v>
      </c>
      <c r="G15" s="20">
        <f>MAX(0,(SUMPRODUCT(Oxides_min!$C15:$AW15,Factors!$C$14:$AW$14)+SUMPRODUCT(Oxides_max!$C15:$AW15,Factors!$C$14:$AW$14))/2)</f>
        <v>0</v>
      </c>
      <c r="H15" s="20">
        <f>MAX(0,(SUMPRODUCT(Oxides_min!$C15:$AW15,Factors!$C$15:$AW$15)+SUMPRODUCT(Oxides_max!$C15:$AW15,Factors!$C$15:$AW$15))/2)</f>
        <v>0.26462846335433821</v>
      </c>
      <c r="I15" s="20">
        <f>MAX(0,(SUMPRODUCT(Oxides_min!$C15:$AW15,Factors!$C$16:$AW$16)+SUMPRODUCT(Oxides_max!$C15:$AW15,Factors!$C$16:$AW$16))/2)</f>
        <v>0.52457307107028117</v>
      </c>
      <c r="J15" s="20">
        <f>MAX(0,(SUMPRODUCT(Oxides_min!$C15:$AW15,Factors!$C$17:$AW$17)+SUMPRODUCT(Oxides_max!$C15:$AW15,Factors!$C$17:$AW$17))/2)</f>
        <v>0</v>
      </c>
      <c r="K15" s="20">
        <f>MAX(0,(SUMPRODUCT(Oxides_min!$C15:$AW15,Factors!$C$18:$AW$18)+SUMPRODUCT(Oxides_max!$C15:$AW15,Factors!$C$18:$AW$18))/2)</f>
        <v>0</v>
      </c>
      <c r="L15" s="20">
        <f>MAX(0,(SUMPRODUCT(Oxides_min!$C15:$AW15,Factors!$C$19:$AW$19)+SUMPRODUCT(Oxides_max!$C15:$AW15,Factors!$C$19:$AW$19))/2)</f>
        <v>0.71469586461472612</v>
      </c>
      <c r="M15" s="20">
        <f>MAX(0,(SUMPRODUCT(Oxides_min!$C15:$AW15,Factors!$C$20:$AW$20)+SUMPRODUCT(Oxides_max!$C15:$AW15,Factors!$C$20:$AW$20))/2)</f>
        <v>0</v>
      </c>
      <c r="N15" s="20">
        <f>MAX(0,(SUMPRODUCT(Oxides_min!$C15:$AW15,Factors!$C$21:$AW$21)+SUMPRODUCT(Oxides_max!$C15:$AW15,Factors!$C$21:$AW$21))/2)</f>
        <v>0</v>
      </c>
      <c r="O15" s="20">
        <f>MAX(0,(SUMPRODUCT(Oxides_min!$C15:$AW15,Factors!$C$22:$AW$22)+SUMPRODUCT(Oxides_max!$C15:$AW15,Factors!$C$22:$AW$22))/2)</f>
        <v>0</v>
      </c>
      <c r="P15" s="20">
        <f>MAX(0,(SUMPRODUCT(Oxides_min!$C15:$AW15,Factors!$C$23:$AW$23)+SUMPRODUCT(Oxides_max!$C15:$AW15,Factors!$C$23:$AW$23))/2)</f>
        <v>0</v>
      </c>
      <c r="Q15" s="20">
        <f>MAX(0,(SUMPRODUCT(Oxides_min!$C15:$AW15,Factors!$C$24:$AW$24)+SUMPRODUCT(Oxides_max!$C15:$AW15,Factors!$C$24:$AW$24))/2)</f>
        <v>0</v>
      </c>
      <c r="R15" s="20">
        <f>MAX(0,(SUMPRODUCT(Oxides_min!$C15:$AW15,Factors!$C$25:$AW$25)+SUMPRODUCT(Oxides_max!$C15:$AW15,Factors!$C$25:$AW$25))/2)</f>
        <v>0</v>
      </c>
      <c r="S15" s="20">
        <f>MAX(0,(SUMPRODUCT(Oxides_min!$C15:$AW15,Factors!$C$26:$AW$26)+SUMPRODUCT(Oxides_max!$C15:$AW15,Factors!$C$26:$AW$26))/2)</f>
        <v>0</v>
      </c>
      <c r="T15" s="20">
        <f>MAX(0,(SUMPRODUCT(Oxides_min!$C15:$AW15,Factors!$C$27:$AW$27)+SUMPRODUCT(Oxides_max!$C15:$AW15,Factors!$C$27:$AW$27))/2)</f>
        <v>0</v>
      </c>
      <c r="U15" s="20">
        <f>MAX(0,(SUMPRODUCT(Oxides_min!$C15:$AW15,Factors!$C$28:$AW$28)+SUMPRODUCT(Oxides_max!$C15:$AW15,Factors!$C$28:$AW$28))/2)</f>
        <v>0</v>
      </c>
      <c r="V15" s="20">
        <f>MAX(0,(SUMPRODUCT(Oxides_min!$C15:$AW15,Factors!$C$29:$AW$29)+SUMPRODUCT(Oxides_max!$C15:$AW15,Factors!$C$29:$AW$29))/2)</f>
        <v>13.529231338243054</v>
      </c>
      <c r="W15" s="20">
        <f>MAX(0,(SUMPRODUCT(Oxides_min!$C15:$AW15,Factors!$C$30:$AW$30)+SUMPRODUCT(Oxides_max!$C15:$AW15,Factors!$C$30:$AW$30))/2)</f>
        <v>0</v>
      </c>
      <c r="X15" s="20">
        <f>MAX(0,(SUMPRODUCT(Oxides_min!$C15:$AW15,Factors!$C$31:$AW$31)+SUMPRODUCT(Oxides_max!$C15:$AW15,Factors!$C$31:$AW$31))/2)</f>
        <v>0</v>
      </c>
      <c r="Y15" s="20">
        <f>MAX(0,(SUMPRODUCT(Oxides_min!$C15:$AW15,Factors!$C$32:$AW$32)+SUMPRODUCT(Oxides_max!$C15:$AW15,Factors!$C$32:$AW$32))/2)</f>
        <v>0</v>
      </c>
      <c r="Z15" s="20">
        <f>MAX(0,(SUMPRODUCT(Oxides_min!$C15:$AW15,Factors!$C$33:$AW$33)+SUMPRODUCT(Oxides_max!$C15:$AW15,Factors!$C$33:$AW$33))/2)</f>
        <v>1.7345545378850957</v>
      </c>
      <c r="AA15" s="20">
        <f>MAX(0,(SUMPRODUCT(Oxides_min!$C15:$AW15,Factors!$C$34:$AW$34)+SUMPRODUCT(Oxides_max!$C15:$AW15,Factors!$C$34:$AW$34))/2)</f>
        <v>0</v>
      </c>
      <c r="AB15" s="20">
        <f>MAX(0,(SUMPRODUCT(Oxides_min!$C15:$AW15,Factors!$C$35:$AW$35)+SUMPRODUCT(Oxides_max!$C15:$AW15,Factors!$C$35:$AW$35))/2)</f>
        <v>0</v>
      </c>
      <c r="AC15" s="20">
        <f>MAX(0,(SUMPRODUCT(Oxides_min!$C15:$AW15,Factors!$C$36:$AW$36)+SUMPRODUCT(Oxides_max!$C15:$AW15,Factors!$C$36:$AW$36))/2)</f>
        <v>0</v>
      </c>
      <c r="AD15" s="20">
        <f>MAX(0,(SUMPRODUCT(Oxides_min!$C15:$AW15,Factors!$C$37:$AW$37)+SUMPRODUCT(Oxides_max!$C15:$AW15,Factors!$C$37:$AW$37))/2)</f>
        <v>0</v>
      </c>
      <c r="AE15" s="20">
        <f>MAX(0,(SUMPRODUCT(Oxides_min!$C15:$AW15,Factors!$C$38:$AW$38)+SUMPRODUCT(Oxides_max!$C15:$AW15,Factors!$C$38:$AW$38))/2)</f>
        <v>0</v>
      </c>
      <c r="AF15" s="20">
        <f>MAX(0,(SUMPRODUCT(Oxides_min!$C15:$AW15,Factors!$C$39:$AW$39)+SUMPRODUCT(Oxides_max!$C15:$AW15,Factors!$C$39:$AW$39))/2)</f>
        <v>33.466368077613318</v>
      </c>
      <c r="AG15" s="20">
        <f>MAX(0,(SUMPRODUCT(Oxides_min!$C15:$AW15,Factors!$C$40:$AW$40)+SUMPRODUCT(Oxides_max!$C15:$AW15,Factors!$C$40:$AW$40))/2)</f>
        <v>1.7053662964751564</v>
      </c>
      <c r="AH15" s="20">
        <f>MAX(0,(SUMPRODUCT(Oxides_min!$C15:$AW15,Factors!$C$41:$AW$41)+SUMPRODUCT(Oxides_max!$C15:$AW15,Factors!$C$41:$AW$41))/2)</f>
        <v>0.64032733244167939</v>
      </c>
      <c r="AI15" s="20">
        <f>MAX(0,(SUMPRODUCT(Oxides_min!$C15:$AW15,Factors!$C$42:$AW$42)+SUMPRODUCT(Oxides_max!$C15:$AW15,Factors!$C$42:$AW$42))/2)</f>
        <v>0.21361794489666122</v>
      </c>
      <c r="AJ15" s="20">
        <f>MAX(0,(SUMPRODUCT(Oxides_min!$C15:$AW15,Factors!$C$43:$AW$43)+SUMPRODUCT(Oxides_max!$C15:$AW15,Factors!$C$43:$AW$43))/2)</f>
        <v>1.7147119748217581</v>
      </c>
      <c r="AK15" s="20">
        <f>MAX(0,(SUMPRODUCT(Oxides_min!$C15:$AW15,Factors!$C$44:$AW$44)+SUMPRODUCT(Oxides_max!$C15:$AW15,Factors!$C$44:$AW$44))/2)</f>
        <v>0.43118058482953225</v>
      </c>
      <c r="AL15" s="20">
        <f>MAX(0,(SUMPRODUCT(Oxides_min!$C15:$AW15,Factors!$C$45:$AW$45)+SUMPRODUCT(Oxides_max!$C15:$AW15,Factors!$C$45:$AW$45))/2)</f>
        <v>0.12954237408538749</v>
      </c>
      <c r="AM15" s="20">
        <f>MAX(0,(SUMPRODUCT(Oxides_min!$C15:$AW15,Factors!$C$46:$AW$46)+SUMPRODUCT(Oxides_max!$C15:$AW15,Factors!$C$46:$AW$46))/2)</f>
        <v>2.1689834674493857</v>
      </c>
      <c r="AN15" s="20">
        <f>MAX(0,(SUMPRODUCT(Oxides_min!$C15:$AW15,Factors!$C$47:$AW$47)+SUMPRODUCT(Oxides_max!$C15:$AW15,Factors!$C$47:$AW$47))/2)</f>
        <v>0.39096272847963787</v>
      </c>
      <c r="AO15" s="20">
        <f>MAX(0,(SUMPRODUCT(Oxides_min!$C15:$AW15,Factors!$C$48:$AW$48)+SUMPRODUCT(Oxides_max!$C15:$AW15,Factors!$C$48:$AW$48))/2)</f>
        <v>2.8317922128060009</v>
      </c>
      <c r="AP15" s="20">
        <f>MAX(0,(SUMPRODUCT(Oxides_min!$C15:$AW15,Factors!$C$49:$AW$49)+SUMPRODUCT(Oxides_max!$C15:$AW15,Factors!$C$49:$AW$49))/2)</f>
        <v>0.61108318407518847</v>
      </c>
      <c r="AQ15" s="20">
        <f>MAX(0,(SUMPRODUCT(Oxides_min!$C15:$AW15,Factors!$C$50:$AW$50)+SUMPRODUCT(Oxides_max!$C15:$AW15,Factors!$C$50:$AW$50))/2)</f>
        <v>2.1863064193561037</v>
      </c>
      <c r="AR15" s="20">
        <f>MAX(0,(SUMPRODUCT(Oxides_min!$C15:$AW15,Factors!$C$51:$AW$51)+SUMPRODUCT(Oxides_max!$C15:$AW15,Factors!$C$51:$AW$51))/2)</f>
        <v>0.26268362359686837</v>
      </c>
      <c r="AS15" s="20">
        <f>MAX(0,(SUMPRODUCT(Oxides_min!$C15:$AW15,Factors!$C$52:$AW$52)+SUMPRODUCT(Oxides_max!$C15:$AW15,Factors!$C$52:$AW$52))/2)</f>
        <v>1.9759659669057847</v>
      </c>
      <c r="AT15" s="20">
        <f>MAX(0,(SUMPRODUCT(Oxides_min!$C15:$AW15,Factors!$C$53:$AW$53)+SUMPRODUCT(Oxides_max!$C15:$AW15,Factors!$C$53:$AW$53))/2)</f>
        <v>0.26381504714641196</v>
      </c>
      <c r="AU15" s="20">
        <f>MAX(0,(SUMPRODUCT(Oxides_min!$C15:$AW15,Factors!$C$54:$AW$54)+SUMPRODUCT(Oxides_max!$C15:$AW15,Factors!$C$54:$AW$54))/2)</f>
        <v>0</v>
      </c>
      <c r="AV15" s="18">
        <f t="shared" si="0"/>
        <v>109.4</v>
      </c>
    </row>
    <row r="16" spans="1:48" x14ac:dyDescent="0.25">
      <c r="A16" s="13" t="s">
        <v>154</v>
      </c>
      <c r="B16" s="20">
        <f>MAX(0,(SUMPRODUCT(Oxides_min!$C16:$AW16,Factors!$C$9:$AW$9)+SUMPRODUCT(Oxides_max!$C16:$AW16,Factors!$C$9:$AW$9))/2)</f>
        <v>34.165699442912299</v>
      </c>
      <c r="C16" s="20">
        <f>MAX(0,(SUMPRODUCT(Oxides_min!$C16:$AW16,Factors!$C$10:$AW$10)+SUMPRODUCT(Oxides_max!$C16:$AW16,Factors!$C$10:$AW$10))/2)</f>
        <v>0.93487342509528493</v>
      </c>
      <c r="D16" s="20">
        <f>MAX(0,(SUMPRODUCT(Oxides_min!$C16:$AW16,Factors!$C$11:$AW$11)+SUMPRODUCT(Oxides_max!$C16:$AW16,Factors!$C$11:$AW$11))/2)</f>
        <v>0</v>
      </c>
      <c r="E16" s="20">
        <f>MAX(0,(SUMPRODUCT(Oxides_min!$C16:$AW16,Factors!$C$12:$AW$12)+SUMPRODUCT(Oxides_max!$C16:$AW16,Factors!$C$12:$AW$12))/2)</f>
        <v>0</v>
      </c>
      <c r="F16" s="20">
        <f>MAX(0,(SUMPRODUCT(Oxides_min!$C16:$AW16,Factors!$C$13:$AW$13)+SUMPRODUCT(Oxides_max!$C16:$AW16,Factors!$C$13:$AW$13))/2)</f>
        <v>0</v>
      </c>
      <c r="G16" s="20">
        <f>MAX(0,(SUMPRODUCT(Oxides_min!$C16:$AW16,Factors!$C$14:$AW$14)+SUMPRODUCT(Oxides_max!$C16:$AW16,Factors!$C$14:$AW$14))/2)</f>
        <v>0</v>
      </c>
      <c r="H16" s="20">
        <f>MAX(0,(SUMPRODUCT(Oxides_min!$C16:$AW16,Factors!$C$15:$AW$15)+SUMPRODUCT(Oxides_max!$C16:$AW16,Factors!$C$15:$AW$15))/2)</f>
        <v>0.52925692670867641</v>
      </c>
      <c r="I16" s="20">
        <f>MAX(0,(SUMPRODUCT(Oxides_min!$C16:$AW16,Factors!$C$16:$AW$16)+SUMPRODUCT(Oxides_max!$C16:$AW16,Factors!$C$16:$AW$16))/2)</f>
        <v>0.52457307107028117</v>
      </c>
      <c r="J16" s="20">
        <f>MAX(0,(SUMPRODUCT(Oxides_min!$C16:$AW16,Factors!$C$17:$AW$17)+SUMPRODUCT(Oxides_max!$C16:$AW16,Factors!$C$17:$AW$17))/2)</f>
        <v>0</v>
      </c>
      <c r="K16" s="20">
        <f>MAX(0,(SUMPRODUCT(Oxides_min!$C16:$AW16,Factors!$C$18:$AW$18)+SUMPRODUCT(Oxides_max!$C16:$AW16,Factors!$C$18:$AW$18))/2)</f>
        <v>0</v>
      </c>
      <c r="L16" s="20">
        <f>MAX(0,(SUMPRODUCT(Oxides_min!$C16:$AW16,Factors!$C$19:$AW$19)+SUMPRODUCT(Oxides_max!$C16:$AW16,Factors!$C$19:$AW$19))/2)</f>
        <v>1.500861315690925</v>
      </c>
      <c r="M16" s="20">
        <f>MAX(0,(SUMPRODUCT(Oxides_min!$C16:$AW16,Factors!$C$20:$AW$20)+SUMPRODUCT(Oxides_max!$C16:$AW16,Factors!$C$20:$AW$20))/2)</f>
        <v>0.4227989075362627</v>
      </c>
      <c r="N16" s="20">
        <f>MAX(0,(SUMPRODUCT(Oxides_min!$C16:$AW16,Factors!$C$21:$AW$21)+SUMPRODUCT(Oxides_max!$C16:$AW16,Factors!$C$21:$AW$21))/2)</f>
        <v>0</v>
      </c>
      <c r="O16" s="20">
        <f>MAX(0,(SUMPRODUCT(Oxides_min!$C16:$AW16,Factors!$C$22:$AW$22)+SUMPRODUCT(Oxides_max!$C16:$AW16,Factors!$C$22:$AW$22))/2)</f>
        <v>9.2831957132424425E-2</v>
      </c>
      <c r="P16" s="20">
        <f>MAX(0,(SUMPRODUCT(Oxides_min!$C16:$AW16,Factors!$C$23:$AW$23)+SUMPRODUCT(Oxides_max!$C16:$AW16,Factors!$C$23:$AW$23))/2)</f>
        <v>0</v>
      </c>
      <c r="Q16" s="20">
        <f>MAX(0,(SUMPRODUCT(Oxides_min!$C16:$AW16,Factors!$C$24:$AW$24)+SUMPRODUCT(Oxides_max!$C16:$AW16,Factors!$C$24:$AW$24))/2)</f>
        <v>0</v>
      </c>
      <c r="R16" s="20">
        <f>MAX(0,(SUMPRODUCT(Oxides_min!$C16:$AW16,Factors!$C$25:$AW$25)+SUMPRODUCT(Oxides_max!$C16:$AW16,Factors!$C$25:$AW$25))/2)</f>
        <v>0</v>
      </c>
      <c r="S16" s="20">
        <f>MAX(0,(SUMPRODUCT(Oxides_min!$C16:$AW16,Factors!$C$26:$AW$26)+SUMPRODUCT(Oxides_max!$C16:$AW16,Factors!$C$26:$AW$26))/2)</f>
        <v>0</v>
      </c>
      <c r="T16" s="20">
        <f>MAX(0,(SUMPRODUCT(Oxides_min!$C16:$AW16,Factors!$C$27:$AW$27)+SUMPRODUCT(Oxides_max!$C16:$AW16,Factors!$C$27:$AW$27))/2)</f>
        <v>0</v>
      </c>
      <c r="U16" s="20">
        <f>MAX(0,(SUMPRODUCT(Oxides_min!$C16:$AW16,Factors!$C$28:$AW$28)+SUMPRODUCT(Oxides_max!$C16:$AW16,Factors!$C$28:$AW$28))/2)</f>
        <v>0</v>
      </c>
      <c r="V16" s="20">
        <f>MAX(0,(SUMPRODUCT(Oxides_min!$C16:$AW16,Factors!$C$29:$AW$29)+SUMPRODUCT(Oxides_max!$C16:$AW16,Factors!$C$29:$AW$29))/2)</f>
        <v>11.783524068792339</v>
      </c>
      <c r="W16" s="20">
        <f>MAX(0,(SUMPRODUCT(Oxides_min!$C16:$AW16,Factors!$C$30:$AW$30)+SUMPRODUCT(Oxides_max!$C16:$AW16,Factors!$C$30:$AW$30))/2)</f>
        <v>0</v>
      </c>
      <c r="X16" s="20">
        <f>MAX(0,(SUMPRODUCT(Oxides_min!$C16:$AW16,Factors!$C$31:$AW$31)+SUMPRODUCT(Oxides_max!$C16:$AW16,Factors!$C$31:$AW$31))/2)</f>
        <v>0</v>
      </c>
      <c r="Y16" s="20">
        <f>MAX(0,(SUMPRODUCT(Oxides_min!$C16:$AW16,Factors!$C$32:$AW$32)+SUMPRODUCT(Oxides_max!$C16:$AW16,Factors!$C$32:$AW$32))/2)</f>
        <v>0</v>
      </c>
      <c r="Z16" s="20">
        <f>MAX(0,(SUMPRODUCT(Oxides_min!$C16:$AW16,Factors!$C$33:$AW$33)+SUMPRODUCT(Oxides_max!$C16:$AW16,Factors!$C$33:$AW$33))/2)</f>
        <v>0.78334721065778512</v>
      </c>
      <c r="AA16" s="20">
        <f>MAX(0,(SUMPRODUCT(Oxides_min!$C16:$AW16,Factors!$C$34:$AW$34)+SUMPRODUCT(Oxides_max!$C16:$AW16,Factors!$C$34:$AW$34))/2)</f>
        <v>0</v>
      </c>
      <c r="AB16" s="20">
        <f>MAX(0,(SUMPRODUCT(Oxides_min!$C16:$AW16,Factors!$C$35:$AW$35)+SUMPRODUCT(Oxides_max!$C16:$AW16,Factors!$C$35:$AW$35))/2)</f>
        <v>0</v>
      </c>
      <c r="AC16" s="20">
        <f>MAX(0,(SUMPRODUCT(Oxides_min!$C16:$AW16,Factors!$C$36:$AW$36)+SUMPRODUCT(Oxides_max!$C16:$AW16,Factors!$C$36:$AW$36))/2)</f>
        <v>3.5152473699579261</v>
      </c>
      <c r="AD16" s="20">
        <f>MAX(0,(SUMPRODUCT(Oxides_min!$C16:$AW16,Factors!$C$37:$AW$37)+SUMPRODUCT(Oxides_max!$C16:$AW16,Factors!$C$37:$AW$37))/2)</f>
        <v>0.22037517482979752</v>
      </c>
      <c r="AE16" s="20">
        <f>MAX(0,(SUMPRODUCT(Oxides_min!$C16:$AW16,Factors!$C$38:$AW$38)+SUMPRODUCT(Oxides_max!$C16:$AW16,Factors!$C$38:$AW$38))/2)</f>
        <v>0</v>
      </c>
      <c r="AF16" s="20">
        <f>MAX(0,(SUMPRODUCT(Oxides_min!$C16:$AW16,Factors!$C$39:$AW$39)+SUMPRODUCT(Oxides_max!$C16:$AW16,Factors!$C$39:$AW$39))/2)</f>
        <v>1.5748879095347443</v>
      </c>
      <c r="AG16" s="20">
        <f>MAX(0,(SUMPRODUCT(Oxides_min!$C16:$AW16,Factors!$C$40:$AW$40)+SUMPRODUCT(Oxides_max!$C16:$AW16,Factors!$C$40:$AW$40))/2)</f>
        <v>11.937564075326094</v>
      </c>
      <c r="AH16" s="20">
        <f>MAX(0,(SUMPRODUCT(Oxides_min!$C16:$AW16,Factors!$C$41:$AW$41)+SUMPRODUCT(Oxides_max!$C16:$AW16,Factors!$C$41:$AW$41))/2)</f>
        <v>23.478668856194911</v>
      </c>
      <c r="AI16" s="20">
        <f>MAX(0,(SUMPRODUCT(Oxides_min!$C16:$AW16,Factors!$C$42:$AW$42)+SUMPRODUCT(Oxides_max!$C16:$AW16,Factors!$C$42:$AW$42))/2)</f>
        <v>2.1361794489666122</v>
      </c>
      <c r="AJ16" s="20">
        <f>MAX(0,(SUMPRODUCT(Oxides_min!$C16:$AW16,Factors!$C$43:$AW$43)+SUMPRODUCT(Oxides_max!$C16:$AW16,Factors!$C$43:$AW$43))/2)</f>
        <v>11.574305830046868</v>
      </c>
      <c r="AK16" s="20">
        <f>MAX(0,(SUMPRODUCT(Oxides_min!$C16:$AW16,Factors!$C$44:$AW$44)+SUMPRODUCT(Oxides_max!$C16:$AW16,Factors!$C$44:$AW$44))/2)</f>
        <v>1.9403126317328951</v>
      </c>
      <c r="AL16" s="20">
        <f>MAX(0,(SUMPRODUCT(Oxides_min!$C16:$AW16,Factors!$C$45:$AW$45)+SUMPRODUCT(Oxides_max!$C16:$AW16,Factors!$C$45:$AW$45))/2)</f>
        <v>0.77725424451232505</v>
      </c>
      <c r="AM16" s="20">
        <f>MAX(0,(SUMPRODUCT(Oxides_min!$C16:$AW16,Factors!$C$46:$AW$46)+SUMPRODUCT(Oxides_max!$C16:$AW16,Factors!$C$46:$AW$46))/2)</f>
        <v>1.6050477659125455</v>
      </c>
      <c r="AN16" s="20">
        <f>MAX(0,(SUMPRODUCT(Oxides_min!$C16:$AW16,Factors!$C$47:$AW$47)+SUMPRODUCT(Oxides_max!$C16:$AW16,Factors!$C$47:$AW$47))/2)</f>
        <v>0.17376121265761682</v>
      </c>
      <c r="AO16" s="20">
        <f>MAX(0,(SUMPRODUCT(Oxides_min!$C16:$AW16,Factors!$C$48:$AW$48)+SUMPRODUCT(Oxides_max!$C16:$AW16,Factors!$C$48:$AW$48))/2)</f>
        <v>0.74062257873387716</v>
      </c>
      <c r="AP16" s="20">
        <f>MAX(0,(SUMPRODUCT(Oxides_min!$C16:$AW16,Factors!$C$49:$AW$49)+SUMPRODUCT(Oxides_max!$C16:$AW16,Factors!$C$49:$AW$49))/2)</f>
        <v>0.17459519545005386</v>
      </c>
      <c r="AQ16" s="20">
        <f>MAX(0,(SUMPRODUCT(Oxides_min!$C16:$AW16,Factors!$C$50:$AW$50)+SUMPRODUCT(Oxides_max!$C16:$AW16,Factors!$C$50:$AW$50))/2)</f>
        <v>0.48098741225834279</v>
      </c>
      <c r="AR16" s="20">
        <f>MAX(0,(SUMPRODUCT(Oxides_min!$C16:$AW16,Factors!$C$51:$AW$51)+SUMPRODUCT(Oxides_max!$C16:$AW16,Factors!$C$51:$AW$51))/2)</f>
        <v>0.21890301966405698</v>
      </c>
      <c r="AS16" s="20">
        <f>MAX(0,(SUMPRODUCT(Oxides_min!$C16:$AW16,Factors!$C$52:$AW$52)+SUMPRODUCT(Oxides_max!$C16:$AW16,Factors!$C$52:$AW$52))/2)</f>
        <v>0.21955177410064275</v>
      </c>
      <c r="AT16" s="20">
        <f>MAX(0,(SUMPRODUCT(Oxides_min!$C16:$AW16,Factors!$C$53:$AW$53)+SUMPRODUCT(Oxides_max!$C16:$AW16,Factors!$C$53:$AW$53))/2)</f>
        <v>4.3969174524401994E-2</v>
      </c>
      <c r="AU16" s="20">
        <f>MAX(0,(SUMPRODUCT(Oxides_min!$C16:$AW16,Factors!$C$54:$AW$54)+SUMPRODUCT(Oxides_max!$C16:$AW16,Factors!$C$54:$AW$54))/2)</f>
        <v>0</v>
      </c>
      <c r="AV16" s="18">
        <f t="shared" si="0"/>
        <v>111.55</v>
      </c>
    </row>
    <row r="17" spans="1:48" x14ac:dyDescent="0.25">
      <c r="A17" s="13" t="s">
        <v>156</v>
      </c>
      <c r="B17" s="20">
        <f>MAX(0,(SUMPRODUCT(Oxides_min!$C17:$AW17,Factors!$C$9:$AW$9)+SUMPRODUCT(Oxides_max!$C17:$AW17,Factors!$C$9:$AW$9))/2)</f>
        <v>1.4975557205055883</v>
      </c>
      <c r="C17" s="20">
        <f>MAX(0,(SUMPRODUCT(Oxides_min!$C17:$AW17,Factors!$C$10:$AW$10)+SUMPRODUCT(Oxides_max!$C17:$AW17,Factors!$C$10:$AW$10))/2)</f>
        <v>0.11685917813691062</v>
      </c>
      <c r="D17" s="20">
        <f>MAX(0,(SUMPRODUCT(Oxides_min!$C17:$AW17,Factors!$C$11:$AW$11)+SUMPRODUCT(Oxides_max!$C17:$AW17,Factors!$C$11:$AW$11))/2)</f>
        <v>0</v>
      </c>
      <c r="E17" s="20">
        <f>MAX(0,(SUMPRODUCT(Oxides_min!$C17:$AW17,Factors!$C$12:$AW$12)+SUMPRODUCT(Oxides_max!$C17:$AW17,Factors!$C$12:$AW$12))/2)</f>
        <v>0</v>
      </c>
      <c r="F17" s="20">
        <f>MAX(0,(SUMPRODUCT(Oxides_min!$C17:$AW17,Factors!$C$13:$AW$13)+SUMPRODUCT(Oxides_max!$C17:$AW17,Factors!$C$13:$AW$13))/2)</f>
        <v>0</v>
      </c>
      <c r="G17" s="20">
        <f>MAX(0,(SUMPRODUCT(Oxides_min!$C17:$AW17,Factors!$C$14:$AW$14)+SUMPRODUCT(Oxides_max!$C17:$AW17,Factors!$C$14:$AW$14))/2)</f>
        <v>0</v>
      </c>
      <c r="H17" s="20">
        <f>MAX(0,(SUMPRODUCT(Oxides_min!$C17:$AW17,Factors!$C$15:$AW$15)+SUMPRODUCT(Oxides_max!$C17:$AW17,Factors!$C$15:$AW$15))/2)</f>
        <v>0</v>
      </c>
      <c r="I17" s="20">
        <f>MAX(0,(SUMPRODUCT(Oxides_min!$C17:$AW17,Factors!$C$16:$AW$16)+SUMPRODUCT(Oxides_max!$C17:$AW17,Factors!$C$16:$AW$16))/2)</f>
        <v>0.10491461421405625</v>
      </c>
      <c r="J17" s="20">
        <f>MAX(0,(SUMPRODUCT(Oxides_min!$C17:$AW17,Factors!$C$17:$AW$17)+SUMPRODUCT(Oxides_max!$C17:$AW17,Factors!$C$17:$AW$17))/2)</f>
        <v>0</v>
      </c>
      <c r="K17" s="20">
        <f>MAX(0,(SUMPRODUCT(Oxides_min!$C17:$AW17,Factors!$C$18:$AW$18)+SUMPRODUCT(Oxides_max!$C17:$AW17,Factors!$C$18:$AW$18))/2)</f>
        <v>0</v>
      </c>
      <c r="L17" s="20">
        <f>MAX(0,(SUMPRODUCT(Oxides_min!$C17:$AW17,Factors!$C$19:$AW$19)+SUMPRODUCT(Oxides_max!$C17:$AW17,Factors!$C$19:$AW$19))/2)</f>
        <v>0.35734793230736306</v>
      </c>
      <c r="M17" s="20">
        <f>MAX(0,(SUMPRODUCT(Oxides_min!$C17:$AW17,Factors!$C$20:$AW$20)+SUMPRODUCT(Oxides_max!$C17:$AW17,Factors!$C$20:$AW$20))/2)</f>
        <v>0</v>
      </c>
      <c r="N17" s="20">
        <f>MAX(0,(SUMPRODUCT(Oxides_min!$C17:$AW17,Factors!$C$21:$AW$21)+SUMPRODUCT(Oxides_max!$C17:$AW17,Factors!$C$21:$AW$21))/2)</f>
        <v>0</v>
      </c>
      <c r="O17" s="20">
        <f>MAX(0,(SUMPRODUCT(Oxides_min!$C17:$AW17,Factors!$C$22:$AW$22)+SUMPRODUCT(Oxides_max!$C17:$AW17,Factors!$C$22:$AW$22))/2)</f>
        <v>0</v>
      </c>
      <c r="P17" s="20">
        <f>MAX(0,(SUMPRODUCT(Oxides_min!$C17:$AW17,Factors!$C$23:$AW$23)+SUMPRODUCT(Oxides_max!$C17:$AW17,Factors!$C$23:$AW$23))/2)</f>
        <v>0</v>
      </c>
      <c r="Q17" s="20">
        <f>MAX(0,(SUMPRODUCT(Oxides_min!$C17:$AW17,Factors!$C$24:$AW$24)+SUMPRODUCT(Oxides_max!$C17:$AW17,Factors!$C$24:$AW$24))/2)</f>
        <v>0</v>
      </c>
      <c r="R17" s="20">
        <f>MAX(0,(SUMPRODUCT(Oxides_min!$C17:$AW17,Factors!$C$25:$AW$25)+SUMPRODUCT(Oxides_max!$C17:$AW17,Factors!$C$25:$AW$25))/2)</f>
        <v>0</v>
      </c>
      <c r="S17" s="20">
        <f>MAX(0,(SUMPRODUCT(Oxides_min!$C17:$AW17,Factors!$C$26:$AW$26)+SUMPRODUCT(Oxides_max!$C17:$AW17,Factors!$C$26:$AW$26))/2)</f>
        <v>0</v>
      </c>
      <c r="T17" s="20">
        <f>MAX(0,(SUMPRODUCT(Oxides_min!$C17:$AW17,Factors!$C$27:$AW$27)+SUMPRODUCT(Oxides_max!$C17:$AW17,Factors!$C$27:$AW$27))/2)</f>
        <v>0</v>
      </c>
      <c r="U17" s="20">
        <f>MAX(0,(SUMPRODUCT(Oxides_min!$C17:$AW17,Factors!$C$28:$AW$28)+SUMPRODUCT(Oxides_max!$C17:$AW17,Factors!$C$28:$AW$28))/2)</f>
        <v>0</v>
      </c>
      <c r="V17" s="20">
        <f>MAX(0,(SUMPRODUCT(Oxides_min!$C17:$AW17,Factors!$C$29:$AW$29)+SUMPRODUCT(Oxides_max!$C17:$AW17,Factors!$C$29:$AW$29))/2)</f>
        <v>0</v>
      </c>
      <c r="W17" s="20">
        <f>MAX(0,(SUMPRODUCT(Oxides_min!$C17:$AW17,Factors!$C$30:$AW$30)+SUMPRODUCT(Oxides_max!$C17:$AW17,Factors!$C$30:$AW$30))/2)</f>
        <v>0</v>
      </c>
      <c r="X17" s="20">
        <f>MAX(0,(SUMPRODUCT(Oxides_min!$C17:$AW17,Factors!$C$31:$AW$31)+SUMPRODUCT(Oxides_max!$C17:$AW17,Factors!$C$31:$AW$31))/2)</f>
        <v>0</v>
      </c>
      <c r="Y17" s="20">
        <f>MAX(0,(SUMPRODUCT(Oxides_min!$C17:$AW17,Factors!$C$32:$AW$32)+SUMPRODUCT(Oxides_max!$C17:$AW17,Factors!$C$32:$AW$32))/2)</f>
        <v>0</v>
      </c>
      <c r="Z17" s="20">
        <f>MAX(0,(SUMPRODUCT(Oxides_min!$C17:$AW17,Factors!$C$33:$AW$33)+SUMPRODUCT(Oxides_max!$C17:$AW17,Factors!$C$33:$AW$33))/2)</f>
        <v>0</v>
      </c>
      <c r="AA17" s="20">
        <f>MAX(0,(SUMPRODUCT(Oxides_min!$C17:$AW17,Factors!$C$34:$AW$34)+SUMPRODUCT(Oxides_max!$C17:$AW17,Factors!$C$34:$AW$34))/2)</f>
        <v>27</v>
      </c>
      <c r="AB17" s="20">
        <f>MAX(0,(SUMPRODUCT(Oxides_min!$C17:$AW17,Factors!$C$35:$AW$35)+SUMPRODUCT(Oxides_max!$C17:$AW17,Factors!$C$35:$AW$35))/2)</f>
        <v>0</v>
      </c>
      <c r="AC17" s="20">
        <f>MAX(0,(SUMPRODUCT(Oxides_min!$C17:$AW17,Factors!$C$36:$AW$36)+SUMPRODUCT(Oxides_max!$C17:$AW17,Factors!$C$36:$AW$36))/2)</f>
        <v>0.87881184248948152</v>
      </c>
      <c r="AD17" s="20">
        <f>MAX(0,(SUMPRODUCT(Oxides_min!$C17:$AW17,Factors!$C$37:$AW$37)+SUMPRODUCT(Oxides_max!$C17:$AW17,Factors!$C$37:$AW$37))/2)</f>
        <v>0</v>
      </c>
      <c r="AE17" s="20">
        <f>MAX(0,(SUMPRODUCT(Oxides_min!$C17:$AW17,Factors!$C$38:$AW$38)+SUMPRODUCT(Oxides_max!$C17:$AW17,Factors!$C$38:$AW$38))/2)</f>
        <v>0</v>
      </c>
      <c r="AF17" s="20">
        <f>MAX(0,(SUMPRODUCT(Oxides_min!$C17:$AW17,Factors!$C$39:$AW$39)+SUMPRODUCT(Oxides_max!$C17:$AW17,Factors!$C$39:$AW$39))/2)</f>
        <v>0.39372197738368608</v>
      </c>
      <c r="AG17" s="20">
        <f>MAX(0,(SUMPRODUCT(Oxides_min!$C17:$AW17,Factors!$C$40:$AW$40)+SUMPRODUCT(Oxides_max!$C17:$AW17,Factors!$C$40:$AW$40))/2)</f>
        <v>20.464395557701877</v>
      </c>
      <c r="AH17" s="20">
        <f>MAX(0,(SUMPRODUCT(Oxides_min!$C17:$AW17,Factors!$C$41:$AW$41)+SUMPRODUCT(Oxides_max!$C17:$AW17,Factors!$C$41:$AW$41))/2)</f>
        <v>39.700294611384123</v>
      </c>
      <c r="AI17" s="20">
        <f>MAX(0,(SUMPRODUCT(Oxides_min!$C17:$AW17,Factors!$C$42:$AW$42)+SUMPRODUCT(Oxides_max!$C17:$AW17,Factors!$C$42:$AW$42))/2)</f>
        <v>3.204269173449918</v>
      </c>
      <c r="AJ17" s="20">
        <f>MAX(0,(SUMPRODUCT(Oxides_min!$C17:$AW17,Factors!$C$43:$AW$43)+SUMPRODUCT(Oxides_max!$C17:$AW17,Factors!$C$43:$AW$43))/2)</f>
        <v>7.2875258929924716</v>
      </c>
      <c r="AK17" s="20">
        <f>MAX(0,(SUMPRODUCT(Oxides_min!$C17:$AW17,Factors!$C$44:$AW$44)+SUMPRODUCT(Oxides_max!$C17:$AW17,Factors!$C$44:$AW$44))/2)</f>
        <v>0.90547922814201776</v>
      </c>
      <c r="AL17" s="20">
        <f>MAX(0,(SUMPRODUCT(Oxides_min!$C17:$AW17,Factors!$C$45:$AW$45)+SUMPRODUCT(Oxides_max!$C17:$AW17,Factors!$C$45:$AW$45))/2)</f>
        <v>8.6361582723591679E-2</v>
      </c>
      <c r="AM17" s="20">
        <f>MAX(0,(SUMPRODUCT(Oxides_min!$C17:$AW17,Factors!$C$46:$AW$46)+SUMPRODUCT(Oxides_max!$C17:$AW17,Factors!$C$46:$AW$46))/2)</f>
        <v>0.43379669348987715</v>
      </c>
      <c r="AN17" s="20">
        <f>MAX(0,(SUMPRODUCT(Oxides_min!$C17:$AW17,Factors!$C$47:$AW$47)+SUMPRODUCT(Oxides_max!$C17:$AW17,Factors!$C$47:$AW$47))/2)</f>
        <v>0</v>
      </c>
      <c r="AO17" s="20">
        <f>MAX(0,(SUMPRODUCT(Oxides_min!$C17:$AW17,Factors!$C$48:$AW$48)+SUMPRODUCT(Oxides_max!$C17:$AW17,Factors!$C$48:$AW$48))/2)</f>
        <v>0</v>
      </c>
      <c r="AP17" s="20">
        <f>MAX(0,(SUMPRODUCT(Oxides_min!$C17:$AW17,Factors!$C$49:$AW$49)+SUMPRODUCT(Oxides_max!$C17:$AW17,Factors!$C$49:$AW$49))/2)</f>
        <v>0</v>
      </c>
      <c r="AQ17" s="20">
        <f>MAX(0,(SUMPRODUCT(Oxides_min!$C17:$AW17,Factors!$C$50:$AW$50)+SUMPRODUCT(Oxides_max!$C17:$AW17,Factors!$C$50:$AW$50))/2)</f>
        <v>0</v>
      </c>
      <c r="AR17" s="20">
        <f>MAX(0,(SUMPRODUCT(Oxides_min!$C17:$AW17,Factors!$C$51:$AW$51)+SUMPRODUCT(Oxides_max!$C17:$AW17,Factors!$C$51:$AW$51))/2)</f>
        <v>0</v>
      </c>
      <c r="AS17" s="20">
        <f>MAX(0,(SUMPRODUCT(Oxides_min!$C17:$AW17,Factors!$C$52:$AW$52)+SUMPRODUCT(Oxides_max!$C17:$AW17,Factors!$C$52:$AW$52))/2)</f>
        <v>0</v>
      </c>
      <c r="AT17" s="20">
        <f>MAX(0,(SUMPRODUCT(Oxides_min!$C17:$AW17,Factors!$C$53:$AW$53)+SUMPRODUCT(Oxides_max!$C17:$AW17,Factors!$C$53:$AW$53))/2)</f>
        <v>0</v>
      </c>
      <c r="AU17" s="20">
        <f>MAX(0,(SUMPRODUCT(Oxides_min!$C17:$AW17,Factors!$C$54:$AW$54)+SUMPRODUCT(Oxides_max!$C17:$AW17,Factors!$C$54:$AW$54))/2)</f>
        <v>0</v>
      </c>
      <c r="AV17" s="18">
        <f t="shared" si="0"/>
        <v>102.43133400492097</v>
      </c>
    </row>
    <row r="18" spans="1:48" x14ac:dyDescent="0.25">
      <c r="A18" s="13" t="s">
        <v>158</v>
      </c>
      <c r="B18" s="20">
        <f>MAX(0,(SUMPRODUCT(Oxides_min!$C18:$AW18,Factors!$C$9:$AW$9)+SUMPRODUCT(Oxides_max!$C18:$AW18,Factors!$C$9:$AW$9))/2)</f>
        <v>27.371230073805474</v>
      </c>
      <c r="C18" s="20">
        <f>MAX(0,(SUMPRODUCT(Oxides_min!$C18:$AW18,Factors!$C$10:$AW$10)+SUMPRODUCT(Oxides_max!$C18:$AW18,Factors!$C$10:$AW$10))/2)</f>
        <v>10.283607676048135</v>
      </c>
      <c r="D18" s="20">
        <f>MAX(0,(SUMPRODUCT(Oxides_min!$C18:$AW18,Factors!$C$11:$AW$11)+SUMPRODUCT(Oxides_max!$C18:$AW18,Factors!$C$11:$AW$11))/2)</f>
        <v>2.9967445063544734E-2</v>
      </c>
      <c r="E18" s="20">
        <f>MAX(0,(SUMPRODUCT(Oxides_min!$C18:$AW18,Factors!$C$12:$AW$12)+SUMPRODUCT(Oxides_max!$C18:$AW18,Factors!$C$12:$AW$12))/2)</f>
        <v>0</v>
      </c>
      <c r="F18" s="20">
        <f>MAX(0,(SUMPRODUCT(Oxides_min!$C18:$AW18,Factors!$C$13:$AW$13)+SUMPRODUCT(Oxides_max!$C18:$AW18,Factors!$C$13:$AW$13))/2)</f>
        <v>0</v>
      </c>
      <c r="G18" s="20">
        <f>MAX(0,(SUMPRODUCT(Oxides_min!$C18:$AW18,Factors!$C$14:$AW$14)+SUMPRODUCT(Oxides_max!$C18:$AW18,Factors!$C$14:$AW$14))/2)</f>
        <v>0</v>
      </c>
      <c r="H18" s="20">
        <f>MAX(0,(SUMPRODUCT(Oxides_min!$C18:$AW18,Factors!$C$15:$AW$15)+SUMPRODUCT(Oxides_max!$C18:$AW18,Factors!$C$15:$AW$15))/2)</f>
        <v>0.39694269503150731</v>
      </c>
      <c r="I18" s="20">
        <f>MAX(0,(SUMPRODUCT(Oxides_min!$C18:$AW18,Factors!$C$16:$AW$16)+SUMPRODUCT(Oxides_max!$C18:$AW18,Factors!$C$16:$AW$16))/2)</f>
        <v>1.5737192132108437</v>
      </c>
      <c r="J18" s="20">
        <f>MAX(0,(SUMPRODUCT(Oxides_min!$C18:$AW18,Factors!$C$17:$AW$17)+SUMPRODUCT(Oxides_max!$C18:$AW18,Factors!$C$17:$AW$17))/2)</f>
        <v>0.11616929794819192</v>
      </c>
      <c r="K18" s="20">
        <f>MAX(0,(SUMPRODUCT(Oxides_min!$C18:$AW18,Factors!$C$18:$AW$18)+SUMPRODUCT(Oxides_max!$C18:$AW18,Factors!$C$18:$AW$18))/2)</f>
        <v>0.84425863437872162</v>
      </c>
      <c r="L18" s="20">
        <f>MAX(0,(SUMPRODUCT(Oxides_min!$C18:$AW18,Factors!$C$19:$AW$19)+SUMPRODUCT(Oxides_max!$C18:$AW18,Factors!$C$19:$AW$19))/2)</f>
        <v>2.6801094923052227</v>
      </c>
      <c r="M18" s="20">
        <f>MAX(0,(SUMPRODUCT(Oxides_min!$C18:$AW18,Factors!$C$20:$AW$20)+SUMPRODUCT(Oxides_max!$C18:$AW18,Factors!$C$20:$AW$20))/2)</f>
        <v>0.84559781507252541</v>
      </c>
      <c r="N18" s="20">
        <f>MAX(0,(SUMPRODUCT(Oxides_min!$C18:$AW18,Factors!$C$21:$AW$21)+SUMPRODUCT(Oxides_max!$C18:$AW18,Factors!$C$21:$AW$21))/2)</f>
        <v>0.22391342629430103</v>
      </c>
      <c r="O18" s="20">
        <f>MAX(0,(SUMPRODUCT(Oxides_min!$C18:$AW18,Factors!$C$22:$AW$22)+SUMPRODUCT(Oxides_max!$C18:$AW18,Factors!$C$22:$AW$22))/2)</f>
        <v>0</v>
      </c>
      <c r="P18" s="20">
        <f>MAX(0,(SUMPRODUCT(Oxides_min!$C18:$AW18,Factors!$C$23:$AW$23)+SUMPRODUCT(Oxides_max!$C18:$AW18,Factors!$C$23:$AW$23))/2)</f>
        <v>0.11127933869113804</v>
      </c>
      <c r="Q18" s="20">
        <f>MAX(0,(SUMPRODUCT(Oxides_min!$C18:$AW18,Factors!$C$24:$AW$24)+SUMPRODUCT(Oxides_max!$C18:$AW18,Factors!$C$24:$AW$24))/2)</f>
        <v>8.3015130218396627E-2</v>
      </c>
      <c r="R18" s="20">
        <f>MAX(0,(SUMPRODUCT(Oxides_min!$C18:$AW18,Factors!$C$25:$AW$25)+SUMPRODUCT(Oxides_max!$C18:$AW18,Factors!$C$25:$AW$25))/2)</f>
        <v>0</v>
      </c>
      <c r="S18" s="20">
        <f>MAX(0,(SUMPRODUCT(Oxides_min!$C18:$AW18,Factors!$C$26:$AW$26)+SUMPRODUCT(Oxides_max!$C18:$AW18,Factors!$C$26:$AW$26))/2)</f>
        <v>0</v>
      </c>
      <c r="T18" s="20">
        <f>MAX(0,(SUMPRODUCT(Oxides_min!$C18:$AW18,Factors!$C$27:$AW$27)+SUMPRODUCT(Oxides_max!$C18:$AW18,Factors!$C$27:$AW$27))/2)</f>
        <v>0</v>
      </c>
      <c r="U18" s="20">
        <f>MAX(0,(SUMPRODUCT(Oxides_min!$C18:$AW18,Factors!$C$28:$AW$28)+SUMPRODUCT(Oxides_max!$C18:$AW18,Factors!$C$28:$AW$28))/2)</f>
        <v>0</v>
      </c>
      <c r="V18" s="20">
        <f>MAX(0,(SUMPRODUCT(Oxides_min!$C18:$AW18,Factors!$C$29:$AW$29)+SUMPRODUCT(Oxides_max!$C18:$AW18,Factors!$C$29:$AW$29))/2)</f>
        <v>0.21821340868133959</v>
      </c>
      <c r="W18" s="20">
        <f>MAX(0,(SUMPRODUCT(Oxides_min!$C18:$AW18,Factors!$C$30:$AW$30)+SUMPRODUCT(Oxides_max!$C18:$AW18,Factors!$C$30:$AW$30))/2)</f>
        <v>0</v>
      </c>
      <c r="X18" s="20">
        <f>MAX(0,(SUMPRODUCT(Oxides_min!$C18:$AW18,Factors!$C$31:$AW$31)+SUMPRODUCT(Oxides_max!$C18:$AW18,Factors!$C$31:$AW$31))/2)</f>
        <v>4.0046466892339212E-2</v>
      </c>
      <c r="Y18" s="20">
        <f>MAX(0,(SUMPRODUCT(Oxides_min!$C18:$AW18,Factors!$C$32:$AW$32)+SUMPRODUCT(Oxides_max!$C18:$AW18,Factors!$C$32:$AW$32))/2)</f>
        <v>0</v>
      </c>
      <c r="Z18" s="20">
        <f>MAX(0,(SUMPRODUCT(Oxides_min!$C18:$AW18,Factors!$C$33:$AW$33)+SUMPRODUCT(Oxides_max!$C18:$AW18,Factors!$C$33:$AW$33))/2)</f>
        <v>0.33572023313905075</v>
      </c>
      <c r="AA18" s="20">
        <f>MAX(0,(SUMPRODUCT(Oxides_min!$C18:$AW18,Factors!$C$34:$AW$34)+SUMPRODUCT(Oxides_max!$C18:$AW18,Factors!$C$34:$AW$34))/2)</f>
        <v>0.4</v>
      </c>
      <c r="AB18" s="20">
        <f>MAX(0,(SUMPRODUCT(Oxides_min!$C18:$AW18,Factors!$C$35:$AW$35)+SUMPRODUCT(Oxides_max!$C18:$AW18,Factors!$C$35:$AW$35))/2)</f>
        <v>0</v>
      </c>
      <c r="AC18" s="20">
        <f>MAX(0,(SUMPRODUCT(Oxides_min!$C18:$AW18,Factors!$C$36:$AW$36)+SUMPRODUCT(Oxides_max!$C18:$AW18,Factors!$C$36:$AW$36))/2)</f>
        <v>0.43940592124474076</v>
      </c>
      <c r="AD18" s="20">
        <f>MAX(0,(SUMPRODUCT(Oxides_min!$C18:$AW18,Factors!$C$37:$AW$37)+SUMPRODUCT(Oxides_max!$C18:$AW18,Factors!$C$37:$AW$37))/2)</f>
        <v>0</v>
      </c>
      <c r="AE18" s="20">
        <f>MAX(0,(SUMPRODUCT(Oxides_min!$C18:$AW18,Factors!$C$38:$AW$38)+SUMPRODUCT(Oxides_max!$C18:$AW18,Factors!$C$38:$AW$38))/2)</f>
        <v>0</v>
      </c>
      <c r="AF18" s="20">
        <f>MAX(0,(SUMPRODUCT(Oxides_min!$C18:$AW18,Factors!$C$39:$AW$39)+SUMPRODUCT(Oxides_max!$C18:$AW18,Factors!$C$39:$AW$39))/2)</f>
        <v>0.59058296607552907</v>
      </c>
      <c r="AG18" s="20">
        <f>MAX(0,(SUMPRODUCT(Oxides_min!$C18:$AW18,Factors!$C$40:$AW$40)+SUMPRODUCT(Oxides_max!$C18:$AW18,Factors!$C$40:$AW$40))/2)</f>
        <v>20.464395557701877</v>
      </c>
      <c r="AH18" s="20">
        <f>MAX(0,(SUMPRODUCT(Oxides_min!$C18:$AW18,Factors!$C$41:$AW$41)+SUMPRODUCT(Oxides_max!$C18:$AW18,Factors!$C$41:$AW$41))/2)</f>
        <v>26.03997818596163</v>
      </c>
      <c r="AI18" s="20">
        <f>MAX(0,(SUMPRODUCT(Oxides_min!$C18:$AW18,Factors!$C$42:$AW$42)+SUMPRODUCT(Oxides_max!$C18:$AW18,Factors!$C$42:$AW$42))/2)</f>
        <v>1.9225615040699511</v>
      </c>
      <c r="AJ18" s="20">
        <f>MAX(0,(SUMPRODUCT(Oxides_min!$C18:$AW18,Factors!$C$43:$AW$43)+SUMPRODUCT(Oxides_max!$C18:$AW18,Factors!$C$43:$AW$43))/2)</f>
        <v>6.215830908728873</v>
      </c>
      <c r="AK18" s="20">
        <f>MAX(0,(SUMPRODUCT(Oxides_min!$C18:$AW18,Factors!$C$44:$AW$44)+SUMPRODUCT(Oxides_max!$C18:$AW18,Factors!$C$44:$AW$44))/2)</f>
        <v>0.90547922814201776</v>
      </c>
      <c r="AL18" s="20">
        <f>MAX(0,(SUMPRODUCT(Oxides_min!$C18:$AW18,Factors!$C$45:$AW$45)+SUMPRODUCT(Oxides_max!$C18:$AW18,Factors!$C$45:$AW$45))/2)</f>
        <v>8.6361582723591679E-2</v>
      </c>
      <c r="AM18" s="20">
        <f>MAX(0,(SUMPRODUCT(Oxides_min!$C18:$AW18,Factors!$C$46:$AW$46)+SUMPRODUCT(Oxides_max!$C18:$AW18,Factors!$C$46:$AW$46))/2)</f>
        <v>0.52055603218785251</v>
      </c>
      <c r="AN18" s="20">
        <f>MAX(0,(SUMPRODUCT(Oxides_min!$C18:$AW18,Factors!$C$47:$AW$47)+SUMPRODUCT(Oxides_max!$C18:$AW18,Factors!$C$47:$AW$47))/2)</f>
        <v>4.3440303164404205E-2</v>
      </c>
      <c r="AO18" s="20">
        <f>MAX(0,(SUMPRODUCT(Oxides_min!$C18:$AW18,Factors!$C$48:$AW$48)+SUMPRODUCT(Oxides_max!$C18:$AW18,Factors!$C$48:$AW$48))/2)</f>
        <v>0.21783017021584622</v>
      </c>
      <c r="AP18" s="20">
        <f>MAX(0,(SUMPRODUCT(Oxides_min!$C18:$AW18,Factors!$C$49:$AW$49)+SUMPRODUCT(Oxides_max!$C18:$AW18,Factors!$C$49:$AW$49))/2)</f>
        <v>0</v>
      </c>
      <c r="AQ18" s="20">
        <f>MAX(0,(SUMPRODUCT(Oxides_min!$C18:$AW18,Factors!$C$50:$AW$50)+SUMPRODUCT(Oxides_max!$C18:$AW18,Factors!$C$50:$AW$50))/2)</f>
        <v>8.7452256774244147E-2</v>
      </c>
      <c r="AR18" s="20">
        <f>MAX(0,(SUMPRODUCT(Oxides_min!$C18:$AW18,Factors!$C$51:$AW$51)+SUMPRODUCT(Oxides_max!$C18:$AW18,Factors!$C$51:$AW$51))/2)</f>
        <v>0</v>
      </c>
      <c r="AS18" s="20">
        <f>MAX(0,(SUMPRODUCT(Oxides_min!$C18:$AW18,Factors!$C$52:$AW$52)+SUMPRODUCT(Oxides_max!$C18:$AW18,Factors!$C$52:$AW$52))/2)</f>
        <v>4.3910354820128554E-2</v>
      </c>
      <c r="AT18" s="20">
        <f>MAX(0,(SUMPRODUCT(Oxides_min!$C18:$AW18,Factors!$C$53:$AW$53)+SUMPRODUCT(Oxides_max!$C18:$AW18,Factors!$C$53:$AW$53))/2)</f>
        <v>0</v>
      </c>
      <c r="AU18" s="20">
        <f>MAX(0,(SUMPRODUCT(Oxides_min!$C18:$AW18,Factors!$C$54:$AW$54)+SUMPRODUCT(Oxides_max!$C18:$AW18,Factors!$C$54:$AW$54))/2)</f>
        <v>0</v>
      </c>
      <c r="AV18" s="18">
        <f t="shared" si="0"/>
        <v>103.13157531859142</v>
      </c>
    </row>
    <row r="19" spans="1:48" x14ac:dyDescent="0.25">
      <c r="A19" s="13" t="s">
        <v>160</v>
      </c>
      <c r="B19" s="20">
        <f>MAX(0,(SUMPRODUCT(Oxides_min!$C19:$AW19,Factors!$C$9:$AW$9)+SUMPRODUCT(Oxides_max!$C19:$AW19,Factors!$C$9:$AW$9))/2)</f>
        <v>40.744532181009227</v>
      </c>
      <c r="C19" s="20">
        <f>MAX(0,(SUMPRODUCT(Oxides_min!$C19:$AW19,Factors!$C$10:$AW$10)+SUMPRODUCT(Oxides_max!$C19:$AW19,Factors!$C$10:$AW$10))/2)</f>
        <v>22.904398914834481</v>
      </c>
      <c r="D19" s="20">
        <f>MAX(0,(SUMPRODUCT(Oxides_min!$C19:$AW19,Factors!$C$11:$AW$11)+SUMPRODUCT(Oxides_max!$C19:$AW19,Factors!$C$11:$AW$11))/2)</f>
        <v>0.47947912101671575</v>
      </c>
      <c r="E19" s="20">
        <f>MAX(0,(SUMPRODUCT(Oxides_min!$C19:$AW19,Factors!$C$12:$AW$12)+SUMPRODUCT(Oxides_max!$C19:$AW19,Factors!$C$12:$AW$12))/2)</f>
        <v>9.2540293129473632</v>
      </c>
      <c r="F19" s="20">
        <f>MAX(0,(SUMPRODUCT(Oxides_min!$C19:$AW19,Factors!$C$13:$AW$13)+SUMPRODUCT(Oxides_max!$C19:$AW19,Factors!$C$13:$AW$13))/2)</f>
        <v>0.21199545817338758</v>
      </c>
      <c r="G19" s="20">
        <f>MAX(0,(SUMPRODUCT(Oxides_min!$C19:$AW19,Factors!$C$14:$AW$14)+SUMPRODUCT(Oxides_max!$C19:$AW19,Factors!$C$14:$AW$14))/2)</f>
        <v>0</v>
      </c>
      <c r="H19" s="20">
        <f>MAX(0,(SUMPRODUCT(Oxides_min!$C19:$AW19,Factors!$C$15:$AW$15)+SUMPRODUCT(Oxides_max!$C19:$AW19,Factors!$C$15:$AW$15))/2)</f>
        <v>0.1323142316771691</v>
      </c>
      <c r="I19" s="20">
        <f>MAX(0,(SUMPRODUCT(Oxides_min!$C19:$AW19,Factors!$C$16:$AW$16)+SUMPRODUCT(Oxides_max!$C19:$AW19,Factors!$C$16:$AW$16))/2)</f>
        <v>3.3812211431989061</v>
      </c>
      <c r="J19" s="20">
        <f>MAX(0,(SUMPRODUCT(Oxides_min!$C19:$AW19,Factors!$C$17:$AW$17)+SUMPRODUCT(Oxides_max!$C19:$AW19,Factors!$C$17:$AW$17))/2)</f>
        <v>2.1297704623835187</v>
      </c>
      <c r="K19" s="20">
        <f>MAX(0,(SUMPRODUCT(Oxides_min!$C19:$AW19,Factors!$C$18:$AW$18)+SUMPRODUCT(Oxides_max!$C19:$AW19,Factors!$C$18:$AW$18))/2)</f>
        <v>9.0456282254863032E-2</v>
      </c>
      <c r="L19" s="20">
        <f>MAX(0,(SUMPRODUCT(Oxides_min!$C19:$AW19,Factors!$C$19:$AW$19)+SUMPRODUCT(Oxides_max!$C19:$AW19,Factors!$C$19:$AW$19))/2)</f>
        <v>5.8962408830714903</v>
      </c>
      <c r="M19" s="20">
        <f>MAX(0,(SUMPRODUCT(Oxides_min!$C19:$AW19,Factors!$C$20:$AW$20)+SUMPRODUCT(Oxides_max!$C19:$AW19,Factors!$C$20:$AW$20))/2)</f>
        <v>1.5220760671305458</v>
      </c>
      <c r="N19" s="20">
        <f>MAX(0,(SUMPRODUCT(Oxides_min!$C19:$AW19,Factors!$C$21:$AW$21)+SUMPRODUCT(Oxides_max!$C19:$AW19,Factors!$C$21:$AW$21))/2)</f>
        <v>0.3134787968120214</v>
      </c>
      <c r="O19" s="20">
        <f>MAX(0,(SUMPRODUCT(Oxides_min!$C19:$AW19,Factors!$C$22:$AW$22)+SUMPRODUCT(Oxides_max!$C19:$AW19,Factors!$C$22:$AW$22))/2)</f>
        <v>0</v>
      </c>
      <c r="P19" s="20">
        <f>MAX(0,(SUMPRODUCT(Oxides_min!$C19:$AW19,Factors!$C$23:$AW$23)+SUMPRODUCT(Oxides_max!$C19:$AW19,Factors!$C$23:$AW$23))/2)</f>
        <v>10.571537175658115</v>
      </c>
      <c r="Q19" s="20">
        <f>MAX(0,(SUMPRODUCT(Oxides_min!$C19:$AW19,Factors!$C$24:$AW$24)+SUMPRODUCT(Oxides_max!$C19:$AW19,Factors!$C$24:$AW$24))/2)</f>
        <v>0.66412104174717279</v>
      </c>
      <c r="R19" s="20">
        <f>MAX(0,(SUMPRODUCT(Oxides_min!$C19:$AW19,Factors!$C$25:$AW$25)+SUMPRODUCT(Oxides_max!$C19:$AW19,Factors!$C$25:$AW$25))/2)</f>
        <v>0</v>
      </c>
      <c r="S19" s="20">
        <f>MAX(0,(SUMPRODUCT(Oxides_min!$C19:$AW19,Factors!$C$26:$AW$26)+SUMPRODUCT(Oxides_max!$C19:$AW19,Factors!$C$26:$AW$26))/2)</f>
        <v>1.0835265632219739</v>
      </c>
      <c r="T19" s="20">
        <f>MAX(0,(SUMPRODUCT(Oxides_min!$C19:$AW19,Factors!$C$27:$AW$27)+SUMPRODUCT(Oxides_max!$C19:$AW19,Factors!$C$27:$AW$27))/2)</f>
        <v>0</v>
      </c>
      <c r="U19" s="20">
        <f>MAX(0,(SUMPRODUCT(Oxides_min!$C19:$AW19,Factors!$C$28:$AW$28)+SUMPRODUCT(Oxides_max!$C19:$AW19,Factors!$C$28:$AW$28))/2)</f>
        <v>0</v>
      </c>
      <c r="V19" s="20">
        <f>MAX(0,(SUMPRODUCT(Oxides_min!$C19:$AW19,Factors!$C$29:$AW$29)+SUMPRODUCT(Oxides_max!$C19:$AW19,Factors!$C$29:$AW$29))/2)</f>
        <v>0</v>
      </c>
      <c r="W19" s="20">
        <f>MAX(0,(SUMPRODUCT(Oxides_min!$C19:$AW19,Factors!$C$30:$AW$30)+SUMPRODUCT(Oxides_max!$C19:$AW19,Factors!$C$30:$AW$30))/2)</f>
        <v>0</v>
      </c>
      <c r="X19" s="20">
        <f>MAX(0,(SUMPRODUCT(Oxides_min!$C19:$AW19,Factors!$C$31:$AW$31)+SUMPRODUCT(Oxides_max!$C19:$AW19,Factors!$C$31:$AW$31))/2)</f>
        <v>0.12013940067701763</v>
      </c>
      <c r="Y19" s="20">
        <f>MAX(0,(SUMPRODUCT(Oxides_min!$C19:$AW19,Factors!$C$32:$AW$32)+SUMPRODUCT(Oxides_max!$C19:$AW19,Factors!$C$32:$AW$32))/2)</f>
        <v>0</v>
      </c>
      <c r="Z19" s="20">
        <f>MAX(0,(SUMPRODUCT(Oxides_min!$C19:$AW19,Factors!$C$33:$AW$33)+SUMPRODUCT(Oxides_max!$C19:$AW19,Factors!$C$33:$AW$33))/2)</f>
        <v>0.15666944213155704</v>
      </c>
      <c r="AA19" s="20">
        <f>MAX(0,(SUMPRODUCT(Oxides_min!$C19:$AW19,Factors!$C$34:$AW$34)+SUMPRODUCT(Oxides_max!$C19:$AW19,Factors!$C$34:$AW$34))/2)</f>
        <v>0.15</v>
      </c>
      <c r="AB19" s="20">
        <f>MAX(0,(SUMPRODUCT(Oxides_min!$C19:$AW19,Factors!$C$35:$AW$35)+SUMPRODUCT(Oxides_max!$C19:$AW19,Factors!$C$35:$AW$35))/2)</f>
        <v>1.05</v>
      </c>
      <c r="AC19" s="20">
        <f>MAX(0,(SUMPRODUCT(Oxides_min!$C19:$AW19,Factors!$C$36:$AW$36)+SUMPRODUCT(Oxides_max!$C19:$AW19,Factors!$C$36:$AW$36))/2)</f>
        <v>4.3940592124474077E-2</v>
      </c>
      <c r="AD19" s="20">
        <f>MAX(0,(SUMPRODUCT(Oxides_min!$C19:$AW19,Factors!$C$37:$AW$37)+SUMPRODUCT(Oxides_max!$C19:$AW19,Factors!$C$37:$AW$37))/2)</f>
        <v>7.0520055945535204E-2</v>
      </c>
      <c r="AE19" s="20">
        <f>MAX(0,(SUMPRODUCT(Oxides_min!$C19:$AW19,Factors!$C$38:$AW$38)+SUMPRODUCT(Oxides_max!$C19:$AW19,Factors!$C$38:$AW$38))/2)</f>
        <v>0</v>
      </c>
      <c r="AF19" s="20">
        <f>MAX(0,(SUMPRODUCT(Oxides_min!$C19:$AW19,Factors!$C$39:$AW$39)+SUMPRODUCT(Oxides_max!$C19:$AW19,Factors!$C$39:$AW$39))/2)</f>
        <v>1.4567713163196385</v>
      </c>
      <c r="AG19" s="20">
        <f>MAX(0,(SUMPRODUCT(Oxides_min!$C19:$AW19,Factors!$C$40:$AW$40)+SUMPRODUCT(Oxides_max!$C19:$AW19,Factors!$C$40:$AW$40))/2)</f>
        <v>1.1084880927088516</v>
      </c>
      <c r="AH19" s="20">
        <f>MAX(0,(SUMPRODUCT(Oxides_min!$C19:$AW19,Factors!$C$41:$AW$41)+SUMPRODUCT(Oxides_max!$C19:$AW19,Factors!$C$41:$AW$41))/2)</f>
        <v>1.6221625755189211</v>
      </c>
      <c r="AI19" s="20">
        <f>MAX(0,(SUMPRODUCT(Oxides_min!$C19:$AW19,Factors!$C$42:$AW$42)+SUMPRODUCT(Oxides_max!$C19:$AW19,Factors!$C$42:$AW$42))/2)</f>
        <v>0.21361794489666122</v>
      </c>
      <c r="AJ19" s="20">
        <f>MAX(0,(SUMPRODUCT(Oxides_min!$C19:$AW19,Factors!$C$43:$AW$43)+SUMPRODUCT(Oxides_max!$C19:$AW19,Factors!$C$43:$AW$43))/2)</f>
        <v>0.72875258929924724</v>
      </c>
      <c r="AK19" s="20">
        <f>MAX(0,(SUMPRODUCT(Oxides_min!$C19:$AW19,Factors!$C$44:$AW$44)+SUMPRODUCT(Oxides_max!$C19:$AW19,Factors!$C$44:$AW$44))/2)</f>
        <v>0.12935417544885966</v>
      </c>
      <c r="AL19" s="20">
        <f>MAX(0,(SUMPRODUCT(Oxides_min!$C19:$AW19,Factors!$C$45:$AW$45)+SUMPRODUCT(Oxides_max!$C19:$AW19,Factors!$C$45:$AW$45))/2)</f>
        <v>4.3180791361795839E-2</v>
      </c>
      <c r="AM19" s="20">
        <f>MAX(0,(SUMPRODUCT(Oxides_min!$C19:$AW19,Factors!$C$46:$AW$46)+SUMPRODUCT(Oxides_max!$C19:$AW19,Factors!$C$46:$AW$46))/2)</f>
        <v>0.151828842721457</v>
      </c>
      <c r="AN19" s="20">
        <f>MAX(0,(SUMPRODUCT(Oxides_min!$C19:$AW19,Factors!$C$47:$AW$47)+SUMPRODUCT(Oxides_max!$C19:$AW19,Factors!$C$47:$AW$47))/2)</f>
        <v>2.1720151582202103E-2</v>
      </c>
      <c r="AO19" s="20">
        <f>MAX(0,(SUMPRODUCT(Oxides_min!$C19:$AW19,Factors!$C$48:$AW$48)+SUMPRODUCT(Oxides_max!$C19:$AW19,Factors!$C$48:$AW$48))/2)</f>
        <v>0.15248111915109233</v>
      </c>
      <c r="AP19" s="20">
        <f>MAX(0,(SUMPRODUCT(Oxides_min!$C19:$AW19,Factors!$C$49:$AW$49)+SUMPRODUCT(Oxides_max!$C19:$AW19,Factors!$C$49:$AW$49))/2)</f>
        <v>3.055415920375943E-2</v>
      </c>
      <c r="AQ19" s="20">
        <f>MAX(0,(SUMPRODUCT(Oxides_min!$C19:$AW19,Factors!$C$50:$AW$50)+SUMPRODUCT(Oxides_max!$C19:$AW19,Factors!$C$50:$AW$50))/2)</f>
        <v>0.10931532096780518</v>
      </c>
      <c r="AR19" s="20">
        <f>MAX(0,(SUMPRODUCT(Oxides_min!$C19:$AW19,Factors!$C$51:$AW$51)+SUMPRODUCT(Oxides_max!$C19:$AW19,Factors!$C$51:$AW$51))/2)</f>
        <v>1.751224157312456E-2</v>
      </c>
      <c r="AS19" s="20">
        <f>MAX(0,(SUMPRODUCT(Oxides_min!$C19:$AW19,Factors!$C$52:$AW$52)+SUMPRODUCT(Oxides_max!$C19:$AW19,Factors!$C$52:$AW$52))/2)</f>
        <v>0.13173106446038566</v>
      </c>
      <c r="AT19" s="20">
        <f>MAX(0,(SUMPRODUCT(Oxides_min!$C19:$AW19,Factors!$C$53:$AW$53)+SUMPRODUCT(Oxides_max!$C19:$AW19,Factors!$C$53:$AW$53))/2)</f>
        <v>2.1984587262200997E-2</v>
      </c>
      <c r="AU19" s="20">
        <f>MAX(0,(SUMPRODUCT(Oxides_min!$C19:$AW19,Factors!$C$54:$AW$54)+SUMPRODUCT(Oxides_max!$C19:$AW19,Factors!$C$54:$AW$54))/2)</f>
        <v>0</v>
      </c>
      <c r="AV19" s="18">
        <f t="shared" si="0"/>
        <v>106.90990209849153</v>
      </c>
    </row>
    <row r="20" spans="1:48" x14ac:dyDescent="0.25">
      <c r="A20" s="13" t="s">
        <v>162</v>
      </c>
      <c r="B20" s="20">
        <f>MAX(0,(SUMPRODUCT(Oxides_min!$C20:$AW20,Factors!$C$9:$AW$9)+SUMPRODUCT(Oxides_max!$C20:$AW20,Factors!$C$9:$AW$9))/2)</f>
        <v>33.595751816554326</v>
      </c>
      <c r="C20" s="20">
        <f>MAX(0,(SUMPRODUCT(Oxides_min!$C20:$AW20,Factors!$C$10:$AW$10)+SUMPRODUCT(Oxides_max!$C20:$AW20,Factors!$C$10:$AW$10))/2)</f>
        <v>10.984762744869599</v>
      </c>
      <c r="D20" s="20">
        <f>MAX(0,(SUMPRODUCT(Oxides_min!$C20:$AW20,Factors!$C$11:$AW$11)+SUMPRODUCT(Oxides_max!$C20:$AW20,Factors!$C$11:$AW$11))/2)</f>
        <v>0</v>
      </c>
      <c r="E20" s="20">
        <f>MAX(0,(SUMPRODUCT(Oxides_min!$C20:$AW20,Factors!$C$12:$AW$12)+SUMPRODUCT(Oxides_max!$C20:$AW20,Factors!$C$12:$AW$12))/2)</f>
        <v>0</v>
      </c>
      <c r="F20" s="20">
        <f>MAX(0,(SUMPRODUCT(Oxides_min!$C20:$AW20,Factors!$C$13:$AW$13)+SUMPRODUCT(Oxides_max!$C20:$AW20,Factors!$C$13:$AW$13))/2)</f>
        <v>0</v>
      </c>
      <c r="G20" s="20">
        <f>MAX(0,(SUMPRODUCT(Oxides_min!$C20:$AW20,Factors!$C$14:$AW$14)+SUMPRODUCT(Oxides_max!$C20:$AW20,Factors!$C$14:$AW$14))/2)</f>
        <v>0</v>
      </c>
      <c r="H20" s="20">
        <f>MAX(0,(SUMPRODUCT(Oxides_min!$C20:$AW20,Factors!$C$15:$AW$15)+SUMPRODUCT(Oxides_max!$C20:$AW20,Factors!$C$15:$AW$15))/2)</f>
        <v>0</v>
      </c>
      <c r="I20" s="20">
        <f>MAX(0,(SUMPRODUCT(Oxides_min!$C20:$AW20,Factors!$C$16:$AW$16)+SUMPRODUCT(Oxides_max!$C20:$AW20,Factors!$C$16:$AW$16))/2)</f>
        <v>9.3857501161118204</v>
      </c>
      <c r="J20" s="20">
        <f>MAX(0,(SUMPRODUCT(Oxides_min!$C20:$AW20,Factors!$C$17:$AW$17)+SUMPRODUCT(Oxides_max!$C20:$AW20,Factors!$C$17:$AW$17))/2)</f>
        <v>0.27106169521244783</v>
      </c>
      <c r="K20" s="20">
        <f>MAX(0,(SUMPRODUCT(Oxides_min!$C20:$AW20,Factors!$C$18:$AW$18)+SUMPRODUCT(Oxides_max!$C20:$AW20,Factors!$C$18:$AW$18))/2)</f>
        <v>0.15076047042477173</v>
      </c>
      <c r="L20" s="20">
        <f>MAX(0,(SUMPRODUCT(Oxides_min!$C20:$AW20,Factors!$C$19:$AW$19)+SUMPRODUCT(Oxides_max!$C20:$AW20,Factors!$C$19:$AW$19))/2)</f>
        <v>1.0720437969220891</v>
      </c>
      <c r="M20" s="20">
        <f>MAX(0,(SUMPRODUCT(Oxides_min!$C20:$AW20,Factors!$C$20:$AW$20)+SUMPRODUCT(Oxides_max!$C20:$AW20,Factors!$C$20:$AW$20))/2)</f>
        <v>0</v>
      </c>
      <c r="N20" s="20">
        <f>MAX(0,(SUMPRODUCT(Oxides_min!$C20:$AW20,Factors!$C$21:$AW$21)+SUMPRODUCT(Oxides_max!$C20:$AW20,Factors!$C$21:$AW$21))/2)</f>
        <v>0</v>
      </c>
      <c r="O20" s="20">
        <f>MAX(0,(SUMPRODUCT(Oxides_min!$C20:$AW20,Factors!$C$22:$AW$22)+SUMPRODUCT(Oxides_max!$C20:$AW20,Factors!$C$22:$AW$22))/2)</f>
        <v>0</v>
      </c>
      <c r="P20" s="20">
        <f>MAX(0,(SUMPRODUCT(Oxides_min!$C20:$AW20,Factors!$C$23:$AW$23)+SUMPRODUCT(Oxides_max!$C20:$AW20,Factors!$C$23:$AW$23))/2)</f>
        <v>0.18546556448523008</v>
      </c>
      <c r="Q20" s="20">
        <f>MAX(0,(SUMPRODUCT(Oxides_min!$C20:$AW20,Factors!$C$24:$AW$24)+SUMPRODUCT(Oxides_max!$C20:$AW20,Factors!$C$24:$AW$24))/2)</f>
        <v>0</v>
      </c>
      <c r="R20" s="20">
        <f>MAX(0,(SUMPRODUCT(Oxides_min!$C20:$AW20,Factors!$C$25:$AW$25)+SUMPRODUCT(Oxides_max!$C20:$AW20,Factors!$C$25:$AW$25))/2)</f>
        <v>3.152853737854568</v>
      </c>
      <c r="S20" s="20">
        <f>MAX(0,(SUMPRODUCT(Oxides_min!$C20:$AW20,Factors!$C$26:$AW$26)+SUMPRODUCT(Oxides_max!$C20:$AW20,Factors!$C$26:$AW$26))/2)</f>
        <v>0</v>
      </c>
      <c r="T20" s="20">
        <f>MAX(0,(SUMPRODUCT(Oxides_min!$C20:$AW20,Factors!$C$27:$AW$27)+SUMPRODUCT(Oxides_max!$C20:$AW20,Factors!$C$27:$AW$27))/2)</f>
        <v>0</v>
      </c>
      <c r="U20" s="20">
        <f>MAX(0,(SUMPRODUCT(Oxides_min!$C20:$AW20,Factors!$C$28:$AW$28)+SUMPRODUCT(Oxides_max!$C20:$AW20,Factors!$C$28:$AW$28))/2)</f>
        <v>0</v>
      </c>
      <c r="V20" s="20">
        <f>MAX(0,(SUMPRODUCT(Oxides_min!$C20:$AW20,Factors!$C$29:$AW$29)+SUMPRODUCT(Oxides_max!$C20:$AW20,Factors!$C$29:$AW$29))/2)</f>
        <v>0</v>
      </c>
      <c r="W20" s="20">
        <f>MAX(0,(SUMPRODUCT(Oxides_min!$C20:$AW20,Factors!$C$30:$AW$30)+SUMPRODUCT(Oxides_max!$C20:$AW20,Factors!$C$30:$AW$30))/2)</f>
        <v>0</v>
      </c>
      <c r="X20" s="20">
        <f>MAX(0,(SUMPRODUCT(Oxides_min!$C20:$AW20,Factors!$C$31:$AW$31)+SUMPRODUCT(Oxides_max!$C20:$AW20,Factors!$C$31:$AW$31))/2)</f>
        <v>0</v>
      </c>
      <c r="Y20" s="20">
        <f>MAX(0,(SUMPRODUCT(Oxides_min!$C20:$AW20,Factors!$C$32:$AW$32)+SUMPRODUCT(Oxides_max!$C20:$AW20,Factors!$C$32:$AW$32))/2)</f>
        <v>0</v>
      </c>
      <c r="Z20" s="20">
        <f>MAX(0,(SUMPRODUCT(Oxides_min!$C20:$AW20,Factors!$C$33:$AW$33)+SUMPRODUCT(Oxides_max!$C20:$AW20,Factors!$C$33:$AW$33))/2)</f>
        <v>0.12869275603663613</v>
      </c>
      <c r="AA20" s="20">
        <f>MAX(0,(SUMPRODUCT(Oxides_min!$C20:$AW20,Factors!$C$34:$AW$34)+SUMPRODUCT(Oxides_max!$C20:$AW20,Factors!$C$34:$AW$34))/2)</f>
        <v>0</v>
      </c>
      <c r="AB20" s="20">
        <f>MAX(0,(SUMPRODUCT(Oxides_min!$C20:$AW20,Factors!$C$35:$AW$35)+SUMPRODUCT(Oxides_max!$C20:$AW20,Factors!$C$35:$AW$35))/2)</f>
        <v>0</v>
      </c>
      <c r="AC20" s="20">
        <f>MAX(0,(SUMPRODUCT(Oxides_min!$C20:$AW20,Factors!$C$36:$AW$36)+SUMPRODUCT(Oxides_max!$C20:$AW20,Factors!$C$36:$AW$36))/2)</f>
        <v>0.65910888186711114</v>
      </c>
      <c r="AD20" s="20">
        <f>MAX(0,(SUMPRODUCT(Oxides_min!$C20:$AW20,Factors!$C$37:$AW$37)+SUMPRODUCT(Oxides_max!$C20:$AW20,Factors!$C$37:$AW$37))/2)</f>
        <v>0.22037517482979752</v>
      </c>
      <c r="AE20" s="20">
        <f>MAX(0,(SUMPRODUCT(Oxides_min!$C20:$AW20,Factors!$C$38:$AW$38)+SUMPRODUCT(Oxides_max!$C20:$AW20,Factors!$C$38:$AW$38))/2)</f>
        <v>0</v>
      </c>
      <c r="AF20" s="20">
        <f>MAX(0,(SUMPRODUCT(Oxides_min!$C20:$AW20,Factors!$C$39:$AW$39)+SUMPRODUCT(Oxides_max!$C20:$AW20,Factors!$C$39:$AW$39))/2)</f>
        <v>25.985650507323285</v>
      </c>
      <c r="AG20" s="20">
        <f>MAX(0,(SUMPRODUCT(Oxides_min!$C20:$AW20,Factors!$C$40:$AW$40)+SUMPRODUCT(Oxides_max!$C20:$AW20,Factors!$C$40:$AW$40))/2)</f>
        <v>2.1317078705939454</v>
      </c>
      <c r="AH20" s="20">
        <f>MAX(0,(SUMPRODUCT(Oxides_min!$C20:$AW20,Factors!$C$41:$AW$41)+SUMPRODUCT(Oxides_max!$C20:$AW20,Factors!$C$41:$AW$41))/2)</f>
        <v>4.9518647042156534</v>
      </c>
      <c r="AI20" s="20">
        <f>MAX(0,(SUMPRODUCT(Oxides_min!$C20:$AW20,Factors!$C$42:$AW$42)+SUMPRODUCT(Oxides_max!$C20:$AW20,Factors!$C$42:$AW$42))/2)</f>
        <v>0.68357742366931595</v>
      </c>
      <c r="AJ20" s="20">
        <f>MAX(0,(SUMPRODUCT(Oxides_min!$C20:$AW20,Factors!$C$43:$AW$43)+SUMPRODUCT(Oxides_max!$C20:$AW20,Factors!$C$43:$AW$43))/2)</f>
        <v>2.7864069590853568</v>
      </c>
      <c r="AK20" s="20">
        <f>MAX(0,(SUMPRODUCT(Oxides_min!$C20:$AW20,Factors!$C$44:$AW$44)+SUMPRODUCT(Oxides_max!$C20:$AW20,Factors!$C$44:$AW$44))/2)</f>
        <v>1.4228959299374564</v>
      </c>
      <c r="AL20" s="20">
        <f>MAX(0,(SUMPRODUCT(Oxides_min!$C20:$AW20,Factors!$C$45:$AW$45)+SUMPRODUCT(Oxides_max!$C20:$AW20,Factors!$C$45:$AW$45))/2)</f>
        <v>0.25908474817077498</v>
      </c>
      <c r="AM20" s="20">
        <f>MAX(0,(SUMPRODUCT(Oxides_min!$C20:$AW20,Factors!$C$46:$AW$46)+SUMPRODUCT(Oxides_max!$C20:$AW20,Factors!$C$46:$AW$46))/2)</f>
        <v>2.0822241287514105</v>
      </c>
      <c r="AN20" s="20">
        <f>MAX(0,(SUMPRODUCT(Oxides_min!$C20:$AW20,Factors!$C$47:$AW$47)+SUMPRODUCT(Oxides_max!$C20:$AW20,Factors!$C$47:$AW$47))/2)</f>
        <v>0.52128363797285049</v>
      </c>
      <c r="AO20" s="20">
        <f>MAX(0,(SUMPRODUCT(Oxides_min!$C20:$AW20,Factors!$C$48:$AW$48)+SUMPRODUCT(Oxides_max!$C20:$AW20,Factors!$C$48:$AW$48))/2)</f>
        <v>3.049622383021847</v>
      </c>
      <c r="AP20" s="20">
        <f>MAX(0,(SUMPRODUCT(Oxides_min!$C20:$AW20,Factors!$C$49:$AW$49)+SUMPRODUCT(Oxides_max!$C20:$AW20,Factors!$C$49:$AW$49))/2)</f>
        <v>0.9602735749752962</v>
      </c>
      <c r="AQ20" s="20">
        <f>MAX(0,(SUMPRODUCT(Oxides_min!$C20:$AW20,Factors!$C$50:$AW$50)+SUMPRODUCT(Oxides_max!$C20:$AW20,Factors!$C$50:$AW$50))/2)</f>
        <v>2.3174848045174699</v>
      </c>
      <c r="AR20" s="20">
        <f>MAX(0,(SUMPRODUCT(Oxides_min!$C20:$AW20,Factors!$C$51:$AW$51)+SUMPRODUCT(Oxides_max!$C20:$AW20,Factors!$C$51:$AW$51))/2)</f>
        <v>0.3940254353953026</v>
      </c>
      <c r="AS20" s="20">
        <f>MAX(0,(SUMPRODUCT(Oxides_min!$C20:$AW20,Factors!$C$52:$AW$52)+SUMPRODUCT(Oxides_max!$C20:$AW20,Factors!$C$52:$AW$52))/2)</f>
        <v>2.1955177410064275</v>
      </c>
      <c r="AT20" s="20">
        <f>MAX(0,(SUMPRODUCT(Oxides_min!$C20:$AW20,Factors!$C$53:$AW$53)+SUMPRODUCT(Oxides_max!$C20:$AW20,Factors!$C$53:$AW$53))/2)</f>
        <v>0.35175339619521595</v>
      </c>
      <c r="AU20" s="20">
        <f>MAX(0,(SUMPRODUCT(Oxides_min!$C20:$AW20,Factors!$C$54:$AW$54)+SUMPRODUCT(Oxides_max!$C20:$AW20,Factors!$C$54:$AW$54))/2)</f>
        <v>0</v>
      </c>
      <c r="AV20" s="18">
        <f t="shared" si="0"/>
        <v>109.89999999999999</v>
      </c>
    </row>
    <row r="21" spans="1:48" x14ac:dyDescent="0.25">
      <c r="A21" s="13" t="s">
        <v>164</v>
      </c>
      <c r="B21" s="20">
        <f>MAX(0,(SUMPRODUCT(Oxides_min!$C21:$AW21,Factors!$C$9:$AW$9)+SUMPRODUCT(Oxides_max!$C21:$AW21,Factors!$C$9:$AW$9))/2)</f>
        <v>35.720090916306866</v>
      </c>
      <c r="C21" s="20">
        <f>MAX(0,(SUMPRODUCT(Oxides_min!$C21:$AW21,Factors!$C$10:$AW$10)+SUMPRODUCT(Oxides_max!$C21:$AW21,Factors!$C$10:$AW$10))/2)</f>
        <v>12.971368773197078</v>
      </c>
      <c r="D21" s="20">
        <f>MAX(0,(SUMPRODUCT(Oxides_min!$C21:$AW21,Factors!$C$11:$AW$11)+SUMPRODUCT(Oxides_max!$C21:$AW21,Factors!$C$11:$AW$11))/2)</f>
        <v>0</v>
      </c>
      <c r="E21" s="20">
        <f>MAX(0,(SUMPRODUCT(Oxides_min!$C21:$AW21,Factors!$C$12:$AW$12)+SUMPRODUCT(Oxides_max!$C21:$AW21,Factors!$C$12:$AW$12))/2)</f>
        <v>40.162487218191558</v>
      </c>
      <c r="F21" s="20">
        <f>MAX(0,(SUMPRODUCT(Oxides_min!$C21:$AW21,Factors!$C$13:$AW$13)+SUMPRODUCT(Oxides_max!$C21:$AW21,Factors!$C$13:$AW$13))/2)</f>
        <v>2.7559409562540385</v>
      </c>
      <c r="G21" s="20">
        <f>MAX(0,(SUMPRODUCT(Oxides_min!$C21:$AW21,Factors!$C$14:$AW$14)+SUMPRODUCT(Oxides_max!$C21:$AW21,Factors!$C$14:$AW$14))/2)</f>
        <v>0</v>
      </c>
      <c r="H21" s="20">
        <f>MAX(0,(SUMPRODUCT(Oxides_min!$C21:$AW21,Factors!$C$15:$AW$15)+SUMPRODUCT(Oxides_max!$C21:$AW21,Factors!$C$15:$AW$15))/2)</f>
        <v>0.26462846335433821</v>
      </c>
      <c r="I21" s="20">
        <f>MAX(0,(SUMPRODUCT(Oxides_min!$C21:$AW21,Factors!$C$16:$AW$16)+SUMPRODUCT(Oxides_max!$C21:$AW21,Factors!$C$16:$AW$16))/2)</f>
        <v>0.77730916986804743</v>
      </c>
      <c r="J21" s="20">
        <f>MAX(0,(SUMPRODUCT(Oxides_min!$C21:$AW21,Factors!$C$17:$AW$17)+SUMPRODUCT(Oxides_max!$C21:$AW21,Factors!$C$17:$AW$17))/2)</f>
        <v>3.8723099316063977E-2</v>
      </c>
      <c r="K21" s="20">
        <f>MAX(0,(SUMPRODUCT(Oxides_min!$C21:$AW21,Factors!$C$18:$AW$18)+SUMPRODUCT(Oxides_max!$C21:$AW21,Factors!$C$18:$AW$18))/2)</f>
        <v>0</v>
      </c>
      <c r="L21" s="20">
        <f>MAX(0,(SUMPRODUCT(Oxides_min!$C21:$AW21,Factors!$C$19:$AW$19)+SUMPRODUCT(Oxides_max!$C21:$AW21,Factors!$C$19:$AW$19))/2)</f>
        <v>0.8933698307684077</v>
      </c>
      <c r="M21" s="20">
        <f>MAX(0,(SUMPRODUCT(Oxides_min!$C21:$AW21,Factors!$C$20:$AW$20)+SUMPRODUCT(Oxides_max!$C21:$AW21,Factors!$C$20:$AW$20))/2)</f>
        <v>0</v>
      </c>
      <c r="N21" s="20">
        <f>MAX(0,(SUMPRODUCT(Oxides_min!$C21:$AW21,Factors!$C$21:$AW$21)+SUMPRODUCT(Oxides_max!$C21:$AW21,Factors!$C$21:$AW$21))/2)</f>
        <v>0</v>
      </c>
      <c r="O21" s="20">
        <f>MAX(0,(SUMPRODUCT(Oxides_min!$C21:$AW21,Factors!$C$22:$AW$22)+SUMPRODUCT(Oxides_max!$C21:$AW21,Factors!$C$22:$AW$22))/2)</f>
        <v>0.41774380709590991</v>
      </c>
      <c r="P21" s="20">
        <f>MAX(0,(SUMPRODUCT(Oxides_min!$C21:$AW21,Factors!$C$23:$AW$23)+SUMPRODUCT(Oxides_max!$C21:$AW21,Factors!$C$23:$AW$23))/2)</f>
        <v>0.11127933869113804</v>
      </c>
      <c r="Q21" s="20">
        <f>MAX(0,(SUMPRODUCT(Oxides_min!$C21:$AW21,Factors!$C$24:$AW$24)+SUMPRODUCT(Oxides_max!$C21:$AW21,Factors!$C$24:$AW$24))/2)</f>
        <v>0</v>
      </c>
      <c r="R21" s="20">
        <f>MAX(0,(SUMPRODUCT(Oxides_min!$C21:$AW21,Factors!$C$25:$AW$25)+SUMPRODUCT(Oxides_max!$C21:$AW21,Factors!$C$25:$AW$25))/2)</f>
        <v>0</v>
      </c>
      <c r="S21" s="20">
        <f>MAX(0,(SUMPRODUCT(Oxides_min!$C21:$AW21,Factors!$C$26:$AW$26)+SUMPRODUCT(Oxides_max!$C21:$AW21,Factors!$C$26:$AW$26))/2)</f>
        <v>0.17476234890677</v>
      </c>
      <c r="T21" s="20">
        <f>MAX(0,(SUMPRODUCT(Oxides_min!$C21:$AW21,Factors!$C$27:$AW$27)+SUMPRODUCT(Oxides_max!$C21:$AW21,Factors!$C$27:$AW$27))/2)</f>
        <v>0</v>
      </c>
      <c r="U21" s="20">
        <f>MAX(0,(SUMPRODUCT(Oxides_min!$C21:$AW21,Factors!$C$28:$AW$28)+SUMPRODUCT(Oxides_max!$C21:$AW21,Factors!$C$28:$AW$28))/2)</f>
        <v>0</v>
      </c>
      <c r="V21" s="20">
        <f>MAX(0,(SUMPRODUCT(Oxides_min!$C21:$AW21,Factors!$C$29:$AW$29)+SUMPRODUCT(Oxides_max!$C21:$AW21,Factors!$C$29:$AW$29))/2)</f>
        <v>1.3092804520880374</v>
      </c>
      <c r="W21" s="20">
        <f>MAX(0,(SUMPRODUCT(Oxides_min!$C21:$AW21,Factors!$C$30:$AW$30)+SUMPRODUCT(Oxides_max!$C21:$AW21,Factors!$C$30:$AW$30))/2)</f>
        <v>9.7792618798468595E-2</v>
      </c>
      <c r="X21" s="20">
        <f>MAX(0,(SUMPRODUCT(Oxides_min!$C21:$AW21,Factors!$C$31:$AW$31)+SUMPRODUCT(Oxides_max!$C21:$AW21,Factors!$C$31:$AW$31))/2)</f>
        <v>0</v>
      </c>
      <c r="Y21" s="20">
        <f>MAX(0,(SUMPRODUCT(Oxides_min!$C21:$AW21,Factors!$C$32:$AW$32)+SUMPRODUCT(Oxides_max!$C21:$AW21,Factors!$C$32:$AW$32))/2)</f>
        <v>0</v>
      </c>
      <c r="Z21" s="20">
        <f>MAX(0,(SUMPRODUCT(Oxides_min!$C21:$AW21,Factors!$C$33:$AW$33)+SUMPRODUCT(Oxides_max!$C21:$AW21,Factors!$C$33:$AW$33))/2)</f>
        <v>0.279766860949209</v>
      </c>
      <c r="AA21" s="20">
        <f>MAX(0,(SUMPRODUCT(Oxides_min!$C21:$AW21,Factors!$C$34:$AW$34)+SUMPRODUCT(Oxides_max!$C21:$AW21,Factors!$C$34:$AW$34))/2)</f>
        <v>0.6</v>
      </c>
      <c r="AB21" s="20">
        <f>MAX(0,(SUMPRODUCT(Oxides_min!$C21:$AW21,Factors!$C$35:$AW$35)+SUMPRODUCT(Oxides_max!$C21:$AW21,Factors!$C$35:$AW$35))/2)</f>
        <v>0</v>
      </c>
      <c r="AC21" s="20">
        <f>MAX(0,(SUMPRODUCT(Oxides_min!$C21:$AW21,Factors!$C$36:$AW$36)+SUMPRODUCT(Oxides_max!$C21:$AW21,Factors!$C$36:$AW$36))/2)</f>
        <v>0.65910888186711114</v>
      </c>
      <c r="AD21" s="20">
        <f>MAX(0,(SUMPRODUCT(Oxides_min!$C21:$AW21,Factors!$C$37:$AW$37)+SUMPRODUCT(Oxides_max!$C21:$AW21,Factors!$C$37:$AW$37))/2)</f>
        <v>1.5426262238085826</v>
      </c>
      <c r="AE21" s="20">
        <f>MAX(0,(SUMPRODUCT(Oxides_min!$C21:$AW21,Factors!$C$38:$AW$38)+SUMPRODUCT(Oxides_max!$C21:$AW21,Factors!$C$38:$AW$38))/2)</f>
        <v>0.16299142181019088</v>
      </c>
      <c r="AF21" s="20">
        <f>MAX(0,(SUMPRODUCT(Oxides_min!$C21:$AW21,Factors!$C$39:$AW$39)+SUMPRODUCT(Oxides_max!$C21:$AW21,Factors!$C$39:$AW$39))/2)</f>
        <v>3.1497758190694887</v>
      </c>
      <c r="AG21" s="20">
        <f>MAX(0,(SUMPRODUCT(Oxides_min!$C21:$AW21,Factors!$C$40:$AW$40)+SUMPRODUCT(Oxides_max!$C21:$AW21,Factors!$C$40:$AW$40))/2)</f>
        <v>2.1317078705939456E-2</v>
      </c>
      <c r="AH21" s="20">
        <f>MAX(0,(SUMPRODUCT(Oxides_min!$C21:$AW21,Factors!$C$41:$AW$41)+SUMPRODUCT(Oxides_max!$C21:$AW21,Factors!$C$41:$AW$41))/2)</f>
        <v>0.21344244414722646</v>
      </c>
      <c r="AI21" s="20">
        <f>MAX(0,(SUMPRODUCT(Oxides_min!$C21:$AW21,Factors!$C$42:$AW$42)+SUMPRODUCT(Oxides_max!$C21:$AW21,Factors!$C$42:$AW$42))/2)</f>
        <v>2.5634153387599345E-2</v>
      </c>
      <c r="AJ21" s="20">
        <f>MAX(0,(SUMPRODUCT(Oxides_min!$C21:$AW21,Factors!$C$43:$AW$43)+SUMPRODUCT(Oxides_max!$C21:$AW21,Factors!$C$43:$AW$43))/2)</f>
        <v>6.4301699055815925E-2</v>
      </c>
      <c r="AK21" s="20">
        <f>MAX(0,(SUMPRODUCT(Oxides_min!$C21:$AW21,Factors!$C$44:$AW$44)+SUMPRODUCT(Oxides_max!$C21:$AW21,Factors!$C$44:$AW$44))/2)</f>
        <v>6.467708772442983E-2</v>
      </c>
      <c r="AL21" s="20">
        <f>MAX(0,(SUMPRODUCT(Oxides_min!$C21:$AW21,Factors!$C$45:$AW$45)+SUMPRODUCT(Oxides_max!$C21:$AW21,Factors!$C$45:$AW$45))/2)</f>
        <v>1.295423740853875E-2</v>
      </c>
      <c r="AM21" s="20">
        <f>MAX(0,(SUMPRODUCT(Oxides_min!$C21:$AW21,Factors!$C$46:$AW$46)+SUMPRODUCT(Oxides_max!$C21:$AW21,Factors!$C$46:$AW$46))/2)</f>
        <v>0.21689834674493857</v>
      </c>
      <c r="AN21" s="20">
        <f>MAX(0,(SUMPRODUCT(Oxides_min!$C21:$AW21,Factors!$C$47:$AW$47)+SUMPRODUCT(Oxides_max!$C21:$AW21,Factors!$C$47:$AW$47))/2)</f>
        <v>6.5160454746606297E-2</v>
      </c>
      <c r="AO21" s="20">
        <f>MAX(0,(SUMPRODUCT(Oxides_min!$C21:$AW21,Factors!$C$48:$AW$48)+SUMPRODUCT(Oxides_max!$C21:$AW21,Factors!$C$48:$AW$48))/2)</f>
        <v>0.52279240851803088</v>
      </c>
      <c r="AP21" s="20">
        <f>MAX(0,(SUMPRODUCT(Oxides_min!$C21:$AW21,Factors!$C$49:$AW$49)+SUMPRODUCT(Oxides_max!$C21:$AW21,Factors!$C$49:$AW$49))/2)</f>
        <v>0.10912199715628366</v>
      </c>
      <c r="AQ21" s="20">
        <f>MAX(0,(SUMPRODUCT(Oxides_min!$C21:$AW21,Factors!$C$50:$AW$50)+SUMPRODUCT(Oxides_max!$C21:$AW21,Factors!$C$50:$AW$50))/2)</f>
        <v>0.43726128387122071</v>
      </c>
      <c r="AR21" s="20">
        <f>MAX(0,(SUMPRODUCT(Oxides_min!$C21:$AW21,Factors!$C$51:$AW$51)+SUMPRODUCT(Oxides_max!$C21:$AW21,Factors!$C$51:$AW$51))/2)</f>
        <v>8.7561207865622798E-2</v>
      </c>
      <c r="AS21" s="20">
        <f>MAX(0,(SUMPRODUCT(Oxides_min!$C21:$AW21,Factors!$C$52:$AW$52)+SUMPRODUCT(Oxides_max!$C21:$AW21,Factors!$C$52:$AW$52))/2)</f>
        <v>0.96602780604282823</v>
      </c>
      <c r="AT21" s="20">
        <f>MAX(0,(SUMPRODUCT(Oxides_min!$C21:$AW21,Factors!$C$53:$AW$53)+SUMPRODUCT(Oxides_max!$C21:$AW21,Factors!$C$53:$AW$53))/2)</f>
        <v>0.15389211083540696</v>
      </c>
      <c r="AU21" s="20">
        <f>MAX(0,(SUMPRODUCT(Oxides_min!$C21:$AW21,Factors!$C$54:$AW$54)+SUMPRODUCT(Oxides_max!$C21:$AW21,Factors!$C$54:$AW$54))/2)</f>
        <v>6.7274461335339805E-2</v>
      </c>
      <c r="AV21" s="18">
        <f t="shared" si="0"/>
        <v>105.11736297788711</v>
      </c>
    </row>
    <row r="22" spans="1:48" x14ac:dyDescent="0.25">
      <c r="A22" s="13" t="s">
        <v>166</v>
      </c>
      <c r="B22" s="20">
        <f>MAX(0,(SUMPRODUCT(Oxides_min!$C22:$AW22,Factors!$C$9:$AW$9)+SUMPRODUCT(Oxides_max!$C22:$AW22,Factors!$C$9:$AW$9))/2)</f>
        <v>29.572515316736649</v>
      </c>
      <c r="C22" s="20">
        <f>MAX(0,(SUMPRODUCT(Oxides_min!$C22:$AW22,Factors!$C$10:$AW$10)+SUMPRODUCT(Oxides_max!$C22:$AW22,Factors!$C$10:$AW$10))/2)</f>
        <v>0.18697468501905701</v>
      </c>
      <c r="D22" s="20">
        <f>MAX(0,(SUMPRODUCT(Oxides_min!$C22:$AW22,Factors!$C$11:$AW$11)+SUMPRODUCT(Oxides_max!$C22:$AW22,Factors!$C$11:$AW$11))/2)</f>
        <v>18.879490390033183</v>
      </c>
      <c r="E22" s="20">
        <f>MAX(0,(SUMPRODUCT(Oxides_min!$C22:$AW22,Factors!$C$12:$AW$12)+SUMPRODUCT(Oxides_max!$C22:$AW22,Factors!$C$12:$AW$12))/2)</f>
        <v>0.96241904854652582</v>
      </c>
      <c r="F22" s="20">
        <f>MAX(0,(SUMPRODUCT(Oxides_min!$C22:$AW22,Factors!$C$13:$AW$13)+SUMPRODUCT(Oxides_max!$C22:$AW22,Factors!$C$13:$AW$13))/2)</f>
        <v>0</v>
      </c>
      <c r="G22" s="20">
        <f>MAX(0,(SUMPRODUCT(Oxides_min!$C22:$AW22,Factors!$C$14:$AW$14)+SUMPRODUCT(Oxides_max!$C22:$AW22,Factors!$C$14:$AW$14))/2)</f>
        <v>7.8768214029779446E-2</v>
      </c>
      <c r="H22" s="20">
        <f>MAX(0,(SUMPRODUCT(Oxides_min!$C22:$AW22,Factors!$C$15:$AW$15)+SUMPRODUCT(Oxides_max!$C22:$AW22,Factors!$C$15:$AW$15))/2)</f>
        <v>0</v>
      </c>
      <c r="I22" s="20">
        <f>MAX(0,(SUMPRODUCT(Oxides_min!$C22:$AW22,Factors!$C$16:$AW$16)+SUMPRODUCT(Oxides_max!$C22:$AW22,Factors!$C$16:$AW$16))/2)</f>
        <v>4.1891654563536518</v>
      </c>
      <c r="J22" s="20">
        <f>MAX(0,(SUMPRODUCT(Oxides_min!$C22:$AW22,Factors!$C$17:$AW$17)+SUMPRODUCT(Oxides_max!$C22:$AW22,Factors!$C$17:$AW$17))/2)</f>
        <v>0.48403874145079967</v>
      </c>
      <c r="K22" s="20">
        <f>MAX(0,(SUMPRODUCT(Oxides_min!$C22:$AW22,Factors!$C$18:$AW$18)+SUMPRODUCT(Oxides_max!$C22:$AW22,Factors!$C$18:$AW$18))/2)</f>
        <v>0</v>
      </c>
      <c r="L22" s="20">
        <f>MAX(0,(SUMPRODUCT(Oxides_min!$C22:$AW22,Factors!$C$19:$AW$19)+SUMPRODUCT(Oxides_max!$C22:$AW22,Factors!$C$19:$AW$19))/2)</f>
        <v>1.3221873495372432</v>
      </c>
      <c r="M22" s="20">
        <f>MAX(0,(SUMPRODUCT(Oxides_min!$C22:$AW22,Factors!$C$20:$AW$20)+SUMPRODUCT(Oxides_max!$C22:$AW22,Factors!$C$20:$AW$20))/2)</f>
        <v>0</v>
      </c>
      <c r="N22" s="20">
        <f>MAX(0,(SUMPRODUCT(Oxides_min!$C22:$AW22,Factors!$C$21:$AW$21)+SUMPRODUCT(Oxides_max!$C22:$AW22,Factors!$C$21:$AW$21))/2)</f>
        <v>0</v>
      </c>
      <c r="O22" s="20">
        <f>MAX(0,(SUMPRODUCT(Oxides_min!$C22:$AW22,Factors!$C$22:$AW$22)+SUMPRODUCT(Oxides_max!$C22:$AW22,Factors!$C$22:$AW$22))/2)</f>
        <v>0</v>
      </c>
      <c r="P22" s="20">
        <f>MAX(0,(SUMPRODUCT(Oxides_min!$C22:$AW22,Factors!$C$23:$AW$23)+SUMPRODUCT(Oxides_max!$C22:$AW22,Factors!$C$23:$AW$23))/2)</f>
        <v>0</v>
      </c>
      <c r="Q22" s="20">
        <f>MAX(0,(SUMPRODUCT(Oxides_min!$C22:$AW22,Factors!$C$24:$AW$24)+SUMPRODUCT(Oxides_max!$C22:$AW22,Factors!$C$24:$AW$24))/2)</f>
        <v>0</v>
      </c>
      <c r="R22" s="20">
        <f>MAX(0,(SUMPRODUCT(Oxides_min!$C22:$AW22,Factors!$C$25:$AW$25)+SUMPRODUCT(Oxides_max!$C22:$AW22,Factors!$C$25:$AW$25))/2)</f>
        <v>0</v>
      </c>
      <c r="S22" s="20">
        <f>MAX(0,(SUMPRODUCT(Oxides_min!$C22:$AW22,Factors!$C$26:$AW$26)+SUMPRODUCT(Oxides_max!$C22:$AW22,Factors!$C$26:$AW$26))/2)</f>
        <v>10.590598343750262</v>
      </c>
      <c r="T22" s="20">
        <f>MAX(0,(SUMPRODUCT(Oxides_min!$C22:$AW22,Factors!$C$27:$AW$27)+SUMPRODUCT(Oxides_max!$C22:$AW22,Factors!$C$27:$AW$27))/2)</f>
        <v>2.8663988357665593</v>
      </c>
      <c r="U22" s="20">
        <f>MAX(0,(SUMPRODUCT(Oxides_min!$C22:$AW22,Factors!$C$28:$AW$28)+SUMPRODUCT(Oxides_max!$C22:$AW22,Factors!$C$28:$AW$28))/2)</f>
        <v>0</v>
      </c>
      <c r="V22" s="20">
        <f>MAX(0,(SUMPRODUCT(Oxides_min!$C22:$AW22,Factors!$C$29:$AW$29)+SUMPRODUCT(Oxides_max!$C22:$AW22,Factors!$C$29:$AW$29))/2)</f>
        <v>0</v>
      </c>
      <c r="W22" s="20">
        <f>MAX(0,(SUMPRODUCT(Oxides_min!$C22:$AW22,Factors!$C$30:$AW$30)+SUMPRODUCT(Oxides_max!$C22:$AW22,Factors!$C$30:$AW$30))/2)</f>
        <v>0</v>
      </c>
      <c r="X22" s="20">
        <f>MAX(0,(SUMPRODUCT(Oxides_min!$C22:$AW22,Factors!$C$31:$AW$31)+SUMPRODUCT(Oxides_max!$C22:$AW22,Factors!$C$31:$AW$31))/2)</f>
        <v>0</v>
      </c>
      <c r="Y22" s="20">
        <f>MAX(0,(SUMPRODUCT(Oxides_min!$C22:$AW22,Factors!$C$32:$AW$32)+SUMPRODUCT(Oxides_max!$C22:$AW22,Factors!$C$32:$AW$32))/2)</f>
        <v>0</v>
      </c>
      <c r="Z22" s="20">
        <f>MAX(0,(SUMPRODUCT(Oxides_min!$C22:$AW22,Factors!$C$33:$AW$33)+SUMPRODUCT(Oxides_max!$C22:$AW22,Factors!$C$33:$AW$33))/2)</f>
        <v>0.17905079100749377</v>
      </c>
      <c r="AA22" s="20">
        <f>MAX(0,(SUMPRODUCT(Oxides_min!$C22:$AW22,Factors!$C$34:$AW$34)+SUMPRODUCT(Oxides_max!$C22:$AW22,Factors!$C$34:$AW$34))/2)</f>
        <v>0.25</v>
      </c>
      <c r="AB22" s="20">
        <f>MAX(0,(SUMPRODUCT(Oxides_min!$C22:$AW22,Factors!$C$35:$AW$35)+SUMPRODUCT(Oxides_max!$C22:$AW22,Factors!$C$35:$AW$35))/2)</f>
        <v>0</v>
      </c>
      <c r="AC22" s="20">
        <f>MAX(0,(SUMPRODUCT(Oxides_min!$C22:$AW22,Factors!$C$36:$AW$36)+SUMPRODUCT(Oxides_max!$C22:$AW22,Factors!$C$36:$AW$36))/2)</f>
        <v>7.0304947399158522</v>
      </c>
      <c r="AD22" s="20">
        <f>MAX(0,(SUMPRODUCT(Oxides_min!$C22:$AW22,Factors!$C$37:$AW$37)+SUMPRODUCT(Oxides_max!$C22:$AW22,Factors!$C$37:$AW$37))/2)</f>
        <v>0.44075034965959503</v>
      </c>
      <c r="AE22" s="20">
        <f>MAX(0,(SUMPRODUCT(Oxides_min!$C22:$AW22,Factors!$C$38:$AW$38)+SUMPRODUCT(Oxides_max!$C22:$AW22,Factors!$C$38:$AW$38))/2)</f>
        <v>0</v>
      </c>
      <c r="AF22" s="20">
        <f>MAX(0,(SUMPRODUCT(Oxides_min!$C22:$AW22,Factors!$C$39:$AW$39)+SUMPRODUCT(Oxides_max!$C22:$AW22,Factors!$C$39:$AW$39))/2)</f>
        <v>2.4804484575172223</v>
      </c>
      <c r="AG22" s="20">
        <f>MAX(0,(SUMPRODUCT(Oxides_min!$C22:$AW22,Factors!$C$40:$AW$40)+SUMPRODUCT(Oxides_max!$C22:$AW22,Factors!$C$40:$AW$40))/2)</f>
        <v>7.162538445195656</v>
      </c>
      <c r="AH22" s="20">
        <f>MAX(0,(SUMPRODUCT(Oxides_min!$C22:$AW22,Factors!$C$41:$AW$41)+SUMPRODUCT(Oxides_max!$C22:$AW22,Factors!$C$41:$AW$41))/2)</f>
        <v>12.721169671174698</v>
      </c>
      <c r="AI22" s="20">
        <f>MAX(0,(SUMPRODUCT(Oxides_min!$C22:$AW22,Factors!$C$42:$AW$42)+SUMPRODUCT(Oxides_max!$C22:$AW22,Factors!$C$42:$AW$42))/2)</f>
        <v>1.6662199701939575</v>
      </c>
      <c r="AJ22" s="20">
        <f>MAX(0,(SUMPRODUCT(Oxides_min!$C22:$AW22,Factors!$C$43:$AW$43)+SUMPRODUCT(Oxides_max!$C22:$AW22,Factors!$C$43:$AW$43))/2)</f>
        <v>9.3023124634080379</v>
      </c>
      <c r="AK22" s="20">
        <f>MAX(0,(SUMPRODUCT(Oxides_min!$C22:$AW22,Factors!$C$44:$AW$44)+SUMPRODUCT(Oxides_max!$C22:$AW22,Factors!$C$44:$AW$44))/2)</f>
        <v>1.5522501053863162</v>
      </c>
      <c r="AL22" s="20">
        <f>MAX(0,(SUMPRODUCT(Oxides_min!$C22:$AW22,Factors!$C$45:$AW$45)+SUMPRODUCT(Oxides_max!$C22:$AW22,Factors!$C$45:$AW$45))/2)</f>
        <v>0.64771187042693756</v>
      </c>
      <c r="AM22" s="20">
        <f>MAX(0,(SUMPRODUCT(Oxides_min!$C22:$AW22,Factors!$C$46:$AW$46)+SUMPRODUCT(Oxides_max!$C22:$AW22,Factors!$C$46:$AW$46))/2)</f>
        <v>1.3447697498186193</v>
      </c>
      <c r="AN22" s="20">
        <f>MAX(0,(SUMPRODUCT(Oxides_min!$C22:$AW22,Factors!$C$47:$AW$47)+SUMPRODUCT(Oxides_max!$C22:$AW22,Factors!$C$47:$AW$47))/2)</f>
        <v>0</v>
      </c>
      <c r="AO22" s="20">
        <f>MAX(0,(SUMPRODUCT(Oxides_min!$C22:$AW22,Factors!$C$48:$AW$48)+SUMPRODUCT(Oxides_max!$C22:$AW22,Factors!$C$48:$AW$48))/2)</f>
        <v>0.78418861277704643</v>
      </c>
      <c r="AP22" s="20">
        <f>MAX(0,(SUMPRODUCT(Oxides_min!$C22:$AW22,Factors!$C$49:$AW$49)+SUMPRODUCT(Oxides_max!$C22:$AW22,Factors!$C$49:$AW$49))/2)</f>
        <v>0</v>
      </c>
      <c r="AQ22" s="20">
        <f>MAX(0,(SUMPRODUCT(Oxides_min!$C22:$AW22,Factors!$C$50:$AW$50)+SUMPRODUCT(Oxides_max!$C22:$AW22,Factors!$C$50:$AW$50))/2)</f>
        <v>8.7452256774244147E-2</v>
      </c>
      <c r="AR22" s="20">
        <f>MAX(0,(SUMPRODUCT(Oxides_min!$C22:$AW22,Factors!$C$51:$AW$51)+SUMPRODUCT(Oxides_max!$C22:$AW22,Factors!$C$51:$AW$51))/2)</f>
        <v>0</v>
      </c>
      <c r="AS22" s="20">
        <f>MAX(0,(SUMPRODUCT(Oxides_min!$C22:$AW22,Factors!$C$52:$AW$52)+SUMPRODUCT(Oxides_max!$C22:$AW22,Factors!$C$52:$AW$52))/2)</f>
        <v>8.7820709640257108E-2</v>
      </c>
      <c r="AT22" s="20">
        <f>MAX(0,(SUMPRODUCT(Oxides_min!$C22:$AW22,Factors!$C$53:$AW$53)+SUMPRODUCT(Oxides_max!$C22:$AW22,Factors!$C$53:$AW$53))/2)</f>
        <v>0</v>
      </c>
      <c r="AU22" s="20">
        <f>MAX(0,(SUMPRODUCT(Oxides_min!$C22:$AW22,Factors!$C$54:$AW$54)+SUMPRODUCT(Oxides_max!$C22:$AW22,Factors!$C$54:$AW$54))/2)</f>
        <v>0</v>
      </c>
      <c r="AV22" s="18">
        <f t="shared" si="0"/>
        <v>114.86973457411966</v>
      </c>
    </row>
    <row r="23" spans="1:48" x14ac:dyDescent="0.25">
      <c r="A23" s="13" t="s">
        <v>168</v>
      </c>
      <c r="B23" s="20">
        <f>MAX(0,(SUMPRODUCT(Oxides_min!$C23:$AW23,Factors!$C$9:$AW$9)+SUMPRODUCT(Oxides_max!$C23:$AW23,Factors!$C$9:$AW$9))/2)</f>
        <v>27.802523396559131</v>
      </c>
      <c r="C23" s="20">
        <f>MAX(0,(SUMPRODUCT(Oxides_min!$C23:$AW23,Factors!$C$10:$AW$10)+SUMPRODUCT(Oxides_max!$C23:$AW23,Factors!$C$10:$AW$10))/2)</f>
        <v>0.18697468501905701</v>
      </c>
      <c r="D23" s="20">
        <f>MAX(0,(SUMPRODUCT(Oxides_min!$C23:$AW23,Factors!$C$11:$AW$11)+SUMPRODUCT(Oxides_max!$C23:$AW23,Factors!$C$11:$AW$11))/2)</f>
        <v>11.986978025417894</v>
      </c>
      <c r="E23" s="20">
        <f>MAX(0,(SUMPRODUCT(Oxides_min!$C23:$AW23,Factors!$C$12:$AW$12)+SUMPRODUCT(Oxides_max!$C23:$AW23,Factors!$C$12:$AW$12))/2)</f>
        <v>3.7016117251789458E-2</v>
      </c>
      <c r="F23" s="20">
        <f>MAX(0,(SUMPRODUCT(Oxides_min!$C23:$AW23,Factors!$C$13:$AW$13)+SUMPRODUCT(Oxides_max!$C23:$AW23,Factors!$C$13:$AW$13))/2)</f>
        <v>0</v>
      </c>
      <c r="G23" s="20">
        <f>MAX(0,(SUMPRODUCT(Oxides_min!$C23:$AW23,Factors!$C$14:$AW$14)+SUMPRODUCT(Oxides_max!$C23:$AW23,Factors!$C$14:$AW$14))/2)</f>
        <v>0.15753642805955889</v>
      </c>
      <c r="H23" s="20">
        <f>MAX(0,(SUMPRODUCT(Oxides_min!$C23:$AW23,Factors!$C$15:$AW$15)+SUMPRODUCT(Oxides_max!$C23:$AW23,Factors!$C$15:$AW$15))/2)</f>
        <v>3.9694269503150727E-2</v>
      </c>
      <c r="I23" s="20">
        <f>MAX(0,(SUMPRODUCT(Oxides_min!$C23:$AW23,Factors!$C$16:$AW$16)+SUMPRODUCT(Oxides_max!$C23:$AW23,Factors!$C$16:$AW$16))/2)</f>
        <v>0.87825611793295288</v>
      </c>
      <c r="J23" s="20">
        <f>MAX(0,(SUMPRODUCT(Oxides_min!$C23:$AW23,Factors!$C$17:$AW$17)+SUMPRODUCT(Oxides_max!$C23:$AW23,Factors!$C$17:$AW$17))/2)</f>
        <v>0.23233859589638384</v>
      </c>
      <c r="K23" s="20">
        <f>MAX(0,(SUMPRODUCT(Oxides_min!$C23:$AW23,Factors!$C$18:$AW$18)+SUMPRODUCT(Oxides_max!$C23:$AW23,Factors!$C$18:$AW$18))/2)</f>
        <v>4.5228141127431516E-2</v>
      </c>
      <c r="L23" s="20">
        <f>MAX(0,(SUMPRODUCT(Oxides_min!$C23:$AW23,Factors!$C$19:$AW$19)+SUMPRODUCT(Oxides_max!$C23:$AW23,Factors!$C$19:$AW$19))/2)</f>
        <v>1.8224744547675518</v>
      </c>
      <c r="M23" s="20">
        <f>MAX(0,(SUMPRODUCT(Oxides_min!$C23:$AW23,Factors!$C$20:$AW$20)+SUMPRODUCT(Oxides_max!$C23:$AW23,Factors!$C$20:$AW$20))/2)</f>
        <v>0</v>
      </c>
      <c r="N23" s="20">
        <f>MAX(0,(SUMPRODUCT(Oxides_min!$C23:$AW23,Factors!$C$21:$AW$21)+SUMPRODUCT(Oxides_max!$C23:$AW23,Factors!$C$21:$AW$21))/2)</f>
        <v>0</v>
      </c>
      <c r="O23" s="20">
        <f>MAX(0,(SUMPRODUCT(Oxides_min!$C23:$AW23,Factors!$C$22:$AW$22)+SUMPRODUCT(Oxides_max!$C23:$AW23,Factors!$C$22:$AW$22))/2)</f>
        <v>0.27849587139727328</v>
      </c>
      <c r="P23" s="20">
        <f>MAX(0,(SUMPRODUCT(Oxides_min!$C23:$AW23,Factors!$C$23:$AW$23)+SUMPRODUCT(Oxides_max!$C23:$AW23,Factors!$C$23:$AW$23))/2)</f>
        <v>7.4186225794092037E-2</v>
      </c>
      <c r="Q23" s="20">
        <f>MAX(0,(SUMPRODUCT(Oxides_min!$C23:$AW23,Factors!$C$24:$AW$24)+SUMPRODUCT(Oxides_max!$C23:$AW23,Factors!$C$24:$AW$24))/2)</f>
        <v>4.1507565109198313E-2</v>
      </c>
      <c r="R23" s="20">
        <f>MAX(0,(SUMPRODUCT(Oxides_min!$C23:$AW23,Factors!$C$25:$AW$25)+SUMPRODUCT(Oxides_max!$C23:$AW23,Factors!$C$25:$AW$25))/2)</f>
        <v>0</v>
      </c>
      <c r="S23" s="20">
        <f>MAX(0,(SUMPRODUCT(Oxides_min!$C23:$AW23,Factors!$C$26:$AW$26)+SUMPRODUCT(Oxides_max!$C23:$AW23,Factors!$C$26:$AW$26))/2)</f>
        <v>22.369580660066561</v>
      </c>
      <c r="T23" s="20">
        <f>MAX(0,(SUMPRODUCT(Oxides_min!$C23:$AW23,Factors!$C$27:$AW$27)+SUMPRODUCT(Oxides_max!$C23:$AW23,Factors!$C$27:$AW$27))/2)</f>
        <v>6.3470259934830953</v>
      </c>
      <c r="U23" s="20">
        <f>MAX(0,(SUMPRODUCT(Oxides_min!$C23:$AW23,Factors!$C$28:$AW$28)+SUMPRODUCT(Oxides_max!$C23:$AW23,Factors!$C$28:$AW$28))/2)</f>
        <v>0.11894563853051929</v>
      </c>
      <c r="V23" s="20">
        <f>MAX(0,(SUMPRODUCT(Oxides_min!$C23:$AW23,Factors!$C$29:$AW$29)+SUMPRODUCT(Oxides_max!$C23:$AW23,Factors!$C$29:$AW$29))/2)</f>
        <v>0</v>
      </c>
      <c r="W23" s="20">
        <f>MAX(0,(SUMPRODUCT(Oxides_min!$C23:$AW23,Factors!$C$30:$AW$30)+SUMPRODUCT(Oxides_max!$C23:$AW23,Factors!$C$30:$AW$30))/2)</f>
        <v>0</v>
      </c>
      <c r="X23" s="20">
        <f>MAX(0,(SUMPRODUCT(Oxides_min!$C23:$AW23,Factors!$C$31:$AW$31)+SUMPRODUCT(Oxides_max!$C23:$AW23,Factors!$C$31:$AW$31))/2)</f>
        <v>0</v>
      </c>
      <c r="Y23" s="20">
        <f>MAX(0,(SUMPRODUCT(Oxides_min!$C23:$AW23,Factors!$C$32:$AW$32)+SUMPRODUCT(Oxides_max!$C23:$AW23,Factors!$C$32:$AW$32))/2)</f>
        <v>0</v>
      </c>
      <c r="Z23" s="20">
        <f>MAX(0,(SUMPRODUCT(Oxides_min!$C23:$AW23,Factors!$C$33:$AW$33)+SUMPRODUCT(Oxides_max!$C23:$AW23,Factors!$C$33:$AW$33))/2)</f>
        <v>0.16786011656952537</v>
      </c>
      <c r="AA23" s="20">
        <f>MAX(0,(SUMPRODUCT(Oxides_min!$C23:$AW23,Factors!$C$34:$AW$34)+SUMPRODUCT(Oxides_max!$C23:$AW23,Factors!$C$34:$AW$34))/2)</f>
        <v>0</v>
      </c>
      <c r="AB23" s="20">
        <f>MAX(0,(SUMPRODUCT(Oxides_min!$C23:$AW23,Factors!$C$35:$AW$35)+SUMPRODUCT(Oxides_max!$C23:$AW23,Factors!$C$35:$AW$35))/2)</f>
        <v>0</v>
      </c>
      <c r="AC23" s="20">
        <f>MAX(0,(SUMPRODUCT(Oxides_min!$C23:$AW23,Factors!$C$36:$AW$36)+SUMPRODUCT(Oxides_max!$C23:$AW23,Factors!$C$36:$AW$36))/2)</f>
        <v>2.4167325668460742</v>
      </c>
      <c r="AD23" s="20">
        <f>MAX(0,(SUMPRODUCT(Oxides_min!$C23:$AW23,Factors!$C$37:$AW$37)+SUMPRODUCT(Oxides_max!$C23:$AW23,Factors!$C$37:$AW$37))/2)</f>
        <v>5.5975294406768565</v>
      </c>
      <c r="AE23" s="20">
        <f>MAX(0,(SUMPRODUCT(Oxides_min!$C23:$AW23,Factors!$C$38:$AW$38)+SUMPRODUCT(Oxides_max!$C23:$AW23,Factors!$C$38:$AW$38))/2)</f>
        <v>3.2598284362038175E-2</v>
      </c>
      <c r="AF23" s="20">
        <f>MAX(0,(SUMPRODUCT(Oxides_min!$C23:$AW23,Factors!$C$39:$AW$39)+SUMPRODUCT(Oxides_max!$C23:$AW23,Factors!$C$39:$AW$39))/2)</f>
        <v>12.1660091011559</v>
      </c>
      <c r="AG23" s="20">
        <f>MAX(0,(SUMPRODUCT(Oxides_min!$C23:$AW23,Factors!$C$40:$AW$40)+SUMPRODUCT(Oxides_max!$C23:$AW23,Factors!$C$40:$AW$40))/2)</f>
        <v>8.5268314823757824E-2</v>
      </c>
      <c r="AH23" s="20">
        <f>MAX(0,(SUMPRODUCT(Oxides_min!$C23:$AW23,Factors!$C$41:$AW$41)+SUMPRODUCT(Oxides_max!$C23:$AW23,Factors!$C$41:$AW$41))/2)</f>
        <v>0.6830158212711247</v>
      </c>
      <c r="AI23" s="20">
        <f>MAX(0,(SUMPRODUCT(Oxides_min!$C23:$AW23,Factors!$C$42:$AW$42)+SUMPRODUCT(Oxides_max!$C23:$AW23,Factors!$C$42:$AW$42))/2)</f>
        <v>0.12817076693799673</v>
      </c>
      <c r="AJ23" s="20">
        <f>MAX(0,(SUMPRODUCT(Oxides_min!$C23:$AW23,Factors!$C$43:$AW$43)+SUMPRODUCT(Oxides_max!$C23:$AW23,Factors!$C$43:$AW$43))/2)</f>
        <v>0.77162038866979121</v>
      </c>
      <c r="AK23" s="20">
        <f>MAX(0,(SUMPRODUCT(Oxides_min!$C23:$AW23,Factors!$C$44:$AW$44)+SUMPRODUCT(Oxides_max!$C23:$AW23,Factors!$C$44:$AW$44))/2)</f>
        <v>1.0348334035908775</v>
      </c>
      <c r="AL23" s="20">
        <f>MAX(0,(SUMPRODUCT(Oxides_min!$C23:$AW23,Factors!$C$45:$AW$45)+SUMPRODUCT(Oxides_max!$C23:$AW23,Factors!$C$45:$AW$45))/2)</f>
        <v>0.38862712225616247</v>
      </c>
      <c r="AM23" s="20">
        <f>MAX(0,(SUMPRODUCT(Oxides_min!$C23:$AW23,Factors!$C$46:$AW$46)+SUMPRODUCT(Oxides_max!$C23:$AW23,Factors!$C$46:$AW$46))/2)</f>
        <v>1.51828842721457</v>
      </c>
      <c r="AN23" s="20">
        <f>MAX(0,(SUMPRODUCT(Oxides_min!$C23:$AW23,Factors!$C$47:$AW$47)+SUMPRODUCT(Oxides_max!$C23:$AW23,Factors!$C$47:$AW$47))/2)</f>
        <v>0.3258022737330315</v>
      </c>
      <c r="AO23" s="20">
        <f>MAX(0,(SUMPRODUCT(Oxides_min!$C23:$AW23,Factors!$C$48:$AW$48)+SUMPRODUCT(Oxides_max!$C23:$AW23,Factors!$C$48:$AW$48))/2)</f>
        <v>1.8733394638562773</v>
      </c>
      <c r="AP23" s="20">
        <f>MAX(0,(SUMPRODUCT(Oxides_min!$C23:$AW23,Factors!$C$49:$AW$49)+SUMPRODUCT(Oxides_max!$C23:$AW23,Factors!$C$49:$AW$49))/2)</f>
        <v>0.34919039090010773</v>
      </c>
      <c r="AQ23" s="20">
        <f>MAX(0,(SUMPRODUCT(Oxides_min!$C23:$AW23,Factors!$C$50:$AW$50)+SUMPRODUCT(Oxides_max!$C23:$AW23,Factors!$C$50:$AW$50))/2)</f>
        <v>1.0931532096780519</v>
      </c>
      <c r="AR23" s="20">
        <f>MAX(0,(SUMPRODUCT(Oxides_min!$C23:$AW23,Factors!$C$51:$AW$51)+SUMPRODUCT(Oxides_max!$C23:$AW23,Factors!$C$51:$AW$51))/2)</f>
        <v>0.26268362359686837</v>
      </c>
      <c r="AS23" s="20">
        <f>MAX(0,(SUMPRODUCT(Oxides_min!$C23:$AW23,Factors!$C$52:$AW$52)+SUMPRODUCT(Oxides_max!$C23:$AW23,Factors!$C$52:$AW$52))/2)</f>
        <v>1.1416692253233425</v>
      </c>
      <c r="AT23" s="20">
        <f>MAX(0,(SUMPRODUCT(Oxides_min!$C23:$AW23,Factors!$C$53:$AW$53)+SUMPRODUCT(Oxides_max!$C23:$AW23,Factors!$C$53:$AW$53))/2)</f>
        <v>0.21984587262200997</v>
      </c>
      <c r="AU23" s="20">
        <f>MAX(0,(SUMPRODUCT(Oxides_min!$C23:$AW23,Factors!$C$54:$AW$54)+SUMPRODUCT(Oxides_max!$C23:$AW23,Factors!$C$54:$AW$54))/2)</f>
        <v>0</v>
      </c>
      <c r="AV23" s="18">
        <f t="shared" si="0"/>
        <v>102.67500000000005</v>
      </c>
    </row>
    <row r="24" spans="1:48" x14ac:dyDescent="0.25">
      <c r="A24" s="13" t="s">
        <v>170</v>
      </c>
      <c r="B24" s="20">
        <f>MAX(0,(SUMPRODUCT(Oxides_min!$C24:$AW24,Factors!$C$9:$AW$9)+SUMPRODUCT(Oxides_max!$C24:$AW24,Factors!$C$9:$AW$9))/2)</f>
        <v>25.724764127443915</v>
      </c>
      <c r="C24" s="20">
        <f>MAX(0,(SUMPRODUCT(Oxides_min!$C24:$AW24,Factors!$C$10:$AW$10)+SUMPRODUCT(Oxides_max!$C24:$AW24,Factors!$C$10:$AW$10))/2)</f>
        <v>0.23371835627382123</v>
      </c>
      <c r="D24" s="20">
        <f>MAX(0,(SUMPRODUCT(Oxides_min!$C24:$AW24,Factors!$C$11:$AW$11)+SUMPRODUCT(Oxides_max!$C24:$AW24,Factors!$C$11:$AW$11))/2)</f>
        <v>1.5583071433043261</v>
      </c>
      <c r="E24" s="20">
        <f>MAX(0,(SUMPRODUCT(Oxides_min!$C24:$AW24,Factors!$C$12:$AW$12)+SUMPRODUCT(Oxides_max!$C24:$AW24,Factors!$C$12:$AW$12))/2)</f>
        <v>0</v>
      </c>
      <c r="F24" s="20">
        <f>MAX(0,(SUMPRODUCT(Oxides_min!$C24:$AW24,Factors!$C$13:$AW$13)+SUMPRODUCT(Oxides_max!$C24:$AW24,Factors!$C$13:$AW$13))/2)</f>
        <v>0</v>
      </c>
      <c r="G24" s="20">
        <f>MAX(0,(SUMPRODUCT(Oxides_min!$C24:$AW24,Factors!$C$14:$AW$14)+SUMPRODUCT(Oxides_max!$C24:$AW24,Factors!$C$14:$AW$14))/2)</f>
        <v>0.19692053507444859</v>
      </c>
      <c r="H24" s="20">
        <f>MAX(0,(SUMPRODUCT(Oxides_min!$C24:$AW24,Factors!$C$15:$AW$15)+SUMPRODUCT(Oxides_max!$C24:$AW24,Factors!$C$15:$AW$15))/2)</f>
        <v>0</v>
      </c>
      <c r="I24" s="20">
        <f>MAX(0,(SUMPRODUCT(Oxides_min!$C24:$AW24,Factors!$C$16:$AW$16)+SUMPRODUCT(Oxides_max!$C24:$AW24,Factors!$C$16:$AW$16))/2)</f>
        <v>1.7489456322031067</v>
      </c>
      <c r="J24" s="20">
        <f>MAX(0,(SUMPRODUCT(Oxides_min!$C24:$AW24,Factors!$C$17:$AW$17)+SUMPRODUCT(Oxides_max!$C24:$AW24,Factors!$C$17:$AW$17))/2)</f>
        <v>0</v>
      </c>
      <c r="K24" s="20">
        <f>MAX(0,(SUMPRODUCT(Oxides_min!$C24:$AW24,Factors!$C$18:$AW$18)+SUMPRODUCT(Oxides_max!$C24:$AW24,Factors!$C$18:$AW$18))/2)</f>
        <v>0</v>
      </c>
      <c r="L24" s="20">
        <f>MAX(0,(SUMPRODUCT(Oxides_min!$C24:$AW24,Factors!$C$19:$AW$19)+SUMPRODUCT(Oxides_max!$C24:$AW24,Factors!$C$19:$AW$19))/2)</f>
        <v>0.82190024430693498</v>
      </c>
      <c r="M24" s="20">
        <f>MAX(0,(SUMPRODUCT(Oxides_min!$C24:$AW24,Factors!$C$20:$AW$20)+SUMPRODUCT(Oxides_max!$C24:$AW24,Factors!$C$20:$AW$20))/2)</f>
        <v>0</v>
      </c>
      <c r="N24" s="20">
        <f>MAX(0,(SUMPRODUCT(Oxides_min!$C24:$AW24,Factors!$C$21:$AW$21)+SUMPRODUCT(Oxides_max!$C24:$AW24,Factors!$C$21:$AW$21))/2)</f>
        <v>0</v>
      </c>
      <c r="O24" s="20">
        <f>MAX(0,(SUMPRODUCT(Oxides_min!$C24:$AW24,Factors!$C$22:$AW$22)+SUMPRODUCT(Oxides_max!$C24:$AW24,Factors!$C$22:$AW$22))/2)</f>
        <v>0</v>
      </c>
      <c r="P24" s="20">
        <f>MAX(0,(SUMPRODUCT(Oxides_min!$C24:$AW24,Factors!$C$23:$AW$23)+SUMPRODUCT(Oxides_max!$C24:$AW24,Factors!$C$23:$AW$23))/2)</f>
        <v>0</v>
      </c>
      <c r="Q24" s="20">
        <f>MAX(0,(SUMPRODUCT(Oxides_min!$C24:$AW24,Factors!$C$24:$AW$24)+SUMPRODUCT(Oxides_max!$C24:$AW24,Factors!$C$24:$AW$24))/2)</f>
        <v>0</v>
      </c>
      <c r="R24" s="20">
        <f>MAX(0,(SUMPRODUCT(Oxides_min!$C24:$AW24,Factors!$C$25:$AW$25)+SUMPRODUCT(Oxides_max!$C24:$AW24,Factors!$C$25:$AW$25))/2)</f>
        <v>0</v>
      </c>
      <c r="S24" s="20">
        <f>MAX(0,(SUMPRODUCT(Oxides_min!$C24:$AW24,Factors!$C$26:$AW$26)+SUMPRODUCT(Oxides_max!$C24:$AW24,Factors!$C$26:$AW$26))/2)</f>
        <v>30.583411058684753</v>
      </c>
      <c r="T24" s="20">
        <f>MAX(0,(SUMPRODUCT(Oxides_min!$C24:$AW24,Factors!$C$27:$AW$27)+SUMPRODUCT(Oxides_max!$C24:$AW24,Factors!$C$27:$AW$27))/2)</f>
        <v>2.5797589521899034</v>
      </c>
      <c r="U24" s="20">
        <f>MAX(0,(SUMPRODUCT(Oxides_min!$C24:$AW24,Factors!$C$28:$AW$28)+SUMPRODUCT(Oxides_max!$C24:$AW24,Factors!$C$28:$AW$28))/2)</f>
        <v>7.9297092353679544E-2</v>
      </c>
      <c r="V24" s="20">
        <f>MAX(0,(SUMPRODUCT(Oxides_min!$C24:$AW24,Factors!$C$29:$AW$29)+SUMPRODUCT(Oxides_max!$C24:$AW24,Factors!$C$29:$AW$29))/2)</f>
        <v>0</v>
      </c>
      <c r="W24" s="20">
        <f>MAX(0,(SUMPRODUCT(Oxides_min!$C24:$AW24,Factors!$C$30:$AW$30)+SUMPRODUCT(Oxides_max!$C24:$AW24,Factors!$C$30:$AW$30))/2)</f>
        <v>0</v>
      </c>
      <c r="X24" s="20">
        <f>MAX(0,(SUMPRODUCT(Oxides_min!$C24:$AW24,Factors!$C$31:$AW$31)+SUMPRODUCT(Oxides_max!$C24:$AW24,Factors!$C$31:$AW$31))/2)</f>
        <v>0</v>
      </c>
      <c r="Y24" s="20">
        <f>MAX(0,(SUMPRODUCT(Oxides_min!$C24:$AW24,Factors!$C$32:$AW$32)+SUMPRODUCT(Oxides_max!$C24:$AW24,Factors!$C$32:$AW$32))/2)</f>
        <v>0</v>
      </c>
      <c r="Z24" s="20">
        <f>MAX(0,(SUMPRODUCT(Oxides_min!$C24:$AW24,Factors!$C$33:$AW$33)+SUMPRODUCT(Oxides_max!$C24:$AW24,Factors!$C$33:$AW$33))/2)</f>
        <v>0.11190674437968359</v>
      </c>
      <c r="AA24" s="20">
        <f>MAX(0,(SUMPRODUCT(Oxides_min!$C24:$AW24,Factors!$C$34:$AW$34)+SUMPRODUCT(Oxides_max!$C24:$AW24,Factors!$C$34:$AW$34))/2)</f>
        <v>0</v>
      </c>
      <c r="AB24" s="20">
        <f>MAX(0,(SUMPRODUCT(Oxides_min!$C24:$AW24,Factors!$C$35:$AW$35)+SUMPRODUCT(Oxides_max!$C24:$AW24,Factors!$C$35:$AW$35))/2)</f>
        <v>0</v>
      </c>
      <c r="AC24" s="20">
        <f>MAX(0,(SUMPRODUCT(Oxides_min!$C24:$AW24,Factors!$C$36:$AW$36)+SUMPRODUCT(Oxides_max!$C24:$AW24,Factors!$C$36:$AW$36))/2)</f>
        <v>2.7243167117173925</v>
      </c>
      <c r="AD24" s="20">
        <f>MAX(0,(SUMPRODUCT(Oxides_min!$C24:$AW24,Factors!$C$37:$AW$37)+SUMPRODUCT(Oxides_max!$C24:$AW24,Factors!$C$37:$AW$37))/2)</f>
        <v>2.0979716643796724</v>
      </c>
      <c r="AE24" s="20">
        <f>MAX(0,(SUMPRODUCT(Oxides_min!$C24:$AW24,Factors!$C$38:$AW$38)+SUMPRODUCT(Oxides_max!$C24:$AW24,Factors!$C$38:$AW$38))/2)</f>
        <v>0</v>
      </c>
      <c r="AF24" s="20">
        <f>MAX(0,(SUMPRODUCT(Oxides_min!$C24:$AW24,Factors!$C$39:$AW$39)+SUMPRODUCT(Oxides_max!$C24:$AW24,Factors!$C$39:$AW$39))/2)</f>
        <v>20.079820846567991</v>
      </c>
      <c r="AG24" s="20">
        <f>MAX(0,(SUMPRODUCT(Oxides_min!$C24:$AW24,Factors!$C$40:$AW$40)+SUMPRODUCT(Oxides_max!$C24:$AW24,Factors!$C$40:$AW$40))/2)</f>
        <v>8.5268314823757824E-2</v>
      </c>
      <c r="AH24" s="20">
        <f>MAX(0,(SUMPRODUCT(Oxides_min!$C24:$AW24,Factors!$C$41:$AW$41)+SUMPRODUCT(Oxides_max!$C24:$AW24,Factors!$C$41:$AW$41))/2)</f>
        <v>1.0672122207361323</v>
      </c>
      <c r="AI24" s="20">
        <f>MAX(0,(SUMPRODUCT(Oxides_min!$C24:$AW24,Factors!$C$42:$AW$42)+SUMPRODUCT(Oxides_max!$C24:$AW24,Factors!$C$42:$AW$42))/2)</f>
        <v>0.19652850930492832</v>
      </c>
      <c r="AJ24" s="20">
        <f>MAX(0,(SUMPRODUCT(Oxides_min!$C24:$AW24,Factors!$C$43:$AW$43)+SUMPRODUCT(Oxides_max!$C24:$AW24,Factors!$C$43:$AW$43))/2)</f>
        <v>1.9290509716744779</v>
      </c>
      <c r="AK24" s="20">
        <f>MAX(0,(SUMPRODUCT(Oxides_min!$C24:$AW24,Factors!$C$44:$AW$44)+SUMPRODUCT(Oxides_max!$C24:$AW24,Factors!$C$44:$AW$44))/2)</f>
        <v>1.0779514620738306</v>
      </c>
      <c r="AL24" s="20">
        <f>MAX(0,(SUMPRODUCT(Oxides_min!$C24:$AW24,Factors!$C$45:$AW$45)+SUMPRODUCT(Oxides_max!$C24:$AW24,Factors!$C$45:$AW$45))/2)</f>
        <v>6.4771187042693745E-2</v>
      </c>
      <c r="AM24" s="20">
        <f>MAX(0,(SUMPRODUCT(Oxides_min!$C24:$AW24,Factors!$C$46:$AW$46)+SUMPRODUCT(Oxides_max!$C24:$AW24,Factors!$C$46:$AW$46))/2)</f>
        <v>1.8653257820064719</v>
      </c>
      <c r="AN24" s="20">
        <f>MAX(0,(SUMPRODUCT(Oxides_min!$C24:$AW24,Factors!$C$47:$AW$47)+SUMPRODUCT(Oxides_max!$C24:$AW24,Factors!$C$47:$AW$47))/2)</f>
        <v>0.47784333480844621</v>
      </c>
      <c r="AO24" s="20">
        <f>MAX(0,(SUMPRODUCT(Oxides_min!$C24:$AW24,Factors!$C$48:$AW$48)+SUMPRODUCT(Oxides_max!$C24:$AW24,Factors!$C$48:$AW$48))/2)</f>
        <v>4.0952072000579092</v>
      </c>
      <c r="AP24" s="20">
        <f>MAX(0,(SUMPRODUCT(Oxides_min!$C24:$AW24,Factors!$C$49:$AW$49)+SUMPRODUCT(Oxides_max!$C24:$AW24,Factors!$C$49:$AW$49))/2)</f>
        <v>0.9384491755440395</v>
      </c>
      <c r="AQ24" s="20">
        <f>MAX(0,(SUMPRODUCT(Oxides_min!$C24:$AW24,Factors!$C$50:$AW$50)+SUMPRODUCT(Oxides_max!$C24:$AW24,Factors!$C$50:$AW$50))/2)</f>
        <v>2.7984722167758127</v>
      </c>
      <c r="AR24" s="20">
        <f>MAX(0,(SUMPRODUCT(Oxides_min!$C24:$AW24,Factors!$C$51:$AW$51)+SUMPRODUCT(Oxides_max!$C24:$AW24,Factors!$C$51:$AW$51))/2)</f>
        <v>0.48158664326092537</v>
      </c>
      <c r="AS24" s="20">
        <f>MAX(0,(SUMPRODUCT(Oxides_min!$C24:$AW24,Factors!$C$52:$AW$52)+SUMPRODUCT(Oxides_max!$C24:$AW24,Factors!$C$52:$AW$52))/2)</f>
        <v>3.3810973211498982</v>
      </c>
      <c r="AT24" s="20">
        <f>MAX(0,(SUMPRODUCT(Oxides_min!$C24:$AW24,Factors!$C$53:$AW$53)+SUMPRODUCT(Oxides_max!$C24:$AW24,Factors!$C$53:$AW$53))/2)</f>
        <v>0.2901965518610532</v>
      </c>
      <c r="AU24" s="20">
        <f>MAX(0,(SUMPRODUCT(Oxides_min!$C24:$AW24,Factors!$C$54:$AW$54)+SUMPRODUCT(Oxides_max!$C24:$AW24,Factors!$C$54:$AW$54))/2)</f>
        <v>0</v>
      </c>
      <c r="AV24" s="18">
        <f t="shared" si="0"/>
        <v>107.29</v>
      </c>
    </row>
    <row r="25" spans="1:48" x14ac:dyDescent="0.25">
      <c r="A25" s="13" t="s">
        <v>172</v>
      </c>
      <c r="B25" s="20">
        <f>MAX(0,(SUMPRODUCT(Oxides_min!$C25:$AW25,Factors!$C$9:$AW$9)+SUMPRODUCT(Oxides_max!$C25:$AW25,Factors!$C$9:$AW$9))/2)</f>
        <v>28.641402049273466</v>
      </c>
      <c r="C25" s="20">
        <f>MAX(0,(SUMPRODUCT(Oxides_min!$C25:$AW25,Factors!$C$10:$AW$10)+SUMPRODUCT(Oxides_max!$C25:$AW25,Factors!$C$10:$AW$10))/2)</f>
        <v>9.3487342509528504E-2</v>
      </c>
      <c r="D25" s="20">
        <f>MAX(0,(SUMPRODUCT(Oxides_min!$C25:$AW25,Factors!$C$11:$AW$11)+SUMPRODUCT(Oxides_max!$C25:$AW25,Factors!$C$11:$AW$11))/2)</f>
        <v>23.374607149564895</v>
      </c>
      <c r="E25" s="20">
        <f>MAX(0,(SUMPRODUCT(Oxides_min!$C25:$AW25,Factors!$C$12:$AW$12)+SUMPRODUCT(Oxides_max!$C25:$AW25,Factors!$C$12:$AW$12))/2)</f>
        <v>7.4032234503578917E-2</v>
      </c>
      <c r="F25" s="20">
        <f>MAX(0,(SUMPRODUCT(Oxides_min!$C25:$AW25,Factors!$C$13:$AW$13)+SUMPRODUCT(Oxides_max!$C25:$AW25,Factors!$C$13:$AW$13))/2)</f>
        <v>0</v>
      </c>
      <c r="G25" s="20">
        <f>MAX(0,(SUMPRODUCT(Oxides_min!$C25:$AW25,Factors!$C$14:$AW$14)+SUMPRODUCT(Oxides_max!$C25:$AW25,Factors!$C$14:$AW$14))/2)</f>
        <v>0</v>
      </c>
      <c r="H25" s="20">
        <f>MAX(0,(SUMPRODUCT(Oxides_min!$C25:$AW25,Factors!$C$15:$AW$15)+SUMPRODUCT(Oxides_max!$C25:$AW25,Factors!$C$15:$AW$15))/2)</f>
        <v>5.2925692670867643E-2</v>
      </c>
      <c r="I25" s="20">
        <f>MAX(0,(SUMPRODUCT(Oxides_min!$C25:$AW25,Factors!$C$16:$AW$16)+SUMPRODUCT(Oxides_max!$C25:$AW25,Factors!$C$16:$AW$16))/2)</f>
        <v>0.5596183548687339</v>
      </c>
      <c r="J25" s="20">
        <f>MAX(0,(SUMPRODUCT(Oxides_min!$C25:$AW25,Factors!$C$17:$AW$17)+SUMPRODUCT(Oxides_max!$C25:$AW25,Factors!$C$17:$AW$17))/2)</f>
        <v>0</v>
      </c>
      <c r="K25" s="20">
        <f>MAX(0,(SUMPRODUCT(Oxides_min!$C25:$AW25,Factors!$C$18:$AW$18)+SUMPRODUCT(Oxides_max!$C25:$AW25,Factors!$C$18:$AW$18))/2)</f>
        <v>0</v>
      </c>
      <c r="L25" s="20">
        <f>MAX(0,(SUMPRODUCT(Oxides_min!$C25:$AW25,Factors!$C$19:$AW$19)+SUMPRODUCT(Oxides_max!$C25:$AW25,Factors!$C$19:$AW$19))/2)</f>
        <v>2.1798223870749145</v>
      </c>
      <c r="M25" s="20">
        <f>MAX(0,(SUMPRODUCT(Oxides_min!$C25:$AW25,Factors!$C$20:$AW$20)+SUMPRODUCT(Oxides_max!$C25:$AW25,Factors!$C$20:$AW$20))/2)</f>
        <v>3.3823912602901016</v>
      </c>
      <c r="N25" s="20">
        <f>MAX(0,(SUMPRODUCT(Oxides_min!$C25:$AW25,Factors!$C$21:$AW$21)+SUMPRODUCT(Oxides_max!$C25:$AW25,Factors!$C$21:$AW$21))/2)</f>
        <v>0</v>
      </c>
      <c r="O25" s="20">
        <f>MAX(0,(SUMPRODUCT(Oxides_min!$C25:$AW25,Factors!$C$22:$AW$22)+SUMPRODUCT(Oxides_max!$C25:$AW25,Factors!$C$22:$AW$22))/2)</f>
        <v>0</v>
      </c>
      <c r="P25" s="20">
        <f>MAX(0,(SUMPRODUCT(Oxides_min!$C25:$AW25,Factors!$C$23:$AW$23)+SUMPRODUCT(Oxides_max!$C25:$AW25,Factors!$C$23:$AW$23))/2)</f>
        <v>6.6767603214682829</v>
      </c>
      <c r="Q25" s="20">
        <f>MAX(0,(SUMPRODUCT(Oxides_min!$C25:$AW25,Factors!$C$24:$AW$24)+SUMPRODUCT(Oxides_max!$C25:$AW25,Factors!$C$24:$AW$24))/2)</f>
        <v>6.2261347663797456E-2</v>
      </c>
      <c r="R25" s="20">
        <f>MAX(0,(SUMPRODUCT(Oxides_min!$C25:$AW25,Factors!$C$25:$AW$25)+SUMPRODUCT(Oxides_max!$C25:$AW25,Factors!$C$25:$AW$25))/2)</f>
        <v>0</v>
      </c>
      <c r="S25" s="20">
        <f>MAX(0,(SUMPRODUCT(Oxides_min!$C25:$AW25,Factors!$C$26:$AW$26)+SUMPRODUCT(Oxides_max!$C25:$AW25,Factors!$C$26:$AW$26))/2)</f>
        <v>7.3050661843029863</v>
      </c>
      <c r="T25" s="20">
        <f>MAX(0,(SUMPRODUCT(Oxides_min!$C25:$AW25,Factors!$C$27:$AW$27)+SUMPRODUCT(Oxides_max!$C25:$AW25,Factors!$C$27:$AW$27))/2)</f>
        <v>0.49138265755998156</v>
      </c>
      <c r="U25" s="20">
        <f>MAX(0,(SUMPRODUCT(Oxides_min!$C25:$AW25,Factors!$C$28:$AW$28)+SUMPRODUCT(Oxides_max!$C25:$AW25,Factors!$C$28:$AW$28))/2)</f>
        <v>0</v>
      </c>
      <c r="V25" s="20">
        <f>MAX(0,(SUMPRODUCT(Oxides_min!$C25:$AW25,Factors!$C$29:$AW$29)+SUMPRODUCT(Oxides_max!$C25:$AW25,Factors!$C$29:$AW$29))/2)</f>
        <v>0</v>
      </c>
      <c r="W25" s="20">
        <f>MAX(0,(SUMPRODUCT(Oxides_min!$C25:$AW25,Factors!$C$30:$AW$30)+SUMPRODUCT(Oxides_max!$C25:$AW25,Factors!$C$30:$AW$30))/2)</f>
        <v>0</v>
      </c>
      <c r="X25" s="20">
        <f>MAX(0,(SUMPRODUCT(Oxides_min!$C25:$AW25,Factors!$C$31:$AW$31)+SUMPRODUCT(Oxides_max!$C25:$AW25,Factors!$C$31:$AW$31))/2)</f>
        <v>0</v>
      </c>
      <c r="Y25" s="20">
        <f>MAX(0,(SUMPRODUCT(Oxides_min!$C25:$AW25,Factors!$C$32:$AW$32)+SUMPRODUCT(Oxides_max!$C25:$AW25,Factors!$C$32:$AW$32))/2)</f>
        <v>0</v>
      </c>
      <c r="Z25" s="20">
        <f>MAX(0,(SUMPRODUCT(Oxides_min!$C25:$AW25,Factors!$C$33:$AW$33)+SUMPRODUCT(Oxides_max!$C25:$AW25,Factors!$C$33:$AW$33))/2)</f>
        <v>0</v>
      </c>
      <c r="AA25" s="20">
        <f>MAX(0,(SUMPRODUCT(Oxides_min!$C25:$AW25,Factors!$C$34:$AW$34)+SUMPRODUCT(Oxides_max!$C25:$AW25,Factors!$C$34:$AW$34))/2)</f>
        <v>0.05</v>
      </c>
      <c r="AB25" s="20">
        <f>MAX(0,(SUMPRODUCT(Oxides_min!$C25:$AW25,Factors!$C$35:$AW$35)+SUMPRODUCT(Oxides_max!$C25:$AW25,Factors!$C$35:$AW$35))/2)</f>
        <v>0</v>
      </c>
      <c r="AC25" s="20">
        <f>MAX(0,(SUMPRODUCT(Oxides_min!$C25:$AW25,Factors!$C$36:$AW$36)+SUMPRODUCT(Oxides_max!$C25:$AW25,Factors!$C$36:$AW$36))/2)</f>
        <v>2.3288513825971262</v>
      </c>
      <c r="AD25" s="20">
        <f>MAX(0,(SUMPRODUCT(Oxides_min!$C25:$AW25,Factors!$C$37:$AW$37)+SUMPRODUCT(Oxides_max!$C25:$AW25,Factors!$C$37:$AW$37))/2)</f>
        <v>0.14985511888426231</v>
      </c>
      <c r="AE25" s="20">
        <f>MAX(0,(SUMPRODUCT(Oxides_min!$C25:$AW25,Factors!$C$38:$AW$38)+SUMPRODUCT(Oxides_max!$C25:$AW25,Factors!$C$38:$AW$38))/2)</f>
        <v>0</v>
      </c>
      <c r="AF25" s="20">
        <f>MAX(0,(SUMPRODUCT(Oxides_min!$C25:$AW25,Factors!$C$39:$AW$39)+SUMPRODUCT(Oxides_max!$C25:$AW25,Factors!$C$39:$AW$39))/2)</f>
        <v>0</v>
      </c>
      <c r="AG25" s="20">
        <f>MAX(0,(SUMPRODUCT(Oxides_min!$C25:$AW25,Factors!$C$40:$AW$40)+SUMPRODUCT(Oxides_max!$C25:$AW25,Factors!$C$40:$AW$40))/2)</f>
        <v>9.0384413713183296</v>
      </c>
      <c r="AH25" s="20">
        <f>MAX(0,(SUMPRODUCT(Oxides_min!$C25:$AW25,Factors!$C$41:$AW$41)+SUMPRODUCT(Oxides_max!$C25:$AW25,Factors!$C$41:$AW$41))/2)</f>
        <v>15.880117844553649</v>
      </c>
      <c r="AI25" s="20">
        <f>MAX(0,(SUMPRODUCT(Oxides_min!$C25:$AW25,Factors!$C$42:$AW$42)+SUMPRODUCT(Oxides_max!$C25:$AW25,Factors!$C$42:$AW$42))/2)</f>
        <v>1.6234963812146253</v>
      </c>
      <c r="AJ25" s="20">
        <f>MAX(0,(SUMPRODUCT(Oxides_min!$C25:$AW25,Factors!$C$43:$AW$43)+SUMPRODUCT(Oxides_max!$C25:$AW25,Factors!$C$43:$AW$43))/2)</f>
        <v>3.9438375420900433</v>
      </c>
      <c r="AK25" s="20">
        <f>MAX(0,(SUMPRODUCT(Oxides_min!$C25:$AW25,Factors!$C$44:$AW$44)+SUMPRODUCT(Oxides_max!$C25:$AW25,Factors!$C$44:$AW$44))/2)</f>
        <v>0.21559029241476613</v>
      </c>
      <c r="AL25" s="20">
        <f>MAX(0,(SUMPRODUCT(Oxides_min!$C25:$AW25,Factors!$C$45:$AW$45)+SUMPRODUCT(Oxides_max!$C25:$AW25,Factors!$C$45:$AW$45))/2)</f>
        <v>0</v>
      </c>
      <c r="AM25" s="20">
        <f>MAX(0,(SUMPRODUCT(Oxides_min!$C25:$AW25,Factors!$C$46:$AW$46)+SUMPRODUCT(Oxides_max!$C25:$AW25,Factors!$C$46:$AW$46))/2)</f>
        <v>0</v>
      </c>
      <c r="AN25" s="20">
        <f>MAX(0,(SUMPRODUCT(Oxides_min!$C25:$AW25,Factors!$C$47:$AW$47)+SUMPRODUCT(Oxides_max!$C25:$AW25,Factors!$C$47:$AW$47))/2)</f>
        <v>0</v>
      </c>
      <c r="AO25" s="20">
        <f>MAX(0,(SUMPRODUCT(Oxides_min!$C25:$AW25,Factors!$C$48:$AW$48)+SUMPRODUCT(Oxides_max!$C25:$AW25,Factors!$C$48:$AW$48))/2)</f>
        <v>0</v>
      </c>
      <c r="AP25" s="20">
        <f>MAX(0,(SUMPRODUCT(Oxides_min!$C25:$AW25,Factors!$C$49:$AW$49)+SUMPRODUCT(Oxides_max!$C25:$AW25,Factors!$C$49:$AW$49))/2)</f>
        <v>0</v>
      </c>
      <c r="AQ25" s="20">
        <f>MAX(0,(SUMPRODUCT(Oxides_min!$C25:$AW25,Factors!$C$50:$AW$50)+SUMPRODUCT(Oxides_max!$C25:$AW25,Factors!$C$50:$AW$50))/2)</f>
        <v>0</v>
      </c>
      <c r="AR25" s="20">
        <f>MAX(0,(SUMPRODUCT(Oxides_min!$C25:$AW25,Factors!$C$51:$AW$51)+SUMPRODUCT(Oxides_max!$C25:$AW25,Factors!$C$51:$AW$51))/2)</f>
        <v>0</v>
      </c>
      <c r="AS25" s="20">
        <f>MAX(0,(SUMPRODUCT(Oxides_min!$C25:$AW25,Factors!$C$52:$AW$52)+SUMPRODUCT(Oxides_max!$C25:$AW25,Factors!$C$52:$AW$52))/2)</f>
        <v>0</v>
      </c>
      <c r="AT25" s="20">
        <f>MAX(0,(SUMPRODUCT(Oxides_min!$C25:$AW25,Factors!$C$53:$AW$53)+SUMPRODUCT(Oxides_max!$C25:$AW25,Factors!$C$53:$AW$53))/2)</f>
        <v>0</v>
      </c>
      <c r="AU25" s="20">
        <f>MAX(0,(SUMPRODUCT(Oxides_min!$C25:$AW25,Factors!$C$54:$AW$54)+SUMPRODUCT(Oxides_max!$C25:$AW25,Factors!$C$54:$AW$54))/2)</f>
        <v>0</v>
      </c>
      <c r="AV25" s="18">
        <f t="shared" si="0"/>
        <v>106.1239469148239</v>
      </c>
    </row>
    <row r="26" spans="1:48" x14ac:dyDescent="0.25">
      <c r="A26" s="13" t="s">
        <v>174</v>
      </c>
      <c r="B26" s="20">
        <f>MAX(0,(SUMPRODUCT(Oxides_min!$C26:$AW26,Factors!$C$9:$AW$9)+SUMPRODUCT(Oxides_max!$C26:$AW26,Factors!$C$9:$AW$9))/2)</f>
        <v>23.986770700123632</v>
      </c>
      <c r="C26" s="20">
        <f>MAX(0,(SUMPRODUCT(Oxides_min!$C26:$AW26,Factors!$C$10:$AW$10)+SUMPRODUCT(Oxides_max!$C26:$AW26,Factors!$C$10:$AW$10))/2)</f>
        <v>0.11685917813691062</v>
      </c>
      <c r="D26" s="20">
        <f>MAX(0,(SUMPRODUCT(Oxides_min!$C26:$AW26,Factors!$C$11:$AW$11)+SUMPRODUCT(Oxides_max!$C26:$AW26,Factors!$C$11:$AW$11))/2)</f>
        <v>2.0078188192574973</v>
      </c>
      <c r="E26" s="20">
        <f>MAX(0,(SUMPRODUCT(Oxides_min!$C26:$AW26,Factors!$C$12:$AW$12)+SUMPRODUCT(Oxides_max!$C26:$AW26,Factors!$C$12:$AW$12))/2)</f>
        <v>0.40717728976968404</v>
      </c>
      <c r="F26" s="20">
        <f>MAX(0,(SUMPRODUCT(Oxides_min!$C26:$AW26,Factors!$C$13:$AW$13)+SUMPRODUCT(Oxides_max!$C26:$AW26,Factors!$C$13:$AW$13))/2)</f>
        <v>0</v>
      </c>
      <c r="G26" s="20">
        <f>MAX(0,(SUMPRODUCT(Oxides_min!$C26:$AW26,Factors!$C$14:$AW$14)+SUMPRODUCT(Oxides_max!$C26:$AW26,Factors!$C$14:$AW$14))/2)</f>
        <v>0.78768214029779438</v>
      </c>
      <c r="H26" s="20">
        <f>MAX(0,(SUMPRODUCT(Oxides_min!$C26:$AW26,Factors!$C$15:$AW$15)+SUMPRODUCT(Oxides_max!$C26:$AW26,Factors!$C$15:$AW$15))/2)</f>
        <v>7.9388539006301453E-2</v>
      </c>
      <c r="I26" s="20">
        <f>MAX(0,(SUMPRODUCT(Oxides_min!$C26:$AW26,Factors!$C$16:$AW$16)+SUMPRODUCT(Oxides_max!$C26:$AW26,Factors!$C$16:$AW$16))/2)</f>
        <v>7.6521589284156128</v>
      </c>
      <c r="J26" s="20">
        <f>MAX(0,(SUMPRODUCT(Oxides_min!$C26:$AW26,Factors!$C$17:$AW$17)+SUMPRODUCT(Oxides_max!$C26:$AW26,Factors!$C$17:$AW$17))/2)</f>
        <v>0.77446198632127961</v>
      </c>
      <c r="K26" s="20">
        <f>MAX(0,(SUMPRODUCT(Oxides_min!$C26:$AW26,Factors!$C$18:$AW$18)+SUMPRODUCT(Oxides_max!$C26:$AW26,Factors!$C$18:$AW$18))/2)</f>
        <v>0.12060837633981739</v>
      </c>
      <c r="L26" s="20">
        <f>MAX(0,(SUMPRODUCT(Oxides_min!$C26:$AW26,Factors!$C$19:$AW$19)+SUMPRODUCT(Oxides_max!$C26:$AW26,Factors!$C$19:$AW$19))/2)</f>
        <v>0.45383187403035108</v>
      </c>
      <c r="M26" s="20">
        <f>MAX(0,(SUMPRODUCT(Oxides_min!$C26:$AW26,Factors!$C$20:$AW$20)+SUMPRODUCT(Oxides_max!$C26:$AW26,Factors!$C$20:$AW$20))/2)</f>
        <v>0</v>
      </c>
      <c r="N26" s="20">
        <f>MAX(0,(SUMPRODUCT(Oxides_min!$C26:$AW26,Factors!$C$21:$AW$21)+SUMPRODUCT(Oxides_max!$C26:$AW26,Factors!$C$21:$AW$21))/2)</f>
        <v>0</v>
      </c>
      <c r="O26" s="20">
        <f>MAX(0,(SUMPRODUCT(Oxides_min!$C26:$AW26,Factors!$C$22:$AW$22)+SUMPRODUCT(Oxides_max!$C26:$AW26,Factors!$C$22:$AW$22))/2)</f>
        <v>9.2831957132424425E-2</v>
      </c>
      <c r="P26" s="20">
        <f>MAX(0,(SUMPRODUCT(Oxides_min!$C26:$AW26,Factors!$C$23:$AW$23)+SUMPRODUCT(Oxides_max!$C26:$AW26,Factors!$C$23:$AW$23))/2)</f>
        <v>0.11127933869113804</v>
      </c>
      <c r="Q26" s="20">
        <f>MAX(0,(SUMPRODUCT(Oxides_min!$C26:$AW26,Factors!$C$24:$AW$24)+SUMPRODUCT(Oxides_max!$C26:$AW26,Factors!$C$24:$AW$24))/2)</f>
        <v>8.3015130218396627E-2</v>
      </c>
      <c r="R26" s="20">
        <f>MAX(0,(SUMPRODUCT(Oxides_min!$C26:$AW26,Factors!$C$25:$AW$25)+SUMPRODUCT(Oxides_max!$C26:$AW26,Factors!$C$25:$AW$25))/2)</f>
        <v>0</v>
      </c>
      <c r="S26" s="20">
        <f>MAX(0,(SUMPRODUCT(Oxides_min!$C26:$AW26,Factors!$C$26:$AW$26)+SUMPRODUCT(Oxides_max!$C26:$AW26,Factors!$C$26:$AW$26))/2)</f>
        <v>22.369580660066561</v>
      </c>
      <c r="T26" s="20">
        <f>MAX(0,(SUMPRODUCT(Oxides_min!$C26:$AW26,Factors!$C$27:$AW$27)+SUMPRODUCT(Oxides_max!$C26:$AW26,Factors!$C$27:$AW$27))/2)</f>
        <v>13.513023082899494</v>
      </c>
      <c r="U26" s="20">
        <f>MAX(0,(SUMPRODUCT(Oxides_min!$C26:$AW26,Factors!$C$28:$AW$28)+SUMPRODUCT(Oxides_max!$C26:$AW26,Factors!$C$28:$AW$28))/2)</f>
        <v>1.6652389394272702</v>
      </c>
      <c r="V26" s="20">
        <f>MAX(0,(SUMPRODUCT(Oxides_min!$C26:$AW26,Factors!$C$29:$AW$29)+SUMPRODUCT(Oxides_max!$C26:$AW26,Factors!$C$29:$AW$29))/2)</f>
        <v>0</v>
      </c>
      <c r="W26" s="20">
        <f>MAX(0,(SUMPRODUCT(Oxides_min!$C26:$AW26,Factors!$C$30:$AW$30)+SUMPRODUCT(Oxides_max!$C26:$AW26,Factors!$C$30:$AW$30))/2)</f>
        <v>0</v>
      </c>
      <c r="X26" s="20">
        <f>MAX(0,(SUMPRODUCT(Oxides_min!$C26:$AW26,Factors!$C$31:$AW$31)+SUMPRODUCT(Oxides_max!$C26:$AW26,Factors!$C$31:$AW$31))/2)</f>
        <v>0</v>
      </c>
      <c r="Y26" s="20">
        <f>MAX(0,(SUMPRODUCT(Oxides_min!$C26:$AW26,Factors!$C$32:$AW$32)+SUMPRODUCT(Oxides_max!$C26:$AW26,Factors!$C$32:$AW$32))/2)</f>
        <v>0</v>
      </c>
      <c r="Z26" s="20">
        <f>MAX(0,(SUMPRODUCT(Oxides_min!$C26:$AW26,Factors!$C$33:$AW$33)+SUMPRODUCT(Oxides_max!$C26:$AW26,Factors!$C$33:$AW$33))/2)</f>
        <v>0.16786011656952537</v>
      </c>
      <c r="AA26" s="20">
        <f>MAX(0,(SUMPRODUCT(Oxides_min!$C26:$AW26,Factors!$C$34:$AW$34)+SUMPRODUCT(Oxides_max!$C26:$AW26,Factors!$C$34:$AW$34))/2)</f>
        <v>0</v>
      </c>
      <c r="AB26" s="20">
        <f>MAX(0,(SUMPRODUCT(Oxides_min!$C26:$AW26,Factors!$C$35:$AW$35)+SUMPRODUCT(Oxides_max!$C26:$AW26,Factors!$C$35:$AW$35))/2)</f>
        <v>0</v>
      </c>
      <c r="AC26" s="20">
        <f>MAX(0,(SUMPRODUCT(Oxides_min!$C26:$AW26,Factors!$C$36:$AW$36)+SUMPRODUCT(Oxides_max!$C26:$AW26,Factors!$C$36:$AW$36))/2)</f>
        <v>1.9773266456013334</v>
      </c>
      <c r="AD26" s="20">
        <f>MAX(0,(SUMPRODUCT(Oxides_min!$C26:$AW26,Factors!$C$37:$AW$37)+SUMPRODUCT(Oxides_max!$C26:$AW26,Factors!$C$37:$AW$37))/2)</f>
        <v>10.357633217000483</v>
      </c>
      <c r="AE26" s="20">
        <f>MAX(0,(SUMPRODUCT(Oxides_min!$C26:$AW26,Factors!$C$38:$AW$38)+SUMPRODUCT(Oxides_max!$C26:$AW26,Factors!$C$38:$AW$38))/2)</f>
        <v>0.32598284362038177</v>
      </c>
      <c r="AF26" s="20">
        <f>MAX(0,(SUMPRODUCT(Oxides_min!$C26:$AW26,Factors!$C$39:$AW$39)+SUMPRODUCT(Oxides_max!$C26:$AW26,Factors!$C$39:$AW$39))/2)</f>
        <v>6.6145292200459265</v>
      </c>
      <c r="AG26" s="20">
        <f>MAX(0,(SUMPRODUCT(Oxides_min!$C26:$AW26,Factors!$C$40:$AW$40)+SUMPRODUCT(Oxides_max!$C26:$AW26,Factors!$C$40:$AW$40))/2)</f>
        <v>0.17053662964751565</v>
      </c>
      <c r="AH26" s="20">
        <f>MAX(0,(SUMPRODUCT(Oxides_min!$C26:$AW26,Factors!$C$41:$AW$41)+SUMPRODUCT(Oxides_max!$C26:$AW26,Factors!$C$41:$AW$41))/2)</f>
        <v>0.21344244414722646</v>
      </c>
      <c r="AI26" s="20">
        <f>MAX(0,(SUMPRODUCT(Oxides_min!$C26:$AW26,Factors!$C$42:$AW$42)+SUMPRODUCT(Oxides_max!$C26:$AW26,Factors!$C$42:$AW$42))/2)</f>
        <v>0.12817076693799673</v>
      </c>
      <c r="AJ26" s="20">
        <f>MAX(0,(SUMPRODUCT(Oxides_min!$C26:$AW26,Factors!$C$43:$AW$43)+SUMPRODUCT(Oxides_max!$C26:$AW26,Factors!$C$43:$AW$43))/2)</f>
        <v>0.62586987080994172</v>
      </c>
      <c r="AK26" s="20">
        <f>MAX(0,(SUMPRODUCT(Oxides_min!$C26:$AW26,Factors!$C$44:$AW$44)+SUMPRODUCT(Oxides_max!$C26:$AW26,Factors!$C$44:$AW$44))/2)</f>
        <v>1.0348334035908775</v>
      </c>
      <c r="AL26" s="20">
        <f>MAX(0,(SUMPRODUCT(Oxides_min!$C26:$AW26,Factors!$C$45:$AW$45)+SUMPRODUCT(Oxides_max!$C26:$AW26,Factors!$C$45:$AW$45))/2)</f>
        <v>8.6361582723591679E-2</v>
      </c>
      <c r="AM26" s="20">
        <f>MAX(0,(SUMPRODUCT(Oxides_min!$C26:$AW26,Factors!$C$46:$AW$46)+SUMPRODUCT(Oxides_max!$C26:$AW26,Factors!$C$46:$AW$46))/2)</f>
        <v>1.2580104111206438</v>
      </c>
      <c r="AN26" s="20">
        <f>MAX(0,(SUMPRODUCT(Oxides_min!$C26:$AW26,Factors!$C$47:$AW$47)+SUMPRODUCT(Oxides_max!$C26:$AW26,Factors!$C$47:$AW$47))/2)</f>
        <v>0.19548136423981893</v>
      </c>
      <c r="AO26" s="20">
        <f>MAX(0,(SUMPRODUCT(Oxides_min!$C26:$AW26,Factors!$C$48:$AW$48)+SUMPRODUCT(Oxides_max!$C26:$AW26,Factors!$C$48:$AW$48))/2)</f>
        <v>1.0891508510792312</v>
      </c>
      <c r="AP26" s="20">
        <f>MAX(0,(SUMPRODUCT(Oxides_min!$C26:$AW26,Factors!$C$49:$AW$49)+SUMPRODUCT(Oxides_max!$C26:$AW26,Factors!$C$49:$AW$49))/2)</f>
        <v>0.15277079601879712</v>
      </c>
      <c r="AQ26" s="20">
        <f>MAX(0,(SUMPRODUCT(Oxides_min!$C26:$AW26,Factors!$C$50:$AW$50)+SUMPRODUCT(Oxides_max!$C26:$AW26,Factors!$C$50:$AW$50))/2)</f>
        <v>0.43726128387122071</v>
      </c>
      <c r="AR26" s="20">
        <f>MAX(0,(SUMPRODUCT(Oxides_min!$C26:$AW26,Factors!$C$51:$AW$51)+SUMPRODUCT(Oxides_max!$C26:$AW26,Factors!$C$51:$AW$51))/2)</f>
        <v>0.13134181179843418</v>
      </c>
      <c r="AS26" s="20">
        <f>MAX(0,(SUMPRODUCT(Oxides_min!$C26:$AW26,Factors!$C$52:$AW$52)+SUMPRODUCT(Oxides_max!$C26:$AW26,Factors!$C$52:$AW$52))/2)</f>
        <v>1.053848515683085</v>
      </c>
      <c r="AT26" s="20">
        <f>MAX(0,(SUMPRODUCT(Oxides_min!$C26:$AW26,Factors!$C$53:$AW$53)+SUMPRODUCT(Oxides_max!$C26:$AW26,Factors!$C$53:$AW$53))/2)</f>
        <v>0.19786128535980899</v>
      </c>
      <c r="AU26" s="20">
        <f>MAX(0,(SUMPRODUCT(Oxides_min!$C26:$AW26,Factors!$C$54:$AW$54)+SUMPRODUCT(Oxides_max!$C26:$AW26,Factors!$C$54:$AW$54))/2)</f>
        <v>0</v>
      </c>
      <c r="AV26" s="18">
        <f t="shared" si="0"/>
        <v>100.44000000000001</v>
      </c>
    </row>
  </sheetData>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V26"/>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48" width="8" customWidth="1"/>
  </cols>
  <sheetData>
    <row r="1" spans="1:48" x14ac:dyDescent="0.25">
      <c r="A1" s="4" t="s">
        <v>180</v>
      </c>
      <c r="B1" s="4" t="s">
        <v>20</v>
      </c>
      <c r="C1" s="4" t="s">
        <v>22</v>
      </c>
      <c r="D1" s="4" t="s">
        <v>23</v>
      </c>
      <c r="E1" s="19" t="s">
        <v>24</v>
      </c>
      <c r="F1" s="4" t="s">
        <v>26</v>
      </c>
      <c r="G1" s="4" t="s">
        <v>27</v>
      </c>
      <c r="H1" s="4" t="s">
        <v>28</v>
      </c>
      <c r="I1" s="4" t="s">
        <v>29</v>
      </c>
      <c r="J1" s="4" t="s">
        <v>30</v>
      </c>
      <c r="K1" s="4" t="s">
        <v>31</v>
      </c>
      <c r="L1" s="4" t="s">
        <v>32</v>
      </c>
      <c r="M1" s="4" t="s">
        <v>33</v>
      </c>
      <c r="N1" s="4" t="s">
        <v>34</v>
      </c>
      <c r="O1" s="4" t="s">
        <v>35</v>
      </c>
      <c r="P1" s="4" t="s">
        <v>36</v>
      </c>
      <c r="Q1" s="4" t="s">
        <v>37</v>
      </c>
      <c r="R1" s="4" t="s">
        <v>38</v>
      </c>
      <c r="S1" s="19" t="s">
        <v>39</v>
      </c>
      <c r="T1" s="4" t="s">
        <v>40</v>
      </c>
      <c r="U1" s="4" t="s">
        <v>41</v>
      </c>
      <c r="V1" s="4" t="s">
        <v>42</v>
      </c>
      <c r="W1" s="4" t="s">
        <v>43</v>
      </c>
      <c r="X1" s="4" t="s">
        <v>44</v>
      </c>
      <c r="Y1" s="4" t="s">
        <v>45</v>
      </c>
      <c r="Z1" s="4" t="s">
        <v>46</v>
      </c>
      <c r="AA1" s="4" t="s">
        <v>47</v>
      </c>
      <c r="AB1" s="4" t="s">
        <v>48</v>
      </c>
      <c r="AC1" s="19" t="s">
        <v>49</v>
      </c>
      <c r="AD1" s="19" t="s">
        <v>50</v>
      </c>
      <c r="AE1" s="4" t="s">
        <v>51</v>
      </c>
      <c r="AF1" s="4" t="s">
        <v>52</v>
      </c>
      <c r="AG1" s="4" t="s">
        <v>53</v>
      </c>
      <c r="AH1" s="4" t="s">
        <v>54</v>
      </c>
      <c r="AI1" s="4" t="s">
        <v>55</v>
      </c>
      <c r="AJ1" s="4" t="s">
        <v>56</v>
      </c>
      <c r="AK1" s="4" t="s">
        <v>57</v>
      </c>
      <c r="AL1" s="4" t="s">
        <v>58</v>
      </c>
      <c r="AM1" s="4" t="s">
        <v>59</v>
      </c>
      <c r="AN1" s="4" t="s">
        <v>60</v>
      </c>
      <c r="AO1" s="4" t="s">
        <v>61</v>
      </c>
      <c r="AP1" s="4" t="s">
        <v>62</v>
      </c>
      <c r="AQ1" s="4" t="s">
        <v>63</v>
      </c>
      <c r="AR1" s="4" t="s">
        <v>64</v>
      </c>
      <c r="AS1" s="4" t="s">
        <v>65</v>
      </c>
      <c r="AT1" s="4" t="s">
        <v>66</v>
      </c>
      <c r="AU1" s="4" t="s">
        <v>67</v>
      </c>
      <c r="AV1" s="4" t="s">
        <v>181</v>
      </c>
    </row>
    <row r="2" spans="1:48" x14ac:dyDescent="0.25">
      <c r="A2" s="13" t="s">
        <v>126</v>
      </c>
      <c r="B2" s="20">
        <f>MIN(MAX(0,(SUMPRODUCT(Oxides_min!$C2:$AW2,Factors!$C$9:$AW$9)+SUMPRODUCT(Oxides_max!$C2:$AW2,Factors!$C$9:$AW$9))/2),ABS(SUMPRODUCT(Oxides_max!$C2:$AW2,Factors!$C$9:$AW$9)-SUMPRODUCT(Oxides_min!$C2:$AW2,Factors!$C$9:$AW$9))/2)</f>
        <v>8.9785303134466101</v>
      </c>
      <c r="C2" s="20">
        <f>MIN(MAX(0,(SUMPRODUCT(Oxides_min!$C2:$AW2,Factors!$C$10:$AW$10)+SUMPRODUCT(Oxides_max!$C2:$AW2,Factors!$C$10:$AW$10))/2),ABS(SUMPRODUCT(Oxides_max!$C2:$AW2,Factors!$C$10:$AW$10)-SUMPRODUCT(Oxides_min!$C2:$AW2,Factors!$C$10:$AW$10))/2)</f>
        <v>1.1569058635554152</v>
      </c>
      <c r="D2" s="20">
        <f>MIN(MAX(0,(SUMPRODUCT(Oxides_min!$C2:$AW2,Factors!$C$11:$AW$11)+SUMPRODUCT(Oxides_max!$C2:$AW2,Factors!$C$11:$AW$11))/2),ABS(SUMPRODUCT(Oxides_max!$C2:$AW2,Factors!$C$11:$AW$11)-SUMPRODUCT(Oxides_min!$C2:$AW2,Factors!$C$11:$AW$11))/2)</f>
        <v>0</v>
      </c>
      <c r="E2" s="20">
        <f>MIN(MAX(0,(SUMPRODUCT(Oxides_min!$C2:$AW2,Factors!$C$12:$AW$12)+SUMPRODUCT(Oxides_max!$C2:$AW2,Factors!$C$12:$AW$12))/2),ABS(SUMPRODUCT(Oxides_max!$C2:$AW2,Factors!$C$12:$AW$12)-SUMPRODUCT(Oxides_min!$C2:$AW2,Factors!$C$12:$AW$12))/2)</f>
        <v>0</v>
      </c>
      <c r="F2" s="20">
        <f>MIN(MAX(0,(SUMPRODUCT(Oxides_min!$C2:$AW2,Factors!$C$13:$AW$13)+SUMPRODUCT(Oxides_max!$C2:$AW2,Factors!$C$13:$AW$13))/2),ABS(SUMPRODUCT(Oxides_max!$C2:$AW2,Factors!$C$13:$AW$13)-SUMPRODUCT(Oxides_min!$C2:$AW2,Factors!$C$13:$AW$13))/2)</f>
        <v>0</v>
      </c>
      <c r="G2" s="20">
        <f>MIN(MAX(0,(SUMPRODUCT(Oxides_min!$C2:$AW2,Factors!$C$14:$AW$14)+SUMPRODUCT(Oxides_max!$C2:$AW2,Factors!$C$14:$AW$14))/2),ABS(SUMPRODUCT(Oxides_max!$C2:$AW2,Factors!$C$14:$AW$14)-SUMPRODUCT(Oxides_min!$C2:$AW2,Factors!$C$14:$AW$14))/2)</f>
        <v>0</v>
      </c>
      <c r="H2" s="20">
        <f>MIN(MAX(0,(SUMPRODUCT(Oxides_min!$C2:$AW2,Factors!$C$15:$AW$15)+SUMPRODUCT(Oxides_max!$C2:$AW2,Factors!$C$15:$AW$15))/2),ABS(SUMPRODUCT(Oxides_max!$C2:$AW2,Factors!$C$15:$AW$15)-SUMPRODUCT(Oxides_min!$C2:$AW2,Factors!$C$15:$AW$15))/2)</f>
        <v>7.9388539006301453E-2</v>
      </c>
      <c r="I2" s="20">
        <f>MIN(MAX(0,(SUMPRODUCT(Oxides_min!$C2:$AW2,Factors!$C$16:$AW$16)+SUMPRODUCT(Oxides_max!$C2:$AW2,Factors!$C$16:$AW$16))/2),ABS(SUMPRODUCT(Oxides_max!$C2:$AW2,Factors!$C$16:$AW$16)-SUMPRODUCT(Oxides_min!$C2:$AW2,Factors!$C$16:$AW$16))/2)</f>
        <v>0.19432729246701186</v>
      </c>
      <c r="J2" s="20">
        <f>MIN(MAX(0,(SUMPRODUCT(Oxides_min!$C2:$AW2,Factors!$C$17:$AW$17)+SUMPRODUCT(Oxides_max!$C2:$AW2,Factors!$C$17:$AW$17))/2),ABS(SUMPRODUCT(Oxides_max!$C2:$AW2,Factors!$C$17:$AW$17)-SUMPRODUCT(Oxides_min!$C2:$AW2,Factors!$C$17:$AW$17))/2)</f>
        <v>0</v>
      </c>
      <c r="K2" s="20">
        <f>MIN(MAX(0,(SUMPRODUCT(Oxides_min!$C2:$AW2,Factors!$C$18:$AW$18)+SUMPRODUCT(Oxides_max!$C2:$AW2,Factors!$C$18:$AW$18))/2),ABS(SUMPRODUCT(Oxides_max!$C2:$AW2,Factors!$C$18:$AW$18)-SUMPRODUCT(Oxides_min!$C2:$AW2,Factors!$C$18:$AW$18))/2)</f>
        <v>0</v>
      </c>
      <c r="L2" s="20">
        <f>MIN(MAX(0,(SUMPRODUCT(Oxides_min!$C2:$AW2,Factors!$C$19:$AW$19)+SUMPRODUCT(Oxides_max!$C2:$AW2,Factors!$C$19:$AW$19))/2),ABS(SUMPRODUCT(Oxides_max!$C2:$AW2,Factors!$C$19:$AW$19)-SUMPRODUCT(Oxides_min!$C2:$AW2,Factors!$C$19:$AW$19))/2)</f>
        <v>1.3936569359987159</v>
      </c>
      <c r="M2" s="20">
        <f>MIN(MAX(0,(SUMPRODUCT(Oxides_min!$C2:$AW2,Factors!$C$20:$AW$20)+SUMPRODUCT(Oxides_max!$C2:$AW2,Factors!$C$20:$AW$20))/2),ABS(SUMPRODUCT(Oxides_max!$C2:$AW2,Factors!$C$20:$AW$20)-SUMPRODUCT(Oxides_min!$C2:$AW2,Factors!$C$20:$AW$20))/2)</f>
        <v>0.12683967226087881</v>
      </c>
      <c r="N2" s="20">
        <f>MIN(MAX(0,(SUMPRODUCT(Oxides_min!$C2:$AW2,Factors!$C$21:$AW$21)+SUMPRODUCT(Oxides_max!$C2:$AW2,Factors!$C$21:$AW$21))/2),ABS(SUMPRODUCT(Oxides_max!$C2:$AW2,Factors!$C$21:$AW$21)-SUMPRODUCT(Oxides_min!$C2:$AW2,Factors!$C$21:$AW$21))/2)</f>
        <v>0</v>
      </c>
      <c r="O2" s="20">
        <f>MIN(MAX(0,(SUMPRODUCT(Oxides_min!$C2:$AW2,Factors!$C$22:$AW$22)+SUMPRODUCT(Oxides_max!$C2:$AW2,Factors!$C$22:$AW$22))/2),ABS(SUMPRODUCT(Oxides_max!$C2:$AW2,Factors!$C$22:$AW$22)-SUMPRODUCT(Oxides_min!$C2:$AW2,Factors!$C$22:$AW$22))/2)</f>
        <v>0.69159808063656203</v>
      </c>
      <c r="P2" s="20">
        <f>MIN(MAX(0,(SUMPRODUCT(Oxides_min!$C2:$AW2,Factors!$C$23:$AW$23)+SUMPRODUCT(Oxides_max!$C2:$AW2,Factors!$C$23:$AW$23))/2),ABS(SUMPRODUCT(Oxides_max!$C2:$AW2,Factors!$C$23:$AW$23)-SUMPRODUCT(Oxides_min!$C2:$AW2,Factors!$C$23:$AW$23))/2)</f>
        <v>0</v>
      </c>
      <c r="Q2" s="20">
        <f>MIN(MAX(0,(SUMPRODUCT(Oxides_min!$C2:$AW2,Factors!$C$24:$AW$24)+SUMPRODUCT(Oxides_max!$C2:$AW2,Factors!$C$24:$AW$24))/2),ABS(SUMPRODUCT(Oxides_max!$C2:$AW2,Factors!$C$24:$AW$24)-SUMPRODUCT(Oxides_min!$C2:$AW2,Factors!$C$24:$AW$24))/2)</f>
        <v>0</v>
      </c>
      <c r="R2" s="20">
        <f>MIN(MAX(0,(SUMPRODUCT(Oxides_min!$C2:$AW2,Factors!$C$25:$AW$25)+SUMPRODUCT(Oxides_max!$C2:$AW2,Factors!$C$25:$AW$25))/2),ABS(SUMPRODUCT(Oxides_max!$C2:$AW2,Factors!$C$25:$AW$25)-SUMPRODUCT(Oxides_min!$C2:$AW2,Factors!$C$25:$AW$25))/2)</f>
        <v>0</v>
      </c>
      <c r="S2" s="20">
        <f>MIN(MAX(0,(SUMPRODUCT(Oxides_min!$C2:$AW2,Factors!$C$26:$AW$26)+SUMPRODUCT(Oxides_max!$C2:$AW2,Factors!$C$26:$AW$26))/2),ABS(SUMPRODUCT(Oxides_max!$C2:$AW2,Factors!$C$26:$AW$26)-SUMPRODUCT(Oxides_min!$C2:$AW2,Factors!$C$26:$AW$26))/2)</f>
        <v>0</v>
      </c>
      <c r="T2" s="20">
        <f>MIN(MAX(0,(SUMPRODUCT(Oxides_min!$C2:$AW2,Factors!$C$27:$AW$27)+SUMPRODUCT(Oxides_max!$C2:$AW2,Factors!$C$27:$AW$27))/2),ABS(SUMPRODUCT(Oxides_max!$C2:$AW2,Factors!$C$27:$AW$27)-SUMPRODUCT(Oxides_min!$C2:$AW2,Factors!$C$27:$AW$27))/2)</f>
        <v>0</v>
      </c>
      <c r="U2" s="20">
        <f>MIN(MAX(0,(SUMPRODUCT(Oxides_min!$C2:$AW2,Factors!$C$28:$AW$28)+SUMPRODUCT(Oxides_max!$C2:$AW2,Factors!$C$28:$AW$28))/2),ABS(SUMPRODUCT(Oxides_max!$C2:$AW2,Factors!$C$28:$AW$28)-SUMPRODUCT(Oxides_min!$C2:$AW2,Factors!$C$28:$AW$28))/2)</f>
        <v>0</v>
      </c>
      <c r="V2" s="20">
        <f>MIN(MAX(0,(SUMPRODUCT(Oxides_min!$C2:$AW2,Factors!$C$29:$AW$29)+SUMPRODUCT(Oxides_max!$C2:$AW2,Factors!$C$29:$AW$29))/2),ABS(SUMPRODUCT(Oxides_max!$C2:$AW2,Factors!$C$29:$AW$29)-SUMPRODUCT(Oxides_min!$C2:$AW2,Factors!$C$29:$AW$29))/2)</f>
        <v>1.3092804520880374</v>
      </c>
      <c r="W2" s="20">
        <f>MIN(MAX(0,(SUMPRODUCT(Oxides_min!$C2:$AW2,Factors!$C$30:$AW$30)+SUMPRODUCT(Oxides_max!$C2:$AW2,Factors!$C$30:$AW$30))/2),ABS(SUMPRODUCT(Oxides_max!$C2:$AW2,Factors!$C$30:$AW$30)-SUMPRODUCT(Oxides_min!$C2:$AW2,Factors!$C$30:$AW$30))/2)</f>
        <v>0</v>
      </c>
      <c r="X2" s="20">
        <f>MIN(MAX(0,(SUMPRODUCT(Oxides_min!$C2:$AW2,Factors!$C$31:$AW$31)+SUMPRODUCT(Oxides_max!$C2:$AW2,Factors!$C$31:$AW$31))/2),ABS(SUMPRODUCT(Oxides_max!$C2:$AW2,Factors!$C$31:$AW$31)-SUMPRODUCT(Oxides_min!$C2:$AW2,Factors!$C$31:$AW$31))/2)</f>
        <v>0.10011616723084803</v>
      </c>
      <c r="Y2" s="20">
        <f>MIN(MAX(0,(SUMPRODUCT(Oxides_min!$C2:$AW2,Factors!$C$32:$AW$32)+SUMPRODUCT(Oxides_max!$C2:$AW2,Factors!$C$32:$AW$32))/2),ABS(SUMPRODUCT(Oxides_max!$C2:$AW2,Factors!$C$32:$AW$32)-SUMPRODUCT(Oxides_min!$C2:$AW2,Factors!$C$32:$AW$32))/2)</f>
        <v>0</v>
      </c>
      <c r="Z2" s="20">
        <f>MIN(MAX(0,(SUMPRODUCT(Oxides_min!$C2:$AW2,Factors!$C$33:$AW$33)+SUMPRODUCT(Oxides_max!$C2:$AW2,Factors!$C$33:$AW$33))/2),ABS(SUMPRODUCT(Oxides_max!$C2:$AW2,Factors!$C$33:$AW$33)-SUMPRODUCT(Oxides_min!$C2:$AW2,Factors!$C$33:$AW$33))/2)</f>
        <v>0</v>
      </c>
      <c r="AA2" s="20">
        <f>MIN(MAX(0,(SUMPRODUCT(Oxides_min!$C2:$AW2,Factors!$C$34:$AW$34)+SUMPRODUCT(Oxides_max!$C2:$AW2,Factors!$C$34:$AW$34))/2),ABS(SUMPRODUCT(Oxides_max!$C2:$AW2,Factors!$C$34:$AW$34)-SUMPRODUCT(Oxides_min!$C2:$AW2,Factors!$C$34:$AW$34))/2)</f>
        <v>0</v>
      </c>
      <c r="AB2" s="20">
        <f>MIN(MAX(0,(SUMPRODUCT(Oxides_min!$C2:$AW2,Factors!$C$35:$AW$35)+SUMPRODUCT(Oxides_max!$C2:$AW2,Factors!$C$35:$AW$35))/2),ABS(SUMPRODUCT(Oxides_max!$C2:$AW2,Factors!$C$35:$AW$35)-SUMPRODUCT(Oxides_min!$C2:$AW2,Factors!$C$35:$AW$35))/2)</f>
        <v>0</v>
      </c>
      <c r="AC2" s="20">
        <f>MIN(MAX(0,(SUMPRODUCT(Oxides_min!$C2:$AW2,Factors!$C$36:$AW$36)+SUMPRODUCT(Oxides_max!$C2:$AW2,Factors!$C$36:$AW$36))/2),ABS(SUMPRODUCT(Oxides_max!$C2:$AW2,Factors!$C$36:$AW$36)-SUMPRODUCT(Oxides_min!$C2:$AW2,Factors!$C$36:$AW$36))/2)</f>
        <v>8.3487125036500736</v>
      </c>
      <c r="AD2" s="20">
        <f>MIN(MAX(0,(SUMPRODUCT(Oxides_min!$C2:$AW2,Factors!$C$37:$AW$37)+SUMPRODUCT(Oxides_max!$C2:$AW2,Factors!$C$37:$AW$37))/2),ABS(SUMPRODUCT(Oxides_max!$C2:$AW2,Factors!$C$37:$AW$37)-SUMPRODUCT(Oxides_min!$C2:$AW2,Factors!$C$37:$AW$37))/2)</f>
        <v>0.88150069931919006</v>
      </c>
      <c r="AE2" s="20">
        <f>MIN(MAX(0,(SUMPRODUCT(Oxides_min!$C2:$AW2,Factors!$C$38:$AW$38)+SUMPRODUCT(Oxides_max!$C2:$AW2,Factors!$C$38:$AW$38))/2),ABS(SUMPRODUCT(Oxides_max!$C2:$AW2,Factors!$C$38:$AW$38)-SUMPRODUCT(Oxides_min!$C2:$AW2,Factors!$C$38:$AW$38))/2)</f>
        <v>0</v>
      </c>
      <c r="AF2" s="20">
        <f>MIN(MAX(0,(SUMPRODUCT(Oxides_min!$C2:$AW2,Factors!$C$39:$AW$39)+SUMPRODUCT(Oxides_max!$C2:$AW2,Factors!$C$39:$AW$39))/2),ABS(SUMPRODUCT(Oxides_max!$C2:$AW2,Factors!$C$39:$AW$39)-SUMPRODUCT(Oxides_min!$C2:$AW2,Factors!$C$39:$AW$39))/2)</f>
        <v>1.5748879095347443</v>
      </c>
      <c r="AG2" s="20">
        <f>MIN(MAX(0,(SUMPRODUCT(Oxides_min!$C2:$AW2,Factors!$C$40:$AW$40)+SUMPRODUCT(Oxides_max!$C2:$AW2,Factors!$C$40:$AW$40))/2),ABS(SUMPRODUCT(Oxides_max!$C2:$AW2,Factors!$C$40:$AW$40)-SUMPRODUCT(Oxides_min!$C2:$AW2,Factors!$C$40:$AW$40))/2)</f>
        <v>5.9687820376630478</v>
      </c>
      <c r="AH2" s="20">
        <f>MIN(MAX(0,(SUMPRODUCT(Oxides_min!$C2:$AW2,Factors!$C$41:$AW$41)+SUMPRODUCT(Oxides_max!$C2:$AW2,Factors!$C$41:$AW$41))/2),ABS(SUMPRODUCT(Oxides_max!$C2:$AW2,Factors!$C$41:$AW$41)-SUMPRODUCT(Oxides_min!$C2:$AW2,Factors!$C$41:$AW$41))/2)</f>
        <v>5.1226186595334351</v>
      </c>
      <c r="AI2" s="20">
        <f>MIN(MAX(0,(SUMPRODUCT(Oxides_min!$C2:$AW2,Factors!$C$42:$AW$42)+SUMPRODUCT(Oxides_max!$C2:$AW2,Factors!$C$42:$AW$42))/2),ABS(SUMPRODUCT(Oxides_max!$C2:$AW2,Factors!$C$42:$AW$42)-SUMPRODUCT(Oxides_min!$C2:$AW2,Factors!$C$42:$AW$42))/2)</f>
        <v>1.2817076693799674</v>
      </c>
      <c r="AJ2" s="20">
        <f>MIN(MAX(0,(SUMPRODUCT(Oxides_min!$C2:$AW2,Factors!$C$43:$AW$43)+SUMPRODUCT(Oxides_max!$C2:$AW2,Factors!$C$43:$AW$43))/2),ABS(SUMPRODUCT(Oxides_max!$C2:$AW2,Factors!$C$43:$AW$43)-SUMPRODUCT(Oxides_min!$C2:$AW2,Factors!$C$43:$AW$43))/2)</f>
        <v>3.4294239496435157</v>
      </c>
      <c r="AK2" s="20">
        <f>MIN(MAX(0,(SUMPRODUCT(Oxides_min!$C2:$AW2,Factors!$C$44:$AW$44)+SUMPRODUCT(Oxides_max!$C2:$AW2,Factors!$C$44:$AW$44))/2),ABS(SUMPRODUCT(Oxides_max!$C2:$AW2,Factors!$C$44:$AW$44)-SUMPRODUCT(Oxides_min!$C2:$AW2,Factors!$C$44:$AW$44))/2)</f>
        <v>1.6384862223522225</v>
      </c>
      <c r="AL2" s="20">
        <f>MIN(MAX(0,(SUMPRODUCT(Oxides_min!$C2:$AW2,Factors!$C$45:$AW$45)+SUMPRODUCT(Oxides_max!$C2:$AW2,Factors!$C$45:$AW$45))/2),ABS(SUMPRODUCT(Oxides_max!$C2:$AW2,Factors!$C$45:$AW$45)-SUMPRODUCT(Oxides_min!$C2:$AW2,Factors!$C$45:$AW$45))/2)</f>
        <v>0.12954237408538749</v>
      </c>
      <c r="AM2" s="20">
        <f>MIN(MAX(0,(SUMPRODUCT(Oxides_min!$C2:$AW2,Factors!$C$46:$AW$46)+SUMPRODUCT(Oxides_max!$C2:$AW2,Factors!$C$46:$AW$46))/2),ABS(SUMPRODUCT(Oxides_max!$C2:$AW2,Factors!$C$46:$AW$46)-SUMPRODUCT(Oxides_min!$C2:$AW2,Factors!$C$46:$AW$46))/2)</f>
        <v>1.2797002457951376</v>
      </c>
      <c r="AN2" s="20">
        <f>MIN(MAX(0,(SUMPRODUCT(Oxides_min!$C2:$AW2,Factors!$C$47:$AW$47)+SUMPRODUCT(Oxides_max!$C2:$AW2,Factors!$C$47:$AW$47))/2),ABS(SUMPRODUCT(Oxides_max!$C2:$AW2,Factors!$C$47:$AW$47)-SUMPRODUCT(Oxides_min!$C2:$AW2,Factors!$C$47:$AW$47))/2)</f>
        <v>0.13032090949321259</v>
      </c>
      <c r="AO2" s="20">
        <f>MIN(MAX(0,(SUMPRODUCT(Oxides_min!$C2:$AW2,Factors!$C$48:$AW$48)+SUMPRODUCT(Oxides_max!$C2:$AW2,Factors!$C$48:$AW$48))/2),ABS(SUMPRODUCT(Oxides_max!$C2:$AW2,Factors!$C$48:$AW$48)-SUMPRODUCT(Oxides_min!$C2:$AW2,Factors!$C$48:$AW$48))/2)</f>
        <v>0.6534905106475386</v>
      </c>
      <c r="AP2" s="20">
        <f>MIN(MAX(0,(SUMPRODUCT(Oxides_min!$C2:$AW2,Factors!$C$49:$AW$49)+SUMPRODUCT(Oxides_max!$C2:$AW2,Factors!$C$49:$AW$49))/2),ABS(SUMPRODUCT(Oxides_max!$C2:$AW2,Factors!$C$49:$AW$49)-SUMPRODUCT(Oxides_min!$C2:$AW2,Factors!$C$49:$AW$49))/2)</f>
        <v>0.1309463965875404</v>
      </c>
      <c r="AQ2" s="20">
        <f>MIN(MAX(0,(SUMPRODUCT(Oxides_min!$C2:$AW2,Factors!$C$50:$AW$50)+SUMPRODUCT(Oxides_max!$C2:$AW2,Factors!$C$50:$AW$50))/2),ABS(SUMPRODUCT(Oxides_max!$C2:$AW2,Factors!$C$50:$AW$50)-SUMPRODUCT(Oxides_min!$C2:$AW2,Factors!$C$50:$AW$50))/2)</f>
        <v>0.21863064193561035</v>
      </c>
      <c r="AR2" s="20">
        <f>MIN(MAX(0,(SUMPRODUCT(Oxides_min!$C2:$AW2,Factors!$C$51:$AW$51)+SUMPRODUCT(Oxides_max!$C2:$AW2,Factors!$C$51:$AW$51))/2),ABS(SUMPRODUCT(Oxides_max!$C2:$AW2,Factors!$C$51:$AW$51)-SUMPRODUCT(Oxides_min!$C2:$AW2,Factors!$C$51:$AW$51))/2)</f>
        <v>2.1890301966405699E-2</v>
      </c>
      <c r="AS2" s="20">
        <f>MIN(MAX(0,(SUMPRODUCT(Oxides_min!$C2:$AW2,Factors!$C$52:$AW$52)+SUMPRODUCT(Oxides_max!$C2:$AW2,Factors!$C$52:$AW$52))/2),ABS(SUMPRODUCT(Oxides_max!$C2:$AW2,Factors!$C$52:$AW$52)-SUMPRODUCT(Oxides_min!$C2:$AW2,Factors!$C$52:$AW$52))/2)</f>
        <v>0.13173106446038566</v>
      </c>
      <c r="AT2" s="20">
        <f>MIN(MAX(0,(SUMPRODUCT(Oxides_min!$C2:$AW2,Factors!$C$53:$AW$53)+SUMPRODUCT(Oxides_max!$C2:$AW2,Factors!$C$53:$AW$53))/2),ABS(SUMPRODUCT(Oxides_max!$C2:$AW2,Factors!$C$53:$AW$53)-SUMPRODUCT(Oxides_min!$C2:$AW2,Factors!$C$53:$AW$53))/2)</f>
        <v>2.1984587262200997E-2</v>
      </c>
      <c r="AU2" s="20">
        <f>MIN(MAX(0,(SUMPRODUCT(Oxides_min!$C2:$AW2,Factors!$C$54:$AW$54)+SUMPRODUCT(Oxides_max!$C2:$AW2,Factors!$C$54:$AW$54))/2),ABS(SUMPRODUCT(Oxides_max!$C2:$AW2,Factors!$C$54:$AW$54)-SUMPRODUCT(Oxides_min!$C2:$AW2,Factors!$C$54:$AW$54))/2)</f>
        <v>0</v>
      </c>
      <c r="AV2" s="18">
        <f t="shared" ref="AV2:AV26" si="0">SUM(B2:AU2)</f>
        <v>44.994999999999997</v>
      </c>
    </row>
    <row r="3" spans="1:48" x14ac:dyDescent="0.25">
      <c r="A3" s="13" t="s">
        <v>128</v>
      </c>
      <c r="B3" s="20">
        <f>MIN(MAX(0,(SUMPRODUCT(Oxides_min!$C3:$AW3,Factors!$C$9:$AW$9)+SUMPRODUCT(Oxides_max!$C3:$AW3,Factors!$C$9:$AW$9))/2),ABS(SUMPRODUCT(Oxides_max!$C3:$AW3,Factors!$C$9:$AW$9)-SUMPRODUCT(Oxides_min!$C3:$AW3,Factors!$C$9:$AW$9))/2)</f>
        <v>6.4761846257776163</v>
      </c>
      <c r="C3" s="20">
        <f>MIN(MAX(0,(SUMPRODUCT(Oxides_min!$C3:$AW3,Factors!$C$10:$AW$10)+SUMPRODUCT(Oxides_max!$C3:$AW3,Factors!$C$10:$AW$10))/2),ABS(SUMPRODUCT(Oxides_max!$C3:$AW3,Factors!$C$10:$AW$10)-SUMPRODUCT(Oxides_min!$C3:$AW3,Factors!$C$10:$AW$10))/2)</f>
        <v>0.23371835627382123</v>
      </c>
      <c r="D3" s="20">
        <f>MIN(MAX(0,(SUMPRODUCT(Oxides_min!$C3:$AW3,Factors!$C$11:$AW$11)+SUMPRODUCT(Oxides_max!$C3:$AW3,Factors!$C$11:$AW$11))/2),ABS(SUMPRODUCT(Oxides_max!$C3:$AW3,Factors!$C$11:$AW$11)-SUMPRODUCT(Oxides_min!$C3:$AW3,Factors!$C$11:$AW$11))/2)</f>
        <v>0</v>
      </c>
      <c r="E3" s="20">
        <f>MIN(MAX(0,(SUMPRODUCT(Oxides_min!$C3:$AW3,Factors!$C$12:$AW$12)+SUMPRODUCT(Oxides_max!$C3:$AW3,Factors!$C$12:$AW$12))/2),ABS(SUMPRODUCT(Oxides_max!$C3:$AW3,Factors!$C$12:$AW$12)-SUMPRODUCT(Oxides_min!$C3:$AW3,Factors!$C$12:$AW$12))/2)</f>
        <v>0</v>
      </c>
      <c r="F3" s="20">
        <f>MIN(MAX(0,(SUMPRODUCT(Oxides_min!$C3:$AW3,Factors!$C$13:$AW$13)+SUMPRODUCT(Oxides_max!$C3:$AW3,Factors!$C$13:$AW$13))/2),ABS(SUMPRODUCT(Oxides_max!$C3:$AW3,Factors!$C$13:$AW$13)-SUMPRODUCT(Oxides_min!$C3:$AW3,Factors!$C$13:$AW$13))/2)</f>
        <v>0</v>
      </c>
      <c r="G3" s="20">
        <f>MIN(MAX(0,(SUMPRODUCT(Oxides_min!$C3:$AW3,Factors!$C$14:$AW$14)+SUMPRODUCT(Oxides_max!$C3:$AW3,Factors!$C$14:$AW$14))/2),ABS(SUMPRODUCT(Oxides_max!$C3:$AW3,Factors!$C$14:$AW$14)-SUMPRODUCT(Oxides_min!$C3:$AW3,Factors!$C$14:$AW$14))/2)</f>
        <v>0</v>
      </c>
      <c r="H3" s="20">
        <f>MIN(MAX(0,(SUMPRODUCT(Oxides_min!$C3:$AW3,Factors!$C$15:$AW$15)+SUMPRODUCT(Oxides_max!$C3:$AW3,Factors!$C$15:$AW$15))/2),ABS(SUMPRODUCT(Oxides_max!$C3:$AW3,Factors!$C$15:$AW$15)-SUMPRODUCT(Oxides_min!$C3:$AW3,Factors!$C$15:$AW$15))/2)</f>
        <v>0</v>
      </c>
      <c r="I3" s="20">
        <f>MIN(MAX(0,(SUMPRODUCT(Oxides_min!$C3:$AW3,Factors!$C$16:$AW$16)+SUMPRODUCT(Oxides_max!$C3:$AW3,Factors!$C$16:$AW$16))/2),ABS(SUMPRODUCT(Oxides_max!$C3:$AW3,Factors!$C$16:$AW$16)-SUMPRODUCT(Oxides_min!$C3:$AW3,Factors!$C$16:$AW$16))/2)</f>
        <v>0.23319275096041422</v>
      </c>
      <c r="J3" s="20">
        <f>MIN(MAX(0,(SUMPRODUCT(Oxides_min!$C3:$AW3,Factors!$C$17:$AW$17)+SUMPRODUCT(Oxides_max!$C3:$AW3,Factors!$C$17:$AW$17))/2),ABS(SUMPRODUCT(Oxides_max!$C3:$AW3,Factors!$C$17:$AW$17)-SUMPRODUCT(Oxides_min!$C3:$AW3,Factors!$C$17:$AW$17))/2)</f>
        <v>0</v>
      </c>
      <c r="K3" s="20">
        <f>MIN(MAX(0,(SUMPRODUCT(Oxides_min!$C3:$AW3,Factors!$C$18:$AW$18)+SUMPRODUCT(Oxides_max!$C3:$AW3,Factors!$C$18:$AW$18))/2),ABS(SUMPRODUCT(Oxides_max!$C3:$AW3,Factors!$C$18:$AW$18)-SUMPRODUCT(Oxides_min!$C3:$AW3,Factors!$C$18:$AW$18))/2)</f>
        <v>0</v>
      </c>
      <c r="L3" s="20">
        <f>MIN(MAX(0,(SUMPRODUCT(Oxides_min!$C3:$AW3,Factors!$C$19:$AW$19)+SUMPRODUCT(Oxides_max!$C3:$AW3,Factors!$C$19:$AW$19))/2),ABS(SUMPRODUCT(Oxides_max!$C3:$AW3,Factors!$C$19:$AW$19)-SUMPRODUCT(Oxides_min!$C3:$AW3,Factors!$C$19:$AW$19))/2)</f>
        <v>0.8933698307684077</v>
      </c>
      <c r="M3" s="20">
        <f>MIN(MAX(0,(SUMPRODUCT(Oxides_min!$C3:$AW3,Factors!$C$20:$AW$20)+SUMPRODUCT(Oxides_max!$C3:$AW3,Factors!$C$20:$AW$20))/2),ABS(SUMPRODUCT(Oxides_max!$C3:$AW3,Factors!$C$20:$AW$20)-SUMPRODUCT(Oxides_min!$C3:$AW3,Factors!$C$20:$AW$20))/2)</f>
        <v>0.4227989075362627</v>
      </c>
      <c r="N3" s="20">
        <f>MIN(MAX(0,(SUMPRODUCT(Oxides_min!$C3:$AW3,Factors!$C$21:$AW$21)+SUMPRODUCT(Oxides_max!$C3:$AW3,Factors!$C$21:$AW$21))/2),ABS(SUMPRODUCT(Oxides_max!$C3:$AW3,Factors!$C$21:$AW$21)-SUMPRODUCT(Oxides_min!$C3:$AW3,Factors!$C$21:$AW$21))/2)</f>
        <v>0.44782685258860205</v>
      </c>
      <c r="O3" s="20">
        <f>MIN(MAX(0,(SUMPRODUCT(Oxides_min!$C3:$AW3,Factors!$C$22:$AW$22)+SUMPRODUCT(Oxides_max!$C3:$AW3,Factors!$C$22:$AW$22))/2),ABS(SUMPRODUCT(Oxides_max!$C3:$AW3,Factors!$C$22:$AW$22)-SUMPRODUCT(Oxides_min!$C3:$AW3,Factors!$C$22:$AW$22))/2)</f>
        <v>0</v>
      </c>
      <c r="P3" s="20">
        <f>MIN(MAX(0,(SUMPRODUCT(Oxides_min!$C3:$AW3,Factors!$C$23:$AW$23)+SUMPRODUCT(Oxides_max!$C3:$AW3,Factors!$C$23:$AW$23))/2),ABS(SUMPRODUCT(Oxides_max!$C3:$AW3,Factors!$C$23:$AW$23)-SUMPRODUCT(Oxides_min!$C3:$AW3,Factors!$C$23:$AW$23))/2)</f>
        <v>0</v>
      </c>
      <c r="Q3" s="20">
        <f>MIN(MAX(0,(SUMPRODUCT(Oxides_min!$C3:$AW3,Factors!$C$24:$AW$24)+SUMPRODUCT(Oxides_max!$C3:$AW3,Factors!$C$24:$AW$24))/2),ABS(SUMPRODUCT(Oxides_max!$C3:$AW3,Factors!$C$24:$AW$24)-SUMPRODUCT(Oxides_min!$C3:$AW3,Factors!$C$24:$AW$24))/2)</f>
        <v>0</v>
      </c>
      <c r="R3" s="20">
        <f>MIN(MAX(0,(SUMPRODUCT(Oxides_min!$C3:$AW3,Factors!$C$25:$AW$25)+SUMPRODUCT(Oxides_max!$C3:$AW3,Factors!$C$25:$AW$25))/2),ABS(SUMPRODUCT(Oxides_max!$C3:$AW3,Factors!$C$25:$AW$25)-SUMPRODUCT(Oxides_min!$C3:$AW3,Factors!$C$25:$AW$25))/2)</f>
        <v>0</v>
      </c>
      <c r="S3" s="20">
        <f>MIN(MAX(0,(SUMPRODUCT(Oxides_min!$C3:$AW3,Factors!$C$26:$AW$26)+SUMPRODUCT(Oxides_max!$C3:$AW3,Factors!$C$26:$AW$26))/2),ABS(SUMPRODUCT(Oxides_max!$C3:$AW3,Factors!$C$26:$AW$26)-SUMPRODUCT(Oxides_min!$C3:$AW3,Factors!$C$26:$AW$26))/2)</f>
        <v>0</v>
      </c>
      <c r="T3" s="20">
        <f>MIN(MAX(0,(SUMPRODUCT(Oxides_min!$C3:$AW3,Factors!$C$27:$AW$27)+SUMPRODUCT(Oxides_max!$C3:$AW3,Factors!$C$27:$AW$27))/2),ABS(SUMPRODUCT(Oxides_max!$C3:$AW3,Factors!$C$27:$AW$27)-SUMPRODUCT(Oxides_min!$C3:$AW3,Factors!$C$27:$AW$27))/2)</f>
        <v>0</v>
      </c>
      <c r="U3" s="20">
        <f>MIN(MAX(0,(SUMPRODUCT(Oxides_min!$C3:$AW3,Factors!$C$28:$AW$28)+SUMPRODUCT(Oxides_max!$C3:$AW3,Factors!$C$28:$AW$28))/2),ABS(SUMPRODUCT(Oxides_max!$C3:$AW3,Factors!$C$28:$AW$28)-SUMPRODUCT(Oxides_min!$C3:$AW3,Factors!$C$28:$AW$28))/2)</f>
        <v>0</v>
      </c>
      <c r="V3" s="20">
        <f>MIN(MAX(0,(SUMPRODUCT(Oxides_min!$C3:$AW3,Factors!$C$29:$AW$29)+SUMPRODUCT(Oxides_max!$C3:$AW3,Factors!$C$29:$AW$29))/2),ABS(SUMPRODUCT(Oxides_max!$C3:$AW3,Factors!$C$29:$AW$29)-SUMPRODUCT(Oxides_min!$C3:$AW3,Factors!$C$29:$AW$29))/2)</f>
        <v>0.13092804520880374</v>
      </c>
      <c r="W3" s="20">
        <f>MIN(MAX(0,(SUMPRODUCT(Oxides_min!$C3:$AW3,Factors!$C$30:$AW$30)+SUMPRODUCT(Oxides_max!$C3:$AW3,Factors!$C$30:$AW$30))/2),ABS(SUMPRODUCT(Oxides_max!$C3:$AW3,Factors!$C$30:$AW$30)-SUMPRODUCT(Oxides_min!$C3:$AW3,Factors!$C$30:$AW$30))/2)</f>
        <v>0</v>
      </c>
      <c r="X3" s="20">
        <f>MIN(MAX(0,(SUMPRODUCT(Oxides_min!$C3:$AW3,Factors!$C$31:$AW$31)+SUMPRODUCT(Oxides_max!$C3:$AW3,Factors!$C$31:$AW$31))/2),ABS(SUMPRODUCT(Oxides_max!$C3:$AW3,Factors!$C$31:$AW$31)-SUMPRODUCT(Oxides_min!$C3:$AW3,Factors!$C$31:$AW$31))/2)</f>
        <v>0</v>
      </c>
      <c r="Y3" s="20">
        <f>MIN(MAX(0,(SUMPRODUCT(Oxides_min!$C3:$AW3,Factors!$C$32:$AW$32)+SUMPRODUCT(Oxides_max!$C3:$AW3,Factors!$C$32:$AW$32))/2),ABS(SUMPRODUCT(Oxides_max!$C3:$AW3,Factors!$C$32:$AW$32)-SUMPRODUCT(Oxides_min!$C3:$AW3,Factors!$C$32:$AW$32))/2)</f>
        <v>0.34115180985707472</v>
      </c>
      <c r="Z3" s="20">
        <f>MIN(MAX(0,(SUMPRODUCT(Oxides_min!$C3:$AW3,Factors!$C$33:$AW$33)+SUMPRODUCT(Oxides_max!$C3:$AW3,Factors!$C$33:$AW$33))/2),ABS(SUMPRODUCT(Oxides_max!$C3:$AW3,Factors!$C$33:$AW$33)-SUMPRODUCT(Oxides_min!$C3:$AW3,Factors!$C$33:$AW$33))/2)</f>
        <v>0.11190674437968359</v>
      </c>
      <c r="AA3" s="20">
        <f>MIN(MAX(0,(SUMPRODUCT(Oxides_min!$C3:$AW3,Factors!$C$34:$AW$34)+SUMPRODUCT(Oxides_max!$C3:$AW3,Factors!$C$34:$AW$34))/2),ABS(SUMPRODUCT(Oxides_max!$C3:$AW3,Factors!$C$34:$AW$34)-SUMPRODUCT(Oxides_min!$C3:$AW3,Factors!$C$34:$AW$34))/2)</f>
        <v>2</v>
      </c>
      <c r="AB3" s="20">
        <f>MIN(MAX(0,(SUMPRODUCT(Oxides_min!$C3:$AW3,Factors!$C$35:$AW$35)+SUMPRODUCT(Oxides_max!$C3:$AW3,Factors!$C$35:$AW$35))/2),ABS(SUMPRODUCT(Oxides_max!$C3:$AW3,Factors!$C$35:$AW$35)-SUMPRODUCT(Oxides_min!$C3:$AW3,Factors!$C$35:$AW$35))/2)</f>
        <v>0</v>
      </c>
      <c r="AC3" s="20">
        <f>MIN(MAX(0,(SUMPRODUCT(Oxides_min!$C3:$AW3,Factors!$C$36:$AW$36)+SUMPRODUCT(Oxides_max!$C3:$AW3,Factors!$C$36:$AW$36))/2),ABS(SUMPRODUCT(Oxides_max!$C3:$AW3,Factors!$C$36:$AW$36)-SUMPRODUCT(Oxides_min!$C3:$AW3,Factors!$C$36:$AW$36))/2)</f>
        <v>1.0985148031118519</v>
      </c>
      <c r="AD3" s="20">
        <f>MIN(MAX(0,(SUMPRODUCT(Oxides_min!$C3:$AW3,Factors!$C$37:$AW$37)+SUMPRODUCT(Oxides_max!$C3:$AW3,Factors!$C$37:$AW$37))/2),ABS(SUMPRODUCT(Oxides_max!$C3:$AW3,Factors!$C$37:$AW$37)-SUMPRODUCT(Oxides_min!$C3:$AW3,Factors!$C$37:$AW$37))/2)</f>
        <v>2.2037517482979753E-2</v>
      </c>
      <c r="AE3" s="20">
        <f>MIN(MAX(0,(SUMPRODUCT(Oxides_min!$C3:$AW3,Factors!$C$38:$AW$38)+SUMPRODUCT(Oxides_max!$C3:$AW3,Factors!$C$38:$AW$38))/2),ABS(SUMPRODUCT(Oxides_max!$C3:$AW3,Factors!$C$38:$AW$38)-SUMPRODUCT(Oxides_min!$C3:$AW3,Factors!$C$38:$AW$38))/2)</f>
        <v>0</v>
      </c>
      <c r="AF3" s="20">
        <f>MIN(MAX(0,(SUMPRODUCT(Oxides_min!$C3:$AW3,Factors!$C$39:$AW$39)+SUMPRODUCT(Oxides_max!$C3:$AW3,Factors!$C$39:$AW$39))/2),ABS(SUMPRODUCT(Oxides_max!$C3:$AW3,Factors!$C$39:$AW$39)-SUMPRODUCT(Oxides_min!$C3:$AW3,Factors!$C$39:$AW$39))/2)</f>
        <v>0.59058296607552907</v>
      </c>
      <c r="AG3" s="20">
        <f>MIN(MAX(0,(SUMPRODUCT(Oxides_min!$C3:$AW3,Factors!$C$40:$AW$40)+SUMPRODUCT(Oxides_max!$C3:$AW3,Factors!$C$40:$AW$40))/2),ABS(SUMPRODUCT(Oxides_max!$C3:$AW3,Factors!$C$40:$AW$40)-SUMPRODUCT(Oxides_min!$C3:$AW3,Factors!$C$40:$AW$40))/2)</f>
        <v>9.9337586769677841</v>
      </c>
      <c r="AH3" s="20">
        <f>MIN(MAX(0,(SUMPRODUCT(Oxides_min!$C3:$AW3,Factors!$C$41:$AW$41)+SUMPRODUCT(Oxides_max!$C3:$AW3,Factors!$C$41:$AW$41))/2),ABS(SUMPRODUCT(Oxides_max!$C3:$AW3,Factors!$C$41:$AW$41)-SUMPRODUCT(Oxides_min!$C3:$AW3,Factors!$C$41:$AW$41))/2)</f>
        <v>5.9763884361223401</v>
      </c>
      <c r="AI3" s="20">
        <f>MIN(MAX(0,(SUMPRODUCT(Oxides_min!$C3:$AW3,Factors!$C$42:$AW$42)+SUMPRODUCT(Oxides_max!$C3:$AW3,Factors!$C$42:$AW$42))/2),ABS(SUMPRODUCT(Oxides_max!$C3:$AW3,Factors!$C$42:$AW$42)-SUMPRODUCT(Oxides_min!$C3:$AW3,Factors!$C$42:$AW$42))/2)</f>
        <v>1.4953256142766285</v>
      </c>
      <c r="AJ3" s="20">
        <f>MIN(MAX(0,(SUMPRODUCT(Oxides_min!$C3:$AW3,Factors!$C$43:$AW$43)+SUMPRODUCT(Oxides_max!$C3:$AW3,Factors!$C$43:$AW$43))/2),ABS(SUMPRODUCT(Oxides_max!$C3:$AW3,Factors!$C$43:$AW$43)-SUMPRODUCT(Oxides_min!$C3:$AW3,Factors!$C$43:$AW$43))/2)</f>
        <v>5.5728139181707137</v>
      </c>
      <c r="AK3" s="20">
        <f>MIN(MAX(0,(SUMPRODUCT(Oxides_min!$C3:$AW3,Factors!$C$44:$AW$44)+SUMPRODUCT(Oxides_max!$C3:$AW3,Factors!$C$44:$AW$44))/2),ABS(SUMPRODUCT(Oxides_max!$C3:$AW3,Factors!$C$44:$AW$44)-SUMPRODUCT(Oxides_min!$C3:$AW3,Factors!$C$44:$AW$44))/2)</f>
        <v>1.0348334035908775</v>
      </c>
      <c r="AL3" s="20">
        <f>MIN(MAX(0,(SUMPRODUCT(Oxides_min!$C3:$AW3,Factors!$C$45:$AW$45)+SUMPRODUCT(Oxides_max!$C3:$AW3,Factors!$C$45:$AW$45))/2),ABS(SUMPRODUCT(Oxides_max!$C3:$AW3,Factors!$C$45:$AW$45)-SUMPRODUCT(Oxides_min!$C3:$AW3,Factors!$C$45:$AW$45))/2)</f>
        <v>0.17272316544718336</v>
      </c>
      <c r="AM3" s="20">
        <f>MIN(MAX(0,(SUMPRODUCT(Oxides_min!$C3:$AW3,Factors!$C$46:$AW$46)+SUMPRODUCT(Oxides_max!$C3:$AW3,Factors!$C$46:$AW$46))/2),ABS(SUMPRODUCT(Oxides_max!$C3:$AW3,Factors!$C$46:$AW$46)-SUMPRODUCT(Oxides_min!$C3:$AW3,Factors!$C$46:$AW$46))/2)</f>
        <v>0.52055603218785251</v>
      </c>
      <c r="AN3" s="20">
        <f>MIN(MAX(0,(SUMPRODUCT(Oxides_min!$C3:$AW3,Factors!$C$47:$AW$47)+SUMPRODUCT(Oxides_max!$C3:$AW3,Factors!$C$47:$AW$47))/2),ABS(SUMPRODUCT(Oxides_max!$C3:$AW3,Factors!$C$47:$AW$47)-SUMPRODUCT(Oxides_min!$C3:$AW3,Factors!$C$47:$AW$47))/2)</f>
        <v>0</v>
      </c>
      <c r="AO3" s="20">
        <f>MIN(MAX(0,(SUMPRODUCT(Oxides_min!$C3:$AW3,Factors!$C$48:$AW$48)+SUMPRODUCT(Oxides_max!$C3:$AW3,Factors!$C$48:$AW$48))/2),ABS(SUMPRODUCT(Oxides_max!$C3:$AW3,Factors!$C$48:$AW$48)-SUMPRODUCT(Oxides_min!$C3:$AW3,Factors!$C$48:$AW$48))/2)</f>
        <v>0.174264136172677</v>
      </c>
      <c r="AP3" s="20">
        <f>MIN(MAX(0,(SUMPRODUCT(Oxides_min!$C3:$AW3,Factors!$C$49:$AW$49)+SUMPRODUCT(Oxides_max!$C3:$AW3,Factors!$C$49:$AW$49))/2),ABS(SUMPRODUCT(Oxides_max!$C3:$AW3,Factors!$C$49:$AW$49)-SUMPRODUCT(Oxides_min!$C3:$AW3,Factors!$C$49:$AW$49))/2)</f>
        <v>0</v>
      </c>
      <c r="AQ3" s="20">
        <f>MIN(MAX(0,(SUMPRODUCT(Oxides_min!$C3:$AW3,Factors!$C$50:$AW$50)+SUMPRODUCT(Oxides_max!$C3:$AW3,Factors!$C$50:$AW$50))/2),ABS(SUMPRODUCT(Oxides_max!$C3:$AW3,Factors!$C$50:$AW$50)-SUMPRODUCT(Oxides_min!$C3:$AW3,Factors!$C$50:$AW$50))/2)</f>
        <v>0</v>
      </c>
      <c r="AR3" s="20">
        <f>MIN(MAX(0,(SUMPRODUCT(Oxides_min!$C3:$AW3,Factors!$C$51:$AW$51)+SUMPRODUCT(Oxides_max!$C3:$AW3,Factors!$C$51:$AW$51))/2),ABS(SUMPRODUCT(Oxides_max!$C3:$AW3,Factors!$C$51:$AW$51)-SUMPRODUCT(Oxides_min!$C3:$AW3,Factors!$C$51:$AW$51))/2)</f>
        <v>0</v>
      </c>
      <c r="AS3" s="20">
        <f>MIN(MAX(0,(SUMPRODUCT(Oxides_min!$C3:$AW3,Factors!$C$52:$AW$52)+SUMPRODUCT(Oxides_max!$C3:$AW3,Factors!$C$52:$AW$52))/2),ABS(SUMPRODUCT(Oxides_max!$C3:$AW3,Factors!$C$52:$AW$52)-SUMPRODUCT(Oxides_min!$C3:$AW3,Factors!$C$52:$AW$52))/2)</f>
        <v>0</v>
      </c>
      <c r="AT3" s="20">
        <f>MIN(MAX(0,(SUMPRODUCT(Oxides_min!$C3:$AW3,Factors!$C$53:$AW$53)+SUMPRODUCT(Oxides_max!$C3:$AW3,Factors!$C$53:$AW$53))/2),ABS(SUMPRODUCT(Oxides_max!$C3:$AW3,Factors!$C$53:$AW$53)-SUMPRODUCT(Oxides_min!$C3:$AW3,Factors!$C$53:$AW$53))/2)</f>
        <v>0</v>
      </c>
      <c r="AU3" s="20">
        <f>MIN(MAX(0,(SUMPRODUCT(Oxides_min!$C3:$AW3,Factors!$C$54:$AW$54)+SUMPRODUCT(Oxides_max!$C3:$AW3,Factors!$C$54:$AW$54))/2),ABS(SUMPRODUCT(Oxides_max!$C3:$AW3,Factors!$C$54:$AW$54)-SUMPRODUCT(Oxides_min!$C3:$AW3,Factors!$C$54:$AW$54))/2)</f>
        <v>0</v>
      </c>
      <c r="AV3" s="18">
        <f t="shared" si="0"/>
        <v>37.882876592957103</v>
      </c>
    </row>
    <row r="4" spans="1:48" x14ac:dyDescent="0.25">
      <c r="A4" s="13" t="s">
        <v>130</v>
      </c>
      <c r="B4" s="20">
        <f>MIN(MAX(0,(SUMPRODUCT(Oxides_min!$C4:$AW4,Factors!$C$9:$AW$9)+SUMPRODUCT(Oxides_max!$C4:$AW4,Factors!$C$9:$AW$9))/2),ABS(SUMPRODUCT(Oxides_max!$C4:$AW4,Factors!$C$9:$AW$9)-SUMPRODUCT(Oxides_min!$C4:$AW4,Factors!$C$9:$AW$9))/2)</f>
        <v>5.2216152007866441</v>
      </c>
      <c r="C4" s="20">
        <f>MIN(MAX(0,(SUMPRODUCT(Oxides_min!$C4:$AW4,Factors!$C$10:$AW$10)+SUMPRODUCT(Oxides_max!$C4:$AW4,Factors!$C$10:$AW$10))/2),ABS(SUMPRODUCT(Oxides_max!$C4:$AW4,Factors!$C$10:$AW$10)-SUMPRODUCT(Oxides_min!$C4:$AW4,Factors!$C$10:$AW$10))/2)</f>
        <v>0.46743671254764246</v>
      </c>
      <c r="D4" s="20">
        <f>MIN(MAX(0,(SUMPRODUCT(Oxides_min!$C4:$AW4,Factors!$C$11:$AW$11)+SUMPRODUCT(Oxides_max!$C4:$AW4,Factors!$C$11:$AW$11))/2),ABS(SUMPRODUCT(Oxides_max!$C4:$AW4,Factors!$C$11:$AW$11)-SUMPRODUCT(Oxides_min!$C4:$AW4,Factors!$C$11:$AW$11))/2)</f>
        <v>0</v>
      </c>
      <c r="E4" s="20">
        <f>MIN(MAX(0,(SUMPRODUCT(Oxides_min!$C4:$AW4,Factors!$C$12:$AW$12)+SUMPRODUCT(Oxides_max!$C4:$AW4,Factors!$C$12:$AW$12))/2),ABS(SUMPRODUCT(Oxides_max!$C4:$AW4,Factors!$C$12:$AW$12)-SUMPRODUCT(Oxides_min!$C4:$AW4,Factors!$C$12:$AW$12))/2)</f>
        <v>0</v>
      </c>
      <c r="F4" s="20">
        <f>MIN(MAX(0,(SUMPRODUCT(Oxides_min!$C4:$AW4,Factors!$C$13:$AW$13)+SUMPRODUCT(Oxides_max!$C4:$AW4,Factors!$C$13:$AW$13))/2),ABS(SUMPRODUCT(Oxides_max!$C4:$AW4,Factors!$C$13:$AW$13)-SUMPRODUCT(Oxides_min!$C4:$AW4,Factors!$C$13:$AW$13))/2)</f>
        <v>0</v>
      </c>
      <c r="G4" s="20">
        <f>MIN(MAX(0,(SUMPRODUCT(Oxides_min!$C4:$AW4,Factors!$C$14:$AW$14)+SUMPRODUCT(Oxides_max!$C4:$AW4,Factors!$C$14:$AW$14))/2),ABS(SUMPRODUCT(Oxides_max!$C4:$AW4,Factors!$C$14:$AW$14)-SUMPRODUCT(Oxides_min!$C4:$AW4,Factors!$C$14:$AW$14))/2)</f>
        <v>0</v>
      </c>
      <c r="H4" s="20">
        <f>MIN(MAX(0,(SUMPRODUCT(Oxides_min!$C4:$AW4,Factors!$C$15:$AW$15)+SUMPRODUCT(Oxides_max!$C4:$AW4,Factors!$C$15:$AW$15))/2),ABS(SUMPRODUCT(Oxides_max!$C4:$AW4,Factors!$C$15:$AW$15)-SUMPRODUCT(Oxides_min!$C4:$AW4,Factors!$C$15:$AW$15))/2)</f>
        <v>5.2925692670867643E-2</v>
      </c>
      <c r="I4" s="20">
        <f>MIN(MAX(0,(SUMPRODUCT(Oxides_min!$C4:$AW4,Factors!$C$16:$AW$16)+SUMPRODUCT(Oxides_max!$C4:$AW4,Factors!$C$16:$AW$16))/2),ABS(SUMPRODUCT(Oxides_max!$C4:$AW4,Factors!$C$16:$AW$16)-SUMPRODUCT(Oxides_min!$C4:$AW4,Factors!$C$16:$AW$16))/2)</f>
        <v>0.19432729246701186</v>
      </c>
      <c r="J4" s="20">
        <f>MIN(MAX(0,(SUMPRODUCT(Oxides_min!$C4:$AW4,Factors!$C$17:$AW$17)+SUMPRODUCT(Oxides_max!$C4:$AW4,Factors!$C$17:$AW$17))/2),ABS(SUMPRODUCT(Oxides_max!$C4:$AW4,Factors!$C$17:$AW$17)-SUMPRODUCT(Oxides_min!$C4:$AW4,Factors!$C$17:$AW$17))/2)</f>
        <v>0</v>
      </c>
      <c r="K4" s="20">
        <f>MIN(MAX(0,(SUMPRODUCT(Oxides_min!$C4:$AW4,Factors!$C$18:$AW$18)+SUMPRODUCT(Oxides_max!$C4:$AW4,Factors!$C$18:$AW$18))/2),ABS(SUMPRODUCT(Oxides_max!$C4:$AW4,Factors!$C$18:$AW$18)-SUMPRODUCT(Oxides_min!$C4:$AW4,Factors!$C$18:$AW$18))/2)</f>
        <v>0</v>
      </c>
      <c r="L4" s="20">
        <f>MIN(MAX(0,(SUMPRODUCT(Oxides_min!$C4:$AW4,Factors!$C$19:$AW$19)+SUMPRODUCT(Oxides_max!$C4:$AW4,Factors!$C$19:$AW$19))/2),ABS(SUMPRODUCT(Oxides_max!$C4:$AW4,Factors!$C$19:$AW$19)-SUMPRODUCT(Oxides_min!$C4:$AW4,Factors!$C$19:$AW$19))/2)</f>
        <v>0.21440875938441784</v>
      </c>
      <c r="M4" s="20">
        <f>MIN(MAX(0,(SUMPRODUCT(Oxides_min!$C4:$AW4,Factors!$C$20:$AW$20)+SUMPRODUCT(Oxides_max!$C4:$AW4,Factors!$C$20:$AW$20))/2),ABS(SUMPRODUCT(Oxides_max!$C4:$AW4,Factors!$C$20:$AW$20)-SUMPRODUCT(Oxides_min!$C4:$AW4,Factors!$C$20:$AW$20))/2)</f>
        <v>0</v>
      </c>
      <c r="N4" s="20">
        <f>MIN(MAX(0,(SUMPRODUCT(Oxides_min!$C4:$AW4,Factors!$C$21:$AW$21)+SUMPRODUCT(Oxides_max!$C4:$AW4,Factors!$C$21:$AW$21))/2),ABS(SUMPRODUCT(Oxides_max!$C4:$AW4,Factors!$C$21:$AW$21)-SUMPRODUCT(Oxides_min!$C4:$AW4,Factors!$C$21:$AW$21))/2)</f>
        <v>0</v>
      </c>
      <c r="O4" s="20">
        <f>MIN(MAX(0,(SUMPRODUCT(Oxides_min!$C4:$AW4,Factors!$C$22:$AW$22)+SUMPRODUCT(Oxides_max!$C4:$AW4,Factors!$C$22:$AW$22))/2),ABS(SUMPRODUCT(Oxides_max!$C4:$AW4,Factors!$C$22:$AW$22)-SUMPRODUCT(Oxides_min!$C4:$AW4,Factors!$C$22:$AW$22))/2)</f>
        <v>0.13924793569863664</v>
      </c>
      <c r="P4" s="20">
        <f>MIN(MAX(0,(SUMPRODUCT(Oxides_min!$C4:$AW4,Factors!$C$23:$AW$23)+SUMPRODUCT(Oxides_max!$C4:$AW4,Factors!$C$23:$AW$23))/2),ABS(SUMPRODUCT(Oxides_max!$C4:$AW4,Factors!$C$23:$AW$23)-SUMPRODUCT(Oxides_min!$C4:$AW4,Factors!$C$23:$AW$23))/2)</f>
        <v>0</v>
      </c>
      <c r="Q4" s="20">
        <f>MIN(MAX(0,(SUMPRODUCT(Oxides_min!$C4:$AW4,Factors!$C$24:$AW$24)+SUMPRODUCT(Oxides_max!$C4:$AW4,Factors!$C$24:$AW$24))/2),ABS(SUMPRODUCT(Oxides_max!$C4:$AW4,Factors!$C$24:$AW$24)-SUMPRODUCT(Oxides_min!$C4:$AW4,Factors!$C$24:$AW$24))/2)</f>
        <v>0</v>
      </c>
      <c r="R4" s="20">
        <f>MIN(MAX(0,(SUMPRODUCT(Oxides_min!$C4:$AW4,Factors!$C$25:$AW$25)+SUMPRODUCT(Oxides_max!$C4:$AW4,Factors!$C$25:$AW$25))/2),ABS(SUMPRODUCT(Oxides_max!$C4:$AW4,Factors!$C$25:$AW$25)-SUMPRODUCT(Oxides_min!$C4:$AW4,Factors!$C$25:$AW$25))/2)</f>
        <v>0</v>
      </c>
      <c r="S4" s="20">
        <f>MIN(MAX(0,(SUMPRODUCT(Oxides_min!$C4:$AW4,Factors!$C$26:$AW$26)+SUMPRODUCT(Oxides_max!$C4:$AW4,Factors!$C$26:$AW$26))/2),ABS(SUMPRODUCT(Oxides_max!$C4:$AW4,Factors!$C$26:$AW$26)-SUMPRODUCT(Oxides_min!$C4:$AW4,Factors!$C$26:$AW$26))/2)</f>
        <v>0</v>
      </c>
      <c r="T4" s="20">
        <f>MIN(MAX(0,(SUMPRODUCT(Oxides_min!$C4:$AW4,Factors!$C$27:$AW$27)+SUMPRODUCT(Oxides_max!$C4:$AW4,Factors!$C$27:$AW$27))/2),ABS(SUMPRODUCT(Oxides_max!$C4:$AW4,Factors!$C$27:$AW$27)-SUMPRODUCT(Oxides_min!$C4:$AW4,Factors!$C$27:$AW$27))/2)</f>
        <v>0</v>
      </c>
      <c r="U4" s="20">
        <f>MIN(MAX(0,(SUMPRODUCT(Oxides_min!$C4:$AW4,Factors!$C$28:$AW$28)+SUMPRODUCT(Oxides_max!$C4:$AW4,Factors!$C$28:$AW$28))/2),ABS(SUMPRODUCT(Oxides_max!$C4:$AW4,Factors!$C$28:$AW$28)-SUMPRODUCT(Oxides_min!$C4:$AW4,Factors!$C$28:$AW$28))/2)</f>
        <v>0</v>
      </c>
      <c r="V4" s="20">
        <f>MIN(MAX(0,(SUMPRODUCT(Oxides_min!$C4:$AW4,Factors!$C$29:$AW$29)+SUMPRODUCT(Oxides_max!$C4:$AW4,Factors!$C$29:$AW$29))/2),ABS(SUMPRODUCT(Oxides_max!$C4:$AW4,Factors!$C$29:$AW$29)-SUMPRODUCT(Oxides_min!$C4:$AW4,Factors!$C$29:$AW$29))/2)</f>
        <v>0.8728536347253586</v>
      </c>
      <c r="W4" s="20">
        <f>MIN(MAX(0,(SUMPRODUCT(Oxides_min!$C4:$AW4,Factors!$C$30:$AW$30)+SUMPRODUCT(Oxides_max!$C4:$AW4,Factors!$C$30:$AW$30))/2),ABS(SUMPRODUCT(Oxides_max!$C4:$AW4,Factors!$C$30:$AW$30)-SUMPRODUCT(Oxides_min!$C4:$AW4,Factors!$C$30:$AW$30))/2)</f>
        <v>0</v>
      </c>
      <c r="X4" s="20">
        <f>MIN(MAX(0,(SUMPRODUCT(Oxides_min!$C4:$AW4,Factors!$C$31:$AW$31)+SUMPRODUCT(Oxides_max!$C4:$AW4,Factors!$C$31:$AW$31))/2),ABS(SUMPRODUCT(Oxides_max!$C4:$AW4,Factors!$C$31:$AW$31)-SUMPRODUCT(Oxides_min!$C4:$AW4,Factors!$C$31:$AW$31))/2)</f>
        <v>0</v>
      </c>
      <c r="Y4" s="20">
        <f>MIN(MAX(0,(SUMPRODUCT(Oxides_min!$C4:$AW4,Factors!$C$32:$AW$32)+SUMPRODUCT(Oxides_max!$C4:$AW4,Factors!$C$32:$AW$32))/2),ABS(SUMPRODUCT(Oxides_max!$C4:$AW4,Factors!$C$32:$AW$32)-SUMPRODUCT(Oxides_min!$C4:$AW4,Factors!$C$32:$AW$32))/2)</f>
        <v>0</v>
      </c>
      <c r="Z4" s="20">
        <f>MIN(MAX(0,(SUMPRODUCT(Oxides_min!$C4:$AW4,Factors!$C$33:$AW$33)+SUMPRODUCT(Oxides_max!$C4:$AW4,Factors!$C$33:$AW$33))/2),ABS(SUMPRODUCT(Oxides_max!$C4:$AW4,Factors!$C$33:$AW$33)-SUMPRODUCT(Oxides_min!$C4:$AW4,Factors!$C$33:$AW$33))/2)</f>
        <v>0</v>
      </c>
      <c r="AA4" s="20">
        <f>MIN(MAX(0,(SUMPRODUCT(Oxides_min!$C4:$AW4,Factors!$C$34:$AW$34)+SUMPRODUCT(Oxides_max!$C4:$AW4,Factors!$C$34:$AW$34))/2),ABS(SUMPRODUCT(Oxides_max!$C4:$AW4,Factors!$C$34:$AW$34)-SUMPRODUCT(Oxides_min!$C4:$AW4,Factors!$C$34:$AW$34))/2)</f>
        <v>0</v>
      </c>
      <c r="AB4" s="20">
        <f>MIN(MAX(0,(SUMPRODUCT(Oxides_min!$C4:$AW4,Factors!$C$35:$AW$35)+SUMPRODUCT(Oxides_max!$C4:$AW4,Factors!$C$35:$AW$35))/2),ABS(SUMPRODUCT(Oxides_max!$C4:$AW4,Factors!$C$35:$AW$35)-SUMPRODUCT(Oxides_min!$C4:$AW4,Factors!$C$35:$AW$35))/2)</f>
        <v>0</v>
      </c>
      <c r="AC4" s="20">
        <f>MIN(MAX(0,(SUMPRODUCT(Oxides_min!$C4:$AW4,Factors!$C$36:$AW$36)+SUMPRODUCT(Oxides_max!$C4:$AW4,Factors!$C$36:$AW$36))/2),ABS(SUMPRODUCT(Oxides_max!$C4:$AW4,Factors!$C$36:$AW$36)-SUMPRODUCT(Oxides_min!$C4:$AW4,Factors!$C$36:$AW$36))/2)</f>
        <v>1.3182177637342223</v>
      </c>
      <c r="AD4" s="20">
        <f>MIN(MAX(0,(SUMPRODUCT(Oxides_min!$C4:$AW4,Factors!$C$37:$AW$37)+SUMPRODUCT(Oxides_max!$C4:$AW4,Factors!$C$37:$AW$37))/2),ABS(SUMPRODUCT(Oxides_max!$C4:$AW4,Factors!$C$37:$AW$37)-SUMPRODUCT(Oxides_min!$C4:$AW4,Factors!$C$37:$AW$37))/2)</f>
        <v>2.2037517482979752</v>
      </c>
      <c r="AE4" s="20">
        <f>MIN(MAX(0,(SUMPRODUCT(Oxides_min!$C4:$AW4,Factors!$C$38:$AW$38)+SUMPRODUCT(Oxides_max!$C4:$AW4,Factors!$C$38:$AW$38))/2),ABS(SUMPRODUCT(Oxides_max!$C4:$AW4,Factors!$C$38:$AW$38)-SUMPRODUCT(Oxides_min!$C4:$AW4,Factors!$C$38:$AW$38))/2)</f>
        <v>0</v>
      </c>
      <c r="AF4" s="20">
        <f>MIN(MAX(0,(SUMPRODUCT(Oxides_min!$C4:$AW4,Factors!$C$39:$AW$39)+SUMPRODUCT(Oxides_max!$C4:$AW4,Factors!$C$39:$AW$39))/2),ABS(SUMPRODUCT(Oxides_max!$C4:$AW4,Factors!$C$39:$AW$39)-SUMPRODUCT(Oxides_min!$C4:$AW4,Factors!$C$39:$AW$39))/2)</f>
        <v>5.5121076833716032</v>
      </c>
      <c r="AG4" s="20">
        <f>MIN(MAX(0,(SUMPRODUCT(Oxides_min!$C4:$AW4,Factors!$C$40:$AW$40)+SUMPRODUCT(Oxides_max!$C4:$AW4,Factors!$C$40:$AW$40))/2),ABS(SUMPRODUCT(Oxides_max!$C4:$AW4,Factors!$C$40:$AW$40)-SUMPRODUCT(Oxides_min!$C4:$AW4,Factors!$C$40:$AW$40))/2)</f>
        <v>4.2634157411878912E-2</v>
      </c>
      <c r="AH4" s="20">
        <f>MIN(MAX(0,(SUMPRODUCT(Oxides_min!$C4:$AW4,Factors!$C$41:$AW$41)+SUMPRODUCT(Oxides_max!$C4:$AW4,Factors!$C$41:$AW$41))/2),ABS(SUMPRODUCT(Oxides_max!$C4:$AW4,Factors!$C$41:$AW$41)-SUMPRODUCT(Oxides_min!$C4:$AW4,Factors!$C$41:$AW$41))/2)</f>
        <v>0.12806546648833586</v>
      </c>
      <c r="AI4" s="20">
        <f>MIN(MAX(0,(SUMPRODUCT(Oxides_min!$C4:$AW4,Factors!$C$42:$AW$42)+SUMPRODUCT(Oxides_max!$C4:$AW4,Factors!$C$42:$AW$42))/2),ABS(SUMPRODUCT(Oxides_max!$C4:$AW4,Factors!$C$42:$AW$42)-SUMPRODUCT(Oxides_min!$C4:$AW4,Factors!$C$42:$AW$42))/2)</f>
        <v>4.2723588979332247E-2</v>
      </c>
      <c r="AJ4" s="20">
        <f>MIN(MAX(0,(SUMPRODUCT(Oxides_min!$C4:$AW4,Factors!$C$43:$AW$43)+SUMPRODUCT(Oxides_max!$C4:$AW4,Factors!$C$43:$AW$43))/2),ABS(SUMPRODUCT(Oxides_max!$C4:$AW4,Factors!$C$43:$AW$43)-SUMPRODUCT(Oxides_min!$C4:$AW4,Factors!$C$43:$AW$43))/2)</f>
        <v>0.21433899685271976</v>
      </c>
      <c r="AK4" s="20">
        <f>MIN(MAX(0,(SUMPRODUCT(Oxides_min!$C4:$AW4,Factors!$C$44:$AW$44)+SUMPRODUCT(Oxides_max!$C4:$AW4,Factors!$C$44:$AW$44))/2),ABS(SUMPRODUCT(Oxides_max!$C4:$AW4,Factors!$C$44:$AW$44)-SUMPRODUCT(Oxides_min!$C4:$AW4,Factors!$C$44:$AW$44))/2)</f>
        <v>0.40962155558805563</v>
      </c>
      <c r="AL4" s="20">
        <f>MIN(MAX(0,(SUMPRODUCT(Oxides_min!$C4:$AW4,Factors!$C$45:$AW$45)+SUMPRODUCT(Oxides_max!$C4:$AW4,Factors!$C$45:$AW$45))/2),ABS(SUMPRODUCT(Oxides_max!$C4:$AW4,Factors!$C$45:$AW$45)-SUMPRODUCT(Oxides_min!$C4:$AW4,Factors!$C$45:$AW$45))/2)</f>
        <v>8.6361582723591679E-2</v>
      </c>
      <c r="AM4" s="20">
        <f>MIN(MAX(0,(SUMPRODUCT(Oxides_min!$C4:$AW4,Factors!$C$46:$AW$46)+SUMPRODUCT(Oxides_max!$C4:$AW4,Factors!$C$46:$AW$46))/2),ABS(SUMPRODUCT(Oxides_max!$C4:$AW4,Factors!$C$46:$AW$46)-SUMPRODUCT(Oxides_min!$C4:$AW4,Factors!$C$46:$AW$46))/2)</f>
        <v>1.6050477659125455</v>
      </c>
      <c r="AN4" s="20">
        <f>MIN(MAX(0,(SUMPRODUCT(Oxides_min!$C4:$AW4,Factors!$C$47:$AW$47)+SUMPRODUCT(Oxides_max!$C4:$AW4,Factors!$C$47:$AW$47))/2),ABS(SUMPRODUCT(Oxides_max!$C4:$AW4,Factors!$C$47:$AW$47)-SUMPRODUCT(Oxides_min!$C4:$AW4,Factors!$C$47:$AW$47))/2)</f>
        <v>0.34752242531523364</v>
      </c>
      <c r="AO4" s="20">
        <f>MIN(MAX(0,(SUMPRODUCT(Oxides_min!$C4:$AW4,Factors!$C$48:$AW$48)+SUMPRODUCT(Oxides_max!$C4:$AW4,Factors!$C$48:$AW$48))/2),ABS(SUMPRODUCT(Oxides_max!$C4:$AW4,Factors!$C$48:$AW$48)-SUMPRODUCT(Oxides_min!$C4:$AW4,Factors!$C$48:$AW$48))/2)</f>
        <v>1.7426413617267698</v>
      </c>
      <c r="AP4" s="20">
        <f>MIN(MAX(0,(SUMPRODUCT(Oxides_min!$C4:$AW4,Factors!$C$49:$AW$49)+SUMPRODUCT(Oxides_max!$C4:$AW4,Factors!$C$49:$AW$49))/2),ABS(SUMPRODUCT(Oxides_max!$C4:$AW4,Factors!$C$49:$AW$49)-SUMPRODUCT(Oxides_min!$C4:$AW4,Factors!$C$49:$AW$49))/2)</f>
        <v>0.5237855863501617</v>
      </c>
      <c r="AQ4" s="20">
        <f>MIN(MAX(0,(SUMPRODUCT(Oxides_min!$C4:$AW4,Factors!$C$50:$AW$50)+SUMPRODUCT(Oxides_max!$C4:$AW4,Factors!$C$50:$AW$50))/2),ABS(SUMPRODUCT(Oxides_max!$C4:$AW4,Factors!$C$50:$AW$50)-SUMPRODUCT(Oxides_min!$C4:$AW4,Factors!$C$50:$AW$50))/2)</f>
        <v>1.311783851613662</v>
      </c>
      <c r="AR4" s="20">
        <f>MIN(MAX(0,(SUMPRODUCT(Oxides_min!$C4:$AW4,Factors!$C$51:$AW$51)+SUMPRODUCT(Oxides_max!$C4:$AW4,Factors!$C$51:$AW$51))/2),ABS(SUMPRODUCT(Oxides_max!$C4:$AW4,Factors!$C$51:$AW$51)-SUMPRODUCT(Oxides_min!$C4:$AW4,Factors!$C$51:$AW$51))/2)</f>
        <v>0.30646422752967978</v>
      </c>
      <c r="AS4" s="20">
        <f>MIN(MAX(0,(SUMPRODUCT(Oxides_min!$C4:$AW4,Factors!$C$52:$AW$52)+SUMPRODUCT(Oxides_max!$C4:$AW4,Factors!$C$52:$AW$52))/2),ABS(SUMPRODUCT(Oxides_max!$C4:$AW4,Factors!$C$52:$AW$52)-SUMPRODUCT(Oxides_min!$C4:$AW4,Factors!$C$52:$AW$52))/2)</f>
        <v>2.1955177410064275</v>
      </c>
      <c r="AT4" s="20">
        <f>MIN(MAX(0,(SUMPRODUCT(Oxides_min!$C4:$AW4,Factors!$C$53:$AW$53)+SUMPRODUCT(Oxides_max!$C4:$AW4,Factors!$C$53:$AW$53))/2),ABS(SUMPRODUCT(Oxides_max!$C4:$AW4,Factors!$C$53:$AW$53)-SUMPRODUCT(Oxides_min!$C4:$AW4,Factors!$C$53:$AW$53))/2)</f>
        <v>0.571599268817226</v>
      </c>
      <c r="AU4" s="20">
        <f>MIN(MAX(0,(SUMPRODUCT(Oxides_min!$C4:$AW4,Factors!$C$54:$AW$54)+SUMPRODUCT(Oxides_max!$C4:$AW4,Factors!$C$54:$AW$54))/2),ABS(SUMPRODUCT(Oxides_max!$C4:$AW4,Factors!$C$54:$AW$54)-SUMPRODUCT(Oxides_min!$C4:$AW4,Factors!$C$54:$AW$54))/2)</f>
        <v>0</v>
      </c>
      <c r="AV4" s="18">
        <f t="shared" si="0"/>
        <v>25.725000000000001</v>
      </c>
    </row>
    <row r="5" spans="1:48" x14ac:dyDescent="0.25">
      <c r="A5" s="13" t="s">
        <v>132</v>
      </c>
      <c r="B5" s="20">
        <f>MIN(MAX(0,(SUMPRODUCT(Oxides_min!$C5:$AW5,Factors!$C$9:$AW$9)+SUMPRODUCT(Oxides_max!$C5:$AW5,Factors!$C$9:$AW$9))/2),ABS(SUMPRODUCT(Oxides_max!$C5:$AW5,Factors!$C$9:$AW$9)-SUMPRODUCT(Oxides_min!$C5:$AW5,Factors!$C$9:$AW$9))/2)</f>
        <v>3.9923663275957146</v>
      </c>
      <c r="C5" s="20">
        <f>MIN(MAX(0,(SUMPRODUCT(Oxides_min!$C5:$AW5,Factors!$C$10:$AW$10)+SUMPRODUCT(Oxides_max!$C5:$AW5,Factors!$C$10:$AW$10))/2),ABS(SUMPRODUCT(Oxides_max!$C5:$AW5,Factors!$C$10:$AW$10)-SUMPRODUCT(Oxides_min!$C5:$AW5,Factors!$C$10:$AW$10))/2)</f>
        <v>0.11685917813691062</v>
      </c>
      <c r="D5" s="20">
        <f>MIN(MAX(0,(SUMPRODUCT(Oxides_min!$C5:$AW5,Factors!$C$11:$AW$11)+SUMPRODUCT(Oxides_max!$C5:$AW5,Factors!$C$11:$AW$11))/2),ABS(SUMPRODUCT(Oxides_max!$C5:$AW5,Factors!$C$11:$AW$11)-SUMPRODUCT(Oxides_min!$C5:$AW5,Factors!$C$11:$AW$11))/2)</f>
        <v>0</v>
      </c>
      <c r="E5" s="20">
        <f>MIN(MAX(0,(SUMPRODUCT(Oxides_min!$C5:$AW5,Factors!$C$12:$AW$12)+SUMPRODUCT(Oxides_max!$C5:$AW5,Factors!$C$12:$AW$12))/2),ABS(SUMPRODUCT(Oxides_max!$C5:$AW5,Factors!$C$12:$AW$12)-SUMPRODUCT(Oxides_min!$C5:$AW5,Factors!$C$12:$AW$12))/2)</f>
        <v>0</v>
      </c>
      <c r="F5" s="20">
        <f>MIN(MAX(0,(SUMPRODUCT(Oxides_min!$C5:$AW5,Factors!$C$13:$AW$13)+SUMPRODUCT(Oxides_max!$C5:$AW5,Factors!$C$13:$AW$13))/2),ABS(SUMPRODUCT(Oxides_max!$C5:$AW5,Factors!$C$13:$AW$13)-SUMPRODUCT(Oxides_min!$C5:$AW5,Factors!$C$13:$AW$13))/2)</f>
        <v>0</v>
      </c>
      <c r="G5" s="20">
        <f>MIN(MAX(0,(SUMPRODUCT(Oxides_min!$C5:$AW5,Factors!$C$14:$AW$14)+SUMPRODUCT(Oxides_max!$C5:$AW5,Factors!$C$14:$AW$14))/2),ABS(SUMPRODUCT(Oxides_max!$C5:$AW5,Factors!$C$14:$AW$14)-SUMPRODUCT(Oxides_min!$C5:$AW5,Factors!$C$14:$AW$14))/2)</f>
        <v>0</v>
      </c>
      <c r="H5" s="20">
        <f>MIN(MAX(0,(SUMPRODUCT(Oxides_min!$C5:$AW5,Factors!$C$15:$AW$15)+SUMPRODUCT(Oxides_max!$C5:$AW5,Factors!$C$15:$AW$15))/2),ABS(SUMPRODUCT(Oxides_max!$C5:$AW5,Factors!$C$15:$AW$15)-SUMPRODUCT(Oxides_min!$C5:$AW5,Factors!$C$15:$AW$15))/2)</f>
        <v>0</v>
      </c>
      <c r="I5" s="20">
        <f>MIN(MAX(0,(SUMPRODUCT(Oxides_min!$C5:$AW5,Factors!$C$16:$AW$16)+SUMPRODUCT(Oxides_max!$C5:$AW5,Factors!$C$16:$AW$16))/2),ABS(SUMPRODUCT(Oxides_max!$C5:$AW5,Factors!$C$16:$AW$16)-SUMPRODUCT(Oxides_min!$C5:$AW5,Factors!$C$16:$AW$16))/2)</f>
        <v>0.11659637548020711</v>
      </c>
      <c r="J5" s="20">
        <f>MIN(MAX(0,(SUMPRODUCT(Oxides_min!$C5:$AW5,Factors!$C$17:$AW$17)+SUMPRODUCT(Oxides_max!$C5:$AW5,Factors!$C$17:$AW$17))/2),ABS(SUMPRODUCT(Oxides_max!$C5:$AW5,Factors!$C$17:$AW$17)-SUMPRODUCT(Oxides_min!$C5:$AW5,Factors!$C$17:$AW$17))/2)</f>
        <v>0</v>
      </c>
      <c r="K5" s="20">
        <f>MIN(MAX(0,(SUMPRODUCT(Oxides_min!$C5:$AW5,Factors!$C$18:$AW$18)+SUMPRODUCT(Oxides_max!$C5:$AW5,Factors!$C$18:$AW$18))/2),ABS(SUMPRODUCT(Oxides_max!$C5:$AW5,Factors!$C$18:$AW$18)-SUMPRODUCT(Oxides_min!$C5:$AW5,Factors!$C$18:$AW$18))/2)</f>
        <v>0</v>
      </c>
      <c r="L5" s="20">
        <f>MIN(MAX(0,(SUMPRODUCT(Oxides_min!$C5:$AW5,Factors!$C$19:$AW$19)+SUMPRODUCT(Oxides_max!$C5:$AW5,Factors!$C$19:$AW$19))/2),ABS(SUMPRODUCT(Oxides_max!$C5:$AW5,Factors!$C$19:$AW$19)-SUMPRODUCT(Oxides_min!$C5:$AW5,Factors!$C$19:$AW$19))/2)</f>
        <v>1.0720437969220886</v>
      </c>
      <c r="M5" s="20">
        <f>MIN(MAX(0,(SUMPRODUCT(Oxides_min!$C5:$AW5,Factors!$C$20:$AW$20)+SUMPRODUCT(Oxides_max!$C5:$AW5,Factors!$C$20:$AW$20))/2),ABS(SUMPRODUCT(Oxides_max!$C5:$AW5,Factors!$C$20:$AW$20)-SUMPRODUCT(Oxides_min!$C5:$AW5,Factors!$C$20:$AW$20))/2)</f>
        <v>0.4227989075362627</v>
      </c>
      <c r="N5" s="20">
        <f>MIN(MAX(0,(SUMPRODUCT(Oxides_min!$C5:$AW5,Factors!$C$21:$AW$21)+SUMPRODUCT(Oxides_max!$C5:$AW5,Factors!$C$21:$AW$21))/2),ABS(SUMPRODUCT(Oxides_max!$C5:$AW5,Factors!$C$21:$AW$21)-SUMPRODUCT(Oxides_min!$C5:$AW5,Factors!$C$21:$AW$21))/2)</f>
        <v>0.22391342629430103</v>
      </c>
      <c r="O5" s="20">
        <f>MIN(MAX(0,(SUMPRODUCT(Oxides_min!$C5:$AW5,Factors!$C$22:$AW$22)+SUMPRODUCT(Oxides_max!$C5:$AW5,Factors!$C$22:$AW$22))/2),ABS(SUMPRODUCT(Oxides_max!$C5:$AW5,Factors!$C$22:$AW$22)-SUMPRODUCT(Oxides_min!$C5:$AW5,Factors!$C$22:$AW$22))/2)</f>
        <v>0</v>
      </c>
      <c r="P5" s="20">
        <f>MIN(MAX(0,(SUMPRODUCT(Oxides_min!$C5:$AW5,Factors!$C$23:$AW$23)+SUMPRODUCT(Oxides_max!$C5:$AW5,Factors!$C$23:$AW$23))/2),ABS(SUMPRODUCT(Oxides_max!$C5:$AW5,Factors!$C$23:$AW$23)-SUMPRODUCT(Oxides_min!$C5:$AW5,Factors!$C$23:$AW$23))/2)</f>
        <v>7.4186225794092037E-2</v>
      </c>
      <c r="Q5" s="20">
        <f>MIN(MAX(0,(SUMPRODUCT(Oxides_min!$C5:$AW5,Factors!$C$24:$AW$24)+SUMPRODUCT(Oxides_max!$C5:$AW5,Factors!$C$24:$AW$24))/2),ABS(SUMPRODUCT(Oxides_max!$C5:$AW5,Factors!$C$24:$AW$24)-SUMPRODUCT(Oxides_min!$C5:$AW5,Factors!$C$24:$AW$24))/2)</f>
        <v>0</v>
      </c>
      <c r="R5" s="20">
        <f>MIN(MAX(0,(SUMPRODUCT(Oxides_min!$C5:$AW5,Factors!$C$25:$AW$25)+SUMPRODUCT(Oxides_max!$C5:$AW5,Factors!$C$25:$AW$25))/2),ABS(SUMPRODUCT(Oxides_max!$C5:$AW5,Factors!$C$25:$AW$25)-SUMPRODUCT(Oxides_min!$C5:$AW5,Factors!$C$25:$AW$25))/2)</f>
        <v>0</v>
      </c>
      <c r="S5" s="20">
        <f>MIN(MAX(0,(SUMPRODUCT(Oxides_min!$C5:$AW5,Factors!$C$26:$AW$26)+SUMPRODUCT(Oxides_max!$C5:$AW5,Factors!$C$26:$AW$26))/2),ABS(SUMPRODUCT(Oxides_max!$C5:$AW5,Factors!$C$26:$AW$26)-SUMPRODUCT(Oxides_min!$C5:$AW5,Factors!$C$26:$AW$26))/2)</f>
        <v>0</v>
      </c>
      <c r="T5" s="20">
        <f>MIN(MAX(0,(SUMPRODUCT(Oxides_min!$C5:$AW5,Factors!$C$27:$AW$27)+SUMPRODUCT(Oxides_max!$C5:$AW5,Factors!$C$27:$AW$27))/2),ABS(SUMPRODUCT(Oxides_max!$C5:$AW5,Factors!$C$27:$AW$27)-SUMPRODUCT(Oxides_min!$C5:$AW5,Factors!$C$27:$AW$27))/2)</f>
        <v>0</v>
      </c>
      <c r="U5" s="20">
        <f>MIN(MAX(0,(SUMPRODUCT(Oxides_min!$C5:$AW5,Factors!$C$28:$AW$28)+SUMPRODUCT(Oxides_max!$C5:$AW5,Factors!$C$28:$AW$28))/2),ABS(SUMPRODUCT(Oxides_max!$C5:$AW5,Factors!$C$28:$AW$28)-SUMPRODUCT(Oxides_min!$C5:$AW5,Factors!$C$28:$AW$28))/2)</f>
        <v>0</v>
      </c>
      <c r="V5" s="20">
        <f>MIN(MAX(0,(SUMPRODUCT(Oxides_min!$C5:$AW5,Factors!$C$29:$AW$29)+SUMPRODUCT(Oxides_max!$C5:$AW5,Factors!$C$29:$AW$29))/2),ABS(SUMPRODUCT(Oxides_max!$C5:$AW5,Factors!$C$29:$AW$29)-SUMPRODUCT(Oxides_min!$C5:$AW5,Factors!$C$29:$AW$29))/2)</f>
        <v>0</v>
      </c>
      <c r="W5" s="20">
        <f>MIN(MAX(0,(SUMPRODUCT(Oxides_min!$C5:$AW5,Factors!$C$30:$AW$30)+SUMPRODUCT(Oxides_max!$C5:$AW5,Factors!$C$30:$AW$30))/2),ABS(SUMPRODUCT(Oxides_max!$C5:$AW5,Factors!$C$30:$AW$30)-SUMPRODUCT(Oxides_min!$C5:$AW5,Factors!$C$30:$AW$30))/2)</f>
        <v>0</v>
      </c>
      <c r="X5" s="20">
        <f>MIN(MAX(0,(SUMPRODUCT(Oxides_min!$C5:$AW5,Factors!$C$31:$AW$31)+SUMPRODUCT(Oxides_max!$C5:$AW5,Factors!$C$31:$AW$31))/2),ABS(SUMPRODUCT(Oxides_max!$C5:$AW5,Factors!$C$31:$AW$31)-SUMPRODUCT(Oxides_min!$C5:$AW5,Factors!$C$31:$AW$31))/2)</f>
        <v>0</v>
      </c>
      <c r="Y5" s="20">
        <f>MIN(MAX(0,(SUMPRODUCT(Oxides_min!$C5:$AW5,Factors!$C$32:$AW$32)+SUMPRODUCT(Oxides_max!$C5:$AW5,Factors!$C$32:$AW$32))/2),ABS(SUMPRODUCT(Oxides_max!$C5:$AW5,Factors!$C$32:$AW$32)-SUMPRODUCT(Oxides_min!$C5:$AW5,Factors!$C$32:$AW$32))/2)</f>
        <v>0.34115180985707472</v>
      </c>
      <c r="Z5" s="20">
        <f>MIN(MAX(0,(SUMPRODUCT(Oxides_min!$C5:$AW5,Factors!$C$33:$AW$33)+SUMPRODUCT(Oxides_max!$C5:$AW5,Factors!$C$33:$AW$33))/2),ABS(SUMPRODUCT(Oxides_max!$C5:$AW5,Factors!$C$33:$AW$33)-SUMPRODUCT(Oxides_min!$C5:$AW5,Factors!$C$33:$AW$33))/2)</f>
        <v>0</v>
      </c>
      <c r="AA5" s="20">
        <f>MIN(MAX(0,(SUMPRODUCT(Oxides_min!$C5:$AW5,Factors!$C$34:$AW$34)+SUMPRODUCT(Oxides_max!$C5:$AW5,Factors!$C$34:$AW$34))/2),ABS(SUMPRODUCT(Oxides_max!$C5:$AW5,Factors!$C$34:$AW$34)-SUMPRODUCT(Oxides_min!$C5:$AW5,Factors!$C$34:$AW$34))/2)</f>
        <v>1.25</v>
      </c>
      <c r="AB5" s="20">
        <f>MIN(MAX(0,(SUMPRODUCT(Oxides_min!$C5:$AW5,Factors!$C$35:$AW$35)+SUMPRODUCT(Oxides_max!$C5:$AW5,Factors!$C$35:$AW$35))/2),ABS(SUMPRODUCT(Oxides_max!$C5:$AW5,Factors!$C$35:$AW$35)-SUMPRODUCT(Oxides_min!$C5:$AW5,Factors!$C$35:$AW$35))/2)</f>
        <v>0</v>
      </c>
      <c r="AC5" s="20">
        <f>MIN(MAX(0,(SUMPRODUCT(Oxides_min!$C5:$AW5,Factors!$C$36:$AW$36)+SUMPRODUCT(Oxides_max!$C5:$AW5,Factors!$C$36:$AW$36))/2),ABS(SUMPRODUCT(Oxides_max!$C5:$AW5,Factors!$C$36:$AW$36)-SUMPRODUCT(Oxides_min!$C5:$AW5,Factors!$C$36:$AW$36))/2)</f>
        <v>0.65910888186711114</v>
      </c>
      <c r="AD5" s="20">
        <f>MIN(MAX(0,(SUMPRODUCT(Oxides_min!$C5:$AW5,Factors!$C$37:$AW$37)+SUMPRODUCT(Oxides_max!$C5:$AW5,Factors!$C$37:$AW$37))/2),ABS(SUMPRODUCT(Oxides_max!$C5:$AW5,Factors!$C$37:$AW$37)-SUMPRODUCT(Oxides_min!$C5:$AW5,Factors!$C$37:$AW$37))/2)</f>
        <v>2.2037517482979753E-2</v>
      </c>
      <c r="AE5" s="20">
        <f>MIN(MAX(0,(SUMPRODUCT(Oxides_min!$C5:$AW5,Factors!$C$38:$AW$38)+SUMPRODUCT(Oxides_max!$C5:$AW5,Factors!$C$38:$AW$38))/2),ABS(SUMPRODUCT(Oxides_max!$C5:$AW5,Factors!$C$38:$AW$38)-SUMPRODUCT(Oxides_min!$C5:$AW5,Factors!$C$38:$AW$38))/2)</f>
        <v>0</v>
      </c>
      <c r="AF5" s="20">
        <f>MIN(MAX(0,(SUMPRODUCT(Oxides_min!$C5:$AW5,Factors!$C$39:$AW$39)+SUMPRODUCT(Oxides_max!$C5:$AW5,Factors!$C$39:$AW$39))/2),ABS(SUMPRODUCT(Oxides_max!$C5:$AW5,Factors!$C$39:$AW$39)-SUMPRODUCT(Oxides_min!$C5:$AW5,Factors!$C$39:$AW$39))/2)</f>
        <v>0.78744395476737217</v>
      </c>
      <c r="AG5" s="20">
        <f>MIN(MAX(0,(SUMPRODUCT(Oxides_min!$C5:$AW5,Factors!$C$40:$AW$40)+SUMPRODUCT(Oxides_max!$C5:$AW5,Factors!$C$40:$AW$40))/2),ABS(SUMPRODUCT(Oxides_max!$C5:$AW5,Factors!$C$40:$AW$40)-SUMPRODUCT(Oxides_min!$C5:$AW5,Factors!$C$40:$AW$40))/2)</f>
        <v>4.6897573153066796</v>
      </c>
      <c r="AH5" s="20">
        <f>MIN(MAX(0,(SUMPRODUCT(Oxides_min!$C5:$AW5,Factors!$C$41:$AW$41)+SUMPRODUCT(Oxides_max!$C5:$AW5,Factors!$C$41:$AW$41))/2),ABS(SUMPRODUCT(Oxides_max!$C5:$AW5,Factors!$C$41:$AW$41)-SUMPRODUCT(Oxides_min!$C5:$AW5,Factors!$C$41:$AW$41))/2)</f>
        <v>3.8419639946500759</v>
      </c>
      <c r="AI5" s="20">
        <f>MIN(MAX(0,(SUMPRODUCT(Oxides_min!$C5:$AW5,Factors!$C$42:$AW$42)+SUMPRODUCT(Oxides_max!$C5:$AW5,Factors!$C$42:$AW$42))/2),ABS(SUMPRODUCT(Oxides_max!$C5:$AW5,Factors!$C$42:$AW$42)-SUMPRODUCT(Oxides_min!$C5:$AW5,Factors!$C$42:$AW$42))/2)</f>
        <v>1.0680897244833061</v>
      </c>
      <c r="AJ5" s="20">
        <f>MIN(MAX(0,(SUMPRODUCT(Oxides_min!$C5:$AW5,Factors!$C$43:$AW$43)+SUMPRODUCT(Oxides_max!$C5:$AW5,Factors!$C$43:$AW$43))/2),ABS(SUMPRODUCT(Oxides_max!$C5:$AW5,Factors!$C$43:$AW$43)-SUMPRODUCT(Oxides_min!$C5:$AW5,Factors!$C$43:$AW$43))/2)</f>
        <v>3.6437629464962362</v>
      </c>
      <c r="AK5" s="20">
        <f>MIN(MAX(0,(SUMPRODUCT(Oxides_min!$C5:$AW5,Factors!$C$44:$AW$44)+SUMPRODUCT(Oxides_max!$C5:$AW5,Factors!$C$44:$AW$44))/2),ABS(SUMPRODUCT(Oxides_max!$C5:$AW5,Factors!$C$44:$AW$44)-SUMPRODUCT(Oxides_min!$C5:$AW5,Factors!$C$44:$AW$44))/2)</f>
        <v>0.948597286624971</v>
      </c>
      <c r="AL5" s="20">
        <f>MIN(MAX(0,(SUMPRODUCT(Oxides_min!$C5:$AW5,Factors!$C$45:$AW$45)+SUMPRODUCT(Oxides_max!$C5:$AW5,Factors!$C$45:$AW$45))/2),ABS(SUMPRODUCT(Oxides_max!$C5:$AW5,Factors!$C$45:$AW$45)-SUMPRODUCT(Oxides_min!$C5:$AW5,Factors!$C$45:$AW$45))/2)</f>
        <v>0.21590395680897917</v>
      </c>
      <c r="AM5" s="20">
        <f>MIN(MAX(0,(SUMPRODUCT(Oxides_min!$C5:$AW5,Factors!$C$46:$AW$46)+SUMPRODUCT(Oxides_max!$C5:$AW5,Factors!$C$46:$AW$46))/2),ABS(SUMPRODUCT(Oxides_max!$C5:$AW5,Factors!$C$46:$AW$46)-SUMPRODUCT(Oxides_min!$C5:$AW5,Factors!$C$46:$AW$46))/2)</f>
        <v>0.65069504023481572</v>
      </c>
      <c r="AN5" s="20">
        <f>MIN(MAX(0,(SUMPRODUCT(Oxides_min!$C5:$AW5,Factors!$C$47:$AW$47)+SUMPRODUCT(Oxides_max!$C5:$AW5,Factors!$C$47:$AW$47))/2),ABS(SUMPRODUCT(Oxides_max!$C5:$AW5,Factors!$C$47:$AW$47)-SUMPRODUCT(Oxides_min!$C5:$AW5,Factors!$C$47:$AW$47))/2)</f>
        <v>0</v>
      </c>
      <c r="AO5" s="20">
        <f>MIN(MAX(0,(SUMPRODUCT(Oxides_min!$C5:$AW5,Factors!$C$48:$AW$48)+SUMPRODUCT(Oxides_max!$C5:$AW5,Factors!$C$48:$AW$48))/2),ABS(SUMPRODUCT(Oxides_max!$C5:$AW5,Factors!$C$48:$AW$48)-SUMPRODUCT(Oxides_min!$C5:$AW5,Factors!$C$48:$AW$48))/2)</f>
        <v>0.26139620425901544</v>
      </c>
      <c r="AP5" s="20">
        <f>MIN(MAX(0,(SUMPRODUCT(Oxides_min!$C5:$AW5,Factors!$C$49:$AW$49)+SUMPRODUCT(Oxides_max!$C5:$AW5,Factors!$C$49:$AW$49))/2),ABS(SUMPRODUCT(Oxides_max!$C5:$AW5,Factors!$C$49:$AW$49)-SUMPRODUCT(Oxides_min!$C5:$AW5,Factors!$C$49:$AW$49))/2)</f>
        <v>0</v>
      </c>
      <c r="AQ5" s="20">
        <f>MIN(MAX(0,(SUMPRODUCT(Oxides_min!$C5:$AW5,Factors!$C$50:$AW$50)+SUMPRODUCT(Oxides_max!$C5:$AW5,Factors!$C$50:$AW$50))/2),ABS(SUMPRODUCT(Oxides_max!$C5:$AW5,Factors!$C$50:$AW$50)-SUMPRODUCT(Oxides_min!$C5:$AW5,Factors!$C$50:$AW$50))/2)</f>
        <v>0</v>
      </c>
      <c r="AR5" s="20">
        <f>MIN(MAX(0,(SUMPRODUCT(Oxides_min!$C5:$AW5,Factors!$C$51:$AW$51)+SUMPRODUCT(Oxides_max!$C5:$AW5,Factors!$C$51:$AW$51))/2),ABS(SUMPRODUCT(Oxides_max!$C5:$AW5,Factors!$C$51:$AW$51)-SUMPRODUCT(Oxides_min!$C5:$AW5,Factors!$C$51:$AW$51))/2)</f>
        <v>0</v>
      </c>
      <c r="AS5" s="20">
        <f>MIN(MAX(0,(SUMPRODUCT(Oxides_min!$C5:$AW5,Factors!$C$52:$AW$52)+SUMPRODUCT(Oxides_max!$C5:$AW5,Factors!$C$52:$AW$52))/2),ABS(SUMPRODUCT(Oxides_max!$C5:$AW5,Factors!$C$52:$AW$52)-SUMPRODUCT(Oxides_min!$C5:$AW5,Factors!$C$52:$AW$52))/2)</f>
        <v>0</v>
      </c>
      <c r="AT5" s="20">
        <f>MIN(MAX(0,(SUMPRODUCT(Oxides_min!$C5:$AW5,Factors!$C$53:$AW$53)+SUMPRODUCT(Oxides_max!$C5:$AW5,Factors!$C$53:$AW$53))/2),ABS(SUMPRODUCT(Oxides_max!$C5:$AW5,Factors!$C$53:$AW$53)-SUMPRODUCT(Oxides_min!$C5:$AW5,Factors!$C$53:$AW$53))/2)</f>
        <v>0</v>
      </c>
      <c r="AU5" s="20">
        <f>MIN(MAX(0,(SUMPRODUCT(Oxides_min!$C5:$AW5,Factors!$C$54:$AW$54)+SUMPRODUCT(Oxides_max!$C5:$AW5,Factors!$C$54:$AW$54))/2),ABS(SUMPRODUCT(Oxides_max!$C5:$AW5,Factors!$C$54:$AW$54)-SUMPRODUCT(Oxides_min!$C5:$AW5,Factors!$C$54:$AW$54))/2)</f>
        <v>0</v>
      </c>
      <c r="AV5" s="18">
        <f t="shared" si="0"/>
        <v>24.39867287059819</v>
      </c>
    </row>
    <row r="6" spans="1:48" x14ac:dyDescent="0.25">
      <c r="A6" s="13" t="s">
        <v>134</v>
      </c>
      <c r="B6" s="20">
        <f>MIN(MAX(0,(SUMPRODUCT(Oxides_min!$C6:$AW6,Factors!$C$9:$AW$9)+SUMPRODUCT(Oxides_max!$C6:$AW6,Factors!$C$9:$AW$9))/2),ABS(SUMPRODUCT(Oxides_max!$C6:$AW6,Factors!$C$9:$AW$9)-SUMPRODUCT(Oxides_min!$C6:$AW6,Factors!$C$9:$AW$9))/2)</f>
        <v>4.9033540028895466</v>
      </c>
      <c r="C6" s="20">
        <f>MIN(MAX(0,(SUMPRODUCT(Oxides_min!$C6:$AW6,Factors!$C$10:$AW$10)+SUMPRODUCT(Oxides_max!$C6:$AW6,Factors!$C$10:$AW$10))/2),ABS(SUMPRODUCT(Oxides_max!$C6:$AW6,Factors!$C$10:$AW$10)-SUMPRODUCT(Oxides_min!$C6:$AW6,Factors!$C$10:$AW$10))/2)</f>
        <v>0.23371835627382123</v>
      </c>
      <c r="D6" s="20">
        <f>MIN(MAX(0,(SUMPRODUCT(Oxides_min!$C6:$AW6,Factors!$C$11:$AW$11)+SUMPRODUCT(Oxides_max!$C6:$AW6,Factors!$C$11:$AW$11))/2),ABS(SUMPRODUCT(Oxides_max!$C6:$AW6,Factors!$C$11:$AW$11)-SUMPRODUCT(Oxides_min!$C6:$AW6,Factors!$C$11:$AW$11))/2)</f>
        <v>0</v>
      </c>
      <c r="E6" s="20">
        <f>MIN(MAX(0,(SUMPRODUCT(Oxides_min!$C6:$AW6,Factors!$C$12:$AW$12)+SUMPRODUCT(Oxides_max!$C6:$AW6,Factors!$C$12:$AW$12))/2),ABS(SUMPRODUCT(Oxides_max!$C6:$AW6,Factors!$C$12:$AW$12)-SUMPRODUCT(Oxides_min!$C6:$AW6,Factors!$C$12:$AW$12))/2)</f>
        <v>0</v>
      </c>
      <c r="F6" s="20">
        <f>MIN(MAX(0,(SUMPRODUCT(Oxides_min!$C6:$AW6,Factors!$C$13:$AW$13)+SUMPRODUCT(Oxides_max!$C6:$AW6,Factors!$C$13:$AW$13))/2),ABS(SUMPRODUCT(Oxides_max!$C6:$AW6,Factors!$C$13:$AW$13)-SUMPRODUCT(Oxides_min!$C6:$AW6,Factors!$C$13:$AW$13))/2)</f>
        <v>0</v>
      </c>
      <c r="G6" s="20">
        <f>MIN(MAX(0,(SUMPRODUCT(Oxides_min!$C6:$AW6,Factors!$C$14:$AW$14)+SUMPRODUCT(Oxides_max!$C6:$AW6,Factors!$C$14:$AW$14))/2),ABS(SUMPRODUCT(Oxides_max!$C6:$AW6,Factors!$C$14:$AW$14)-SUMPRODUCT(Oxides_min!$C6:$AW6,Factors!$C$14:$AW$14))/2)</f>
        <v>0</v>
      </c>
      <c r="H6" s="20">
        <f>MIN(MAX(0,(SUMPRODUCT(Oxides_min!$C6:$AW6,Factors!$C$15:$AW$15)+SUMPRODUCT(Oxides_max!$C6:$AW6,Factors!$C$15:$AW$15))/2),ABS(SUMPRODUCT(Oxides_max!$C6:$AW6,Factors!$C$15:$AW$15)-SUMPRODUCT(Oxides_min!$C6:$AW6,Factors!$C$15:$AW$15))/2)</f>
        <v>0</v>
      </c>
      <c r="I6" s="20">
        <f>MIN(MAX(0,(SUMPRODUCT(Oxides_min!$C6:$AW6,Factors!$C$16:$AW$16)+SUMPRODUCT(Oxides_max!$C6:$AW6,Factors!$C$16:$AW$16))/2),ABS(SUMPRODUCT(Oxides_max!$C6:$AW6,Factors!$C$16:$AW$16)-SUMPRODUCT(Oxides_min!$C6:$AW6,Factors!$C$16:$AW$16))/2)</f>
        <v>0.19432729246701186</v>
      </c>
      <c r="J6" s="20">
        <f>MIN(MAX(0,(SUMPRODUCT(Oxides_min!$C6:$AW6,Factors!$C$17:$AW$17)+SUMPRODUCT(Oxides_max!$C6:$AW6,Factors!$C$17:$AW$17))/2),ABS(SUMPRODUCT(Oxides_max!$C6:$AW6,Factors!$C$17:$AW$17)-SUMPRODUCT(Oxides_min!$C6:$AW6,Factors!$C$17:$AW$17))/2)</f>
        <v>0</v>
      </c>
      <c r="K6" s="20">
        <f>MIN(MAX(0,(SUMPRODUCT(Oxides_min!$C6:$AW6,Factors!$C$18:$AW$18)+SUMPRODUCT(Oxides_max!$C6:$AW6,Factors!$C$18:$AW$18))/2),ABS(SUMPRODUCT(Oxides_max!$C6:$AW6,Factors!$C$18:$AW$18)-SUMPRODUCT(Oxides_min!$C6:$AW6,Factors!$C$18:$AW$18))/2)</f>
        <v>0</v>
      </c>
      <c r="L6" s="20">
        <f>MIN(MAX(0,(SUMPRODUCT(Oxides_min!$C6:$AW6,Factors!$C$19:$AW$19)+SUMPRODUCT(Oxides_max!$C6:$AW6,Factors!$C$19:$AW$19))/2),ABS(SUMPRODUCT(Oxides_max!$C6:$AW6,Factors!$C$19:$AW$19)-SUMPRODUCT(Oxides_min!$C6:$AW6,Factors!$C$19:$AW$19))/2)</f>
        <v>1.4293917292294518</v>
      </c>
      <c r="M6" s="20">
        <f>MIN(MAX(0,(SUMPRODUCT(Oxides_min!$C6:$AW6,Factors!$C$20:$AW$20)+SUMPRODUCT(Oxides_max!$C6:$AW6,Factors!$C$20:$AW$20))/2),ABS(SUMPRODUCT(Oxides_max!$C6:$AW6,Factors!$C$20:$AW$20)-SUMPRODUCT(Oxides_min!$C6:$AW6,Factors!$C$20:$AW$20))/2)</f>
        <v>0.4227989075362627</v>
      </c>
      <c r="N6" s="20">
        <f>MIN(MAX(0,(SUMPRODUCT(Oxides_min!$C6:$AW6,Factors!$C$21:$AW$21)+SUMPRODUCT(Oxides_max!$C6:$AW6,Factors!$C$21:$AW$21))/2),ABS(SUMPRODUCT(Oxides_max!$C6:$AW6,Factors!$C$21:$AW$21)-SUMPRODUCT(Oxides_min!$C6:$AW6,Factors!$C$21:$AW$21))/2)</f>
        <v>0</v>
      </c>
      <c r="O6" s="20">
        <f>MIN(MAX(0,(SUMPRODUCT(Oxides_min!$C6:$AW6,Factors!$C$22:$AW$22)+SUMPRODUCT(Oxides_max!$C6:$AW6,Factors!$C$22:$AW$22))/2),ABS(SUMPRODUCT(Oxides_max!$C6:$AW6,Factors!$C$22:$AW$22)-SUMPRODUCT(Oxides_min!$C6:$AW6,Factors!$C$22:$AW$22))/2)</f>
        <v>0</v>
      </c>
      <c r="P6" s="20">
        <f>MIN(MAX(0,(SUMPRODUCT(Oxides_min!$C6:$AW6,Factors!$C$23:$AW$23)+SUMPRODUCT(Oxides_max!$C6:$AW6,Factors!$C$23:$AW$23))/2),ABS(SUMPRODUCT(Oxides_max!$C6:$AW6,Factors!$C$23:$AW$23)-SUMPRODUCT(Oxides_min!$C6:$AW6,Factors!$C$23:$AW$23))/2)</f>
        <v>0</v>
      </c>
      <c r="Q6" s="20">
        <f>MIN(MAX(0,(SUMPRODUCT(Oxides_min!$C6:$AW6,Factors!$C$24:$AW$24)+SUMPRODUCT(Oxides_max!$C6:$AW6,Factors!$C$24:$AW$24))/2),ABS(SUMPRODUCT(Oxides_max!$C6:$AW6,Factors!$C$24:$AW$24)-SUMPRODUCT(Oxides_min!$C6:$AW6,Factors!$C$24:$AW$24))/2)</f>
        <v>0</v>
      </c>
      <c r="R6" s="20">
        <f>MIN(MAX(0,(SUMPRODUCT(Oxides_min!$C6:$AW6,Factors!$C$25:$AW$25)+SUMPRODUCT(Oxides_max!$C6:$AW6,Factors!$C$25:$AW$25))/2),ABS(SUMPRODUCT(Oxides_max!$C6:$AW6,Factors!$C$25:$AW$25)-SUMPRODUCT(Oxides_min!$C6:$AW6,Factors!$C$25:$AW$25))/2)</f>
        <v>0</v>
      </c>
      <c r="S6" s="20">
        <f>MIN(MAX(0,(SUMPRODUCT(Oxides_min!$C6:$AW6,Factors!$C$26:$AW$26)+SUMPRODUCT(Oxides_max!$C6:$AW6,Factors!$C$26:$AW$26))/2),ABS(SUMPRODUCT(Oxides_max!$C6:$AW6,Factors!$C$26:$AW$26)-SUMPRODUCT(Oxides_min!$C6:$AW6,Factors!$C$26:$AW$26))/2)</f>
        <v>0</v>
      </c>
      <c r="T6" s="20">
        <f>MIN(MAX(0,(SUMPRODUCT(Oxides_min!$C6:$AW6,Factors!$C$27:$AW$27)+SUMPRODUCT(Oxides_max!$C6:$AW6,Factors!$C$27:$AW$27))/2),ABS(SUMPRODUCT(Oxides_max!$C6:$AW6,Factors!$C$27:$AW$27)-SUMPRODUCT(Oxides_min!$C6:$AW6,Factors!$C$27:$AW$27))/2)</f>
        <v>0</v>
      </c>
      <c r="U6" s="20">
        <f>MIN(MAX(0,(SUMPRODUCT(Oxides_min!$C6:$AW6,Factors!$C$28:$AW$28)+SUMPRODUCT(Oxides_max!$C6:$AW6,Factors!$C$28:$AW$28))/2),ABS(SUMPRODUCT(Oxides_max!$C6:$AW6,Factors!$C$28:$AW$28)-SUMPRODUCT(Oxides_min!$C6:$AW6,Factors!$C$28:$AW$28))/2)</f>
        <v>0</v>
      </c>
      <c r="V6" s="20">
        <f>MIN(MAX(0,(SUMPRODUCT(Oxides_min!$C6:$AW6,Factors!$C$29:$AW$29)+SUMPRODUCT(Oxides_max!$C6:$AW6,Factors!$C$29:$AW$29))/2),ABS(SUMPRODUCT(Oxides_max!$C6:$AW6,Factors!$C$29:$AW$29)-SUMPRODUCT(Oxides_min!$C6:$AW6,Factors!$C$29:$AW$29))/2)</f>
        <v>0</v>
      </c>
      <c r="W6" s="20">
        <f>MIN(MAX(0,(SUMPRODUCT(Oxides_min!$C6:$AW6,Factors!$C$30:$AW$30)+SUMPRODUCT(Oxides_max!$C6:$AW6,Factors!$C$30:$AW$30))/2),ABS(SUMPRODUCT(Oxides_max!$C6:$AW6,Factors!$C$30:$AW$30)-SUMPRODUCT(Oxides_min!$C6:$AW6,Factors!$C$30:$AW$30))/2)</f>
        <v>0</v>
      </c>
      <c r="X6" s="20">
        <f>MIN(MAX(0,(SUMPRODUCT(Oxides_min!$C6:$AW6,Factors!$C$31:$AW$31)+SUMPRODUCT(Oxides_max!$C6:$AW6,Factors!$C$31:$AW$31))/2),ABS(SUMPRODUCT(Oxides_max!$C6:$AW6,Factors!$C$31:$AW$31)-SUMPRODUCT(Oxides_min!$C6:$AW6,Factors!$C$31:$AW$31))/2)</f>
        <v>0</v>
      </c>
      <c r="Y6" s="20">
        <f>MIN(MAX(0,(SUMPRODUCT(Oxides_min!$C6:$AW6,Factors!$C$32:$AW$32)+SUMPRODUCT(Oxides_max!$C6:$AW6,Factors!$C$32:$AW$32))/2),ABS(SUMPRODUCT(Oxides_max!$C6:$AW6,Factors!$C$32:$AW$32)-SUMPRODUCT(Oxides_min!$C6:$AW6,Factors!$C$32:$AW$32))/2)</f>
        <v>0.40938217182848957</v>
      </c>
      <c r="Z6" s="20">
        <f>MIN(MAX(0,(SUMPRODUCT(Oxides_min!$C6:$AW6,Factors!$C$33:$AW$33)+SUMPRODUCT(Oxides_max!$C6:$AW6,Factors!$C$33:$AW$33))/2),ABS(SUMPRODUCT(Oxides_max!$C6:$AW6,Factors!$C$33:$AW$33)-SUMPRODUCT(Oxides_min!$C6:$AW6,Factors!$C$33:$AW$33))/2)</f>
        <v>0</v>
      </c>
      <c r="AA6" s="20">
        <f>MIN(MAX(0,(SUMPRODUCT(Oxides_min!$C6:$AW6,Factors!$C$34:$AW$34)+SUMPRODUCT(Oxides_max!$C6:$AW6,Factors!$C$34:$AW$34))/2),ABS(SUMPRODUCT(Oxides_max!$C6:$AW6,Factors!$C$34:$AW$34)-SUMPRODUCT(Oxides_min!$C6:$AW6,Factors!$C$34:$AW$34))/2)</f>
        <v>1.25</v>
      </c>
      <c r="AB6" s="20">
        <f>MIN(MAX(0,(SUMPRODUCT(Oxides_min!$C6:$AW6,Factors!$C$35:$AW$35)+SUMPRODUCT(Oxides_max!$C6:$AW6,Factors!$C$35:$AW$35))/2),ABS(SUMPRODUCT(Oxides_max!$C6:$AW6,Factors!$C$35:$AW$35)-SUMPRODUCT(Oxides_min!$C6:$AW6,Factors!$C$35:$AW$35))/2)</f>
        <v>0</v>
      </c>
      <c r="AC6" s="20">
        <f>MIN(MAX(0,(SUMPRODUCT(Oxides_min!$C6:$AW6,Factors!$C$36:$AW$36)+SUMPRODUCT(Oxides_max!$C6:$AW6,Factors!$C$36:$AW$36))/2),ABS(SUMPRODUCT(Oxides_max!$C6:$AW6,Factors!$C$36:$AW$36)-SUMPRODUCT(Oxides_min!$C6:$AW6,Factors!$C$36:$AW$36))/2)</f>
        <v>0.87881184248948152</v>
      </c>
      <c r="AD6" s="20">
        <f>MIN(MAX(0,(SUMPRODUCT(Oxides_min!$C6:$AW6,Factors!$C$37:$AW$37)+SUMPRODUCT(Oxides_max!$C6:$AW6,Factors!$C$37:$AW$37))/2),ABS(SUMPRODUCT(Oxides_max!$C6:$AW6,Factors!$C$37:$AW$37)-SUMPRODUCT(Oxides_min!$C6:$AW6,Factors!$C$37:$AW$37))/2)</f>
        <v>4.4075034965959506E-2</v>
      </c>
      <c r="AE6" s="20">
        <f>MIN(MAX(0,(SUMPRODUCT(Oxides_min!$C6:$AW6,Factors!$C$38:$AW$38)+SUMPRODUCT(Oxides_max!$C6:$AW6,Factors!$C$38:$AW$38))/2),ABS(SUMPRODUCT(Oxides_max!$C6:$AW6,Factors!$C$38:$AW$38)-SUMPRODUCT(Oxides_min!$C6:$AW6,Factors!$C$38:$AW$38))/2)</f>
        <v>0</v>
      </c>
      <c r="AF6" s="20">
        <f>MIN(MAX(0,(SUMPRODUCT(Oxides_min!$C6:$AW6,Factors!$C$39:$AW$39)+SUMPRODUCT(Oxides_max!$C6:$AW6,Factors!$C$39:$AW$39))/2),ABS(SUMPRODUCT(Oxides_max!$C6:$AW6,Factors!$C$39:$AW$39)-SUMPRODUCT(Oxides_min!$C6:$AW6,Factors!$C$39:$AW$39))/2)</f>
        <v>1.1811659321510581</v>
      </c>
      <c r="AG6" s="20">
        <f>MIN(MAX(0,(SUMPRODUCT(Oxides_min!$C6:$AW6,Factors!$C$40:$AW$40)+SUMPRODUCT(Oxides_max!$C6:$AW6,Factors!$C$40:$AW$40))/2),ABS(SUMPRODUCT(Oxides_max!$C6:$AW6,Factors!$C$40:$AW$40)-SUMPRODUCT(Oxides_min!$C6:$AW6,Factors!$C$40:$AW$40))/2)</f>
        <v>4.6897573153066796</v>
      </c>
      <c r="AH6" s="20">
        <f>MIN(MAX(0,(SUMPRODUCT(Oxides_min!$C6:$AW6,Factors!$C$41:$AW$41)+SUMPRODUCT(Oxides_max!$C6:$AW6,Factors!$C$41:$AW$41))/2),ABS(SUMPRODUCT(Oxides_max!$C6:$AW6,Factors!$C$41:$AW$41)-SUMPRODUCT(Oxides_min!$C6:$AW6,Factors!$C$41:$AW$41))/2)</f>
        <v>5.122618659533436</v>
      </c>
      <c r="AI6" s="20">
        <f>MIN(MAX(0,(SUMPRODUCT(Oxides_min!$C6:$AW6,Factors!$C$42:$AW$42)+SUMPRODUCT(Oxides_max!$C6:$AW6,Factors!$C$42:$AW$42))/2),ABS(SUMPRODUCT(Oxides_max!$C6:$AW6,Factors!$C$42:$AW$42)-SUMPRODUCT(Oxides_min!$C6:$AW6,Factors!$C$42:$AW$42))/2)</f>
        <v>1.0680897244833061</v>
      </c>
      <c r="AJ6" s="20">
        <f>MIN(MAX(0,(SUMPRODUCT(Oxides_min!$C6:$AW6,Factors!$C$43:$AW$43)+SUMPRODUCT(Oxides_max!$C6:$AW6,Factors!$C$43:$AW$43))/2),ABS(SUMPRODUCT(Oxides_max!$C6:$AW6,Factors!$C$43:$AW$43)-SUMPRODUCT(Oxides_min!$C6:$AW6,Factors!$C$43:$AW$43))/2)</f>
        <v>4.0724409402016759</v>
      </c>
      <c r="AK6" s="20">
        <f>MIN(MAX(0,(SUMPRODUCT(Oxides_min!$C6:$AW6,Factors!$C$44:$AW$44)+SUMPRODUCT(Oxides_max!$C6:$AW6,Factors!$C$44:$AW$44))/2),ABS(SUMPRODUCT(Oxides_max!$C6:$AW6,Factors!$C$44:$AW$44)-SUMPRODUCT(Oxides_min!$C6:$AW6,Factors!$C$44:$AW$44))/2)</f>
        <v>0.99171534510792414</v>
      </c>
      <c r="AL6" s="20">
        <f>MIN(MAX(0,(SUMPRODUCT(Oxides_min!$C6:$AW6,Factors!$C$45:$AW$45)+SUMPRODUCT(Oxides_max!$C6:$AW6,Factors!$C$45:$AW$45))/2),ABS(SUMPRODUCT(Oxides_max!$C6:$AW6,Factors!$C$45:$AW$45)-SUMPRODUCT(Oxides_min!$C6:$AW6,Factors!$C$45:$AW$45))/2)</f>
        <v>0.21590395680897917</v>
      </c>
      <c r="AM6" s="20">
        <f>MIN(MAX(0,(SUMPRODUCT(Oxides_min!$C6:$AW6,Factors!$C$46:$AW$46)+SUMPRODUCT(Oxides_max!$C6:$AW6,Factors!$C$46:$AW$46))/2),ABS(SUMPRODUCT(Oxides_max!$C6:$AW6,Factors!$C$46:$AW$46)-SUMPRODUCT(Oxides_min!$C6:$AW6,Factors!$C$46:$AW$46))/2)</f>
        <v>0.8675933869797543</v>
      </c>
      <c r="AN6" s="20">
        <f>MIN(MAX(0,(SUMPRODUCT(Oxides_min!$C6:$AW6,Factors!$C$47:$AW$47)+SUMPRODUCT(Oxides_max!$C6:$AW6,Factors!$C$47:$AW$47))/2),ABS(SUMPRODUCT(Oxides_max!$C6:$AW6,Factors!$C$47:$AW$47)-SUMPRODUCT(Oxides_min!$C6:$AW6,Factors!$C$47:$AW$47))/2)</f>
        <v>0</v>
      </c>
      <c r="AO6" s="20">
        <f>MIN(MAX(0,(SUMPRODUCT(Oxides_min!$C6:$AW6,Factors!$C$48:$AW$48)+SUMPRODUCT(Oxides_max!$C6:$AW6,Factors!$C$48:$AW$48))/2),ABS(SUMPRODUCT(Oxides_max!$C6:$AW6,Factors!$C$48:$AW$48)-SUMPRODUCT(Oxides_min!$C6:$AW6,Factors!$C$48:$AW$48))/2)</f>
        <v>0.348528272345354</v>
      </c>
      <c r="AP6" s="20">
        <f>MIN(MAX(0,(SUMPRODUCT(Oxides_min!$C6:$AW6,Factors!$C$49:$AW$49)+SUMPRODUCT(Oxides_max!$C6:$AW6,Factors!$C$49:$AW$49))/2),ABS(SUMPRODUCT(Oxides_max!$C6:$AW6,Factors!$C$49:$AW$49)-SUMPRODUCT(Oxides_min!$C6:$AW6,Factors!$C$49:$AW$49))/2)</f>
        <v>0</v>
      </c>
      <c r="AQ6" s="20">
        <f>MIN(MAX(0,(SUMPRODUCT(Oxides_min!$C6:$AW6,Factors!$C$50:$AW$50)+SUMPRODUCT(Oxides_max!$C6:$AW6,Factors!$C$50:$AW$50))/2),ABS(SUMPRODUCT(Oxides_max!$C6:$AW6,Factors!$C$50:$AW$50)-SUMPRODUCT(Oxides_min!$C6:$AW6,Factors!$C$50:$AW$50))/2)</f>
        <v>0</v>
      </c>
      <c r="AR6" s="20">
        <f>MIN(MAX(0,(SUMPRODUCT(Oxides_min!$C6:$AW6,Factors!$C$51:$AW$51)+SUMPRODUCT(Oxides_max!$C6:$AW6,Factors!$C$51:$AW$51))/2),ABS(SUMPRODUCT(Oxides_max!$C6:$AW6,Factors!$C$51:$AW$51)-SUMPRODUCT(Oxides_min!$C6:$AW6,Factors!$C$51:$AW$51))/2)</f>
        <v>0</v>
      </c>
      <c r="AS6" s="20">
        <f>MIN(MAX(0,(SUMPRODUCT(Oxides_min!$C6:$AW6,Factors!$C$52:$AW$52)+SUMPRODUCT(Oxides_max!$C6:$AW6,Factors!$C$52:$AW$52))/2),ABS(SUMPRODUCT(Oxides_max!$C6:$AW6,Factors!$C$52:$AW$52)-SUMPRODUCT(Oxides_min!$C6:$AW6,Factors!$C$52:$AW$52))/2)</f>
        <v>0</v>
      </c>
      <c r="AT6" s="20">
        <f>MIN(MAX(0,(SUMPRODUCT(Oxides_min!$C6:$AW6,Factors!$C$53:$AW$53)+SUMPRODUCT(Oxides_max!$C6:$AW6,Factors!$C$53:$AW$53))/2),ABS(SUMPRODUCT(Oxides_max!$C6:$AW6,Factors!$C$53:$AW$53)-SUMPRODUCT(Oxides_min!$C6:$AW6,Factors!$C$53:$AW$53))/2)</f>
        <v>0</v>
      </c>
      <c r="AU6" s="20">
        <f>MIN(MAX(0,(SUMPRODUCT(Oxides_min!$C6:$AW6,Factors!$C$54:$AW$54)+SUMPRODUCT(Oxides_max!$C6:$AW6,Factors!$C$54:$AW$54))/2),ABS(SUMPRODUCT(Oxides_max!$C6:$AW6,Factors!$C$54:$AW$54)-SUMPRODUCT(Oxides_min!$C6:$AW6,Factors!$C$54:$AW$54))/2)</f>
        <v>0</v>
      </c>
      <c r="AV6" s="18">
        <f t="shared" si="0"/>
        <v>28.323672870598195</v>
      </c>
    </row>
    <row r="7" spans="1:48" x14ac:dyDescent="0.25">
      <c r="A7" s="13" t="s">
        <v>136</v>
      </c>
      <c r="B7" s="20">
        <f>MIN(MAX(0,(SUMPRODUCT(Oxides_min!$C7:$AW7,Factors!$C$9:$AW$9)+SUMPRODUCT(Oxides_max!$C7:$AW7,Factors!$C$9:$AW$9))/2),ABS(SUMPRODUCT(Oxides_max!$C7:$AW7,Factors!$C$9:$AW$9)-SUMPRODUCT(Oxides_min!$C7:$AW7,Factors!$C$9:$AW$9))/2)</f>
        <v>13.522541784724959</v>
      </c>
      <c r="C7" s="20">
        <f>MIN(MAX(0,(SUMPRODUCT(Oxides_min!$C7:$AW7,Factors!$C$10:$AW$10)+SUMPRODUCT(Oxides_max!$C7:$AW7,Factors!$C$10:$AW$10))/2),ABS(SUMPRODUCT(Oxides_max!$C7:$AW7,Factors!$C$10:$AW$10)-SUMPRODUCT(Oxides_min!$C7:$AW7,Factors!$C$10:$AW$10))/2)</f>
        <v>1.4023101376429272</v>
      </c>
      <c r="D7" s="20">
        <f>MIN(MAX(0,(SUMPRODUCT(Oxides_min!$C7:$AW7,Factors!$C$11:$AW$11)+SUMPRODUCT(Oxides_max!$C7:$AW7,Factors!$C$11:$AW$11))/2),ABS(SUMPRODUCT(Oxides_max!$C7:$AW7,Factors!$C$11:$AW$11)-SUMPRODUCT(Oxides_min!$C7:$AW7,Factors!$C$11:$AW$11))/2)</f>
        <v>0.74918612658861838</v>
      </c>
      <c r="E7" s="20">
        <f>MIN(MAX(0,(SUMPRODUCT(Oxides_min!$C7:$AW7,Factors!$C$12:$AW$12)+SUMPRODUCT(Oxides_max!$C7:$AW7,Factors!$C$12:$AW$12))/2),ABS(SUMPRODUCT(Oxides_max!$C7:$AW7,Factors!$C$12:$AW$12)-SUMPRODUCT(Oxides_min!$C7:$AW7,Factors!$C$12:$AW$12))/2)</f>
        <v>0</v>
      </c>
      <c r="F7" s="20">
        <f>MIN(MAX(0,(SUMPRODUCT(Oxides_min!$C7:$AW7,Factors!$C$13:$AW$13)+SUMPRODUCT(Oxides_max!$C7:$AW7,Factors!$C$13:$AW$13))/2),ABS(SUMPRODUCT(Oxides_max!$C7:$AW7,Factors!$C$13:$AW$13)-SUMPRODUCT(Oxides_min!$C7:$AW7,Factors!$C$13:$AW$13))/2)</f>
        <v>0</v>
      </c>
      <c r="G7" s="20">
        <f>MIN(MAX(0,(SUMPRODUCT(Oxides_min!$C7:$AW7,Factors!$C$14:$AW$14)+SUMPRODUCT(Oxides_max!$C7:$AW7,Factors!$C$14:$AW$14))/2),ABS(SUMPRODUCT(Oxides_max!$C7:$AW7,Factors!$C$14:$AW$14)-SUMPRODUCT(Oxides_min!$C7:$AW7,Factors!$C$14:$AW$14))/2)</f>
        <v>0</v>
      </c>
      <c r="H7" s="20">
        <f>MIN(MAX(0,(SUMPRODUCT(Oxides_min!$C7:$AW7,Factors!$C$15:$AW$15)+SUMPRODUCT(Oxides_max!$C7:$AW7,Factors!$C$15:$AW$15))/2),ABS(SUMPRODUCT(Oxides_max!$C7:$AW7,Factors!$C$15:$AW$15)-SUMPRODUCT(Oxides_min!$C7:$AW7,Factors!$C$15:$AW$15))/2)</f>
        <v>3.1755415602520589</v>
      </c>
      <c r="I7" s="20">
        <f>MIN(MAX(0,(SUMPRODUCT(Oxides_min!$C7:$AW7,Factors!$C$16:$AW$16)+SUMPRODUCT(Oxides_max!$C7:$AW7,Factors!$C$16:$AW$16))/2),ABS(SUMPRODUCT(Oxides_max!$C7:$AW7,Factors!$C$16:$AW$16)-SUMPRODUCT(Oxides_min!$C7:$AW7,Factors!$C$16:$AW$16))/2)</f>
        <v>8.510724207057013</v>
      </c>
      <c r="J7" s="20">
        <f>MIN(MAX(0,(SUMPRODUCT(Oxides_min!$C7:$AW7,Factors!$C$17:$AW$17)+SUMPRODUCT(Oxides_max!$C7:$AW7,Factors!$C$17:$AW$17))/2),ABS(SUMPRODUCT(Oxides_max!$C7:$AW7,Factors!$C$17:$AW$17)-SUMPRODUCT(Oxides_min!$C7:$AW7,Factors!$C$17:$AW$17))/2)</f>
        <v>1.1423314298238874</v>
      </c>
      <c r="K7" s="20">
        <f>MIN(MAX(0,(SUMPRODUCT(Oxides_min!$C7:$AW7,Factors!$C$18:$AW$18)+SUMPRODUCT(Oxides_max!$C7:$AW7,Factors!$C$18:$AW$18))/2),ABS(SUMPRODUCT(Oxides_max!$C7:$AW7,Factors!$C$18:$AW$18)-SUMPRODUCT(Oxides_min!$C7:$AW7,Factors!$C$18:$AW$18))/2)</f>
        <v>0.90456282254863041</v>
      </c>
      <c r="L7" s="20">
        <f>MIN(MAX(0,(SUMPRODUCT(Oxides_min!$C7:$AW7,Factors!$C$19:$AW$19)+SUMPRODUCT(Oxides_max!$C7:$AW7,Factors!$C$19:$AW$19))/2),ABS(SUMPRODUCT(Oxides_max!$C7:$AW7,Factors!$C$19:$AW$19)-SUMPRODUCT(Oxides_min!$C7:$AW7,Factors!$C$19:$AW$19))/2)</f>
        <v>2.8587834584589045</v>
      </c>
      <c r="M7" s="20">
        <f>MIN(MAX(0,(SUMPRODUCT(Oxides_min!$C7:$AW7,Factors!$C$20:$AW$20)+SUMPRODUCT(Oxides_max!$C7:$AW7,Factors!$C$20:$AW$20))/2),ABS(SUMPRODUCT(Oxides_max!$C7:$AW7,Factors!$C$20:$AW$20)-SUMPRODUCT(Oxides_min!$C7:$AW7,Factors!$C$20:$AW$20))/2)</f>
        <v>0</v>
      </c>
      <c r="N7" s="20">
        <f>MIN(MAX(0,(SUMPRODUCT(Oxides_min!$C7:$AW7,Factors!$C$21:$AW$21)+SUMPRODUCT(Oxides_max!$C7:$AW7,Factors!$C$21:$AW$21))/2),ABS(SUMPRODUCT(Oxides_max!$C7:$AW7,Factors!$C$21:$AW$21)-SUMPRODUCT(Oxides_min!$C7:$AW7,Factors!$C$21:$AW$21))/2)</f>
        <v>0</v>
      </c>
      <c r="O7" s="20">
        <f>MIN(MAX(0,(SUMPRODUCT(Oxides_min!$C7:$AW7,Factors!$C$22:$AW$22)+SUMPRODUCT(Oxides_max!$C7:$AW7,Factors!$C$22:$AW$22))/2),ABS(SUMPRODUCT(Oxides_max!$C7:$AW7,Factors!$C$22:$AW$22)-SUMPRODUCT(Oxides_min!$C7:$AW7,Factors!$C$22:$AW$22))/2)</f>
        <v>0</v>
      </c>
      <c r="P7" s="20">
        <f>MIN(MAX(0,(SUMPRODUCT(Oxides_min!$C7:$AW7,Factors!$C$23:$AW$23)+SUMPRODUCT(Oxides_max!$C7:$AW7,Factors!$C$23:$AW$23))/2),ABS(SUMPRODUCT(Oxides_max!$C7:$AW7,Factors!$C$23:$AW$23)-SUMPRODUCT(Oxides_min!$C7:$AW7,Factors!$C$23:$AW$23))/2)</f>
        <v>0.11127933869113804</v>
      </c>
      <c r="Q7" s="20">
        <f>MIN(MAX(0,(SUMPRODUCT(Oxides_min!$C7:$AW7,Factors!$C$24:$AW$24)+SUMPRODUCT(Oxides_max!$C7:$AW7,Factors!$C$24:$AW$24))/2),ABS(SUMPRODUCT(Oxides_max!$C7:$AW7,Factors!$C$24:$AW$24)-SUMPRODUCT(Oxides_min!$C7:$AW7,Factors!$C$24:$AW$24))/2)</f>
        <v>0</v>
      </c>
      <c r="R7" s="20">
        <f>MIN(MAX(0,(SUMPRODUCT(Oxides_min!$C7:$AW7,Factors!$C$25:$AW$25)+SUMPRODUCT(Oxides_max!$C7:$AW7,Factors!$C$25:$AW$25))/2),ABS(SUMPRODUCT(Oxides_max!$C7:$AW7,Factors!$C$25:$AW$25)-SUMPRODUCT(Oxides_min!$C7:$AW7,Factors!$C$25:$AW$25))/2)</f>
        <v>0</v>
      </c>
      <c r="S7" s="20">
        <f>MIN(MAX(0,(SUMPRODUCT(Oxides_min!$C7:$AW7,Factors!$C$26:$AW$26)+SUMPRODUCT(Oxides_max!$C7:$AW7,Factors!$C$26:$AW$26))/2),ABS(SUMPRODUCT(Oxides_max!$C7:$AW7,Factors!$C$26:$AW$26)-SUMPRODUCT(Oxides_min!$C7:$AW7,Factors!$C$26:$AW$26))/2)</f>
        <v>0</v>
      </c>
      <c r="T7" s="20">
        <f>MIN(MAX(0,(SUMPRODUCT(Oxides_min!$C7:$AW7,Factors!$C$27:$AW$27)+SUMPRODUCT(Oxides_max!$C7:$AW7,Factors!$C$27:$AW$27))/2),ABS(SUMPRODUCT(Oxides_max!$C7:$AW7,Factors!$C$27:$AW$27)-SUMPRODUCT(Oxides_min!$C7:$AW7,Factors!$C$27:$AW$27))/2)</f>
        <v>0</v>
      </c>
      <c r="U7" s="20">
        <f>MIN(MAX(0,(SUMPRODUCT(Oxides_min!$C7:$AW7,Factors!$C$28:$AW$28)+SUMPRODUCT(Oxides_max!$C7:$AW7,Factors!$C$28:$AW$28))/2),ABS(SUMPRODUCT(Oxides_max!$C7:$AW7,Factors!$C$28:$AW$28)-SUMPRODUCT(Oxides_min!$C7:$AW7,Factors!$C$28:$AW$28))/2)</f>
        <v>0</v>
      </c>
      <c r="V7" s="20">
        <f>MIN(MAX(0,(SUMPRODUCT(Oxides_min!$C7:$AW7,Factors!$C$29:$AW$29)+SUMPRODUCT(Oxides_max!$C7:$AW7,Factors!$C$29:$AW$29))/2),ABS(SUMPRODUCT(Oxides_max!$C7:$AW7,Factors!$C$29:$AW$29)-SUMPRODUCT(Oxides_min!$C7:$AW7,Factors!$C$29:$AW$29))/2)</f>
        <v>2.1821340868133962E-2</v>
      </c>
      <c r="W7" s="20">
        <f>MIN(MAX(0,(SUMPRODUCT(Oxides_min!$C7:$AW7,Factors!$C$30:$AW$30)+SUMPRODUCT(Oxides_max!$C7:$AW7,Factors!$C$30:$AW$30))/2),ABS(SUMPRODUCT(Oxides_max!$C7:$AW7,Factors!$C$30:$AW$30)-SUMPRODUCT(Oxides_min!$C7:$AW7,Factors!$C$30:$AW$30))/2)</f>
        <v>0</v>
      </c>
      <c r="X7" s="20">
        <f>MIN(MAX(0,(SUMPRODUCT(Oxides_min!$C7:$AW7,Factors!$C$31:$AW$31)+SUMPRODUCT(Oxides_max!$C7:$AW7,Factors!$C$31:$AW$31))/2),ABS(SUMPRODUCT(Oxides_max!$C7:$AW7,Factors!$C$31:$AW$31)-SUMPRODUCT(Oxides_min!$C7:$AW7,Factors!$C$31:$AW$31))/2)</f>
        <v>0</v>
      </c>
      <c r="Y7" s="20">
        <f>MIN(MAX(0,(SUMPRODUCT(Oxides_min!$C7:$AW7,Factors!$C$32:$AW$32)+SUMPRODUCT(Oxides_max!$C7:$AW7,Factors!$C$32:$AW$32))/2),ABS(SUMPRODUCT(Oxides_max!$C7:$AW7,Factors!$C$32:$AW$32)-SUMPRODUCT(Oxides_min!$C7:$AW7,Factors!$C$32:$AW$32))/2)</f>
        <v>0</v>
      </c>
      <c r="Z7" s="20">
        <f>MIN(MAX(0,(SUMPRODUCT(Oxides_min!$C7:$AW7,Factors!$C$33:$AW$33)+SUMPRODUCT(Oxides_max!$C7:$AW7,Factors!$C$33:$AW$33))/2),ABS(SUMPRODUCT(Oxides_max!$C7:$AW7,Factors!$C$33:$AW$33)-SUMPRODUCT(Oxides_min!$C7:$AW7,Factors!$C$33:$AW$33))/2)</f>
        <v>0.10071606994171522</v>
      </c>
      <c r="AA7" s="20">
        <f>MIN(MAX(0,(SUMPRODUCT(Oxides_min!$C7:$AW7,Factors!$C$34:$AW$34)+SUMPRODUCT(Oxides_max!$C7:$AW7,Factors!$C$34:$AW$34))/2),ABS(SUMPRODUCT(Oxides_max!$C7:$AW7,Factors!$C$34:$AW$34)-SUMPRODUCT(Oxides_min!$C7:$AW7,Factors!$C$34:$AW$34))/2)</f>
        <v>0.25</v>
      </c>
      <c r="AB7" s="20">
        <f>MIN(MAX(0,(SUMPRODUCT(Oxides_min!$C7:$AW7,Factors!$C$35:$AW$35)+SUMPRODUCT(Oxides_max!$C7:$AW7,Factors!$C$35:$AW$35))/2),ABS(SUMPRODUCT(Oxides_max!$C7:$AW7,Factors!$C$35:$AW$35)-SUMPRODUCT(Oxides_min!$C7:$AW7,Factors!$C$35:$AW$35))/2)</f>
        <v>0</v>
      </c>
      <c r="AC7" s="20">
        <f>MIN(MAX(0,(SUMPRODUCT(Oxides_min!$C7:$AW7,Factors!$C$36:$AW$36)+SUMPRODUCT(Oxides_max!$C7:$AW7,Factors!$C$36:$AW$36))/2),ABS(SUMPRODUCT(Oxides_max!$C7:$AW7,Factors!$C$36:$AW$36)-SUMPRODUCT(Oxides_min!$C7:$AW7,Factors!$C$36:$AW$36))/2)</f>
        <v>1.5379207243565927</v>
      </c>
      <c r="AD7" s="20">
        <f>MIN(MAX(0,(SUMPRODUCT(Oxides_min!$C7:$AW7,Factors!$C$37:$AW$37)+SUMPRODUCT(Oxides_max!$C7:$AW7,Factors!$C$37:$AW$37))/2),ABS(SUMPRODUCT(Oxides_max!$C7:$AW7,Factors!$C$37:$AW$37)-SUMPRODUCT(Oxides_min!$C7:$AW7,Factors!$C$37:$AW$37))/2)</f>
        <v>0.22037517482979752</v>
      </c>
      <c r="AE7" s="20">
        <f>MIN(MAX(0,(SUMPRODUCT(Oxides_min!$C7:$AW7,Factors!$C$38:$AW$38)+SUMPRODUCT(Oxides_max!$C7:$AW7,Factors!$C$38:$AW$38))/2),ABS(SUMPRODUCT(Oxides_max!$C7:$AW7,Factors!$C$38:$AW$38)-SUMPRODUCT(Oxides_min!$C7:$AW7,Factors!$C$38:$AW$38))/2)</f>
        <v>0</v>
      </c>
      <c r="AF7" s="20">
        <f>MIN(MAX(0,(SUMPRODUCT(Oxides_min!$C7:$AW7,Factors!$C$39:$AW$39)+SUMPRODUCT(Oxides_max!$C7:$AW7,Factors!$C$39:$AW$39))/2),ABS(SUMPRODUCT(Oxides_max!$C7:$AW7,Factors!$C$39:$AW$39)-SUMPRODUCT(Oxides_min!$C7:$AW7,Factors!$C$39:$AW$39))/2)</f>
        <v>1.1811659321510581</v>
      </c>
      <c r="AG7" s="20">
        <f>MIN(MAX(0,(SUMPRODUCT(Oxides_min!$C7:$AW7,Factors!$C$40:$AW$40)+SUMPRODUCT(Oxides_max!$C7:$AW7,Factors!$C$40:$AW$40))/2),ABS(SUMPRODUCT(Oxides_max!$C7:$AW7,Factors!$C$40:$AW$40)-SUMPRODUCT(Oxides_min!$C7:$AW7,Factors!$C$40:$AW$40))/2)</f>
        <v>4.6897573153066796</v>
      </c>
      <c r="AH7" s="20">
        <f>MIN(MAX(0,(SUMPRODUCT(Oxides_min!$C7:$AW7,Factors!$C$41:$AW$41)+SUMPRODUCT(Oxides_max!$C7:$AW7,Factors!$C$41:$AW$41))/2),ABS(SUMPRODUCT(Oxides_max!$C7:$AW7,Factors!$C$41:$AW$41)-SUMPRODUCT(Oxides_min!$C7:$AW7,Factors!$C$41:$AW$41))/2)</f>
        <v>3.8419639946500759</v>
      </c>
      <c r="AI7" s="20">
        <f>MIN(MAX(0,(SUMPRODUCT(Oxides_min!$C7:$AW7,Factors!$C$42:$AW$42)+SUMPRODUCT(Oxides_max!$C7:$AW7,Factors!$C$42:$AW$42))/2),ABS(SUMPRODUCT(Oxides_max!$C7:$AW7,Factors!$C$42:$AW$42)-SUMPRODUCT(Oxides_min!$C7:$AW7,Factors!$C$42:$AW$42))/2)</f>
        <v>0.76902460162798036</v>
      </c>
      <c r="AJ7" s="20">
        <f>MIN(MAX(0,(SUMPRODUCT(Oxides_min!$C7:$AW7,Factors!$C$43:$AW$43)+SUMPRODUCT(Oxides_max!$C7:$AW7,Factors!$C$43:$AW$43))/2),ABS(SUMPRODUCT(Oxides_max!$C7:$AW7,Factors!$C$43:$AW$43)-SUMPRODUCT(Oxides_min!$C7:$AW7,Factors!$C$43:$AW$43))/2)</f>
        <v>2.3577289653799172</v>
      </c>
      <c r="AK7" s="20">
        <f>MIN(MAX(0,(SUMPRODUCT(Oxides_min!$C7:$AW7,Factors!$C$44:$AW$44)+SUMPRODUCT(Oxides_max!$C7:$AW7,Factors!$C$44:$AW$44))/2),ABS(SUMPRODUCT(Oxides_max!$C7:$AW7,Factors!$C$44:$AW$44)-SUMPRODUCT(Oxides_min!$C7:$AW7,Factors!$C$44:$AW$44))/2)</f>
        <v>0.47429864331248539</v>
      </c>
      <c r="AL7" s="20">
        <f>MIN(MAX(0,(SUMPRODUCT(Oxides_min!$C7:$AW7,Factors!$C$45:$AW$45)+SUMPRODUCT(Oxides_max!$C7:$AW7,Factors!$C$45:$AW$45))/2),ABS(SUMPRODUCT(Oxides_max!$C7:$AW7,Factors!$C$45:$AW$45)-SUMPRODUCT(Oxides_min!$C7:$AW7,Factors!$C$45:$AW$45))/2)</f>
        <v>4.3180791361795839E-2</v>
      </c>
      <c r="AM7" s="20">
        <f>MIN(MAX(0,(SUMPRODUCT(Oxides_min!$C7:$AW7,Factors!$C$46:$AW$46)+SUMPRODUCT(Oxides_max!$C7:$AW7,Factors!$C$46:$AW$46))/2),ABS(SUMPRODUCT(Oxides_max!$C7:$AW7,Factors!$C$46:$AW$46)-SUMPRODUCT(Oxides_min!$C7:$AW7,Factors!$C$46:$AW$46))/2)</f>
        <v>0.30365768544291399</v>
      </c>
      <c r="AN7" s="20">
        <f>MIN(MAX(0,(SUMPRODUCT(Oxides_min!$C7:$AW7,Factors!$C$47:$AW$47)+SUMPRODUCT(Oxides_max!$C7:$AW7,Factors!$C$47:$AW$47))/2),ABS(SUMPRODUCT(Oxides_max!$C7:$AW7,Factors!$C$47:$AW$47)-SUMPRODUCT(Oxides_min!$C7:$AW7,Factors!$C$47:$AW$47))/2)</f>
        <v>4.3440303164404205E-2</v>
      </c>
      <c r="AO7" s="20">
        <f>MIN(MAX(0,(SUMPRODUCT(Oxides_min!$C7:$AW7,Factors!$C$48:$AW$48)+SUMPRODUCT(Oxides_max!$C7:$AW7,Factors!$C$48:$AW$48))/2),ABS(SUMPRODUCT(Oxides_max!$C7:$AW7,Factors!$C$48:$AW$48)-SUMPRODUCT(Oxides_min!$C7:$AW7,Factors!$C$48:$AW$48))/2)</f>
        <v>0.26139620425901544</v>
      </c>
      <c r="AP7" s="20">
        <f>MIN(MAX(0,(SUMPRODUCT(Oxides_min!$C7:$AW7,Factors!$C$49:$AW$49)+SUMPRODUCT(Oxides_max!$C7:$AW7,Factors!$C$49:$AW$49))/2),ABS(SUMPRODUCT(Oxides_max!$C7:$AW7,Factors!$C$49:$AW$49)-SUMPRODUCT(Oxides_min!$C7:$AW7,Factors!$C$49:$AW$49))/2)</f>
        <v>5.2378558635016156E-2</v>
      </c>
      <c r="AQ7" s="20">
        <f>MIN(MAX(0,(SUMPRODUCT(Oxides_min!$C7:$AW7,Factors!$C$50:$AW$50)+SUMPRODUCT(Oxides_max!$C7:$AW7,Factors!$C$50:$AW$50))/2),ABS(SUMPRODUCT(Oxides_max!$C7:$AW7,Factors!$C$50:$AW$50)-SUMPRODUCT(Oxides_min!$C7:$AW7,Factors!$C$50:$AW$50))/2)</f>
        <v>0.15304144935492725</v>
      </c>
      <c r="AR7" s="20">
        <f>MIN(MAX(0,(SUMPRODUCT(Oxides_min!$C7:$AW7,Factors!$C$51:$AW$51)+SUMPRODUCT(Oxides_max!$C7:$AW7,Factors!$C$51:$AW$51))/2),ABS(SUMPRODUCT(Oxides_max!$C7:$AW7,Factors!$C$51:$AW$51)-SUMPRODUCT(Oxides_min!$C7:$AW7,Factors!$C$51:$AW$51))/2)</f>
        <v>2.1890301966405699E-2</v>
      </c>
      <c r="AS7" s="20">
        <f>MIN(MAX(0,(SUMPRODUCT(Oxides_min!$C7:$AW7,Factors!$C$52:$AW$52)+SUMPRODUCT(Oxides_max!$C7:$AW7,Factors!$C$52:$AW$52))/2),ABS(SUMPRODUCT(Oxides_max!$C7:$AW7,Factors!$C$52:$AW$52)-SUMPRODUCT(Oxides_min!$C7:$AW7,Factors!$C$52:$AW$52))/2)</f>
        <v>0.13173106446038566</v>
      </c>
      <c r="AT7" s="20">
        <f>MIN(MAX(0,(SUMPRODUCT(Oxides_min!$C7:$AW7,Factors!$C$53:$AW$53)+SUMPRODUCT(Oxides_max!$C7:$AW7,Factors!$C$53:$AW$53))/2),ABS(SUMPRODUCT(Oxides_max!$C7:$AW7,Factors!$C$53:$AW$53)-SUMPRODUCT(Oxides_min!$C7:$AW7,Factors!$C$53:$AW$53))/2)</f>
        <v>2.1984587262200997E-2</v>
      </c>
      <c r="AU7" s="20">
        <f>MIN(MAX(0,(SUMPRODUCT(Oxides_min!$C7:$AW7,Factors!$C$54:$AW$54)+SUMPRODUCT(Oxides_max!$C7:$AW7,Factors!$C$54:$AW$54))/2),ABS(SUMPRODUCT(Oxides_max!$C7:$AW7,Factors!$C$54:$AW$54)-SUMPRODUCT(Oxides_min!$C7:$AW7,Factors!$C$54:$AW$54))/2)</f>
        <v>0</v>
      </c>
      <c r="AV7" s="18">
        <f t="shared" si="0"/>
        <v>48.854734574119661</v>
      </c>
    </row>
    <row r="8" spans="1:48" x14ac:dyDescent="0.25">
      <c r="A8" s="13" t="s">
        <v>138</v>
      </c>
      <c r="B8" s="20">
        <f>MIN(MAX(0,(SUMPRODUCT(Oxides_min!$C8:$AW8,Factors!$C$9:$AW$9)+SUMPRODUCT(Oxides_max!$C8:$AW8,Factors!$C$9:$AW$9))/2),ABS(SUMPRODUCT(Oxides_max!$C8:$AW8,Factors!$C$9:$AW$9)-SUMPRODUCT(Oxides_min!$C8:$AW8,Factors!$C$9:$AW$9))/2)</f>
        <v>3.7010405917785327</v>
      </c>
      <c r="C8" s="20">
        <f>MIN(MAX(0,(SUMPRODUCT(Oxides_min!$C8:$AW8,Factors!$C$10:$AW$10)+SUMPRODUCT(Oxides_max!$C8:$AW8,Factors!$C$10:$AW$10))/2),ABS(SUMPRODUCT(Oxides_max!$C8:$AW8,Factors!$C$10:$AW$10)-SUMPRODUCT(Oxides_min!$C8:$AW8,Factors!$C$10:$AW$10))/2)</f>
        <v>0.35057753441073186</v>
      </c>
      <c r="D8" s="20">
        <f>MIN(MAX(0,(SUMPRODUCT(Oxides_min!$C8:$AW8,Factors!$C$11:$AW$11)+SUMPRODUCT(Oxides_max!$C8:$AW8,Factors!$C$11:$AW$11))/2),ABS(SUMPRODUCT(Oxides_max!$C8:$AW8,Factors!$C$11:$AW$11)-SUMPRODUCT(Oxides_min!$C8:$AW8,Factors!$C$11:$AW$11))/2)</f>
        <v>0</v>
      </c>
      <c r="E8" s="20">
        <f>MIN(MAX(0,(SUMPRODUCT(Oxides_min!$C8:$AW8,Factors!$C$12:$AW$12)+SUMPRODUCT(Oxides_max!$C8:$AW8,Factors!$C$12:$AW$12))/2),ABS(SUMPRODUCT(Oxides_max!$C8:$AW8,Factors!$C$12:$AW$12)-SUMPRODUCT(Oxides_min!$C8:$AW8,Factors!$C$12:$AW$12))/2)</f>
        <v>0</v>
      </c>
      <c r="F8" s="20">
        <f>MIN(MAX(0,(SUMPRODUCT(Oxides_min!$C8:$AW8,Factors!$C$13:$AW$13)+SUMPRODUCT(Oxides_max!$C8:$AW8,Factors!$C$13:$AW$13))/2),ABS(SUMPRODUCT(Oxides_max!$C8:$AW8,Factors!$C$13:$AW$13)-SUMPRODUCT(Oxides_min!$C8:$AW8,Factors!$C$13:$AW$13))/2)</f>
        <v>0</v>
      </c>
      <c r="G8" s="20">
        <f>MIN(MAX(0,(SUMPRODUCT(Oxides_min!$C8:$AW8,Factors!$C$14:$AW$14)+SUMPRODUCT(Oxides_max!$C8:$AW8,Factors!$C$14:$AW$14))/2),ABS(SUMPRODUCT(Oxides_max!$C8:$AW8,Factors!$C$14:$AW$14)-SUMPRODUCT(Oxides_min!$C8:$AW8,Factors!$C$14:$AW$14))/2)</f>
        <v>0</v>
      </c>
      <c r="H8" s="20">
        <f>MIN(MAX(0,(SUMPRODUCT(Oxides_min!$C8:$AW8,Factors!$C$15:$AW$15)+SUMPRODUCT(Oxides_max!$C8:$AW8,Factors!$C$15:$AW$15))/2),ABS(SUMPRODUCT(Oxides_max!$C8:$AW8,Factors!$C$15:$AW$15)-SUMPRODUCT(Oxides_min!$C8:$AW8,Factors!$C$15:$AW$15))/2)</f>
        <v>0</v>
      </c>
      <c r="I8" s="20">
        <f>MIN(MAX(0,(SUMPRODUCT(Oxides_min!$C8:$AW8,Factors!$C$16:$AW$16)+SUMPRODUCT(Oxides_max!$C8:$AW8,Factors!$C$16:$AW$16))/2),ABS(SUMPRODUCT(Oxides_max!$C8:$AW8,Factors!$C$16:$AW$16)-SUMPRODUCT(Oxides_min!$C8:$AW8,Factors!$C$16:$AW$16))/2)</f>
        <v>0.23319275096041422</v>
      </c>
      <c r="J8" s="20">
        <f>MIN(MAX(0,(SUMPRODUCT(Oxides_min!$C8:$AW8,Factors!$C$17:$AW$17)+SUMPRODUCT(Oxides_max!$C8:$AW8,Factors!$C$17:$AW$17))/2),ABS(SUMPRODUCT(Oxides_max!$C8:$AW8,Factors!$C$17:$AW$17)-SUMPRODUCT(Oxides_min!$C8:$AW8,Factors!$C$17:$AW$17))/2)</f>
        <v>0.19361549658031987</v>
      </c>
      <c r="K8" s="20">
        <f>MIN(MAX(0,(SUMPRODUCT(Oxides_min!$C8:$AW8,Factors!$C$18:$AW$18)+SUMPRODUCT(Oxides_max!$C8:$AW8,Factors!$C$18:$AW$18))/2),ABS(SUMPRODUCT(Oxides_max!$C8:$AW8,Factors!$C$18:$AW$18)-SUMPRODUCT(Oxides_min!$C8:$AW8,Factors!$C$18:$AW$18))/2)</f>
        <v>0</v>
      </c>
      <c r="L8" s="20">
        <f>MIN(MAX(0,(SUMPRODUCT(Oxides_min!$C8:$AW8,Factors!$C$19:$AW$19)+SUMPRODUCT(Oxides_max!$C8:$AW8,Factors!$C$19:$AW$19))/2),ABS(SUMPRODUCT(Oxides_max!$C8:$AW8,Factors!$C$19:$AW$19)-SUMPRODUCT(Oxides_min!$C8:$AW8,Factors!$C$19:$AW$19))/2)</f>
        <v>1.7867396615368136</v>
      </c>
      <c r="M8" s="20">
        <f>MIN(MAX(0,(SUMPRODUCT(Oxides_min!$C8:$AW8,Factors!$C$20:$AW$20)+SUMPRODUCT(Oxides_max!$C8:$AW8,Factors!$C$20:$AW$20))/2),ABS(SUMPRODUCT(Oxides_max!$C8:$AW8,Factors!$C$20:$AW$20)-SUMPRODUCT(Oxides_min!$C8:$AW8,Factors!$C$20:$AW$20))/2)</f>
        <v>1.268396722608788</v>
      </c>
      <c r="N8" s="20">
        <f>MIN(MAX(0,(SUMPRODUCT(Oxides_min!$C8:$AW8,Factors!$C$21:$AW$21)+SUMPRODUCT(Oxides_max!$C8:$AW8,Factors!$C$21:$AW$21))/2),ABS(SUMPRODUCT(Oxides_max!$C8:$AW8,Factors!$C$21:$AW$21)-SUMPRODUCT(Oxides_min!$C8:$AW8,Factors!$C$21:$AW$21))/2)</f>
        <v>0</v>
      </c>
      <c r="O8" s="20">
        <f>MIN(MAX(0,(SUMPRODUCT(Oxides_min!$C8:$AW8,Factors!$C$22:$AW$22)+SUMPRODUCT(Oxides_max!$C8:$AW8,Factors!$C$22:$AW$22))/2),ABS(SUMPRODUCT(Oxides_max!$C8:$AW8,Factors!$C$22:$AW$22)-SUMPRODUCT(Oxides_min!$C8:$AW8,Factors!$C$22:$AW$22))/2)</f>
        <v>0</v>
      </c>
      <c r="P8" s="20">
        <f>MIN(MAX(0,(SUMPRODUCT(Oxides_min!$C8:$AW8,Factors!$C$23:$AW$23)+SUMPRODUCT(Oxides_max!$C8:$AW8,Factors!$C$23:$AW$23))/2),ABS(SUMPRODUCT(Oxides_max!$C8:$AW8,Factors!$C$23:$AW$23)-SUMPRODUCT(Oxides_min!$C8:$AW8,Factors!$C$23:$AW$23))/2)</f>
        <v>0.22255867738227608</v>
      </c>
      <c r="Q8" s="20">
        <f>MIN(MAX(0,(SUMPRODUCT(Oxides_min!$C8:$AW8,Factors!$C$24:$AW$24)+SUMPRODUCT(Oxides_max!$C8:$AW8,Factors!$C$24:$AW$24))/2),ABS(SUMPRODUCT(Oxides_max!$C8:$AW8,Factors!$C$24:$AW$24)-SUMPRODUCT(Oxides_min!$C8:$AW8,Factors!$C$24:$AW$24))/2)</f>
        <v>0</v>
      </c>
      <c r="R8" s="20">
        <f>MIN(MAX(0,(SUMPRODUCT(Oxides_min!$C8:$AW8,Factors!$C$25:$AW$25)+SUMPRODUCT(Oxides_max!$C8:$AW8,Factors!$C$25:$AW$25))/2),ABS(SUMPRODUCT(Oxides_max!$C8:$AW8,Factors!$C$25:$AW$25)-SUMPRODUCT(Oxides_min!$C8:$AW8,Factors!$C$25:$AW$25))/2)</f>
        <v>0</v>
      </c>
      <c r="S8" s="20">
        <f>MIN(MAX(0,(SUMPRODUCT(Oxides_min!$C8:$AW8,Factors!$C$26:$AW$26)+SUMPRODUCT(Oxides_max!$C8:$AW8,Factors!$C$26:$AW$26))/2),ABS(SUMPRODUCT(Oxides_max!$C8:$AW8,Factors!$C$26:$AW$26)-SUMPRODUCT(Oxides_min!$C8:$AW8,Factors!$C$26:$AW$26))/2)</f>
        <v>0</v>
      </c>
      <c r="T8" s="20">
        <f>MIN(MAX(0,(SUMPRODUCT(Oxides_min!$C8:$AW8,Factors!$C$27:$AW$27)+SUMPRODUCT(Oxides_max!$C8:$AW8,Factors!$C$27:$AW$27))/2),ABS(SUMPRODUCT(Oxides_max!$C8:$AW8,Factors!$C$27:$AW$27)-SUMPRODUCT(Oxides_min!$C8:$AW8,Factors!$C$27:$AW$27))/2)</f>
        <v>0</v>
      </c>
      <c r="U8" s="20">
        <f>MIN(MAX(0,(SUMPRODUCT(Oxides_min!$C8:$AW8,Factors!$C$28:$AW$28)+SUMPRODUCT(Oxides_max!$C8:$AW8,Factors!$C$28:$AW$28))/2),ABS(SUMPRODUCT(Oxides_max!$C8:$AW8,Factors!$C$28:$AW$28)-SUMPRODUCT(Oxides_min!$C8:$AW8,Factors!$C$28:$AW$28))/2)</f>
        <v>0</v>
      </c>
      <c r="V8" s="20">
        <f>MIN(MAX(0,(SUMPRODUCT(Oxides_min!$C8:$AW8,Factors!$C$29:$AW$29)+SUMPRODUCT(Oxides_max!$C8:$AW8,Factors!$C$29:$AW$29))/2),ABS(SUMPRODUCT(Oxides_max!$C8:$AW8,Factors!$C$29:$AW$29)-SUMPRODUCT(Oxides_min!$C8:$AW8,Factors!$C$29:$AW$29))/2)</f>
        <v>0.98196033906602764</v>
      </c>
      <c r="W8" s="20">
        <f>MIN(MAX(0,(SUMPRODUCT(Oxides_min!$C8:$AW8,Factors!$C$30:$AW$30)+SUMPRODUCT(Oxides_max!$C8:$AW8,Factors!$C$30:$AW$30))/2),ABS(SUMPRODUCT(Oxides_max!$C8:$AW8,Factors!$C$30:$AW$30)-SUMPRODUCT(Oxides_min!$C8:$AW8,Factors!$C$30:$AW$30))/2)</f>
        <v>0</v>
      </c>
      <c r="X8" s="20">
        <f>MIN(MAX(0,(SUMPRODUCT(Oxides_min!$C8:$AW8,Factors!$C$31:$AW$31)+SUMPRODUCT(Oxides_max!$C8:$AW8,Factors!$C$31:$AW$31))/2),ABS(SUMPRODUCT(Oxides_max!$C8:$AW8,Factors!$C$31:$AW$31)-SUMPRODUCT(Oxides_min!$C8:$AW8,Factors!$C$31:$AW$31))/2)</f>
        <v>0.16018586756935685</v>
      </c>
      <c r="Y8" s="20">
        <f>MIN(MAX(0,(SUMPRODUCT(Oxides_min!$C8:$AW8,Factors!$C$32:$AW$32)+SUMPRODUCT(Oxides_max!$C8:$AW8,Factors!$C$32:$AW$32))/2),ABS(SUMPRODUCT(Oxides_max!$C8:$AW8,Factors!$C$32:$AW$32)-SUMPRODUCT(Oxides_min!$C8:$AW8,Factors!$C$32:$AW$32))/2)</f>
        <v>0.20469108591424481</v>
      </c>
      <c r="Z8" s="20">
        <f>MIN(MAX(0,(SUMPRODUCT(Oxides_min!$C8:$AW8,Factors!$C$33:$AW$33)+SUMPRODUCT(Oxides_max!$C8:$AW8,Factors!$C$33:$AW$33))/2),ABS(SUMPRODUCT(Oxides_max!$C8:$AW8,Factors!$C$33:$AW$33)-SUMPRODUCT(Oxides_min!$C8:$AW8,Factors!$C$33:$AW$33))/2)</f>
        <v>2.7976686094920898E-2</v>
      </c>
      <c r="AA8" s="20">
        <f>MIN(MAX(0,(SUMPRODUCT(Oxides_min!$C8:$AW8,Factors!$C$34:$AW$34)+SUMPRODUCT(Oxides_max!$C8:$AW8,Factors!$C$34:$AW$34))/2),ABS(SUMPRODUCT(Oxides_max!$C8:$AW8,Factors!$C$34:$AW$34)-SUMPRODUCT(Oxides_min!$C8:$AW8,Factors!$C$34:$AW$34))/2)</f>
        <v>0.75</v>
      </c>
      <c r="AB8" s="20">
        <f>MIN(MAX(0,(SUMPRODUCT(Oxides_min!$C8:$AW8,Factors!$C$35:$AW$35)+SUMPRODUCT(Oxides_max!$C8:$AW8,Factors!$C$35:$AW$35))/2),ABS(SUMPRODUCT(Oxides_max!$C8:$AW8,Factors!$C$35:$AW$35)-SUMPRODUCT(Oxides_min!$C8:$AW8,Factors!$C$35:$AW$35))/2)</f>
        <v>0.5</v>
      </c>
      <c r="AC8" s="20">
        <f>MIN(MAX(0,(SUMPRODUCT(Oxides_min!$C8:$AW8,Factors!$C$36:$AW$36)+SUMPRODUCT(Oxides_max!$C8:$AW8,Factors!$C$36:$AW$36))/2),ABS(SUMPRODUCT(Oxides_max!$C8:$AW8,Factors!$C$36:$AW$36)-SUMPRODUCT(Oxides_min!$C8:$AW8,Factors!$C$36:$AW$36))/2)</f>
        <v>2.1970296062237039E-2</v>
      </c>
      <c r="AD8" s="20">
        <f>MIN(MAX(0,(SUMPRODUCT(Oxides_min!$C8:$AW8,Factors!$C$37:$AW$37)+SUMPRODUCT(Oxides_max!$C8:$AW8,Factors!$C$37:$AW$37))/2),ABS(SUMPRODUCT(Oxides_max!$C8:$AW8,Factors!$C$37:$AW$37)-SUMPRODUCT(Oxides_min!$C8:$AW8,Factors!$C$37:$AW$37))/2)</f>
        <v>8.8150069931919005E-3</v>
      </c>
      <c r="AE8" s="20">
        <f>MIN(MAX(0,(SUMPRODUCT(Oxides_min!$C8:$AW8,Factors!$C$38:$AW$38)+SUMPRODUCT(Oxides_max!$C8:$AW8,Factors!$C$38:$AW$38))/2),ABS(SUMPRODUCT(Oxides_max!$C8:$AW8,Factors!$C$38:$AW$38)-SUMPRODUCT(Oxides_min!$C8:$AW8,Factors!$C$38:$AW$38))/2)</f>
        <v>0</v>
      </c>
      <c r="AF8" s="20">
        <f>MIN(MAX(0,(SUMPRODUCT(Oxides_min!$C8:$AW8,Factors!$C$39:$AW$39)+SUMPRODUCT(Oxides_max!$C8:$AW8,Factors!$C$39:$AW$39))/2),ABS(SUMPRODUCT(Oxides_max!$C8:$AW8,Factors!$C$39:$AW$39)-SUMPRODUCT(Oxides_min!$C8:$AW8,Factors!$C$39:$AW$39))/2)</f>
        <v>0.19686098869184304</v>
      </c>
      <c r="AG8" s="20">
        <f>MIN(MAX(0,(SUMPRODUCT(Oxides_min!$C8:$AW8,Factors!$C$40:$AW$40)+SUMPRODUCT(Oxides_max!$C8:$AW8,Factors!$C$40:$AW$40))/2),ABS(SUMPRODUCT(Oxides_max!$C8:$AW8,Factors!$C$40:$AW$40)-SUMPRODUCT(Oxides_min!$C8:$AW8,Factors!$C$40:$AW$40))/2)</f>
        <v>0.38370741670691016</v>
      </c>
      <c r="AH8" s="20">
        <f>MIN(MAX(0,(SUMPRODUCT(Oxides_min!$C8:$AW8,Factors!$C$41:$AW$41)+SUMPRODUCT(Oxides_max!$C8:$AW8,Factors!$C$41:$AW$41))/2),ABS(SUMPRODUCT(Oxides_max!$C8:$AW8,Factors!$C$41:$AW$41)-SUMPRODUCT(Oxides_min!$C8:$AW8,Factors!$C$41:$AW$41))/2)</f>
        <v>0.51226186595334355</v>
      </c>
      <c r="AI8" s="20">
        <f>MIN(MAX(0,(SUMPRODUCT(Oxides_min!$C8:$AW8,Factors!$C$42:$AW$42)+SUMPRODUCT(Oxides_max!$C8:$AW8,Factors!$C$42:$AW$42))/2),ABS(SUMPRODUCT(Oxides_max!$C8:$AW8,Factors!$C$42:$AW$42)-SUMPRODUCT(Oxides_min!$C8:$AW8,Factors!$C$42:$AW$42))/2)</f>
        <v>8.5447177958664494E-2</v>
      </c>
      <c r="AJ8" s="20">
        <f>MIN(MAX(0,(SUMPRODUCT(Oxides_min!$C8:$AW8,Factors!$C$43:$AW$43)+SUMPRODUCT(Oxides_max!$C8:$AW8,Factors!$C$43:$AW$43))/2),ABS(SUMPRODUCT(Oxides_max!$C8:$AW8,Factors!$C$43:$AW$43)-SUMPRODUCT(Oxides_min!$C8:$AW8,Factors!$C$43:$AW$43))/2)</f>
        <v>0.30007459559380767</v>
      </c>
      <c r="AK8" s="20">
        <f>MIN(MAX(0,(SUMPRODUCT(Oxides_min!$C8:$AW8,Factors!$C$44:$AW$44)+SUMPRODUCT(Oxides_max!$C8:$AW8,Factors!$C$44:$AW$44))/2),ABS(SUMPRODUCT(Oxides_max!$C8:$AW8,Factors!$C$44:$AW$44)-SUMPRODUCT(Oxides_min!$C8:$AW8,Factors!$C$44:$AW$44))/2)</f>
        <v>6.467708772442983E-2</v>
      </c>
      <c r="AL8" s="20">
        <f>MIN(MAX(0,(SUMPRODUCT(Oxides_min!$C8:$AW8,Factors!$C$45:$AW$45)+SUMPRODUCT(Oxides_max!$C8:$AW8,Factors!$C$45:$AW$45))/2),ABS(SUMPRODUCT(Oxides_max!$C8:$AW8,Factors!$C$45:$AW$45)-SUMPRODUCT(Oxides_min!$C8:$AW8,Factors!$C$45:$AW$45))/2)</f>
        <v>1.295423740853875E-2</v>
      </c>
      <c r="AM8" s="20">
        <f>MIN(MAX(0,(SUMPRODUCT(Oxides_min!$C8:$AW8,Factors!$C$46:$AW$46)+SUMPRODUCT(Oxides_max!$C8:$AW8,Factors!$C$46:$AW$46))/2),ABS(SUMPRODUCT(Oxides_max!$C8:$AW8,Factors!$C$46:$AW$46)-SUMPRODUCT(Oxides_min!$C8:$AW8,Factors!$C$46:$AW$46))/2)</f>
        <v>6.5069504023481564E-2</v>
      </c>
      <c r="AN8" s="20">
        <f>MIN(MAX(0,(SUMPRODUCT(Oxides_min!$C8:$AW8,Factors!$C$47:$AW$47)+SUMPRODUCT(Oxides_max!$C8:$AW8,Factors!$C$47:$AW$47))/2),ABS(SUMPRODUCT(Oxides_max!$C8:$AW8,Factors!$C$47:$AW$47)-SUMPRODUCT(Oxides_min!$C8:$AW8,Factors!$C$47:$AW$47))/2)</f>
        <v>0</v>
      </c>
      <c r="AO8" s="20">
        <f>MIN(MAX(0,(SUMPRODUCT(Oxides_min!$C8:$AW8,Factors!$C$48:$AW$48)+SUMPRODUCT(Oxides_max!$C8:$AW8,Factors!$C$48:$AW$48))/2),ABS(SUMPRODUCT(Oxides_max!$C8:$AW8,Factors!$C$48:$AW$48)-SUMPRODUCT(Oxides_min!$C8:$AW8,Factors!$C$48:$AW$48))/2)</f>
        <v>4.3566034043169249E-2</v>
      </c>
      <c r="AP8" s="20">
        <f>MIN(MAX(0,(SUMPRODUCT(Oxides_min!$C8:$AW8,Factors!$C$49:$AW$49)+SUMPRODUCT(Oxides_max!$C8:$AW8,Factors!$C$49:$AW$49))/2),ABS(SUMPRODUCT(Oxides_max!$C8:$AW8,Factors!$C$49:$AW$49)-SUMPRODUCT(Oxides_min!$C8:$AW8,Factors!$C$49:$AW$49))/2)</f>
        <v>0</v>
      </c>
      <c r="AQ8" s="20">
        <f>MIN(MAX(0,(SUMPRODUCT(Oxides_min!$C8:$AW8,Factors!$C$50:$AW$50)+SUMPRODUCT(Oxides_max!$C8:$AW8,Factors!$C$50:$AW$50))/2),ABS(SUMPRODUCT(Oxides_max!$C8:$AW8,Factors!$C$50:$AW$50)-SUMPRODUCT(Oxides_min!$C8:$AW8,Factors!$C$50:$AW$50))/2)</f>
        <v>2.1863064193561037E-2</v>
      </c>
      <c r="AR8" s="20">
        <f>MIN(MAX(0,(SUMPRODUCT(Oxides_min!$C8:$AW8,Factors!$C$51:$AW$51)+SUMPRODUCT(Oxides_max!$C8:$AW8,Factors!$C$51:$AW$51))/2),ABS(SUMPRODUCT(Oxides_max!$C8:$AW8,Factors!$C$51:$AW$51)-SUMPRODUCT(Oxides_min!$C8:$AW8,Factors!$C$51:$AW$51))/2)</f>
        <v>0</v>
      </c>
      <c r="AS8" s="20">
        <f>MIN(MAX(0,(SUMPRODUCT(Oxides_min!$C8:$AW8,Factors!$C$52:$AW$52)+SUMPRODUCT(Oxides_max!$C8:$AW8,Factors!$C$52:$AW$52))/2),ABS(SUMPRODUCT(Oxides_max!$C8:$AW8,Factors!$C$52:$AW$52)-SUMPRODUCT(Oxides_min!$C8:$AW8,Factors!$C$52:$AW$52))/2)</f>
        <v>1.3173106446038564E-2</v>
      </c>
      <c r="AT8" s="20">
        <f>MIN(MAX(0,(SUMPRODUCT(Oxides_min!$C8:$AW8,Factors!$C$53:$AW$53)+SUMPRODUCT(Oxides_max!$C8:$AW8,Factors!$C$53:$AW$53))/2),ABS(SUMPRODUCT(Oxides_max!$C8:$AW8,Factors!$C$53:$AW$53)-SUMPRODUCT(Oxides_min!$C8:$AW8,Factors!$C$53:$AW$53))/2)</f>
        <v>0</v>
      </c>
      <c r="AU8" s="20">
        <f>MIN(MAX(0,(SUMPRODUCT(Oxides_min!$C8:$AW8,Factors!$C$54:$AW$54)+SUMPRODUCT(Oxides_max!$C8:$AW8,Factors!$C$54:$AW$54))/2),ABS(SUMPRODUCT(Oxides_max!$C8:$AW8,Factors!$C$54:$AW$54)-SUMPRODUCT(Oxides_min!$C8:$AW8,Factors!$C$54:$AW$54))/2)</f>
        <v>0</v>
      </c>
      <c r="AV8" s="18">
        <f t="shared" si="0"/>
        <v>12.111375795701644</v>
      </c>
    </row>
    <row r="9" spans="1:48" x14ac:dyDescent="0.25">
      <c r="A9" s="13" t="s">
        <v>140</v>
      </c>
      <c r="B9" s="20">
        <f>MIN(MAX(0,(SUMPRODUCT(Oxides_min!$C9:$AW9,Factors!$C$9:$AW$9)+SUMPRODUCT(Oxides_max!$C9:$AW9,Factors!$C$9:$AW$9))/2),ABS(SUMPRODUCT(Oxides_max!$C9:$AW9,Factors!$C$9:$AW$9)-SUMPRODUCT(Oxides_min!$C9:$AW9,Factors!$C$9:$AW$9))/2)</f>
        <v>9.7398724689963458</v>
      </c>
      <c r="C9" s="20">
        <f>MIN(MAX(0,(SUMPRODUCT(Oxides_min!$C9:$AW9,Factors!$C$10:$AW$10)+SUMPRODUCT(Oxides_max!$C9:$AW9,Factors!$C$10:$AW$10))/2),ABS(SUMPRODUCT(Oxides_max!$C9:$AW9,Factors!$C$10:$AW$10)-SUMPRODUCT(Oxides_min!$C9:$AW9,Factors!$C$10:$AW$10))/2)</f>
        <v>0.46743671254764246</v>
      </c>
      <c r="D9" s="20">
        <f>MIN(MAX(0,(SUMPRODUCT(Oxides_min!$C9:$AW9,Factors!$C$11:$AW$11)+SUMPRODUCT(Oxides_max!$C9:$AW9,Factors!$C$11:$AW$11))/2),ABS(SUMPRODUCT(Oxides_max!$C9:$AW9,Factors!$C$11:$AW$11)-SUMPRODUCT(Oxides_min!$C9:$AW9,Factors!$C$11:$AW$11))/2)</f>
        <v>0</v>
      </c>
      <c r="E9" s="20">
        <f>MIN(MAX(0,(SUMPRODUCT(Oxides_min!$C9:$AW9,Factors!$C$12:$AW$12)+SUMPRODUCT(Oxides_max!$C9:$AW9,Factors!$C$12:$AW$12))/2),ABS(SUMPRODUCT(Oxides_max!$C9:$AW9,Factors!$C$12:$AW$12)-SUMPRODUCT(Oxides_min!$C9:$AW9,Factors!$C$12:$AW$12))/2)</f>
        <v>0</v>
      </c>
      <c r="F9" s="20">
        <f>MIN(MAX(0,(SUMPRODUCT(Oxides_min!$C9:$AW9,Factors!$C$13:$AW$13)+SUMPRODUCT(Oxides_max!$C9:$AW9,Factors!$C$13:$AW$13))/2),ABS(SUMPRODUCT(Oxides_max!$C9:$AW9,Factors!$C$13:$AW$13)-SUMPRODUCT(Oxides_min!$C9:$AW9,Factors!$C$13:$AW$13))/2)</f>
        <v>0</v>
      </c>
      <c r="G9" s="20">
        <f>MIN(MAX(0,(SUMPRODUCT(Oxides_min!$C9:$AW9,Factors!$C$14:$AW$14)+SUMPRODUCT(Oxides_max!$C9:$AW9,Factors!$C$14:$AW$14))/2),ABS(SUMPRODUCT(Oxides_max!$C9:$AW9,Factors!$C$14:$AW$14)-SUMPRODUCT(Oxides_min!$C9:$AW9,Factors!$C$14:$AW$14))/2)</f>
        <v>0</v>
      </c>
      <c r="H9" s="20">
        <f>MIN(MAX(0,(SUMPRODUCT(Oxides_min!$C9:$AW9,Factors!$C$15:$AW$15)+SUMPRODUCT(Oxides_max!$C9:$AW9,Factors!$C$15:$AW$15))/2),ABS(SUMPRODUCT(Oxides_max!$C9:$AW9,Factors!$C$15:$AW$15)-SUMPRODUCT(Oxides_min!$C9:$AW9,Factors!$C$15:$AW$15))/2)</f>
        <v>1.5877707801260295</v>
      </c>
      <c r="I9" s="20">
        <f>MIN(MAX(0,(SUMPRODUCT(Oxides_min!$C9:$AW9,Factors!$C$16:$AW$16)+SUMPRODUCT(Oxides_max!$C9:$AW9,Factors!$C$16:$AW$16))/2),ABS(SUMPRODUCT(Oxides_max!$C9:$AW9,Factors!$C$16:$AW$16)-SUMPRODUCT(Oxides_min!$C9:$AW9,Factors!$C$16:$AW$16))/2)</f>
        <v>1.3988615228540833</v>
      </c>
      <c r="J9" s="20">
        <f>MIN(MAX(0,(SUMPRODUCT(Oxides_min!$C9:$AW9,Factors!$C$17:$AW$17)+SUMPRODUCT(Oxides_max!$C9:$AW9,Factors!$C$17:$AW$17))/2),ABS(SUMPRODUCT(Oxides_max!$C9:$AW9,Factors!$C$17:$AW$17)-SUMPRODUCT(Oxides_min!$C9:$AW9,Factors!$C$17:$AW$17))/2)</f>
        <v>0</v>
      </c>
      <c r="K9" s="20">
        <f>MIN(MAX(0,(SUMPRODUCT(Oxides_min!$C9:$AW9,Factors!$C$18:$AW$18)+SUMPRODUCT(Oxides_max!$C9:$AW9,Factors!$C$18:$AW$18))/2),ABS(SUMPRODUCT(Oxides_max!$C9:$AW9,Factors!$C$18:$AW$18)-SUMPRODUCT(Oxides_min!$C9:$AW9,Factors!$C$18:$AW$18))/2)</f>
        <v>0</v>
      </c>
      <c r="L9" s="20">
        <f>MIN(MAX(0,(SUMPRODUCT(Oxides_min!$C9:$AW9,Factors!$C$19:$AW$19)+SUMPRODUCT(Oxides_max!$C9:$AW9,Factors!$C$19:$AW$19))/2),ABS(SUMPRODUCT(Oxides_max!$C9:$AW9,Factors!$C$19:$AW$19)-SUMPRODUCT(Oxides_min!$C9:$AW9,Factors!$C$19:$AW$19))/2)</f>
        <v>1.3579221427679795</v>
      </c>
      <c r="M9" s="20">
        <f>MIN(MAX(0,(SUMPRODUCT(Oxides_min!$C9:$AW9,Factors!$C$20:$AW$20)+SUMPRODUCT(Oxides_max!$C9:$AW9,Factors!$C$20:$AW$20))/2),ABS(SUMPRODUCT(Oxides_max!$C9:$AW9,Factors!$C$20:$AW$20)-SUMPRODUCT(Oxides_min!$C9:$AW9,Factors!$C$20:$AW$20))/2)</f>
        <v>2.1139945376813136</v>
      </c>
      <c r="N9" s="20">
        <f>MIN(MAX(0,(SUMPRODUCT(Oxides_min!$C9:$AW9,Factors!$C$21:$AW$21)+SUMPRODUCT(Oxides_max!$C9:$AW9,Factors!$C$21:$AW$21))/2),ABS(SUMPRODUCT(Oxides_max!$C9:$AW9,Factors!$C$21:$AW$21)-SUMPRODUCT(Oxides_min!$C9:$AW9,Factors!$C$21:$AW$21))/2)</f>
        <v>0.89565370517720411</v>
      </c>
      <c r="O9" s="20">
        <f>MIN(MAX(0,(SUMPRODUCT(Oxides_min!$C9:$AW9,Factors!$C$22:$AW$22)+SUMPRODUCT(Oxides_max!$C9:$AW9,Factors!$C$22:$AW$22))/2),ABS(SUMPRODUCT(Oxides_max!$C9:$AW9,Factors!$C$22:$AW$22)-SUMPRODUCT(Oxides_min!$C9:$AW9,Factors!$C$22:$AW$22))/2)</f>
        <v>0</v>
      </c>
      <c r="P9" s="20">
        <f>MIN(MAX(0,(SUMPRODUCT(Oxides_min!$C9:$AW9,Factors!$C$23:$AW$23)+SUMPRODUCT(Oxides_max!$C9:$AW9,Factors!$C$23:$AW$23))/2),ABS(SUMPRODUCT(Oxides_max!$C9:$AW9,Factors!$C$23:$AW$23)-SUMPRODUCT(Oxides_min!$C9:$AW9,Factors!$C$23:$AW$23))/2)</f>
        <v>0</v>
      </c>
      <c r="Q9" s="20">
        <f>MIN(MAX(0,(SUMPRODUCT(Oxides_min!$C9:$AW9,Factors!$C$24:$AW$24)+SUMPRODUCT(Oxides_max!$C9:$AW9,Factors!$C$24:$AW$24))/2),ABS(SUMPRODUCT(Oxides_max!$C9:$AW9,Factors!$C$24:$AW$24)-SUMPRODUCT(Oxides_min!$C9:$AW9,Factors!$C$24:$AW$24))/2)</f>
        <v>0</v>
      </c>
      <c r="R9" s="20">
        <f>MIN(MAX(0,(SUMPRODUCT(Oxides_min!$C9:$AW9,Factors!$C$25:$AW$25)+SUMPRODUCT(Oxides_max!$C9:$AW9,Factors!$C$25:$AW$25))/2),ABS(SUMPRODUCT(Oxides_max!$C9:$AW9,Factors!$C$25:$AW$25)-SUMPRODUCT(Oxides_min!$C9:$AW9,Factors!$C$25:$AW$25))/2)</f>
        <v>0</v>
      </c>
      <c r="S9" s="20">
        <f>MIN(MAX(0,(SUMPRODUCT(Oxides_min!$C9:$AW9,Factors!$C$26:$AW$26)+SUMPRODUCT(Oxides_max!$C9:$AW9,Factors!$C$26:$AW$26))/2),ABS(SUMPRODUCT(Oxides_max!$C9:$AW9,Factors!$C$26:$AW$26)-SUMPRODUCT(Oxides_min!$C9:$AW9,Factors!$C$26:$AW$26))/2)</f>
        <v>0</v>
      </c>
      <c r="T9" s="20">
        <f>MIN(MAX(0,(SUMPRODUCT(Oxides_min!$C9:$AW9,Factors!$C$27:$AW$27)+SUMPRODUCT(Oxides_max!$C9:$AW9,Factors!$C$27:$AW$27))/2),ABS(SUMPRODUCT(Oxides_max!$C9:$AW9,Factors!$C$27:$AW$27)-SUMPRODUCT(Oxides_min!$C9:$AW9,Factors!$C$27:$AW$27))/2)</f>
        <v>0</v>
      </c>
      <c r="U9" s="20">
        <f>MIN(MAX(0,(SUMPRODUCT(Oxides_min!$C9:$AW9,Factors!$C$28:$AW$28)+SUMPRODUCT(Oxides_max!$C9:$AW9,Factors!$C$28:$AW$28))/2),ABS(SUMPRODUCT(Oxides_max!$C9:$AW9,Factors!$C$28:$AW$28)-SUMPRODUCT(Oxides_min!$C9:$AW9,Factors!$C$28:$AW$28))/2)</f>
        <v>0</v>
      </c>
      <c r="V9" s="20">
        <f>MIN(MAX(0,(SUMPRODUCT(Oxides_min!$C9:$AW9,Factors!$C$29:$AW$29)+SUMPRODUCT(Oxides_max!$C9:$AW9,Factors!$C$29:$AW$29))/2),ABS(SUMPRODUCT(Oxides_max!$C9:$AW9,Factors!$C$29:$AW$29)-SUMPRODUCT(Oxides_min!$C9:$AW9,Factors!$C$29:$AW$29))/2)</f>
        <v>1.0910670434066985</v>
      </c>
      <c r="W9" s="20">
        <f>MIN(MAX(0,(SUMPRODUCT(Oxides_min!$C9:$AW9,Factors!$C$30:$AW$30)+SUMPRODUCT(Oxides_max!$C9:$AW9,Factors!$C$30:$AW$30))/2),ABS(SUMPRODUCT(Oxides_max!$C9:$AW9,Factors!$C$30:$AW$30)-SUMPRODUCT(Oxides_min!$C9:$AW9,Factors!$C$30:$AW$30))/2)</f>
        <v>0</v>
      </c>
      <c r="X9" s="20">
        <f>MIN(MAX(0,(SUMPRODUCT(Oxides_min!$C9:$AW9,Factors!$C$31:$AW$31)+SUMPRODUCT(Oxides_max!$C9:$AW9,Factors!$C$31:$AW$31))/2),ABS(SUMPRODUCT(Oxides_max!$C9:$AW9,Factors!$C$31:$AW$31)-SUMPRODUCT(Oxides_min!$C9:$AW9,Factors!$C$31:$AW$31))/2)</f>
        <v>0.60069700338508814</v>
      </c>
      <c r="Y9" s="20">
        <f>MIN(MAX(0,(SUMPRODUCT(Oxides_min!$C9:$AW9,Factors!$C$32:$AW$32)+SUMPRODUCT(Oxides_max!$C9:$AW9,Factors!$C$32:$AW$32))/2),ABS(SUMPRODUCT(Oxides_max!$C9:$AW9,Factors!$C$32:$AW$32)-SUMPRODUCT(Oxides_min!$C9:$AW9,Factors!$C$32:$AW$32))/2)</f>
        <v>0</v>
      </c>
      <c r="Z9" s="20">
        <f>MIN(MAX(0,(SUMPRODUCT(Oxides_min!$C9:$AW9,Factors!$C$33:$AW$33)+SUMPRODUCT(Oxides_max!$C9:$AW9,Factors!$C$33:$AW$33))/2),ABS(SUMPRODUCT(Oxides_max!$C9:$AW9,Factors!$C$33:$AW$33)-SUMPRODUCT(Oxides_min!$C9:$AW9,Factors!$C$33:$AW$33))/2)</f>
        <v>0.16786011656952537</v>
      </c>
      <c r="AA9" s="20">
        <f>MIN(MAX(0,(SUMPRODUCT(Oxides_min!$C9:$AW9,Factors!$C$34:$AW$34)+SUMPRODUCT(Oxides_max!$C9:$AW9,Factors!$C$34:$AW$34))/2),ABS(SUMPRODUCT(Oxides_max!$C9:$AW9,Factors!$C$34:$AW$34)-SUMPRODUCT(Oxides_min!$C9:$AW9,Factors!$C$34:$AW$34))/2)</f>
        <v>0.8</v>
      </c>
      <c r="AB9" s="20">
        <f>MIN(MAX(0,(SUMPRODUCT(Oxides_min!$C9:$AW9,Factors!$C$35:$AW$35)+SUMPRODUCT(Oxides_max!$C9:$AW9,Factors!$C$35:$AW$35))/2),ABS(SUMPRODUCT(Oxides_max!$C9:$AW9,Factors!$C$35:$AW$35)-SUMPRODUCT(Oxides_min!$C9:$AW9,Factors!$C$35:$AW$35))/2)</f>
        <v>0</v>
      </c>
      <c r="AC9" s="20">
        <f>MIN(MAX(0,(SUMPRODUCT(Oxides_min!$C9:$AW9,Factors!$C$36:$AW$36)+SUMPRODUCT(Oxides_max!$C9:$AW9,Factors!$C$36:$AW$36))/2),ABS(SUMPRODUCT(Oxides_max!$C9:$AW9,Factors!$C$36:$AW$36)-SUMPRODUCT(Oxides_min!$C9:$AW9,Factors!$C$36:$AW$36))/2)</f>
        <v>1.3182177637342223</v>
      </c>
      <c r="AD9" s="20">
        <f>MIN(MAX(0,(SUMPRODUCT(Oxides_min!$C9:$AW9,Factors!$C$37:$AW$37)+SUMPRODUCT(Oxides_max!$C9:$AW9,Factors!$C$37:$AW$37))/2),ABS(SUMPRODUCT(Oxides_max!$C9:$AW9,Factors!$C$37:$AW$37)-SUMPRODUCT(Oxides_min!$C9:$AW9,Factors!$C$37:$AW$37))/2)</f>
        <v>0</v>
      </c>
      <c r="AE9" s="20">
        <f>MIN(MAX(0,(SUMPRODUCT(Oxides_min!$C9:$AW9,Factors!$C$38:$AW$38)+SUMPRODUCT(Oxides_max!$C9:$AW9,Factors!$C$38:$AW$38))/2),ABS(SUMPRODUCT(Oxides_max!$C9:$AW9,Factors!$C$38:$AW$38)-SUMPRODUCT(Oxides_min!$C9:$AW9,Factors!$C$38:$AW$38))/2)</f>
        <v>0</v>
      </c>
      <c r="AF9" s="20">
        <f>MIN(MAX(0,(SUMPRODUCT(Oxides_min!$C9:$AW9,Factors!$C$39:$AW$39)+SUMPRODUCT(Oxides_max!$C9:$AW9,Factors!$C$39:$AW$39))/2),ABS(SUMPRODUCT(Oxides_max!$C9:$AW9,Factors!$C$39:$AW$39)-SUMPRODUCT(Oxides_min!$C9:$AW9,Factors!$C$39:$AW$39))/2)</f>
        <v>1.1811659321510581</v>
      </c>
      <c r="AG9" s="20">
        <f>MIN(MAX(0,(SUMPRODUCT(Oxides_min!$C9:$AW9,Factors!$C$40:$AW$40)+SUMPRODUCT(Oxides_max!$C9:$AW9,Factors!$C$40:$AW$40))/2),ABS(SUMPRODUCT(Oxides_max!$C9:$AW9,Factors!$C$40:$AW$40)-SUMPRODUCT(Oxides_min!$C9:$AW9,Factors!$C$40:$AW$40))/2)</f>
        <v>3.837074167069102</v>
      </c>
      <c r="AH9" s="20">
        <f>MIN(MAX(0,(SUMPRODUCT(Oxides_min!$C9:$AW9,Factors!$C$41:$AW$41)+SUMPRODUCT(Oxides_max!$C9:$AW9,Factors!$C$41:$AW$41))/2),ABS(SUMPRODUCT(Oxides_max!$C9:$AW9,Factors!$C$41:$AW$41)-SUMPRODUCT(Oxides_min!$C9:$AW9,Factors!$C$41:$AW$41))/2)</f>
        <v>5.1226186595334351</v>
      </c>
      <c r="AI9" s="20">
        <f>MIN(MAX(0,(SUMPRODUCT(Oxides_min!$C9:$AW9,Factors!$C$42:$AW$42)+SUMPRODUCT(Oxides_max!$C9:$AW9,Factors!$C$42:$AW$42))/2),ABS(SUMPRODUCT(Oxides_max!$C9:$AW9,Factors!$C$42:$AW$42)-SUMPRODUCT(Oxides_min!$C9:$AW9,Factors!$C$42:$AW$42))/2)</f>
        <v>0.85447177958664489</v>
      </c>
      <c r="AJ9" s="20">
        <f>MIN(MAX(0,(SUMPRODUCT(Oxides_min!$C9:$AW9,Factors!$C$43:$AW$43)+SUMPRODUCT(Oxides_max!$C9:$AW9,Factors!$C$43:$AW$43))/2),ABS(SUMPRODUCT(Oxides_max!$C9:$AW9,Factors!$C$43:$AW$43)-SUMPRODUCT(Oxides_min!$C9:$AW9,Factors!$C$43:$AW$43))/2)</f>
        <v>2.5720679622326372</v>
      </c>
      <c r="AK9" s="20">
        <f>MIN(MAX(0,(SUMPRODUCT(Oxides_min!$C9:$AW9,Factors!$C$44:$AW$44)+SUMPRODUCT(Oxides_max!$C9:$AW9,Factors!$C$44:$AW$44))/2),ABS(SUMPRODUCT(Oxides_max!$C9:$AW9,Factors!$C$44:$AW$44)-SUMPRODUCT(Oxides_min!$C9:$AW9,Factors!$C$44:$AW$44))/2)</f>
        <v>0.86236116965906451</v>
      </c>
      <c r="AL9" s="20">
        <f>MIN(MAX(0,(SUMPRODUCT(Oxides_min!$C9:$AW9,Factors!$C$45:$AW$45)+SUMPRODUCT(Oxides_max!$C9:$AW9,Factors!$C$45:$AW$45))/2),ABS(SUMPRODUCT(Oxides_max!$C9:$AW9,Factors!$C$45:$AW$45)-SUMPRODUCT(Oxides_min!$C9:$AW9,Factors!$C$45:$AW$45))/2)</f>
        <v>0.12954237408538749</v>
      </c>
      <c r="AM9" s="20">
        <f>MIN(MAX(0,(SUMPRODUCT(Oxides_min!$C9:$AW9,Factors!$C$46:$AW$46)+SUMPRODUCT(Oxides_max!$C9:$AW9,Factors!$C$46:$AW$46))/2),ABS(SUMPRODUCT(Oxides_max!$C9:$AW9,Factors!$C$46:$AW$46)-SUMPRODUCT(Oxides_min!$C9:$AW9,Factors!$C$46:$AW$46))/2)</f>
        <v>0.43379669348987715</v>
      </c>
      <c r="AN9" s="20">
        <f>MIN(MAX(0,(SUMPRODUCT(Oxides_min!$C9:$AW9,Factors!$C$47:$AW$47)+SUMPRODUCT(Oxides_max!$C9:$AW9,Factors!$C$47:$AW$47))/2),ABS(SUMPRODUCT(Oxides_max!$C9:$AW9,Factors!$C$47:$AW$47)-SUMPRODUCT(Oxides_min!$C9:$AW9,Factors!$C$47:$AW$47))/2)</f>
        <v>0</v>
      </c>
      <c r="AO9" s="20">
        <f>MIN(MAX(0,(SUMPRODUCT(Oxides_min!$C9:$AW9,Factors!$C$48:$AW$48)+SUMPRODUCT(Oxides_max!$C9:$AW9,Factors!$C$48:$AW$48))/2),ABS(SUMPRODUCT(Oxides_max!$C9:$AW9,Factors!$C$48:$AW$48)-SUMPRODUCT(Oxides_min!$C9:$AW9,Factors!$C$48:$AW$48))/2)</f>
        <v>0.13069810212950772</v>
      </c>
      <c r="AP9" s="20">
        <f>MIN(MAX(0,(SUMPRODUCT(Oxides_min!$C9:$AW9,Factors!$C$49:$AW$49)+SUMPRODUCT(Oxides_max!$C9:$AW9,Factors!$C$49:$AW$49))/2),ABS(SUMPRODUCT(Oxides_max!$C9:$AW9,Factors!$C$49:$AW$49)-SUMPRODUCT(Oxides_min!$C9:$AW9,Factors!$C$49:$AW$49))/2)</f>
        <v>0</v>
      </c>
      <c r="AQ9" s="20">
        <f>MIN(MAX(0,(SUMPRODUCT(Oxides_min!$C9:$AW9,Factors!$C$50:$AW$50)+SUMPRODUCT(Oxides_max!$C9:$AW9,Factors!$C$50:$AW$50))/2),ABS(SUMPRODUCT(Oxides_max!$C9:$AW9,Factors!$C$50:$AW$50)-SUMPRODUCT(Oxides_min!$C9:$AW9,Factors!$C$50:$AW$50))/2)</f>
        <v>0</v>
      </c>
      <c r="AR9" s="20">
        <f>MIN(MAX(0,(SUMPRODUCT(Oxides_min!$C9:$AW9,Factors!$C$51:$AW$51)+SUMPRODUCT(Oxides_max!$C9:$AW9,Factors!$C$51:$AW$51))/2),ABS(SUMPRODUCT(Oxides_max!$C9:$AW9,Factors!$C$51:$AW$51)-SUMPRODUCT(Oxides_min!$C9:$AW9,Factors!$C$51:$AW$51))/2)</f>
        <v>0</v>
      </c>
      <c r="AS9" s="20">
        <f>MIN(MAX(0,(SUMPRODUCT(Oxides_min!$C9:$AW9,Factors!$C$52:$AW$52)+SUMPRODUCT(Oxides_max!$C9:$AW9,Factors!$C$52:$AW$52))/2),ABS(SUMPRODUCT(Oxides_max!$C9:$AW9,Factors!$C$52:$AW$52)-SUMPRODUCT(Oxides_min!$C9:$AW9,Factors!$C$52:$AW$52))/2)</f>
        <v>0</v>
      </c>
      <c r="AT9" s="20">
        <f>MIN(MAX(0,(SUMPRODUCT(Oxides_min!$C9:$AW9,Factors!$C$53:$AW$53)+SUMPRODUCT(Oxides_max!$C9:$AW9,Factors!$C$53:$AW$53))/2),ABS(SUMPRODUCT(Oxides_max!$C9:$AW9,Factors!$C$53:$AW$53)-SUMPRODUCT(Oxides_min!$C9:$AW9,Factors!$C$53:$AW$53))/2)</f>
        <v>0</v>
      </c>
      <c r="AU9" s="20">
        <f>MIN(MAX(0,(SUMPRODUCT(Oxides_min!$C9:$AW9,Factors!$C$54:$AW$54)+SUMPRODUCT(Oxides_max!$C9:$AW9,Factors!$C$54:$AW$54))/2),ABS(SUMPRODUCT(Oxides_max!$C9:$AW9,Factors!$C$54:$AW$54)-SUMPRODUCT(Oxides_min!$C9:$AW9,Factors!$C$54:$AW$54))/2)</f>
        <v>0</v>
      </c>
      <c r="AV9" s="18">
        <f t="shared" si="0"/>
        <v>36.663150637182852</v>
      </c>
    </row>
    <row r="10" spans="1:48" x14ac:dyDescent="0.25">
      <c r="A10" s="13" t="s">
        <v>142</v>
      </c>
      <c r="B10" s="20">
        <f>MIN(MAX(0,(SUMPRODUCT(Oxides_min!$C10:$AW10,Factors!$C$9:$AW$9)+SUMPRODUCT(Oxides_max!$C10:$AW10,Factors!$C$9:$AW$9))/2),ABS(SUMPRODUCT(Oxides_max!$C10:$AW10,Factors!$C$9:$AW$9)-SUMPRODUCT(Oxides_min!$C10:$AW10,Factors!$C$9:$AW$9))/2)</f>
        <v>6.7295301191366867</v>
      </c>
      <c r="C10" s="20">
        <f>MIN(MAX(0,(SUMPRODUCT(Oxides_min!$C10:$AW10,Factors!$C$10:$AW$10)+SUMPRODUCT(Oxides_max!$C10:$AW10,Factors!$C$10:$AW$10))/2),ABS(SUMPRODUCT(Oxides_max!$C10:$AW10,Factors!$C$10:$AW$10)-SUMPRODUCT(Oxides_min!$C10:$AW10,Factors!$C$10:$AW$10))/2)</f>
        <v>0.46743671254764246</v>
      </c>
      <c r="D10" s="20">
        <f>MIN(MAX(0,(SUMPRODUCT(Oxides_min!$C10:$AW10,Factors!$C$11:$AW$11)+SUMPRODUCT(Oxides_max!$C10:$AW10,Factors!$C$11:$AW$11))/2),ABS(SUMPRODUCT(Oxides_max!$C10:$AW10,Factors!$C$11:$AW$11)-SUMPRODUCT(Oxides_min!$C10:$AW10,Factors!$C$11:$AW$11))/2)</f>
        <v>0</v>
      </c>
      <c r="E10" s="20">
        <f>MIN(MAX(0,(SUMPRODUCT(Oxides_min!$C10:$AW10,Factors!$C$12:$AW$12)+SUMPRODUCT(Oxides_max!$C10:$AW10,Factors!$C$12:$AW$12))/2),ABS(SUMPRODUCT(Oxides_max!$C10:$AW10,Factors!$C$12:$AW$12)-SUMPRODUCT(Oxides_min!$C10:$AW10,Factors!$C$12:$AW$12))/2)</f>
        <v>0.25911282076252617</v>
      </c>
      <c r="F10" s="20">
        <f>MIN(MAX(0,(SUMPRODUCT(Oxides_min!$C10:$AW10,Factors!$C$13:$AW$13)+SUMPRODUCT(Oxides_max!$C10:$AW10,Factors!$C$13:$AW$13))/2),ABS(SUMPRODUCT(Oxides_max!$C10:$AW10,Factors!$C$13:$AW$13)-SUMPRODUCT(Oxides_min!$C10:$AW10,Factors!$C$13:$AW$13))/2)</f>
        <v>0</v>
      </c>
      <c r="G10" s="20">
        <f>MIN(MAX(0,(SUMPRODUCT(Oxides_min!$C10:$AW10,Factors!$C$14:$AW$14)+SUMPRODUCT(Oxides_max!$C10:$AW10,Factors!$C$14:$AW$14))/2),ABS(SUMPRODUCT(Oxides_max!$C10:$AW10,Factors!$C$14:$AW$14)-SUMPRODUCT(Oxides_min!$C10:$AW10,Factors!$C$14:$AW$14))/2)</f>
        <v>0</v>
      </c>
      <c r="H10" s="20">
        <f>MIN(MAX(0,(SUMPRODUCT(Oxides_min!$C10:$AW10,Factors!$C$15:$AW$15)+SUMPRODUCT(Oxides_max!$C10:$AW10,Factors!$C$15:$AW$15))/2),ABS(SUMPRODUCT(Oxides_max!$C10:$AW10,Factors!$C$15:$AW$15)-SUMPRODUCT(Oxides_min!$C10:$AW10,Factors!$C$15:$AW$15))/2)</f>
        <v>0</v>
      </c>
      <c r="I10" s="20">
        <f>MIN(MAX(0,(SUMPRODUCT(Oxides_min!$C10:$AW10,Factors!$C$16:$AW$16)+SUMPRODUCT(Oxides_max!$C10:$AW10,Factors!$C$16:$AW$16))/2),ABS(SUMPRODUCT(Oxides_max!$C10:$AW10,Factors!$C$16:$AW$16)-SUMPRODUCT(Oxides_min!$C10:$AW10,Factors!$C$16:$AW$16))/2)</f>
        <v>1.1659637548020712</v>
      </c>
      <c r="J10" s="20">
        <f>MIN(MAX(0,(SUMPRODUCT(Oxides_min!$C10:$AW10,Factors!$C$17:$AW$17)+SUMPRODUCT(Oxides_max!$C10:$AW10,Factors!$C$17:$AW$17))/2),ABS(SUMPRODUCT(Oxides_max!$C10:$AW10,Factors!$C$17:$AW$17)-SUMPRODUCT(Oxides_min!$C10:$AW10,Factors!$C$17:$AW$17))/2)</f>
        <v>0</v>
      </c>
      <c r="K10" s="20">
        <f>MIN(MAX(0,(SUMPRODUCT(Oxides_min!$C10:$AW10,Factors!$C$18:$AW$18)+SUMPRODUCT(Oxides_max!$C10:$AW10,Factors!$C$18:$AW$18))/2),ABS(SUMPRODUCT(Oxides_max!$C10:$AW10,Factors!$C$18:$AW$18)-SUMPRODUCT(Oxides_min!$C10:$AW10,Factors!$C$18:$AW$18))/2)</f>
        <v>0</v>
      </c>
      <c r="L10" s="20">
        <f>MIN(MAX(0,(SUMPRODUCT(Oxides_min!$C10:$AW10,Factors!$C$19:$AW$19)+SUMPRODUCT(Oxides_max!$C10:$AW10,Factors!$C$19:$AW$19))/2),ABS(SUMPRODUCT(Oxides_max!$C10:$AW10,Factors!$C$19:$AW$19)-SUMPRODUCT(Oxides_min!$C10:$AW10,Factors!$C$19:$AW$19))/2)</f>
        <v>0.8933698307684077</v>
      </c>
      <c r="M10" s="20">
        <f>MIN(MAX(0,(SUMPRODUCT(Oxides_min!$C10:$AW10,Factors!$C$20:$AW$20)+SUMPRODUCT(Oxides_max!$C10:$AW10,Factors!$C$20:$AW$20))/2),ABS(SUMPRODUCT(Oxides_max!$C10:$AW10,Factors!$C$20:$AW$20)-SUMPRODUCT(Oxides_min!$C10:$AW10,Factors!$C$20:$AW$20))/2)</f>
        <v>0</v>
      </c>
      <c r="N10" s="20">
        <f>MIN(MAX(0,(SUMPRODUCT(Oxides_min!$C10:$AW10,Factors!$C$21:$AW$21)+SUMPRODUCT(Oxides_max!$C10:$AW10,Factors!$C$21:$AW$21))/2),ABS(SUMPRODUCT(Oxides_max!$C10:$AW10,Factors!$C$21:$AW$21)-SUMPRODUCT(Oxides_min!$C10:$AW10,Factors!$C$21:$AW$21))/2)</f>
        <v>0</v>
      </c>
      <c r="O10" s="20">
        <f>MIN(MAX(0,(SUMPRODUCT(Oxides_min!$C10:$AW10,Factors!$C$22:$AW$22)+SUMPRODUCT(Oxides_max!$C10:$AW10,Factors!$C$22:$AW$22))/2),ABS(SUMPRODUCT(Oxides_max!$C10:$AW10,Factors!$C$22:$AW$22)-SUMPRODUCT(Oxides_min!$C10:$AW10,Factors!$C$22:$AW$22))/2)</f>
        <v>0</v>
      </c>
      <c r="P10" s="20">
        <f>MIN(MAX(0,(SUMPRODUCT(Oxides_min!$C10:$AW10,Factors!$C$23:$AW$23)+SUMPRODUCT(Oxides_max!$C10:$AW10,Factors!$C$23:$AW$23))/2),ABS(SUMPRODUCT(Oxides_max!$C10:$AW10,Factors!$C$23:$AW$23)-SUMPRODUCT(Oxides_min!$C10:$AW10,Factors!$C$23:$AW$23))/2)</f>
        <v>0</v>
      </c>
      <c r="Q10" s="20">
        <f>MIN(MAX(0,(SUMPRODUCT(Oxides_min!$C10:$AW10,Factors!$C$24:$AW$24)+SUMPRODUCT(Oxides_max!$C10:$AW10,Factors!$C$24:$AW$24))/2),ABS(SUMPRODUCT(Oxides_max!$C10:$AW10,Factors!$C$24:$AW$24)-SUMPRODUCT(Oxides_min!$C10:$AW10,Factors!$C$24:$AW$24))/2)</f>
        <v>0</v>
      </c>
      <c r="R10" s="20">
        <f>MIN(MAX(0,(SUMPRODUCT(Oxides_min!$C10:$AW10,Factors!$C$25:$AW$25)+SUMPRODUCT(Oxides_max!$C10:$AW10,Factors!$C$25:$AW$25))/2),ABS(SUMPRODUCT(Oxides_max!$C10:$AW10,Factors!$C$25:$AW$25)-SUMPRODUCT(Oxides_min!$C10:$AW10,Factors!$C$25:$AW$25))/2)</f>
        <v>0</v>
      </c>
      <c r="S10" s="20">
        <f>MIN(MAX(0,(SUMPRODUCT(Oxides_min!$C10:$AW10,Factors!$C$26:$AW$26)+SUMPRODUCT(Oxides_max!$C10:$AW10,Factors!$C$26:$AW$26))/2),ABS(SUMPRODUCT(Oxides_max!$C10:$AW10,Factors!$C$26:$AW$26)-SUMPRODUCT(Oxides_min!$C10:$AW10,Factors!$C$26:$AW$26))/2)</f>
        <v>0.69904939562708002</v>
      </c>
      <c r="T10" s="20">
        <f>MIN(MAX(0,(SUMPRODUCT(Oxides_min!$C10:$AW10,Factors!$C$27:$AW$27)+SUMPRODUCT(Oxides_max!$C10:$AW10,Factors!$C$27:$AW$27))/2),ABS(SUMPRODUCT(Oxides_max!$C10:$AW10,Factors!$C$27:$AW$27)-SUMPRODUCT(Oxides_min!$C10:$AW10,Factors!$C$27:$AW$27))/2)</f>
        <v>0.28663988357665593</v>
      </c>
      <c r="U10" s="20">
        <f>MIN(MAX(0,(SUMPRODUCT(Oxides_min!$C10:$AW10,Factors!$C$28:$AW$28)+SUMPRODUCT(Oxides_max!$C10:$AW10,Factors!$C$28:$AW$28))/2),ABS(SUMPRODUCT(Oxides_max!$C10:$AW10,Factors!$C$28:$AW$28)-SUMPRODUCT(Oxides_min!$C10:$AW10,Factors!$C$28:$AW$28))/2)</f>
        <v>0</v>
      </c>
      <c r="V10" s="20">
        <f>MIN(MAX(0,(SUMPRODUCT(Oxides_min!$C10:$AW10,Factors!$C$29:$AW$29)+SUMPRODUCT(Oxides_max!$C10:$AW10,Factors!$C$29:$AW$29))/2),ABS(SUMPRODUCT(Oxides_max!$C10:$AW10,Factors!$C$29:$AW$29)-SUMPRODUCT(Oxides_min!$C10:$AW10,Factors!$C$29:$AW$29))/2)</f>
        <v>0.43642681736267919</v>
      </c>
      <c r="W10" s="20">
        <f>MIN(MAX(0,(SUMPRODUCT(Oxides_min!$C10:$AW10,Factors!$C$30:$AW$30)+SUMPRODUCT(Oxides_max!$C10:$AW10,Factors!$C$30:$AW$30))/2),ABS(SUMPRODUCT(Oxides_max!$C10:$AW10,Factors!$C$30:$AW$30)-SUMPRODUCT(Oxides_min!$C10:$AW10,Factors!$C$30:$AW$30))/2)</f>
        <v>0</v>
      </c>
      <c r="X10" s="20">
        <f>MIN(MAX(0,(SUMPRODUCT(Oxides_min!$C10:$AW10,Factors!$C$31:$AW$31)+SUMPRODUCT(Oxides_max!$C10:$AW10,Factors!$C$31:$AW$31))/2),ABS(SUMPRODUCT(Oxides_max!$C10:$AW10,Factors!$C$31:$AW$31)-SUMPRODUCT(Oxides_min!$C10:$AW10,Factors!$C$31:$AW$31))/2)</f>
        <v>0</v>
      </c>
      <c r="Y10" s="20">
        <f>MIN(MAX(0,(SUMPRODUCT(Oxides_min!$C10:$AW10,Factors!$C$32:$AW$32)+SUMPRODUCT(Oxides_max!$C10:$AW10,Factors!$C$32:$AW$32))/2),ABS(SUMPRODUCT(Oxides_max!$C10:$AW10,Factors!$C$32:$AW$32)-SUMPRODUCT(Oxides_min!$C10:$AW10,Factors!$C$32:$AW$32))/2)</f>
        <v>0</v>
      </c>
      <c r="Z10" s="20">
        <f>MIN(MAX(0,(SUMPRODUCT(Oxides_min!$C10:$AW10,Factors!$C$33:$AW$33)+SUMPRODUCT(Oxides_max!$C10:$AW10,Factors!$C$33:$AW$33))/2),ABS(SUMPRODUCT(Oxides_max!$C10:$AW10,Factors!$C$33:$AW$33)-SUMPRODUCT(Oxides_min!$C10:$AW10,Factors!$C$33:$AW$33))/2)</f>
        <v>0.16786011656952537</v>
      </c>
      <c r="AA10" s="20">
        <f>MIN(MAX(0,(SUMPRODUCT(Oxides_min!$C10:$AW10,Factors!$C$34:$AW$34)+SUMPRODUCT(Oxides_max!$C10:$AW10,Factors!$C$34:$AW$34))/2),ABS(SUMPRODUCT(Oxides_max!$C10:$AW10,Factors!$C$34:$AW$34)-SUMPRODUCT(Oxides_min!$C10:$AW10,Factors!$C$34:$AW$34))/2)</f>
        <v>0</v>
      </c>
      <c r="AB10" s="20">
        <f>MIN(MAX(0,(SUMPRODUCT(Oxides_min!$C10:$AW10,Factors!$C$35:$AW$35)+SUMPRODUCT(Oxides_max!$C10:$AW10,Factors!$C$35:$AW$35))/2),ABS(SUMPRODUCT(Oxides_max!$C10:$AW10,Factors!$C$35:$AW$35)-SUMPRODUCT(Oxides_min!$C10:$AW10,Factors!$C$35:$AW$35))/2)</f>
        <v>0</v>
      </c>
      <c r="AC10" s="20">
        <f>MIN(MAX(0,(SUMPRODUCT(Oxides_min!$C10:$AW10,Factors!$C$36:$AW$36)+SUMPRODUCT(Oxides_max!$C10:$AW10,Factors!$C$36:$AW$36))/2),ABS(SUMPRODUCT(Oxides_max!$C10:$AW10,Factors!$C$36:$AW$36)-SUMPRODUCT(Oxides_min!$C10:$AW10,Factors!$C$36:$AW$36))/2)</f>
        <v>3.5152473699579261</v>
      </c>
      <c r="AD10" s="20">
        <f>MIN(MAX(0,(SUMPRODUCT(Oxides_min!$C10:$AW10,Factors!$C$37:$AW$37)+SUMPRODUCT(Oxides_max!$C10:$AW10,Factors!$C$37:$AW$37))/2),ABS(SUMPRODUCT(Oxides_max!$C10:$AW10,Factors!$C$37:$AW$37)-SUMPRODUCT(Oxides_min!$C10:$AW10,Factors!$C$37:$AW$37))/2)</f>
        <v>0</v>
      </c>
      <c r="AE10" s="20">
        <f>MIN(MAX(0,(SUMPRODUCT(Oxides_min!$C10:$AW10,Factors!$C$38:$AW$38)+SUMPRODUCT(Oxides_max!$C10:$AW10,Factors!$C$38:$AW$38))/2),ABS(SUMPRODUCT(Oxides_max!$C10:$AW10,Factors!$C$38:$AW$38)-SUMPRODUCT(Oxides_min!$C10:$AW10,Factors!$C$38:$AW$38))/2)</f>
        <v>0</v>
      </c>
      <c r="AF10" s="20">
        <f>MIN(MAX(0,(SUMPRODUCT(Oxides_min!$C10:$AW10,Factors!$C$39:$AW$39)+SUMPRODUCT(Oxides_max!$C10:$AW10,Factors!$C$39:$AW$39))/2),ABS(SUMPRODUCT(Oxides_max!$C10:$AW10,Factors!$C$39:$AW$39)-SUMPRODUCT(Oxides_min!$C10:$AW10,Factors!$C$39:$AW$39))/2)</f>
        <v>0.59058296607552907</v>
      </c>
      <c r="AG10" s="20">
        <f>MIN(MAX(0,(SUMPRODUCT(Oxides_min!$C10:$AW10,Factors!$C$40:$AW$40)+SUMPRODUCT(Oxides_max!$C10:$AW10,Factors!$C$40:$AW$40))/2),ABS(SUMPRODUCT(Oxides_max!$C10:$AW10,Factors!$C$40:$AW$40)-SUMPRODUCT(Oxides_min!$C10:$AW10,Factors!$C$40:$AW$40))/2)</f>
        <v>1.2790247223563673</v>
      </c>
      <c r="AH10" s="20">
        <f>MIN(MAX(0,(SUMPRODUCT(Oxides_min!$C10:$AW10,Factors!$C$41:$AW$41)+SUMPRODUCT(Oxides_max!$C10:$AW10,Factors!$C$41:$AW$41))/2),ABS(SUMPRODUCT(Oxides_max!$C10:$AW10,Factors!$C$41:$AW$41)-SUMPRODUCT(Oxides_min!$C10:$AW10,Factors!$C$41:$AW$41))/2)</f>
        <v>8.1408833680002779</v>
      </c>
      <c r="AI10" s="20">
        <f>MIN(MAX(0,(SUMPRODUCT(Oxides_min!$C10:$AW10,Factors!$C$42:$AW$42)+SUMPRODUCT(Oxides_max!$C10:$AW10,Factors!$C$42:$AW$42))/2),ABS(SUMPRODUCT(Oxides_max!$C10:$AW10,Factors!$C$42:$AW$42)-SUMPRODUCT(Oxides_min!$C10:$AW10,Factors!$C$42:$AW$42))/2)</f>
        <v>0.42723588979332244</v>
      </c>
      <c r="AJ10" s="20">
        <f>MIN(MAX(0,(SUMPRODUCT(Oxides_min!$C10:$AW10,Factors!$C$43:$AW$43)+SUMPRODUCT(Oxides_max!$C10:$AW10,Factors!$C$43:$AW$43))/2),ABS(SUMPRODUCT(Oxides_max!$C10:$AW10,Factors!$C$43:$AW$43)-SUMPRODUCT(Oxides_min!$C10:$AW10,Factors!$C$43:$AW$43))/2)</f>
        <v>1.7147119748217581</v>
      </c>
      <c r="AK10" s="20">
        <f>MIN(MAX(0,(SUMPRODUCT(Oxides_min!$C10:$AW10,Factors!$C$44:$AW$44)+SUMPRODUCT(Oxides_max!$C10:$AW10,Factors!$C$44:$AW$44))/2),ABS(SUMPRODUCT(Oxides_max!$C10:$AW10,Factors!$C$44:$AW$44)-SUMPRODUCT(Oxides_min!$C10:$AW10,Factors!$C$44:$AW$44))/2)</f>
        <v>0</v>
      </c>
      <c r="AL10" s="20">
        <f>MIN(MAX(0,(SUMPRODUCT(Oxides_min!$C10:$AW10,Factors!$C$45:$AW$45)+SUMPRODUCT(Oxides_max!$C10:$AW10,Factors!$C$45:$AW$45))/2),ABS(SUMPRODUCT(Oxides_max!$C10:$AW10,Factors!$C$45:$AW$45)-SUMPRODUCT(Oxides_min!$C10:$AW10,Factors!$C$45:$AW$45))/2)</f>
        <v>0</v>
      </c>
      <c r="AM10" s="20">
        <f>MIN(MAX(0,(SUMPRODUCT(Oxides_min!$C10:$AW10,Factors!$C$46:$AW$46)+SUMPRODUCT(Oxides_max!$C10:$AW10,Factors!$C$46:$AW$46))/2),ABS(SUMPRODUCT(Oxides_max!$C10:$AW10,Factors!$C$46:$AW$46)-SUMPRODUCT(Oxides_min!$C10:$AW10,Factors!$C$46:$AW$46))/2)</f>
        <v>0</v>
      </c>
      <c r="AN10" s="20">
        <f>MIN(MAX(0,(SUMPRODUCT(Oxides_min!$C10:$AW10,Factors!$C$47:$AW$47)+SUMPRODUCT(Oxides_max!$C10:$AW10,Factors!$C$47:$AW$47))/2),ABS(SUMPRODUCT(Oxides_max!$C10:$AW10,Factors!$C$47:$AW$47)-SUMPRODUCT(Oxides_min!$C10:$AW10,Factors!$C$47:$AW$47))/2)</f>
        <v>0</v>
      </c>
      <c r="AO10" s="20">
        <f>MIN(MAX(0,(SUMPRODUCT(Oxides_min!$C10:$AW10,Factors!$C$48:$AW$48)+SUMPRODUCT(Oxides_max!$C10:$AW10,Factors!$C$48:$AW$48))/2),ABS(SUMPRODUCT(Oxides_max!$C10:$AW10,Factors!$C$48:$AW$48)-SUMPRODUCT(Oxides_min!$C10:$AW10,Factors!$C$48:$AW$48))/2)</f>
        <v>0</v>
      </c>
      <c r="AP10" s="20">
        <f>MIN(MAX(0,(SUMPRODUCT(Oxides_min!$C10:$AW10,Factors!$C$49:$AW$49)+SUMPRODUCT(Oxides_max!$C10:$AW10,Factors!$C$49:$AW$49))/2),ABS(SUMPRODUCT(Oxides_max!$C10:$AW10,Factors!$C$49:$AW$49)-SUMPRODUCT(Oxides_min!$C10:$AW10,Factors!$C$49:$AW$49))/2)</f>
        <v>0</v>
      </c>
      <c r="AQ10" s="20">
        <f>MIN(MAX(0,(SUMPRODUCT(Oxides_min!$C10:$AW10,Factors!$C$50:$AW$50)+SUMPRODUCT(Oxides_max!$C10:$AW10,Factors!$C$50:$AW$50))/2),ABS(SUMPRODUCT(Oxides_max!$C10:$AW10,Factors!$C$50:$AW$50)-SUMPRODUCT(Oxides_min!$C10:$AW10,Factors!$C$50:$AW$50))/2)</f>
        <v>0</v>
      </c>
      <c r="AR10" s="20">
        <f>MIN(MAX(0,(SUMPRODUCT(Oxides_min!$C10:$AW10,Factors!$C$51:$AW$51)+SUMPRODUCT(Oxides_max!$C10:$AW10,Factors!$C$51:$AW$51))/2),ABS(SUMPRODUCT(Oxides_max!$C10:$AW10,Factors!$C$51:$AW$51)-SUMPRODUCT(Oxides_min!$C10:$AW10,Factors!$C$51:$AW$51))/2)</f>
        <v>0</v>
      </c>
      <c r="AS10" s="20">
        <f>MIN(MAX(0,(SUMPRODUCT(Oxides_min!$C10:$AW10,Factors!$C$52:$AW$52)+SUMPRODUCT(Oxides_max!$C10:$AW10,Factors!$C$52:$AW$52))/2),ABS(SUMPRODUCT(Oxides_max!$C10:$AW10,Factors!$C$52:$AW$52)-SUMPRODUCT(Oxides_min!$C10:$AW10,Factors!$C$52:$AW$52))/2)</f>
        <v>0.52692425784154262</v>
      </c>
      <c r="AT10" s="20">
        <f>MIN(MAX(0,(SUMPRODUCT(Oxides_min!$C10:$AW10,Factors!$C$53:$AW$53)+SUMPRODUCT(Oxides_max!$C10:$AW10,Factors!$C$53:$AW$53))/2),ABS(SUMPRODUCT(Oxides_max!$C10:$AW10,Factors!$C$53:$AW$53)-SUMPRODUCT(Oxides_min!$C10:$AW10,Factors!$C$53:$AW$53))/2)</f>
        <v>0</v>
      </c>
      <c r="AU10" s="20">
        <f>MIN(MAX(0,(SUMPRODUCT(Oxides_min!$C10:$AW10,Factors!$C$54:$AW$54)+SUMPRODUCT(Oxides_max!$C10:$AW10,Factors!$C$54:$AW$54))/2),ABS(SUMPRODUCT(Oxides_max!$C10:$AW10,Factors!$C$54:$AW$54)-SUMPRODUCT(Oxides_min!$C10:$AW10,Factors!$C$54:$AW$54))/2)</f>
        <v>0</v>
      </c>
      <c r="AV10" s="18">
        <f t="shared" si="0"/>
        <v>27.299999999999997</v>
      </c>
    </row>
    <row r="11" spans="1:48" x14ac:dyDescent="0.25">
      <c r="A11" s="13" t="s">
        <v>144</v>
      </c>
      <c r="B11" s="20">
        <f>MIN(MAX(0,(SUMPRODUCT(Oxides_min!$C11:$AW11,Factors!$C$9:$AW$9)+SUMPRODUCT(Oxides_max!$C11:$AW11,Factors!$C$9:$AW$9))/2),ABS(SUMPRODUCT(Oxides_max!$C11:$AW11,Factors!$C$9:$AW$9)-SUMPRODUCT(Oxides_min!$C11:$AW11,Factors!$C$9:$AW$9))/2)</f>
        <v>12.750898346711082</v>
      </c>
      <c r="C11" s="20">
        <f>MIN(MAX(0,(SUMPRODUCT(Oxides_min!$C11:$AW11,Factors!$C$10:$AW$10)+SUMPRODUCT(Oxides_max!$C11:$AW11,Factors!$C$10:$AW$10))/2),ABS(SUMPRODUCT(Oxides_max!$C11:$AW11,Factors!$C$10:$AW$10)-SUMPRODUCT(Oxides_min!$C11:$AW11,Factors!$C$10:$AW$10))/2)</f>
        <v>0.67778323319408151</v>
      </c>
      <c r="D11" s="20">
        <f>MIN(MAX(0,(SUMPRODUCT(Oxides_min!$C11:$AW11,Factors!$C$11:$AW$11)+SUMPRODUCT(Oxides_max!$C11:$AW11,Factors!$C$11:$AW$11))/2),ABS(SUMPRODUCT(Oxides_max!$C11:$AW11,Factors!$C$11:$AW$11)-SUMPRODUCT(Oxides_min!$C11:$AW11,Factors!$C$11:$AW$11))/2)</f>
        <v>2.6970700557190264</v>
      </c>
      <c r="E11" s="20">
        <f>MIN(MAX(0,(SUMPRODUCT(Oxides_min!$C11:$AW11,Factors!$C$12:$AW$12)+SUMPRODUCT(Oxides_max!$C11:$AW11,Factors!$C$12:$AW$12))/2),ABS(SUMPRODUCT(Oxides_max!$C11:$AW11,Factors!$C$12:$AW$12)-SUMPRODUCT(Oxides_min!$C11:$AW11,Factors!$C$12:$AW$12))/2)</f>
        <v>2.3320153868627354</v>
      </c>
      <c r="F11" s="20">
        <f>MIN(MAX(0,(SUMPRODUCT(Oxides_min!$C11:$AW11,Factors!$C$13:$AW$13)+SUMPRODUCT(Oxides_max!$C11:$AW11,Factors!$C$13:$AW$13))/2),ABS(SUMPRODUCT(Oxides_max!$C11:$AW11,Factors!$C$13:$AW$13)-SUMPRODUCT(Oxides_min!$C11:$AW11,Factors!$C$13:$AW$13))/2)</f>
        <v>0</v>
      </c>
      <c r="G11" s="20">
        <f>MIN(MAX(0,(SUMPRODUCT(Oxides_min!$C11:$AW11,Factors!$C$14:$AW$14)+SUMPRODUCT(Oxides_max!$C11:$AW11,Factors!$C$14:$AW$14))/2),ABS(SUMPRODUCT(Oxides_max!$C11:$AW11,Factors!$C$14:$AW$14)-SUMPRODUCT(Oxides_min!$C11:$AW11,Factors!$C$14:$AW$14))/2)</f>
        <v>0</v>
      </c>
      <c r="H11" s="20">
        <f>MIN(MAX(0,(SUMPRODUCT(Oxides_min!$C11:$AW11,Factors!$C$15:$AW$15)+SUMPRODUCT(Oxides_max!$C11:$AW11,Factors!$C$15:$AW$15))/2),ABS(SUMPRODUCT(Oxides_max!$C11:$AW11,Factors!$C$15:$AW$15)-SUMPRODUCT(Oxides_min!$C11:$AW11,Factors!$C$15:$AW$15))/2)</f>
        <v>2.6462846335433821E-2</v>
      </c>
      <c r="I11" s="20">
        <f>MIN(MAX(0,(SUMPRODUCT(Oxides_min!$C11:$AW11,Factors!$C$16:$AW$16)+SUMPRODUCT(Oxides_max!$C11:$AW11,Factors!$C$16:$AW$16))/2),ABS(SUMPRODUCT(Oxides_max!$C11:$AW11,Factors!$C$16:$AW$16)-SUMPRODUCT(Oxides_min!$C11:$AW11,Factors!$C$16:$AW$16))/2)</f>
        <v>0.97163646233505929</v>
      </c>
      <c r="J11" s="20">
        <f>MIN(MAX(0,(SUMPRODUCT(Oxides_min!$C11:$AW11,Factors!$C$17:$AW$17)+SUMPRODUCT(Oxides_max!$C11:$AW11,Factors!$C$17:$AW$17))/2),ABS(SUMPRODUCT(Oxides_max!$C11:$AW11,Factors!$C$17:$AW$17)-SUMPRODUCT(Oxides_min!$C11:$AW11,Factors!$C$17:$AW$17))/2)</f>
        <v>0.38723099316063975</v>
      </c>
      <c r="K11" s="20">
        <f>MIN(MAX(0,(SUMPRODUCT(Oxides_min!$C11:$AW11,Factors!$C$18:$AW$18)+SUMPRODUCT(Oxides_max!$C11:$AW11,Factors!$C$18:$AW$18))/2),ABS(SUMPRODUCT(Oxides_max!$C11:$AW11,Factors!$C$18:$AW$18)-SUMPRODUCT(Oxides_min!$C11:$AW11,Factors!$C$18:$AW$18))/2)</f>
        <v>9.0456282254863032E-2</v>
      </c>
      <c r="L11" s="20">
        <f>MIN(MAX(0,(SUMPRODUCT(Oxides_min!$C11:$AW11,Factors!$C$19:$AW$19)+SUMPRODUCT(Oxides_max!$C11:$AW11,Factors!$C$19:$AW$19))/2),ABS(SUMPRODUCT(Oxides_max!$C11:$AW11,Factors!$C$19:$AW$19)-SUMPRODUCT(Oxides_min!$C11:$AW11,Factors!$C$19:$AW$19))/2)</f>
        <v>2.8587834584589045</v>
      </c>
      <c r="M11" s="20">
        <f>MIN(MAX(0,(SUMPRODUCT(Oxides_min!$C11:$AW11,Factors!$C$20:$AW$20)+SUMPRODUCT(Oxides_max!$C11:$AW11,Factors!$C$20:$AW$20))/2),ABS(SUMPRODUCT(Oxides_max!$C11:$AW11,Factors!$C$20:$AW$20)-SUMPRODUCT(Oxides_min!$C11:$AW11,Factors!$C$20:$AW$20))/2)</f>
        <v>1.6911956301450508</v>
      </c>
      <c r="N11" s="20">
        <f>MIN(MAX(0,(SUMPRODUCT(Oxides_min!$C11:$AW11,Factors!$C$21:$AW$21)+SUMPRODUCT(Oxides_max!$C11:$AW11,Factors!$C$21:$AW$21))/2),ABS(SUMPRODUCT(Oxides_max!$C11:$AW11,Factors!$C$21:$AW$21)-SUMPRODUCT(Oxides_min!$C11:$AW11,Factors!$C$21:$AW$21))/2)</f>
        <v>1.0300017609537846</v>
      </c>
      <c r="O11" s="20">
        <f>MIN(MAX(0,(SUMPRODUCT(Oxides_min!$C11:$AW11,Factors!$C$22:$AW$22)+SUMPRODUCT(Oxides_max!$C11:$AW11,Factors!$C$22:$AW$22))/2),ABS(SUMPRODUCT(Oxides_max!$C11:$AW11,Factors!$C$22:$AW$22)-SUMPRODUCT(Oxides_min!$C11:$AW11,Factors!$C$22:$AW$22))/2)</f>
        <v>0.23207989283106106</v>
      </c>
      <c r="P11" s="20">
        <f>MIN(MAX(0,(SUMPRODUCT(Oxides_min!$C11:$AW11,Factors!$C$23:$AW$23)+SUMPRODUCT(Oxides_max!$C11:$AW11,Factors!$C$23:$AW$23))/2),ABS(SUMPRODUCT(Oxides_max!$C11:$AW11,Factors!$C$23:$AW$23)-SUMPRODUCT(Oxides_min!$C11:$AW11,Factors!$C$23:$AW$23))/2)</f>
        <v>2.670704128587313</v>
      </c>
      <c r="Q11" s="20">
        <f>MIN(MAX(0,(SUMPRODUCT(Oxides_min!$C11:$AW11,Factors!$C$24:$AW$24)+SUMPRODUCT(Oxides_max!$C11:$AW11,Factors!$C$24:$AW$24))/2),ABS(SUMPRODUCT(Oxides_max!$C11:$AW11,Factors!$C$24:$AW$24)-SUMPRODUCT(Oxides_min!$C11:$AW11,Factors!$C$24:$AW$24))/2)</f>
        <v>4.1507565109198313E-2</v>
      </c>
      <c r="R11" s="20">
        <f>MIN(MAX(0,(SUMPRODUCT(Oxides_min!$C11:$AW11,Factors!$C$25:$AW$25)+SUMPRODUCT(Oxides_max!$C11:$AW11,Factors!$C$25:$AW$25))/2),ABS(SUMPRODUCT(Oxides_max!$C11:$AW11,Factors!$C$25:$AW$25)-SUMPRODUCT(Oxides_min!$C11:$AW11,Factors!$C$25:$AW$25))/2)</f>
        <v>0</v>
      </c>
      <c r="S11" s="20">
        <f>MIN(MAX(0,(SUMPRODUCT(Oxides_min!$C11:$AW11,Factors!$C$26:$AW$26)+SUMPRODUCT(Oxides_max!$C11:$AW11,Factors!$C$26:$AW$26))/2),ABS(SUMPRODUCT(Oxides_max!$C11:$AW11,Factors!$C$26:$AW$26)-SUMPRODUCT(Oxides_min!$C11:$AW11,Factors!$C$26:$AW$26))/2)</f>
        <v>8.3885927475249602</v>
      </c>
      <c r="T11" s="20">
        <f>MIN(MAX(0,(SUMPRODUCT(Oxides_min!$C11:$AW11,Factors!$C$27:$AW$27)+SUMPRODUCT(Oxides_max!$C11:$AW11,Factors!$C$27:$AW$27))/2),ABS(SUMPRODUCT(Oxides_max!$C11:$AW11,Factors!$C$27:$AW$27)-SUMPRODUCT(Oxides_min!$C11:$AW11,Factors!$C$27:$AW$27))/2)</f>
        <v>2.6616560617832334</v>
      </c>
      <c r="U11" s="20">
        <f>MIN(MAX(0,(SUMPRODUCT(Oxides_min!$C11:$AW11,Factors!$C$28:$AW$28)+SUMPRODUCT(Oxides_max!$C11:$AW11,Factors!$C$28:$AW$28))/2),ABS(SUMPRODUCT(Oxides_max!$C11:$AW11,Factors!$C$28:$AW$28)-SUMPRODUCT(Oxides_min!$C11:$AW11,Factors!$C$28:$AW$28))/2)</f>
        <v>0</v>
      </c>
      <c r="V11" s="20">
        <f>MIN(MAX(0,(SUMPRODUCT(Oxides_min!$C11:$AW11,Factors!$C$29:$AW$29)+SUMPRODUCT(Oxides_max!$C11:$AW11,Factors!$C$29:$AW$29))/2),ABS(SUMPRODUCT(Oxides_max!$C11:$AW11,Factors!$C$29:$AW$29)-SUMPRODUCT(Oxides_min!$C11:$AW11,Factors!$C$29:$AW$29))/2)</f>
        <v>0</v>
      </c>
      <c r="W11" s="20">
        <f>MIN(MAX(0,(SUMPRODUCT(Oxides_min!$C11:$AW11,Factors!$C$30:$AW$30)+SUMPRODUCT(Oxides_max!$C11:$AW11,Factors!$C$30:$AW$30))/2),ABS(SUMPRODUCT(Oxides_max!$C11:$AW11,Factors!$C$30:$AW$30)-SUMPRODUCT(Oxides_min!$C11:$AW11,Factors!$C$30:$AW$30))/2)</f>
        <v>0</v>
      </c>
      <c r="X11" s="20">
        <f>MIN(MAX(0,(SUMPRODUCT(Oxides_min!$C11:$AW11,Factors!$C$31:$AW$31)+SUMPRODUCT(Oxides_max!$C11:$AW11,Factors!$C$31:$AW$31))/2),ABS(SUMPRODUCT(Oxides_max!$C11:$AW11,Factors!$C$31:$AW$31)-SUMPRODUCT(Oxides_min!$C11:$AW11,Factors!$C$31:$AW$31))/2)</f>
        <v>0</v>
      </c>
      <c r="Y11" s="20">
        <f>MIN(MAX(0,(SUMPRODUCT(Oxides_min!$C11:$AW11,Factors!$C$32:$AW$32)+SUMPRODUCT(Oxides_max!$C11:$AW11,Factors!$C$32:$AW$32))/2),ABS(SUMPRODUCT(Oxides_max!$C11:$AW11,Factors!$C$32:$AW$32)-SUMPRODUCT(Oxides_min!$C11:$AW11,Factors!$C$32:$AW$32))/2)</f>
        <v>0</v>
      </c>
      <c r="Z11" s="20">
        <f>MIN(MAX(0,(SUMPRODUCT(Oxides_min!$C11:$AW11,Factors!$C$33:$AW$33)+SUMPRODUCT(Oxides_max!$C11:$AW11,Factors!$C$33:$AW$33))/2),ABS(SUMPRODUCT(Oxides_max!$C11:$AW11,Factors!$C$33:$AW$33)-SUMPRODUCT(Oxides_min!$C11:$AW11,Factors!$C$33:$AW$33))/2)</f>
        <v>0.16786011656952537</v>
      </c>
      <c r="AA11" s="20">
        <f>MIN(MAX(0,(SUMPRODUCT(Oxides_min!$C11:$AW11,Factors!$C$34:$AW$34)+SUMPRODUCT(Oxides_max!$C11:$AW11,Factors!$C$34:$AW$34))/2),ABS(SUMPRODUCT(Oxides_max!$C11:$AW11,Factors!$C$34:$AW$34)-SUMPRODUCT(Oxides_min!$C11:$AW11,Factors!$C$34:$AW$34))/2)</f>
        <v>1.9</v>
      </c>
      <c r="AB11" s="20">
        <f>MIN(MAX(0,(SUMPRODUCT(Oxides_min!$C11:$AW11,Factors!$C$35:$AW$35)+SUMPRODUCT(Oxides_max!$C11:$AW11,Factors!$C$35:$AW$35))/2),ABS(SUMPRODUCT(Oxides_max!$C11:$AW11,Factors!$C$35:$AW$35)-SUMPRODUCT(Oxides_min!$C11:$AW11,Factors!$C$35:$AW$35))/2)</f>
        <v>0</v>
      </c>
      <c r="AC11" s="20">
        <f>MIN(MAX(0,(SUMPRODUCT(Oxides_min!$C11:$AW11,Factors!$C$36:$AW$36)+SUMPRODUCT(Oxides_max!$C11:$AW11,Factors!$C$36:$AW$36))/2),ABS(SUMPRODUCT(Oxides_max!$C11:$AW11,Factors!$C$36:$AW$36)-SUMPRODUCT(Oxides_min!$C11:$AW11,Factors!$C$36:$AW$36))/2)</f>
        <v>2.5046137510950226</v>
      </c>
      <c r="AD11" s="20">
        <f>MIN(MAX(0,(SUMPRODUCT(Oxides_min!$C11:$AW11,Factors!$C$37:$AW$37)+SUMPRODUCT(Oxides_max!$C11:$AW11,Factors!$C$37:$AW$37))/2),ABS(SUMPRODUCT(Oxides_max!$C11:$AW11,Factors!$C$37:$AW$37)-SUMPRODUCT(Oxides_min!$C11:$AW11,Factors!$C$37:$AW$37))/2)</f>
        <v>2.2037517482979752</v>
      </c>
      <c r="AE11" s="20">
        <f>MIN(MAX(0,(SUMPRODUCT(Oxides_min!$C11:$AW11,Factors!$C$38:$AW$38)+SUMPRODUCT(Oxides_max!$C11:$AW11,Factors!$C$38:$AW$38))/2),ABS(SUMPRODUCT(Oxides_max!$C11:$AW11,Factors!$C$38:$AW$38)-SUMPRODUCT(Oxides_min!$C11:$AW11,Factors!$C$38:$AW$38))/2)</f>
        <v>0</v>
      </c>
      <c r="AF11" s="20">
        <f>MIN(MAX(0,(SUMPRODUCT(Oxides_min!$C11:$AW11,Factors!$C$39:$AW$39)+SUMPRODUCT(Oxides_max!$C11:$AW11,Factors!$C$39:$AW$39))/2),ABS(SUMPRODUCT(Oxides_max!$C11:$AW11,Factors!$C$39:$AW$39)-SUMPRODUCT(Oxides_min!$C11:$AW11,Factors!$C$39:$AW$39))/2)</f>
        <v>0.19686098869184304</v>
      </c>
      <c r="AG11" s="20">
        <f>MIN(MAX(0,(SUMPRODUCT(Oxides_min!$C11:$AW11,Factors!$C$40:$AW$40)+SUMPRODUCT(Oxides_max!$C11:$AW11,Factors!$C$40:$AW$40))/2),ABS(SUMPRODUCT(Oxides_max!$C11:$AW11,Factors!$C$40:$AW$40)-SUMPRODUCT(Oxides_min!$C11:$AW11,Factors!$C$40:$AW$40))/2)</f>
        <v>1.0658539352969727</v>
      </c>
      <c r="AH11" s="20">
        <f>MIN(MAX(0,(SUMPRODUCT(Oxides_min!$C11:$AW11,Factors!$C$41:$AW$41)+SUMPRODUCT(Oxides_max!$C11:$AW11,Factors!$C$41:$AW$41))/2),ABS(SUMPRODUCT(Oxides_max!$C11:$AW11,Factors!$C$41:$AW$41)-SUMPRODUCT(Oxides_min!$C11:$AW11,Factors!$C$41:$AW$41))/2)</f>
        <v>2.9881942180611709</v>
      </c>
      <c r="AI11" s="20">
        <f>MIN(MAX(0,(SUMPRODUCT(Oxides_min!$C11:$AW11,Factors!$C$42:$AW$42)+SUMPRODUCT(Oxides_max!$C11:$AW11,Factors!$C$42:$AW$42))/2),ABS(SUMPRODUCT(Oxides_max!$C11:$AW11,Factors!$C$42:$AW$42)-SUMPRODUCT(Oxides_min!$C11:$AW11,Factors!$C$42:$AW$42))/2)</f>
        <v>0.25634153387599345</v>
      </c>
      <c r="AJ11" s="20">
        <f>MIN(MAX(0,(SUMPRODUCT(Oxides_min!$C11:$AW11,Factors!$C$43:$AW$43)+SUMPRODUCT(Oxides_max!$C11:$AW11,Factors!$C$43:$AW$43))/2),ABS(SUMPRODUCT(Oxides_max!$C11:$AW11,Factors!$C$43:$AW$43)-SUMPRODUCT(Oxides_min!$C11:$AW11,Factors!$C$43:$AW$43))/2)</f>
        <v>0.98595938552251083</v>
      </c>
      <c r="AK11" s="20">
        <f>MIN(MAX(0,(SUMPRODUCT(Oxides_min!$C11:$AW11,Factors!$C$44:$AW$44)+SUMPRODUCT(Oxides_max!$C11:$AW11,Factors!$C$44:$AW$44))/2),ABS(SUMPRODUCT(Oxides_max!$C11:$AW11,Factors!$C$44:$AW$44)-SUMPRODUCT(Oxides_min!$C11:$AW11,Factors!$C$44:$AW$44))/2)</f>
        <v>0.17247223393181291</v>
      </c>
      <c r="AL11" s="20">
        <f>MIN(MAX(0,(SUMPRODUCT(Oxides_min!$C11:$AW11,Factors!$C$45:$AW$45)+SUMPRODUCT(Oxides_max!$C11:$AW11,Factors!$C$45:$AW$45))/2),ABS(SUMPRODUCT(Oxides_max!$C11:$AW11,Factors!$C$45:$AW$45)-SUMPRODUCT(Oxides_min!$C11:$AW11,Factors!$C$45:$AW$45))/2)</f>
        <v>0</v>
      </c>
      <c r="AM11" s="20">
        <f>MIN(MAX(0,(SUMPRODUCT(Oxides_min!$C11:$AW11,Factors!$C$46:$AW$46)+SUMPRODUCT(Oxides_max!$C11:$AW11,Factors!$C$46:$AW$46))/2),ABS(SUMPRODUCT(Oxides_max!$C11:$AW11,Factors!$C$46:$AW$46)-SUMPRODUCT(Oxides_min!$C11:$AW11,Factors!$C$46:$AW$46))/2)</f>
        <v>0</v>
      </c>
      <c r="AN11" s="20">
        <f>MIN(MAX(0,(SUMPRODUCT(Oxides_min!$C11:$AW11,Factors!$C$47:$AW$47)+SUMPRODUCT(Oxides_max!$C11:$AW11,Factors!$C$47:$AW$47))/2),ABS(SUMPRODUCT(Oxides_max!$C11:$AW11,Factors!$C$47:$AW$47)-SUMPRODUCT(Oxides_min!$C11:$AW11,Factors!$C$47:$AW$47))/2)</f>
        <v>0</v>
      </c>
      <c r="AO11" s="20">
        <f>MIN(MAX(0,(SUMPRODUCT(Oxides_min!$C11:$AW11,Factors!$C$48:$AW$48)+SUMPRODUCT(Oxides_max!$C11:$AW11,Factors!$C$48:$AW$48))/2),ABS(SUMPRODUCT(Oxides_max!$C11:$AW11,Factors!$C$48:$AW$48)-SUMPRODUCT(Oxides_min!$C11:$AW11,Factors!$C$48:$AW$48))/2)</f>
        <v>0</v>
      </c>
      <c r="AP11" s="20">
        <f>MIN(MAX(0,(SUMPRODUCT(Oxides_min!$C11:$AW11,Factors!$C$49:$AW$49)+SUMPRODUCT(Oxides_max!$C11:$AW11,Factors!$C$49:$AW$49))/2),ABS(SUMPRODUCT(Oxides_max!$C11:$AW11,Factors!$C$49:$AW$49)-SUMPRODUCT(Oxides_min!$C11:$AW11,Factors!$C$49:$AW$49))/2)</f>
        <v>0</v>
      </c>
      <c r="AQ11" s="20">
        <f>MIN(MAX(0,(SUMPRODUCT(Oxides_min!$C11:$AW11,Factors!$C$50:$AW$50)+SUMPRODUCT(Oxides_max!$C11:$AW11,Factors!$C$50:$AW$50))/2),ABS(SUMPRODUCT(Oxides_max!$C11:$AW11,Factors!$C$50:$AW$50)-SUMPRODUCT(Oxides_min!$C11:$AW11,Factors!$C$50:$AW$50))/2)</f>
        <v>0</v>
      </c>
      <c r="AR11" s="20">
        <f>MIN(MAX(0,(SUMPRODUCT(Oxides_min!$C11:$AW11,Factors!$C$51:$AW$51)+SUMPRODUCT(Oxides_max!$C11:$AW11,Factors!$C$51:$AW$51))/2),ABS(SUMPRODUCT(Oxides_max!$C11:$AW11,Factors!$C$51:$AW$51)-SUMPRODUCT(Oxides_min!$C11:$AW11,Factors!$C$51:$AW$51))/2)</f>
        <v>0</v>
      </c>
      <c r="AS11" s="20">
        <f>MIN(MAX(0,(SUMPRODUCT(Oxides_min!$C11:$AW11,Factors!$C$52:$AW$52)+SUMPRODUCT(Oxides_max!$C11:$AW11,Factors!$C$52:$AW$52))/2),ABS(SUMPRODUCT(Oxides_max!$C11:$AW11,Factors!$C$52:$AW$52)-SUMPRODUCT(Oxides_min!$C11:$AW11,Factors!$C$52:$AW$52))/2)</f>
        <v>0</v>
      </c>
      <c r="AT11" s="20">
        <f>MIN(MAX(0,(SUMPRODUCT(Oxides_min!$C11:$AW11,Factors!$C$53:$AW$53)+SUMPRODUCT(Oxides_max!$C11:$AW11,Factors!$C$53:$AW$53))/2),ABS(SUMPRODUCT(Oxides_max!$C11:$AW11,Factors!$C$53:$AW$53)-SUMPRODUCT(Oxides_min!$C11:$AW11,Factors!$C$53:$AW$53))/2)</f>
        <v>0</v>
      </c>
      <c r="AU11" s="20">
        <f>MIN(MAX(0,(SUMPRODUCT(Oxides_min!$C11:$AW11,Factors!$C$54:$AW$54)+SUMPRODUCT(Oxides_max!$C11:$AW11,Factors!$C$54:$AW$54))/2),ABS(SUMPRODUCT(Oxides_max!$C11:$AW11,Factors!$C$54:$AW$54)-SUMPRODUCT(Oxides_min!$C11:$AW11,Factors!$C$54:$AW$54))/2)</f>
        <v>0</v>
      </c>
      <c r="AV11" s="18">
        <f t="shared" si="0"/>
        <v>51.949982763309258</v>
      </c>
    </row>
    <row r="12" spans="1:48" x14ac:dyDescent="0.25">
      <c r="A12" s="13" t="s">
        <v>146</v>
      </c>
      <c r="B12" s="20">
        <f>MIN(MAX(0,(SUMPRODUCT(Oxides_min!$C12:$AW12,Factors!$C$9:$AW$9)+SUMPRODUCT(Oxides_max!$C12:$AW12,Factors!$C$9:$AW$9))/2),ABS(SUMPRODUCT(Oxides_max!$C12:$AW12,Factors!$C$9:$AW$9)-SUMPRODUCT(Oxides_min!$C12:$AW12,Factors!$C$9:$AW$9))/2)</f>
        <v>5.3745133004000039</v>
      </c>
      <c r="C12" s="20">
        <f>MIN(MAX(0,(SUMPRODUCT(Oxides_min!$C12:$AW12,Factors!$C$10:$AW$10)+SUMPRODUCT(Oxides_max!$C12:$AW12,Factors!$C$10:$AW$10))/2),ABS(SUMPRODUCT(Oxides_max!$C12:$AW12,Factors!$C$10:$AW$10)-SUMPRODUCT(Oxides_min!$C12:$AW12,Factors!$C$10:$AW$10))/2)</f>
        <v>0</v>
      </c>
      <c r="D12" s="20">
        <f>MIN(MAX(0,(SUMPRODUCT(Oxides_min!$C12:$AW12,Factors!$C$11:$AW$11)+SUMPRODUCT(Oxides_max!$C12:$AW12,Factors!$C$11:$AW$11))/2),ABS(SUMPRODUCT(Oxides_max!$C12:$AW12,Factors!$C$11:$AW$11)-SUMPRODUCT(Oxides_min!$C12:$AW12,Factors!$C$11:$AW$11))/2)</f>
        <v>0</v>
      </c>
      <c r="E12" s="20">
        <f>MIN(MAX(0,(SUMPRODUCT(Oxides_min!$C12:$AW12,Factors!$C$12:$AW$12)+SUMPRODUCT(Oxides_max!$C12:$AW12,Factors!$C$12:$AW$12))/2),ABS(SUMPRODUCT(Oxides_max!$C12:$AW12,Factors!$C$12:$AW$12)-SUMPRODUCT(Oxides_min!$C12:$AW12,Factors!$C$12:$AW$12))/2)</f>
        <v>0</v>
      </c>
      <c r="F12" s="20">
        <f>MIN(MAX(0,(SUMPRODUCT(Oxides_min!$C12:$AW12,Factors!$C$13:$AW$13)+SUMPRODUCT(Oxides_max!$C12:$AW12,Factors!$C$13:$AW$13))/2),ABS(SUMPRODUCT(Oxides_max!$C12:$AW12,Factors!$C$13:$AW$13)-SUMPRODUCT(Oxides_min!$C12:$AW12,Factors!$C$13:$AW$13))/2)</f>
        <v>0</v>
      </c>
      <c r="G12" s="20">
        <f>MIN(MAX(0,(SUMPRODUCT(Oxides_min!$C12:$AW12,Factors!$C$14:$AW$14)+SUMPRODUCT(Oxides_max!$C12:$AW12,Factors!$C$14:$AW$14))/2),ABS(SUMPRODUCT(Oxides_max!$C12:$AW12,Factors!$C$14:$AW$14)-SUMPRODUCT(Oxides_min!$C12:$AW12,Factors!$C$14:$AW$14))/2)</f>
        <v>0</v>
      </c>
      <c r="H12" s="20">
        <f>MIN(MAX(0,(SUMPRODUCT(Oxides_min!$C12:$AW12,Factors!$C$15:$AW$15)+SUMPRODUCT(Oxides_max!$C12:$AW12,Factors!$C$15:$AW$15))/2),ABS(SUMPRODUCT(Oxides_max!$C12:$AW12,Factors!$C$15:$AW$15)-SUMPRODUCT(Oxides_min!$C12:$AW12,Factors!$C$15:$AW$15))/2)</f>
        <v>0</v>
      </c>
      <c r="I12" s="20">
        <f>MIN(MAX(0,(SUMPRODUCT(Oxides_min!$C12:$AW12,Factors!$C$16:$AW$16)+SUMPRODUCT(Oxides_max!$C12:$AW12,Factors!$C$16:$AW$16))/2),ABS(SUMPRODUCT(Oxides_max!$C12:$AW12,Factors!$C$16:$AW$16)-SUMPRODUCT(Oxides_min!$C12:$AW12,Factors!$C$16:$AW$16))/2)</f>
        <v>0.15546183397360949</v>
      </c>
      <c r="J12" s="20">
        <f>MIN(MAX(0,(SUMPRODUCT(Oxides_min!$C12:$AW12,Factors!$C$17:$AW$17)+SUMPRODUCT(Oxides_max!$C12:$AW12,Factors!$C$17:$AW$17))/2),ABS(SUMPRODUCT(Oxides_max!$C12:$AW12,Factors!$C$17:$AW$17)-SUMPRODUCT(Oxides_min!$C12:$AW12,Factors!$C$17:$AW$17))/2)</f>
        <v>0</v>
      </c>
      <c r="K12" s="20">
        <f>MIN(MAX(0,(SUMPRODUCT(Oxides_min!$C12:$AW12,Factors!$C$18:$AW$18)+SUMPRODUCT(Oxides_max!$C12:$AW12,Factors!$C$18:$AW$18))/2),ABS(SUMPRODUCT(Oxides_max!$C12:$AW12,Factors!$C$18:$AW$18)-SUMPRODUCT(Oxides_min!$C12:$AW12,Factors!$C$18:$AW$18))/2)</f>
        <v>0</v>
      </c>
      <c r="L12" s="20">
        <f>MIN(MAX(0,(SUMPRODUCT(Oxides_min!$C12:$AW12,Factors!$C$19:$AW$19)+SUMPRODUCT(Oxides_max!$C12:$AW12,Factors!$C$19:$AW$19))/2),ABS(SUMPRODUCT(Oxides_max!$C12:$AW12,Factors!$C$19:$AW$19)-SUMPRODUCT(Oxides_min!$C12:$AW12,Factors!$C$19:$AW$19))/2)</f>
        <v>1.7867396615368154</v>
      </c>
      <c r="M12" s="20">
        <f>MIN(MAX(0,(SUMPRODUCT(Oxides_min!$C12:$AW12,Factors!$C$20:$AW$20)+SUMPRODUCT(Oxides_max!$C12:$AW12,Factors!$C$20:$AW$20))/2),ABS(SUMPRODUCT(Oxides_max!$C12:$AW12,Factors!$C$20:$AW$20)-SUMPRODUCT(Oxides_min!$C12:$AW12,Factors!$C$20:$AW$20))/2)</f>
        <v>4.2279890753626281</v>
      </c>
      <c r="N12" s="20">
        <f>MIN(MAX(0,(SUMPRODUCT(Oxides_min!$C12:$AW12,Factors!$C$21:$AW$21)+SUMPRODUCT(Oxides_max!$C12:$AW12,Factors!$C$21:$AW$21))/2),ABS(SUMPRODUCT(Oxides_max!$C12:$AW12,Factors!$C$21:$AW$21)-SUMPRODUCT(Oxides_min!$C12:$AW12,Factors!$C$21:$AW$21))/2)</f>
        <v>0.67174027888290311</v>
      </c>
      <c r="O12" s="20">
        <f>MIN(MAX(0,(SUMPRODUCT(Oxides_min!$C12:$AW12,Factors!$C$22:$AW$22)+SUMPRODUCT(Oxides_max!$C12:$AW12,Factors!$C$22:$AW$22))/2),ABS(SUMPRODUCT(Oxides_max!$C12:$AW12,Factors!$C$22:$AW$22)-SUMPRODUCT(Oxides_min!$C12:$AW12,Factors!$C$22:$AW$22))/2)</f>
        <v>0</v>
      </c>
      <c r="P12" s="20">
        <f>MIN(MAX(0,(SUMPRODUCT(Oxides_min!$C12:$AW12,Factors!$C$23:$AW$23)+SUMPRODUCT(Oxides_max!$C12:$AW12,Factors!$C$23:$AW$23))/2),ABS(SUMPRODUCT(Oxides_max!$C12:$AW12,Factors!$C$23:$AW$23)-SUMPRODUCT(Oxides_min!$C12:$AW12,Factors!$C$23:$AW$23))/2)</f>
        <v>0</v>
      </c>
      <c r="Q12" s="20">
        <f>MIN(MAX(0,(SUMPRODUCT(Oxides_min!$C12:$AW12,Factors!$C$24:$AW$24)+SUMPRODUCT(Oxides_max!$C12:$AW12,Factors!$C$24:$AW$24))/2),ABS(SUMPRODUCT(Oxides_max!$C12:$AW12,Factors!$C$24:$AW$24)-SUMPRODUCT(Oxides_min!$C12:$AW12,Factors!$C$24:$AW$24))/2)</f>
        <v>0</v>
      </c>
      <c r="R12" s="20">
        <f>MIN(MAX(0,(SUMPRODUCT(Oxides_min!$C12:$AW12,Factors!$C$25:$AW$25)+SUMPRODUCT(Oxides_max!$C12:$AW12,Factors!$C$25:$AW$25))/2),ABS(SUMPRODUCT(Oxides_max!$C12:$AW12,Factors!$C$25:$AW$25)-SUMPRODUCT(Oxides_min!$C12:$AW12,Factors!$C$25:$AW$25))/2)</f>
        <v>0</v>
      </c>
      <c r="S12" s="20">
        <f>MIN(MAX(0,(SUMPRODUCT(Oxides_min!$C12:$AW12,Factors!$C$26:$AW$26)+SUMPRODUCT(Oxides_max!$C12:$AW12,Factors!$C$26:$AW$26))/2),ABS(SUMPRODUCT(Oxides_max!$C12:$AW12,Factors!$C$26:$AW$26)-SUMPRODUCT(Oxides_min!$C12:$AW12,Factors!$C$26:$AW$26))/2)</f>
        <v>0</v>
      </c>
      <c r="T12" s="20">
        <f>MIN(MAX(0,(SUMPRODUCT(Oxides_min!$C12:$AW12,Factors!$C$27:$AW$27)+SUMPRODUCT(Oxides_max!$C12:$AW12,Factors!$C$27:$AW$27))/2),ABS(SUMPRODUCT(Oxides_max!$C12:$AW12,Factors!$C$27:$AW$27)-SUMPRODUCT(Oxides_min!$C12:$AW12,Factors!$C$27:$AW$27))/2)</f>
        <v>0</v>
      </c>
      <c r="U12" s="20">
        <f>MIN(MAX(0,(SUMPRODUCT(Oxides_min!$C12:$AW12,Factors!$C$28:$AW$28)+SUMPRODUCT(Oxides_max!$C12:$AW12,Factors!$C$28:$AW$28))/2),ABS(SUMPRODUCT(Oxides_max!$C12:$AW12,Factors!$C$28:$AW$28)-SUMPRODUCT(Oxides_min!$C12:$AW12,Factors!$C$28:$AW$28))/2)</f>
        <v>0</v>
      </c>
      <c r="V12" s="20">
        <f>MIN(MAX(0,(SUMPRODUCT(Oxides_min!$C12:$AW12,Factors!$C$29:$AW$29)+SUMPRODUCT(Oxides_max!$C12:$AW12,Factors!$C$29:$AW$29))/2),ABS(SUMPRODUCT(Oxides_max!$C12:$AW12,Factors!$C$29:$AW$29)-SUMPRODUCT(Oxides_min!$C12:$AW12,Factors!$C$29:$AW$29))/2)</f>
        <v>0</v>
      </c>
      <c r="W12" s="20">
        <f>MIN(MAX(0,(SUMPRODUCT(Oxides_min!$C12:$AW12,Factors!$C$30:$AW$30)+SUMPRODUCT(Oxides_max!$C12:$AW12,Factors!$C$30:$AW$30))/2),ABS(SUMPRODUCT(Oxides_max!$C12:$AW12,Factors!$C$30:$AW$30)-SUMPRODUCT(Oxides_min!$C12:$AW12,Factors!$C$30:$AW$30))/2)</f>
        <v>0</v>
      </c>
      <c r="X12" s="20">
        <f>MIN(MAX(0,(SUMPRODUCT(Oxides_min!$C12:$AW12,Factors!$C$31:$AW$31)+SUMPRODUCT(Oxides_max!$C12:$AW12,Factors!$C$31:$AW$31))/2),ABS(SUMPRODUCT(Oxides_max!$C12:$AW12,Factors!$C$31:$AW$31)-SUMPRODUCT(Oxides_min!$C12:$AW12,Factors!$C$31:$AW$31))/2)</f>
        <v>0</v>
      </c>
      <c r="Y12" s="20">
        <f>MIN(MAX(0,(SUMPRODUCT(Oxides_min!$C12:$AW12,Factors!$C$32:$AW$32)+SUMPRODUCT(Oxides_max!$C12:$AW12,Factors!$C$32:$AW$32))/2),ABS(SUMPRODUCT(Oxides_max!$C12:$AW12,Factors!$C$32:$AW$32)-SUMPRODUCT(Oxides_min!$C12:$AW12,Factors!$C$32:$AW$32))/2)</f>
        <v>0.34115180985707472</v>
      </c>
      <c r="Z12" s="20">
        <f>MIN(MAX(0,(SUMPRODUCT(Oxides_min!$C12:$AW12,Factors!$C$33:$AW$33)+SUMPRODUCT(Oxides_max!$C12:$AW12,Factors!$C$33:$AW$33))/2),ABS(SUMPRODUCT(Oxides_max!$C12:$AW12,Factors!$C$33:$AW$33)-SUMPRODUCT(Oxides_min!$C12:$AW12,Factors!$C$33:$AW$33))/2)</f>
        <v>0.11190674437968362</v>
      </c>
      <c r="AA12" s="20">
        <f>MIN(MAX(0,(SUMPRODUCT(Oxides_min!$C12:$AW12,Factors!$C$34:$AW$34)+SUMPRODUCT(Oxides_max!$C12:$AW12,Factors!$C$34:$AW$34))/2),ABS(SUMPRODUCT(Oxides_max!$C12:$AW12,Factors!$C$34:$AW$34)-SUMPRODUCT(Oxides_min!$C12:$AW12,Factors!$C$34:$AW$34))/2)</f>
        <v>1.1000000000000001</v>
      </c>
      <c r="AB12" s="20">
        <f>MIN(MAX(0,(SUMPRODUCT(Oxides_min!$C12:$AW12,Factors!$C$35:$AW$35)+SUMPRODUCT(Oxides_max!$C12:$AW12,Factors!$C$35:$AW$35))/2),ABS(SUMPRODUCT(Oxides_max!$C12:$AW12,Factors!$C$35:$AW$35)-SUMPRODUCT(Oxides_min!$C12:$AW12,Factors!$C$35:$AW$35))/2)</f>
        <v>0</v>
      </c>
      <c r="AC12" s="20">
        <f>MIN(MAX(0,(SUMPRODUCT(Oxides_min!$C12:$AW12,Factors!$C$36:$AW$36)+SUMPRODUCT(Oxides_max!$C12:$AW12,Factors!$C$36:$AW$36))/2),ABS(SUMPRODUCT(Oxides_max!$C12:$AW12,Factors!$C$36:$AW$36)-SUMPRODUCT(Oxides_min!$C12:$AW12,Factors!$C$36:$AW$36))/2)</f>
        <v>0.65910888186711114</v>
      </c>
      <c r="AD12" s="20">
        <f>MIN(MAX(0,(SUMPRODUCT(Oxides_min!$C12:$AW12,Factors!$C$37:$AW$37)+SUMPRODUCT(Oxides_max!$C12:$AW12,Factors!$C$37:$AW$37))/2),ABS(SUMPRODUCT(Oxides_max!$C12:$AW12,Factors!$C$37:$AW$37)-SUMPRODUCT(Oxides_min!$C12:$AW12,Factors!$C$37:$AW$37))/2)</f>
        <v>0</v>
      </c>
      <c r="AE12" s="20">
        <f>MIN(MAX(0,(SUMPRODUCT(Oxides_min!$C12:$AW12,Factors!$C$38:$AW$38)+SUMPRODUCT(Oxides_max!$C12:$AW12,Factors!$C$38:$AW$38))/2),ABS(SUMPRODUCT(Oxides_max!$C12:$AW12,Factors!$C$38:$AW$38)-SUMPRODUCT(Oxides_min!$C12:$AW12,Factors!$C$38:$AW$38))/2)</f>
        <v>0</v>
      </c>
      <c r="AF12" s="20">
        <f>MIN(MAX(0,(SUMPRODUCT(Oxides_min!$C12:$AW12,Factors!$C$39:$AW$39)+SUMPRODUCT(Oxides_max!$C12:$AW12,Factors!$C$39:$AW$39))/2),ABS(SUMPRODUCT(Oxides_max!$C12:$AW12,Factors!$C$39:$AW$39)-SUMPRODUCT(Oxides_min!$C12:$AW12,Factors!$C$39:$AW$39))/2)</f>
        <v>0.19686098869184304</v>
      </c>
      <c r="AG12" s="20">
        <f>MIN(MAX(0,(SUMPRODUCT(Oxides_min!$C12:$AW12,Factors!$C$40:$AW$40)+SUMPRODUCT(Oxides_max!$C12:$AW12,Factors!$C$40:$AW$40))/2),ABS(SUMPRODUCT(Oxides_max!$C12:$AW12,Factors!$C$40:$AW$40)-SUMPRODUCT(Oxides_min!$C12:$AW12,Factors!$C$40:$AW$40))/2)</f>
        <v>5.1160988894254693</v>
      </c>
      <c r="AH12" s="20">
        <f>MIN(MAX(0,(SUMPRODUCT(Oxides_min!$C12:$AW12,Factors!$C$41:$AW$41)+SUMPRODUCT(Oxides_max!$C12:$AW12,Factors!$C$41:$AW$41))/2),ABS(SUMPRODUCT(Oxides_max!$C12:$AW12,Factors!$C$41:$AW$41)-SUMPRODUCT(Oxides_min!$C12:$AW12,Factors!$C$41:$AW$41))/2)</f>
        <v>3.8419639946500768</v>
      </c>
      <c r="AI12" s="20">
        <f>MIN(MAX(0,(SUMPRODUCT(Oxides_min!$C12:$AW12,Factors!$C$42:$AW$42)+SUMPRODUCT(Oxides_max!$C12:$AW12,Factors!$C$42:$AW$42))/2),ABS(SUMPRODUCT(Oxides_max!$C12:$AW12,Factors!$C$42:$AW$42)-SUMPRODUCT(Oxides_min!$C12:$AW12,Factors!$C$42:$AW$42))/2)</f>
        <v>0.854471779586645</v>
      </c>
      <c r="AJ12" s="20">
        <f>MIN(MAX(0,(SUMPRODUCT(Oxides_min!$C12:$AW12,Factors!$C$43:$AW$43)+SUMPRODUCT(Oxides_max!$C12:$AW12,Factors!$C$43:$AW$43))/2),ABS(SUMPRODUCT(Oxides_max!$C12:$AW12,Factors!$C$43:$AW$43)-SUMPRODUCT(Oxides_min!$C12:$AW12,Factors!$C$43:$AW$43))/2)</f>
        <v>3.0007459559380765</v>
      </c>
      <c r="AK12" s="20">
        <f>MIN(MAX(0,(SUMPRODUCT(Oxides_min!$C12:$AW12,Factors!$C$44:$AW$44)+SUMPRODUCT(Oxides_max!$C12:$AW12,Factors!$C$44:$AW$44))/2),ABS(SUMPRODUCT(Oxides_max!$C12:$AW12,Factors!$C$44:$AW$44)-SUMPRODUCT(Oxides_min!$C12:$AW12,Factors!$C$44:$AW$44))/2)</f>
        <v>0.43118058482953225</v>
      </c>
      <c r="AL12" s="20">
        <f>MIN(MAX(0,(SUMPRODUCT(Oxides_min!$C12:$AW12,Factors!$C$45:$AW$45)+SUMPRODUCT(Oxides_max!$C12:$AW12,Factors!$C$45:$AW$45))/2),ABS(SUMPRODUCT(Oxides_max!$C12:$AW12,Factors!$C$45:$AW$45)-SUMPRODUCT(Oxides_min!$C12:$AW12,Factors!$C$45:$AW$45))/2)</f>
        <v>0</v>
      </c>
      <c r="AM12" s="20">
        <f>MIN(MAX(0,(SUMPRODUCT(Oxides_min!$C12:$AW12,Factors!$C$46:$AW$46)+SUMPRODUCT(Oxides_max!$C12:$AW12,Factors!$C$46:$AW$46))/2),ABS(SUMPRODUCT(Oxides_max!$C12:$AW12,Factors!$C$46:$AW$46)-SUMPRODUCT(Oxides_min!$C12:$AW12,Factors!$C$46:$AW$46))/2)</f>
        <v>0.21689834674493857</v>
      </c>
      <c r="AN12" s="20">
        <f>MIN(MAX(0,(SUMPRODUCT(Oxides_min!$C12:$AW12,Factors!$C$47:$AW$47)+SUMPRODUCT(Oxides_max!$C12:$AW12,Factors!$C$47:$AW$47))/2),ABS(SUMPRODUCT(Oxides_max!$C12:$AW12,Factors!$C$47:$AW$47)-SUMPRODUCT(Oxides_min!$C12:$AW12,Factors!$C$47:$AW$47))/2)</f>
        <v>0</v>
      </c>
      <c r="AO12" s="20">
        <f>MIN(MAX(0,(SUMPRODUCT(Oxides_min!$C12:$AW12,Factors!$C$48:$AW$48)+SUMPRODUCT(Oxides_max!$C12:$AW12,Factors!$C$48:$AW$48))/2),ABS(SUMPRODUCT(Oxides_max!$C12:$AW12,Factors!$C$48:$AW$48)-SUMPRODUCT(Oxides_min!$C12:$AW12,Factors!$C$48:$AW$48))/2)</f>
        <v>0</v>
      </c>
      <c r="AP12" s="20">
        <f>MIN(MAX(0,(SUMPRODUCT(Oxides_min!$C12:$AW12,Factors!$C$49:$AW$49)+SUMPRODUCT(Oxides_max!$C12:$AW12,Factors!$C$49:$AW$49))/2),ABS(SUMPRODUCT(Oxides_max!$C12:$AW12,Factors!$C$49:$AW$49)-SUMPRODUCT(Oxides_min!$C12:$AW12,Factors!$C$49:$AW$49))/2)</f>
        <v>0</v>
      </c>
      <c r="AQ12" s="20">
        <f>MIN(MAX(0,(SUMPRODUCT(Oxides_min!$C12:$AW12,Factors!$C$50:$AW$50)+SUMPRODUCT(Oxides_max!$C12:$AW12,Factors!$C$50:$AW$50))/2),ABS(SUMPRODUCT(Oxides_max!$C12:$AW12,Factors!$C$50:$AW$50)-SUMPRODUCT(Oxides_min!$C12:$AW12,Factors!$C$50:$AW$50))/2)</f>
        <v>0</v>
      </c>
      <c r="AR12" s="20">
        <f>MIN(MAX(0,(SUMPRODUCT(Oxides_min!$C12:$AW12,Factors!$C$51:$AW$51)+SUMPRODUCT(Oxides_max!$C12:$AW12,Factors!$C$51:$AW$51))/2),ABS(SUMPRODUCT(Oxides_max!$C12:$AW12,Factors!$C$51:$AW$51)-SUMPRODUCT(Oxides_min!$C12:$AW12,Factors!$C$51:$AW$51))/2)</f>
        <v>0</v>
      </c>
      <c r="AS12" s="20">
        <f>MIN(MAX(0,(SUMPRODUCT(Oxides_min!$C12:$AW12,Factors!$C$52:$AW$52)+SUMPRODUCT(Oxides_max!$C12:$AW12,Factors!$C$52:$AW$52))/2),ABS(SUMPRODUCT(Oxides_max!$C12:$AW12,Factors!$C$52:$AW$52)-SUMPRODUCT(Oxides_min!$C12:$AW12,Factors!$C$52:$AW$52))/2)</f>
        <v>0</v>
      </c>
      <c r="AT12" s="20">
        <f>MIN(MAX(0,(SUMPRODUCT(Oxides_min!$C12:$AW12,Factors!$C$53:$AW$53)+SUMPRODUCT(Oxides_max!$C12:$AW12,Factors!$C$53:$AW$53))/2),ABS(SUMPRODUCT(Oxides_max!$C12:$AW12,Factors!$C$53:$AW$53)-SUMPRODUCT(Oxides_min!$C12:$AW12,Factors!$C$53:$AW$53))/2)</f>
        <v>0</v>
      </c>
      <c r="AU12" s="20">
        <f>MIN(MAX(0,(SUMPRODUCT(Oxides_min!$C12:$AW12,Factors!$C$54:$AW$54)+SUMPRODUCT(Oxides_max!$C12:$AW12,Factors!$C$54:$AW$54))/2),ABS(SUMPRODUCT(Oxides_max!$C12:$AW12,Factors!$C$54:$AW$54)-SUMPRODUCT(Oxides_min!$C12:$AW12,Factors!$C$54:$AW$54))/2)</f>
        <v>0</v>
      </c>
      <c r="AV12" s="18">
        <f t="shared" si="0"/>
        <v>28.08683212612641</v>
      </c>
    </row>
    <row r="13" spans="1:48" x14ac:dyDescent="0.25">
      <c r="A13" s="13" t="s">
        <v>148</v>
      </c>
      <c r="B13" s="20">
        <f>MIN(MAX(0,(SUMPRODUCT(Oxides_min!$C13:$AW13,Factors!$C$9:$AW$9)+SUMPRODUCT(Oxides_max!$C13:$AW13,Factors!$C$9:$AW$9))/2),ABS(SUMPRODUCT(Oxides_max!$C13:$AW13,Factors!$C$9:$AW$9)-SUMPRODUCT(Oxides_min!$C13:$AW13,Factors!$C$9:$AW$9))/2)</f>
        <v>19.716404247406263</v>
      </c>
      <c r="C13" s="20">
        <f>MIN(MAX(0,(SUMPRODUCT(Oxides_min!$C13:$AW13,Factors!$C$10:$AW$10)+SUMPRODUCT(Oxides_max!$C13:$AW13,Factors!$C$10:$AW$10))/2),ABS(SUMPRODUCT(Oxides_max!$C13:$AW13,Factors!$C$10:$AW$10)-SUMPRODUCT(Oxides_min!$C13:$AW13,Factors!$C$10:$AW$10))/2)</f>
        <v>7.0115506882146352</v>
      </c>
      <c r="D13" s="20">
        <f>MIN(MAX(0,(SUMPRODUCT(Oxides_min!$C13:$AW13,Factors!$C$11:$AW$11)+SUMPRODUCT(Oxides_max!$C13:$AW13,Factors!$C$11:$AW$11))/2),ABS(SUMPRODUCT(Oxides_max!$C13:$AW13,Factors!$C$11:$AW$11)-SUMPRODUCT(Oxides_min!$C13:$AW13,Factors!$C$11:$AW$11))/2)</f>
        <v>0.23074932698929446</v>
      </c>
      <c r="E13" s="20">
        <f>MIN(MAX(0,(SUMPRODUCT(Oxides_min!$C13:$AW13,Factors!$C$12:$AW$12)+SUMPRODUCT(Oxides_max!$C13:$AW13,Factors!$C$12:$AW$12))/2),ABS(SUMPRODUCT(Oxides_max!$C13:$AW13,Factors!$C$12:$AW$12)-SUMPRODUCT(Oxides_min!$C13:$AW13,Factors!$C$12:$AW$12))/2)</f>
        <v>0</v>
      </c>
      <c r="F13" s="20">
        <f>MIN(MAX(0,(SUMPRODUCT(Oxides_min!$C13:$AW13,Factors!$C$13:$AW$13)+SUMPRODUCT(Oxides_max!$C13:$AW13,Factors!$C$13:$AW$13))/2),ABS(SUMPRODUCT(Oxides_max!$C13:$AW13,Factors!$C$13:$AW$13)-SUMPRODUCT(Oxides_min!$C13:$AW13,Factors!$C$13:$AW$13))/2)</f>
        <v>0</v>
      </c>
      <c r="G13" s="20">
        <f>MIN(MAX(0,(SUMPRODUCT(Oxides_min!$C13:$AW13,Factors!$C$14:$AW$14)+SUMPRODUCT(Oxides_max!$C13:$AW13,Factors!$C$14:$AW$14))/2),ABS(SUMPRODUCT(Oxides_max!$C13:$AW13,Factors!$C$14:$AW$14)-SUMPRODUCT(Oxides_min!$C13:$AW13,Factors!$C$14:$AW$14))/2)</f>
        <v>0</v>
      </c>
      <c r="H13" s="20">
        <f>MIN(MAX(0,(SUMPRODUCT(Oxides_min!$C13:$AW13,Factors!$C$15:$AW$15)+SUMPRODUCT(Oxides_max!$C13:$AW13,Factors!$C$15:$AW$15))/2),ABS(SUMPRODUCT(Oxides_max!$C13:$AW13,Factors!$C$15:$AW$15)-SUMPRODUCT(Oxides_min!$C13:$AW13,Factors!$C$15:$AW$15))/2)</f>
        <v>5.0279408037324256</v>
      </c>
      <c r="I13" s="20">
        <f>MIN(MAX(0,(SUMPRODUCT(Oxides_min!$C13:$AW13,Factors!$C$16:$AW$16)+SUMPRODUCT(Oxides_max!$C13:$AW13,Factors!$C$16:$AW$16))/2),ABS(SUMPRODUCT(Oxides_max!$C13:$AW13,Factors!$C$16:$AW$16)-SUMPRODUCT(Oxides_min!$C13:$AW13,Factors!$C$16:$AW$16))/2)</f>
        <v>2.2731499746378852</v>
      </c>
      <c r="J13" s="20">
        <f>MIN(MAX(0,(SUMPRODUCT(Oxides_min!$C13:$AW13,Factors!$C$17:$AW$17)+SUMPRODUCT(Oxides_max!$C13:$AW13,Factors!$C$17:$AW$17))/2),ABS(SUMPRODUCT(Oxides_max!$C13:$AW13,Factors!$C$17:$AW$17)-SUMPRODUCT(Oxides_min!$C13:$AW13,Factors!$C$17:$AW$17))/2)</f>
        <v>0.12778622774301113</v>
      </c>
      <c r="K13" s="20">
        <f>MIN(MAX(0,(SUMPRODUCT(Oxides_min!$C13:$AW13,Factors!$C$18:$AW$18)+SUMPRODUCT(Oxides_max!$C13:$AW13,Factors!$C$18:$AW$18))/2),ABS(SUMPRODUCT(Oxides_max!$C13:$AW13,Factors!$C$18:$AW$18)-SUMPRODUCT(Oxides_min!$C13:$AW13,Factors!$C$18:$AW$18))/2)</f>
        <v>0.3829315948789202</v>
      </c>
      <c r="L13" s="20">
        <f>MIN(MAX(0,(SUMPRODUCT(Oxides_min!$C13:$AW13,Factors!$C$19:$AW$19)+SUMPRODUCT(Oxides_max!$C13:$AW13,Factors!$C$19:$AW$19))/2),ABS(SUMPRODUCT(Oxides_max!$C13:$AW13,Factors!$C$19:$AW$19)-SUMPRODUCT(Oxides_min!$C13:$AW13,Factors!$C$19:$AW$19))/2)</f>
        <v>0.16795352818446063</v>
      </c>
      <c r="M13" s="20">
        <f>MIN(MAX(0,(SUMPRODUCT(Oxides_min!$C13:$AW13,Factors!$C$20:$AW$20)+SUMPRODUCT(Oxides_max!$C13:$AW13,Factors!$C$20:$AW$20))/2),ABS(SUMPRODUCT(Oxides_max!$C13:$AW13,Factors!$C$20:$AW$20)-SUMPRODUCT(Oxides_min!$C13:$AW13,Factors!$C$20:$AW$20))/2)</f>
        <v>0</v>
      </c>
      <c r="N13" s="20">
        <f>MIN(MAX(0,(SUMPRODUCT(Oxides_min!$C13:$AW13,Factors!$C$21:$AW$21)+SUMPRODUCT(Oxides_max!$C13:$AW13,Factors!$C$21:$AW$21))/2),ABS(SUMPRODUCT(Oxides_max!$C13:$AW13,Factors!$C$21:$AW$21)-SUMPRODUCT(Oxides_min!$C13:$AW13,Factors!$C$21:$AW$21))/2)</f>
        <v>0</v>
      </c>
      <c r="O13" s="20">
        <f>MIN(MAX(0,(SUMPRODUCT(Oxides_min!$C13:$AW13,Factors!$C$22:$AW$22)+SUMPRODUCT(Oxides_max!$C13:$AW13,Factors!$C$22:$AW$22))/2),ABS(SUMPRODUCT(Oxides_max!$C13:$AW13,Factors!$C$22:$AW$22)-SUMPRODUCT(Oxides_min!$C13:$AW13,Factors!$C$22:$AW$22))/2)</f>
        <v>0</v>
      </c>
      <c r="P13" s="20">
        <f>MIN(MAX(0,(SUMPRODUCT(Oxides_min!$C13:$AW13,Factors!$C$23:$AW$23)+SUMPRODUCT(Oxides_max!$C13:$AW13,Factors!$C$23:$AW$23))/2),ABS(SUMPRODUCT(Oxides_max!$C13:$AW13,Factors!$C$23:$AW$23)-SUMPRODUCT(Oxides_min!$C13:$AW13,Factors!$C$23:$AW$23))/2)</f>
        <v>0.9161998885570366</v>
      </c>
      <c r="Q13" s="20">
        <f>MIN(MAX(0,(SUMPRODUCT(Oxides_min!$C13:$AW13,Factors!$C$24:$AW$24)+SUMPRODUCT(Oxides_max!$C13:$AW13,Factors!$C$24:$AW$24))/2),ABS(SUMPRODUCT(Oxides_max!$C13:$AW13,Factors!$C$24:$AW$24)-SUMPRODUCT(Oxides_min!$C13:$AW13,Factors!$C$24:$AW$24))/2)</f>
        <v>2.282916081005907</v>
      </c>
      <c r="R13" s="20">
        <f>MIN(MAX(0,(SUMPRODUCT(Oxides_min!$C13:$AW13,Factors!$C$25:$AW$25)+SUMPRODUCT(Oxides_max!$C13:$AW13,Factors!$C$25:$AW$25))/2),ABS(SUMPRODUCT(Oxides_max!$C13:$AW13,Factors!$C$25:$AW$25)-SUMPRODUCT(Oxides_min!$C13:$AW13,Factors!$C$25:$AW$25))/2)</f>
        <v>0</v>
      </c>
      <c r="S13" s="20">
        <f>MIN(MAX(0,(SUMPRODUCT(Oxides_min!$C13:$AW13,Factors!$C$26:$AW$26)+SUMPRODUCT(Oxides_max!$C13:$AW13,Factors!$C$26:$AW$26))/2),ABS(SUMPRODUCT(Oxides_max!$C13:$AW13,Factors!$C$26:$AW$26)-SUMPRODUCT(Oxides_min!$C13:$AW13,Factors!$C$26:$AW$26))/2)</f>
        <v>0</v>
      </c>
      <c r="T13" s="20">
        <f>MIN(MAX(0,(SUMPRODUCT(Oxides_min!$C13:$AW13,Factors!$C$27:$AW$27)+SUMPRODUCT(Oxides_max!$C13:$AW13,Factors!$C$27:$AW$27))/2),ABS(SUMPRODUCT(Oxides_max!$C13:$AW13,Factors!$C$27:$AW$27)-SUMPRODUCT(Oxides_min!$C13:$AW13,Factors!$C$27:$AW$27))/2)</f>
        <v>0</v>
      </c>
      <c r="U13" s="20">
        <f>MIN(MAX(0,(SUMPRODUCT(Oxides_min!$C13:$AW13,Factors!$C$28:$AW$28)+SUMPRODUCT(Oxides_max!$C13:$AW13,Factors!$C$28:$AW$28))/2),ABS(SUMPRODUCT(Oxides_max!$C13:$AW13,Factors!$C$28:$AW$28)-SUMPRODUCT(Oxides_min!$C13:$AW13,Factors!$C$28:$AW$28))/2)</f>
        <v>0</v>
      </c>
      <c r="V13" s="20">
        <f>MIN(MAX(0,(SUMPRODUCT(Oxides_min!$C13:$AW13,Factors!$C$29:$AW$29)+SUMPRODUCT(Oxides_max!$C13:$AW13,Factors!$C$29:$AW$29))/2),ABS(SUMPRODUCT(Oxides_max!$C13:$AW13,Factors!$C$29:$AW$29)-SUMPRODUCT(Oxides_min!$C13:$AW13,Factors!$C$29:$AW$29))/2)</f>
        <v>1.5274938607693772E-2</v>
      </c>
      <c r="W13" s="20">
        <f>MIN(MAX(0,(SUMPRODUCT(Oxides_min!$C13:$AW13,Factors!$C$30:$AW$30)+SUMPRODUCT(Oxides_max!$C13:$AW13,Factors!$C$30:$AW$30))/2),ABS(SUMPRODUCT(Oxides_max!$C13:$AW13,Factors!$C$30:$AW$30)-SUMPRODUCT(Oxides_min!$C13:$AW13,Factors!$C$30:$AW$30))/2)</f>
        <v>0</v>
      </c>
      <c r="X13" s="20">
        <f>MIN(MAX(0,(SUMPRODUCT(Oxides_min!$C13:$AW13,Factors!$C$31:$AW$31)+SUMPRODUCT(Oxides_max!$C13:$AW13,Factors!$C$31:$AW$31))/2),ABS(SUMPRODUCT(Oxides_max!$C13:$AW13,Factors!$C$31:$AW$31)-SUMPRODUCT(Oxides_min!$C13:$AW13,Factors!$C$31:$AW$31))/2)</f>
        <v>0</v>
      </c>
      <c r="Y13" s="20">
        <f>MIN(MAX(0,(SUMPRODUCT(Oxides_min!$C13:$AW13,Factors!$C$32:$AW$32)+SUMPRODUCT(Oxides_max!$C13:$AW13,Factors!$C$32:$AW$32))/2),ABS(SUMPRODUCT(Oxides_max!$C13:$AW13,Factors!$C$32:$AW$32)-SUMPRODUCT(Oxides_min!$C13:$AW13,Factors!$C$32:$AW$32))/2)</f>
        <v>0</v>
      </c>
      <c r="Z13" s="20">
        <f>MIN(MAX(0,(SUMPRODUCT(Oxides_min!$C13:$AW13,Factors!$C$33:$AW$33)+SUMPRODUCT(Oxides_max!$C13:$AW13,Factors!$C$33:$AW$33))/2),ABS(SUMPRODUCT(Oxides_max!$C13:$AW13,Factors!$C$33:$AW$33)-SUMPRODUCT(Oxides_min!$C13:$AW13,Factors!$C$33:$AW$33))/2)</f>
        <v>0.61548709408825975</v>
      </c>
      <c r="AA13" s="20">
        <f>MIN(MAX(0,(SUMPRODUCT(Oxides_min!$C13:$AW13,Factors!$C$34:$AW$34)+SUMPRODUCT(Oxides_max!$C13:$AW13,Factors!$C$34:$AW$34))/2),ABS(SUMPRODUCT(Oxides_max!$C13:$AW13,Factors!$C$34:$AW$34)-SUMPRODUCT(Oxides_min!$C13:$AW13,Factors!$C$34:$AW$34))/2)</f>
        <v>0</v>
      </c>
      <c r="AB13" s="20">
        <f>MIN(MAX(0,(SUMPRODUCT(Oxides_min!$C13:$AW13,Factors!$C$35:$AW$35)+SUMPRODUCT(Oxides_max!$C13:$AW13,Factors!$C$35:$AW$35))/2),ABS(SUMPRODUCT(Oxides_max!$C13:$AW13,Factors!$C$35:$AW$35)-SUMPRODUCT(Oxides_min!$C13:$AW13,Factors!$C$35:$AW$35))/2)</f>
        <v>0</v>
      </c>
      <c r="AC13" s="20">
        <f>MIN(MAX(0,(SUMPRODUCT(Oxides_min!$C13:$AW13,Factors!$C$36:$AW$36)+SUMPRODUCT(Oxides_max!$C13:$AW13,Factors!$C$36:$AW$36))/2),ABS(SUMPRODUCT(Oxides_max!$C13:$AW13,Factors!$C$36:$AW$36)-SUMPRODUCT(Oxides_min!$C13:$AW13,Factors!$C$36:$AW$36))/2)</f>
        <v>0</v>
      </c>
      <c r="AD13" s="20">
        <f>MIN(MAX(0,(SUMPRODUCT(Oxides_min!$C13:$AW13,Factors!$C$37:$AW$37)+SUMPRODUCT(Oxides_max!$C13:$AW13,Factors!$C$37:$AW$37))/2),ABS(SUMPRODUCT(Oxides_max!$C13:$AW13,Factors!$C$37:$AW$37)-SUMPRODUCT(Oxides_min!$C13:$AW13,Factors!$C$37:$AW$37))/2)</f>
        <v>0</v>
      </c>
      <c r="AE13" s="20">
        <f>MIN(MAX(0,(SUMPRODUCT(Oxides_min!$C13:$AW13,Factors!$C$38:$AW$38)+SUMPRODUCT(Oxides_max!$C13:$AW13,Factors!$C$38:$AW$38))/2),ABS(SUMPRODUCT(Oxides_max!$C13:$AW13,Factors!$C$38:$AW$38)-SUMPRODUCT(Oxides_min!$C13:$AW13,Factors!$C$38:$AW$38))/2)</f>
        <v>0</v>
      </c>
      <c r="AF13" s="20">
        <f>MIN(MAX(0,(SUMPRODUCT(Oxides_min!$C13:$AW13,Factors!$C$39:$AW$39)+SUMPRODUCT(Oxides_max!$C13:$AW13,Factors!$C$39:$AW$39))/2),ABS(SUMPRODUCT(Oxides_max!$C13:$AW13,Factors!$C$39:$AW$39)-SUMPRODUCT(Oxides_min!$C13:$AW13,Factors!$C$39:$AW$39))/2)</f>
        <v>0.12795964264969797</v>
      </c>
      <c r="AG13" s="20">
        <f>MIN(MAX(0,(SUMPRODUCT(Oxides_min!$C13:$AW13,Factors!$C$40:$AW$40)+SUMPRODUCT(Oxides_max!$C13:$AW13,Factors!$C$40:$AW$40))/2),ABS(SUMPRODUCT(Oxides_max!$C13:$AW13,Factors!$C$40:$AW$40)-SUMPRODUCT(Oxides_min!$C13:$AW13,Factors!$C$40:$AW$40))/2)</f>
        <v>9.3411438889426684E-2</v>
      </c>
      <c r="AH13" s="20">
        <f>MIN(MAX(0,(SUMPRODUCT(Oxides_min!$C13:$AW13,Factors!$C$41:$AW$41)+SUMPRODUCT(Oxides_max!$C13:$AW13,Factors!$C$41:$AW$41))/2),ABS(SUMPRODUCT(Oxides_max!$C13:$AW13,Factors!$C$41:$AW$41)-SUMPRODUCT(Oxides_min!$C13:$AW13,Factors!$C$41:$AW$41))/2)</f>
        <v>2.1258867437063757E-2</v>
      </c>
      <c r="AI13" s="20">
        <f>MIN(MAX(0,(SUMPRODUCT(Oxides_min!$C13:$AW13,Factors!$C$42:$AW$42)+SUMPRODUCT(Oxides_max!$C13:$AW13,Factors!$C$42:$AW$42))/2),ABS(SUMPRODUCT(Oxides_max!$C13:$AW13,Factors!$C$42:$AW$42)-SUMPRODUCT(Oxides_min!$C13:$AW13,Factors!$C$42:$AW$42))/2)</f>
        <v>1.9097444273761512E-2</v>
      </c>
      <c r="AJ13" s="20">
        <f>MIN(MAX(0,(SUMPRODUCT(Oxides_min!$C13:$AW13,Factors!$C$43:$AW$43)+SUMPRODUCT(Oxides_max!$C13:$AW13,Factors!$C$43:$AW$43))/2),ABS(SUMPRODUCT(Oxides_max!$C13:$AW13,Factors!$C$43:$AW$43)-SUMPRODUCT(Oxides_min!$C13:$AW13,Factors!$C$43:$AW$43))/2)</f>
        <v>6.7945462002312162E-2</v>
      </c>
      <c r="AK13" s="20">
        <f>MIN(MAX(0,(SUMPRODUCT(Oxides_min!$C13:$AW13,Factors!$C$44:$AW$44)+SUMPRODUCT(Oxides_max!$C13:$AW13,Factors!$C$44:$AW$44))/2),ABS(SUMPRODUCT(Oxides_max!$C13:$AW13,Factors!$C$44:$AW$44)-SUMPRODUCT(Oxides_min!$C13:$AW13,Factors!$C$44:$AW$44))/2)</f>
        <v>8.1924311117611143E-3</v>
      </c>
      <c r="AL13" s="20">
        <f>MIN(MAX(0,(SUMPRODUCT(Oxides_min!$C13:$AW13,Factors!$C$45:$AW$45)+SUMPRODUCT(Oxides_max!$C13:$AW13,Factors!$C$45:$AW$45))/2),ABS(SUMPRODUCT(Oxides_max!$C13:$AW13,Factors!$C$45:$AW$45)-SUMPRODUCT(Oxides_min!$C13:$AW13,Factors!$C$45:$AW$45))/2)</f>
        <v>1.0579293883639978E-3</v>
      </c>
      <c r="AM13" s="20">
        <f>MIN(MAX(0,(SUMPRODUCT(Oxides_min!$C13:$AW13,Factors!$C$46:$AW$46)+SUMPRODUCT(Oxides_max!$C13:$AW13,Factors!$C$46:$AW$46))/2),ABS(SUMPRODUCT(Oxides_max!$C13:$AW13,Factors!$C$46:$AW$46)-SUMPRODUCT(Oxides_min!$C13:$AW13,Factors!$C$46:$AW$46))/2)</f>
        <v>1.4532189231910887E-2</v>
      </c>
      <c r="AN13" s="20">
        <f>MIN(MAX(0,(SUMPRODUCT(Oxides_min!$C13:$AW13,Factors!$C$47:$AW$47)+SUMPRODUCT(Oxides_max!$C13:$AW13,Factors!$C$47:$AW$47))/2),ABS(SUMPRODUCT(Oxides_max!$C13:$AW13,Factors!$C$47:$AW$47)-SUMPRODUCT(Oxides_min!$C13:$AW13,Factors!$C$47:$AW$47))/2)</f>
        <v>2.8236197056862732E-3</v>
      </c>
      <c r="AO13" s="20">
        <f>MIN(MAX(0,(SUMPRODUCT(Oxides_min!$C13:$AW13,Factors!$C$48:$AW$48)+SUMPRODUCT(Oxides_max!$C13:$AW13,Factors!$C$48:$AW$48))/2),ABS(SUMPRODUCT(Oxides_max!$C13:$AW13,Factors!$C$48:$AW$48)-SUMPRODUCT(Oxides_min!$C13:$AW13,Factors!$C$48:$AW$48))/2)</f>
        <v>1.4812451574677544E-2</v>
      </c>
      <c r="AP13" s="20">
        <f>MIN(MAX(0,(SUMPRODUCT(Oxides_min!$C13:$AW13,Factors!$C$49:$AW$49)+SUMPRODUCT(Oxides_max!$C13:$AW13,Factors!$C$49:$AW$49))/2),ABS(SUMPRODUCT(Oxides_max!$C13:$AW13,Factors!$C$49:$AW$49)-SUMPRODUCT(Oxides_min!$C13:$AW13,Factors!$C$49:$AW$49))/2)</f>
        <v>3.4919039090010773E-3</v>
      </c>
      <c r="AQ13" s="20">
        <f>MIN(MAX(0,(SUMPRODUCT(Oxides_min!$C13:$AW13,Factors!$C$50:$AW$50)+SUMPRODUCT(Oxides_max!$C13:$AW13,Factors!$C$50:$AW$50))/2),ABS(SUMPRODUCT(Oxides_max!$C13:$AW13,Factors!$C$50:$AW$50)-SUMPRODUCT(Oxides_min!$C13:$AW13,Factors!$C$50:$AW$50))/2)</f>
        <v>1.0931532096780518E-2</v>
      </c>
      <c r="AR13" s="20">
        <f>MIN(MAX(0,(SUMPRODUCT(Oxides_min!$C13:$AW13,Factors!$C$51:$AW$51)+SUMPRODUCT(Oxides_max!$C13:$AW13,Factors!$C$51:$AW$51))/2),ABS(SUMPRODUCT(Oxides_max!$C13:$AW13,Factors!$C$51:$AW$51)-SUMPRODUCT(Oxides_min!$C13:$AW13,Factors!$C$51:$AW$51))/2)</f>
        <v>1.5323211376483989E-3</v>
      </c>
      <c r="AS13" s="20">
        <f>MIN(MAX(0,(SUMPRODUCT(Oxides_min!$C13:$AW13,Factors!$C$52:$AW$52)+SUMPRODUCT(Oxides_max!$C13:$AW13,Factors!$C$52:$AW$52))/2),ABS(SUMPRODUCT(Oxides_max!$C13:$AW13,Factors!$C$52:$AW$52)-SUMPRODUCT(Oxides_min!$C13:$AW13,Factors!$C$52:$AW$52))/2)</f>
        <v>5.4009736428758124E-3</v>
      </c>
      <c r="AT13" s="20">
        <f>MIN(MAX(0,(SUMPRODUCT(Oxides_min!$C13:$AW13,Factors!$C$53:$AW$53)+SUMPRODUCT(Oxides_max!$C13:$AW13,Factors!$C$53:$AW$53))/2),ABS(SUMPRODUCT(Oxides_max!$C13:$AW13,Factors!$C$53:$AW$53)-SUMPRODUCT(Oxides_min!$C13:$AW13,Factors!$C$53:$AW$53))/2)</f>
        <v>8.5739890322583895E-4</v>
      </c>
      <c r="AU13" s="20">
        <f>MIN(MAX(0,(SUMPRODUCT(Oxides_min!$C13:$AW13,Factors!$C$54:$AW$54)+SUMPRODUCT(Oxides_max!$C13:$AW13,Factors!$C$54:$AW$54))/2),ABS(SUMPRODUCT(Oxides_max!$C13:$AW13,Factors!$C$54:$AW$54)-SUMPRODUCT(Oxides_min!$C13:$AW13,Factors!$C$54:$AW$54))/2)</f>
        <v>0</v>
      </c>
      <c r="AV13" s="18">
        <f t="shared" si="0"/>
        <v>39.161649999999995</v>
      </c>
    </row>
    <row r="14" spans="1:48" x14ac:dyDescent="0.25">
      <c r="A14" s="13" t="s">
        <v>150</v>
      </c>
      <c r="B14" s="20">
        <f>MIN(MAX(0,(SUMPRODUCT(Oxides_min!$C14:$AW14,Factors!$C$9:$AW$9)+SUMPRODUCT(Oxides_max!$C14:$AW14,Factors!$C$9:$AW$9))/2),ABS(SUMPRODUCT(Oxides_max!$C14:$AW14,Factors!$C$9:$AW$9)-SUMPRODUCT(Oxides_min!$C14:$AW14,Factors!$C$9:$AW$9))/2)</f>
        <v>12.700488803935301</v>
      </c>
      <c r="C14" s="20">
        <f>MIN(MAX(0,(SUMPRODUCT(Oxides_min!$C14:$AW14,Factors!$C$10:$AW$10)+SUMPRODUCT(Oxides_max!$C14:$AW14,Factors!$C$10:$AW$10))/2),ABS(SUMPRODUCT(Oxides_max!$C14:$AW14,Factors!$C$10:$AW$10)-SUMPRODUCT(Oxides_min!$C14:$AW14,Factors!$C$10:$AW$10))/2)</f>
        <v>2.3371835627382125</v>
      </c>
      <c r="D14" s="20">
        <f>MIN(MAX(0,(SUMPRODUCT(Oxides_min!$C14:$AW14,Factors!$C$11:$AW$11)+SUMPRODUCT(Oxides_max!$C14:$AW14,Factors!$C$11:$AW$11))/2),ABS(SUMPRODUCT(Oxides_max!$C14:$AW14,Factors!$C$11:$AW$11)-SUMPRODUCT(Oxides_min!$C14:$AW14,Factors!$C$11:$AW$11))/2)</f>
        <v>0</v>
      </c>
      <c r="E14" s="20">
        <f>MIN(MAX(0,(SUMPRODUCT(Oxides_min!$C14:$AW14,Factors!$C$12:$AW$12)+SUMPRODUCT(Oxides_max!$C14:$AW14,Factors!$C$12:$AW$12))/2),ABS(SUMPRODUCT(Oxides_max!$C14:$AW14,Factors!$C$12:$AW$12)-SUMPRODUCT(Oxides_min!$C14:$AW14,Factors!$C$12:$AW$12))/2)</f>
        <v>0</v>
      </c>
      <c r="F14" s="20">
        <f>MIN(MAX(0,(SUMPRODUCT(Oxides_min!$C14:$AW14,Factors!$C$13:$AW$13)+SUMPRODUCT(Oxides_max!$C14:$AW14,Factors!$C$13:$AW$13))/2),ABS(SUMPRODUCT(Oxides_max!$C14:$AW14,Factors!$C$13:$AW$13)-SUMPRODUCT(Oxides_min!$C14:$AW14,Factors!$C$13:$AW$13))/2)</f>
        <v>0</v>
      </c>
      <c r="G14" s="20">
        <f>MIN(MAX(0,(SUMPRODUCT(Oxides_min!$C14:$AW14,Factors!$C$14:$AW$14)+SUMPRODUCT(Oxides_max!$C14:$AW14,Factors!$C$14:$AW$14))/2),ABS(SUMPRODUCT(Oxides_max!$C14:$AW14,Factors!$C$14:$AW$14)-SUMPRODUCT(Oxides_min!$C14:$AW14,Factors!$C$14:$AW$14))/2)</f>
        <v>0</v>
      </c>
      <c r="H14" s="20">
        <f>MIN(MAX(0,(SUMPRODUCT(Oxides_min!$C14:$AW14,Factors!$C$15:$AW$15)+SUMPRODUCT(Oxides_max!$C14:$AW14,Factors!$C$15:$AW$15))/2),ABS(SUMPRODUCT(Oxides_max!$C14:$AW14,Factors!$C$15:$AW$15)-SUMPRODUCT(Oxides_min!$C14:$AW14,Factors!$C$15:$AW$15))/2)</f>
        <v>0.1323142316771691</v>
      </c>
      <c r="I14" s="20">
        <f>MIN(MAX(0,(SUMPRODUCT(Oxides_min!$C14:$AW14,Factors!$C$16:$AW$16)+SUMPRODUCT(Oxides_max!$C14:$AW14,Factors!$C$16:$AW$16))/2),ABS(SUMPRODUCT(Oxides_max!$C14:$AW14,Factors!$C$16:$AW$16)-SUMPRODUCT(Oxides_min!$C14:$AW14,Factors!$C$16:$AW$16))/2)</f>
        <v>0.38865458493402372</v>
      </c>
      <c r="J14" s="20">
        <f>MIN(MAX(0,(SUMPRODUCT(Oxides_min!$C14:$AW14,Factors!$C$17:$AW$17)+SUMPRODUCT(Oxides_max!$C14:$AW14,Factors!$C$17:$AW$17))/2),ABS(SUMPRODUCT(Oxides_max!$C14:$AW14,Factors!$C$17:$AW$17)-SUMPRODUCT(Oxides_min!$C14:$AW14,Factors!$C$17:$AW$17))/2)</f>
        <v>0.19361549658031987</v>
      </c>
      <c r="K14" s="20">
        <f>MIN(MAX(0,(SUMPRODUCT(Oxides_min!$C14:$AW14,Factors!$C$18:$AW$18)+SUMPRODUCT(Oxides_max!$C14:$AW14,Factors!$C$18:$AW$18))/2),ABS(SUMPRODUCT(Oxides_max!$C14:$AW14,Factors!$C$18:$AW$18)-SUMPRODUCT(Oxides_min!$C14:$AW14,Factors!$C$18:$AW$18))/2)</f>
        <v>0</v>
      </c>
      <c r="L14" s="20">
        <f>MIN(MAX(0,(SUMPRODUCT(Oxides_min!$C14:$AW14,Factors!$C$19:$AW$19)+SUMPRODUCT(Oxides_max!$C14:$AW14,Factors!$C$19:$AW$19))/2),ABS(SUMPRODUCT(Oxides_max!$C14:$AW14,Factors!$C$19:$AW$19)-SUMPRODUCT(Oxides_min!$C14:$AW14,Factors!$C$19:$AW$19))/2)</f>
        <v>4.2881751876883563</v>
      </c>
      <c r="M14" s="20">
        <f>MIN(MAX(0,(SUMPRODUCT(Oxides_min!$C14:$AW14,Factors!$C$20:$AW$20)+SUMPRODUCT(Oxides_max!$C14:$AW14,Factors!$C$20:$AW$20))/2),ABS(SUMPRODUCT(Oxides_max!$C14:$AW14,Factors!$C$20:$AW$20)-SUMPRODUCT(Oxides_min!$C14:$AW14,Factors!$C$20:$AW$20))/2)</f>
        <v>1.268396722608788</v>
      </c>
      <c r="N14" s="20">
        <f>MIN(MAX(0,(SUMPRODUCT(Oxides_min!$C14:$AW14,Factors!$C$21:$AW$21)+SUMPRODUCT(Oxides_max!$C14:$AW14,Factors!$C$21:$AW$21))/2),ABS(SUMPRODUCT(Oxides_max!$C14:$AW14,Factors!$C$21:$AW$21)-SUMPRODUCT(Oxides_min!$C14:$AW14,Factors!$C$21:$AW$21))/2)</f>
        <v>0</v>
      </c>
      <c r="O14" s="20">
        <f>MIN(MAX(0,(SUMPRODUCT(Oxides_min!$C14:$AW14,Factors!$C$22:$AW$22)+SUMPRODUCT(Oxides_max!$C14:$AW14,Factors!$C$22:$AW$22))/2),ABS(SUMPRODUCT(Oxides_max!$C14:$AW14,Factors!$C$22:$AW$22)-SUMPRODUCT(Oxides_min!$C14:$AW14,Factors!$C$22:$AW$22))/2)</f>
        <v>0</v>
      </c>
      <c r="P14" s="20">
        <f>MIN(MAX(0,(SUMPRODUCT(Oxides_min!$C14:$AW14,Factors!$C$23:$AW$23)+SUMPRODUCT(Oxides_max!$C14:$AW14,Factors!$C$23:$AW$23))/2),ABS(SUMPRODUCT(Oxides_max!$C14:$AW14,Factors!$C$23:$AW$23)-SUMPRODUCT(Oxides_min!$C14:$AW14,Factors!$C$23:$AW$23))/2)</f>
        <v>0.74186225794092031</v>
      </c>
      <c r="Q14" s="20">
        <f>MIN(MAX(0,(SUMPRODUCT(Oxides_min!$C14:$AW14,Factors!$C$24:$AW$24)+SUMPRODUCT(Oxides_max!$C14:$AW14,Factors!$C$24:$AW$24))/2),ABS(SUMPRODUCT(Oxides_max!$C14:$AW14,Factors!$C$24:$AW$24)-SUMPRODUCT(Oxides_min!$C14:$AW14,Factors!$C$24:$AW$24))/2)</f>
        <v>0</v>
      </c>
      <c r="R14" s="20">
        <f>MIN(MAX(0,(SUMPRODUCT(Oxides_min!$C14:$AW14,Factors!$C$25:$AW$25)+SUMPRODUCT(Oxides_max!$C14:$AW14,Factors!$C$25:$AW$25))/2),ABS(SUMPRODUCT(Oxides_max!$C14:$AW14,Factors!$C$25:$AW$25)-SUMPRODUCT(Oxides_min!$C14:$AW14,Factors!$C$25:$AW$25))/2)</f>
        <v>0</v>
      </c>
      <c r="S14" s="20">
        <f>MIN(MAX(0,(SUMPRODUCT(Oxides_min!$C14:$AW14,Factors!$C$26:$AW$26)+SUMPRODUCT(Oxides_max!$C14:$AW14,Factors!$C$26:$AW$26))/2),ABS(SUMPRODUCT(Oxides_max!$C14:$AW14,Factors!$C$26:$AW$26)-SUMPRODUCT(Oxides_min!$C14:$AW14,Factors!$C$26:$AW$26))/2)</f>
        <v>0</v>
      </c>
      <c r="T14" s="20">
        <f>MIN(MAX(0,(SUMPRODUCT(Oxides_min!$C14:$AW14,Factors!$C$27:$AW$27)+SUMPRODUCT(Oxides_max!$C14:$AW14,Factors!$C$27:$AW$27))/2),ABS(SUMPRODUCT(Oxides_max!$C14:$AW14,Factors!$C$27:$AW$27)-SUMPRODUCT(Oxides_min!$C14:$AW14,Factors!$C$27:$AW$27))/2)</f>
        <v>0</v>
      </c>
      <c r="U14" s="20">
        <f>MIN(MAX(0,(SUMPRODUCT(Oxides_min!$C14:$AW14,Factors!$C$28:$AW$28)+SUMPRODUCT(Oxides_max!$C14:$AW14,Factors!$C$28:$AW$28))/2),ABS(SUMPRODUCT(Oxides_max!$C14:$AW14,Factors!$C$28:$AW$28)-SUMPRODUCT(Oxides_min!$C14:$AW14,Factors!$C$28:$AW$28))/2)</f>
        <v>0</v>
      </c>
      <c r="V14" s="20">
        <f>MIN(MAX(0,(SUMPRODUCT(Oxides_min!$C14:$AW14,Factors!$C$29:$AW$29)+SUMPRODUCT(Oxides_max!$C14:$AW14,Factors!$C$29:$AW$29))/2),ABS(SUMPRODUCT(Oxides_max!$C14:$AW14,Factors!$C$29:$AW$29)-SUMPRODUCT(Oxides_min!$C14:$AW14,Factors!$C$29:$AW$29))/2)</f>
        <v>2.1821340868133956</v>
      </c>
      <c r="W14" s="20">
        <f>MIN(MAX(0,(SUMPRODUCT(Oxides_min!$C14:$AW14,Factors!$C$30:$AW$30)+SUMPRODUCT(Oxides_max!$C14:$AW14,Factors!$C$30:$AW$30))/2),ABS(SUMPRODUCT(Oxides_max!$C14:$AW14,Factors!$C$30:$AW$30)-SUMPRODUCT(Oxides_min!$C14:$AW14,Factors!$C$30:$AW$30))/2)</f>
        <v>0</v>
      </c>
      <c r="X14" s="20">
        <f>MIN(MAX(0,(SUMPRODUCT(Oxides_min!$C14:$AW14,Factors!$C$31:$AW$31)+SUMPRODUCT(Oxides_max!$C14:$AW14,Factors!$C$31:$AW$31))/2),ABS(SUMPRODUCT(Oxides_max!$C14:$AW14,Factors!$C$31:$AW$31)-SUMPRODUCT(Oxides_min!$C14:$AW14,Factors!$C$31:$AW$31))/2)</f>
        <v>0</v>
      </c>
      <c r="Y14" s="20">
        <f>MIN(MAX(0,(SUMPRODUCT(Oxides_min!$C14:$AW14,Factors!$C$32:$AW$32)+SUMPRODUCT(Oxides_max!$C14:$AW14,Factors!$C$32:$AW$32))/2),ABS(SUMPRODUCT(Oxides_max!$C14:$AW14,Factors!$C$32:$AW$32)-SUMPRODUCT(Oxides_min!$C14:$AW14,Factors!$C$32:$AW$32))/2)</f>
        <v>0</v>
      </c>
      <c r="Z14" s="20">
        <f>MIN(MAX(0,(SUMPRODUCT(Oxides_min!$C14:$AW14,Factors!$C$33:$AW$33)+SUMPRODUCT(Oxides_max!$C14:$AW14,Factors!$C$33:$AW$33))/2),ABS(SUMPRODUCT(Oxides_max!$C14:$AW14,Factors!$C$33:$AW$33)-SUMPRODUCT(Oxides_min!$C14:$AW14,Factors!$C$33:$AW$33))/2)</f>
        <v>8.3930058284762687E-2</v>
      </c>
      <c r="AA14" s="20">
        <f>MIN(MAX(0,(SUMPRODUCT(Oxides_min!$C14:$AW14,Factors!$C$34:$AW$34)+SUMPRODUCT(Oxides_max!$C14:$AW14,Factors!$C$34:$AW$34))/2),ABS(SUMPRODUCT(Oxides_max!$C14:$AW14,Factors!$C$34:$AW$34)-SUMPRODUCT(Oxides_min!$C14:$AW14,Factors!$C$34:$AW$34))/2)</f>
        <v>1</v>
      </c>
      <c r="AB14" s="20">
        <f>MIN(MAX(0,(SUMPRODUCT(Oxides_min!$C14:$AW14,Factors!$C$35:$AW$35)+SUMPRODUCT(Oxides_max!$C14:$AW14,Factors!$C$35:$AW$35))/2),ABS(SUMPRODUCT(Oxides_max!$C14:$AW14,Factors!$C$35:$AW$35)-SUMPRODUCT(Oxides_min!$C14:$AW14,Factors!$C$35:$AW$35))/2)</f>
        <v>0.15</v>
      </c>
      <c r="AC14" s="20">
        <f>MIN(MAX(0,(SUMPRODUCT(Oxides_min!$C14:$AW14,Factors!$C$36:$AW$36)+SUMPRODUCT(Oxides_max!$C14:$AW14,Factors!$C$36:$AW$36))/2),ABS(SUMPRODUCT(Oxides_max!$C14:$AW14,Factors!$C$36:$AW$36)-SUMPRODUCT(Oxides_min!$C14:$AW14,Factors!$C$36:$AW$36))/2)</f>
        <v>4.1743562518250368</v>
      </c>
      <c r="AD14" s="20">
        <f>MIN(MAX(0,(SUMPRODUCT(Oxides_min!$C14:$AW14,Factors!$C$37:$AW$37)+SUMPRODUCT(Oxides_max!$C14:$AW14,Factors!$C$37:$AW$37))/2),ABS(SUMPRODUCT(Oxides_max!$C14:$AW14,Factors!$C$37:$AW$37)-SUMPRODUCT(Oxides_min!$C14:$AW14,Factors!$C$37:$AW$37))/2)</f>
        <v>0.66112552448939255</v>
      </c>
      <c r="AE14" s="20">
        <f>MIN(MAX(0,(SUMPRODUCT(Oxides_min!$C14:$AW14,Factors!$C$38:$AW$38)+SUMPRODUCT(Oxides_max!$C14:$AW14,Factors!$C$38:$AW$38))/2),ABS(SUMPRODUCT(Oxides_max!$C14:$AW14,Factors!$C$38:$AW$38)-SUMPRODUCT(Oxides_min!$C14:$AW14,Factors!$C$38:$AW$38))/2)</f>
        <v>0</v>
      </c>
      <c r="AF14" s="20">
        <f>MIN(MAX(0,(SUMPRODUCT(Oxides_min!$C14:$AW14,Factors!$C$39:$AW$39)+SUMPRODUCT(Oxides_max!$C14:$AW14,Factors!$C$39:$AW$39))/2),ABS(SUMPRODUCT(Oxides_max!$C14:$AW14,Factors!$C$39:$AW$39)-SUMPRODUCT(Oxides_min!$C14:$AW14,Factors!$C$39:$AW$39))/2)</f>
        <v>1.9686098869184305</v>
      </c>
      <c r="AG14" s="20">
        <f>MIN(MAX(0,(SUMPRODUCT(Oxides_min!$C14:$AW14,Factors!$C$40:$AW$40)+SUMPRODUCT(Oxides_max!$C14:$AW14,Factors!$C$40:$AW$40))/2),ABS(SUMPRODUCT(Oxides_max!$C14:$AW14,Factors!$C$40:$AW$40)-SUMPRODUCT(Oxides_min!$C14:$AW14,Factors!$C$40:$AW$40))/2)</f>
        <v>5.1160988894254693</v>
      </c>
      <c r="AH14" s="20">
        <f>MIN(MAX(0,(SUMPRODUCT(Oxides_min!$C14:$AW14,Factors!$C$41:$AW$41)+SUMPRODUCT(Oxides_max!$C14:$AW14,Factors!$C$41:$AW$41))/2),ABS(SUMPRODUCT(Oxides_max!$C14:$AW14,Factors!$C$41:$AW$41)-SUMPRODUCT(Oxides_min!$C14:$AW14,Factors!$C$41:$AW$41))/2)</f>
        <v>6.8301582127112468</v>
      </c>
      <c r="AI14" s="20">
        <f>MIN(MAX(0,(SUMPRODUCT(Oxides_min!$C14:$AW14,Factors!$C$42:$AW$42)+SUMPRODUCT(Oxides_max!$C14:$AW14,Factors!$C$42:$AW$42))/2),ABS(SUMPRODUCT(Oxides_max!$C14:$AW14,Factors!$C$42:$AW$42)-SUMPRODUCT(Oxides_min!$C14:$AW14,Factors!$C$42:$AW$42))/2)</f>
        <v>1.2817076693799674</v>
      </c>
      <c r="AJ14" s="20">
        <f>MIN(MAX(0,(SUMPRODUCT(Oxides_min!$C14:$AW14,Factors!$C$43:$AW$43)+SUMPRODUCT(Oxides_max!$C14:$AW14,Factors!$C$43:$AW$43))/2),ABS(SUMPRODUCT(Oxides_max!$C14:$AW14,Factors!$C$43:$AW$43)-SUMPRODUCT(Oxides_min!$C14:$AW14,Factors!$C$43:$AW$43))/2)</f>
        <v>3.8581019433489558</v>
      </c>
      <c r="AK14" s="20">
        <f>MIN(MAX(0,(SUMPRODUCT(Oxides_min!$C14:$AW14,Factors!$C$44:$AW$44)+SUMPRODUCT(Oxides_max!$C14:$AW14,Factors!$C$44:$AW$44))/2),ABS(SUMPRODUCT(Oxides_max!$C14:$AW14,Factors!$C$44:$AW$44)-SUMPRODUCT(Oxides_min!$C14:$AW14,Factors!$C$44:$AW$44))/2)</f>
        <v>0.948597286624971</v>
      </c>
      <c r="AL14" s="20">
        <f>MIN(MAX(0,(SUMPRODUCT(Oxides_min!$C14:$AW14,Factors!$C$45:$AW$45)+SUMPRODUCT(Oxides_max!$C14:$AW14,Factors!$C$45:$AW$45))/2),ABS(SUMPRODUCT(Oxides_max!$C14:$AW14,Factors!$C$45:$AW$45)-SUMPRODUCT(Oxides_min!$C14:$AW14,Factors!$C$45:$AW$45))/2)</f>
        <v>0.17272316544718336</v>
      </c>
      <c r="AM14" s="20">
        <f>MIN(MAX(0,(SUMPRODUCT(Oxides_min!$C14:$AW14,Factors!$C$46:$AW$46)+SUMPRODUCT(Oxides_max!$C14:$AW14,Factors!$C$46:$AW$46))/2),ABS(SUMPRODUCT(Oxides_max!$C14:$AW14,Factors!$C$46:$AW$46)-SUMPRODUCT(Oxides_min!$C14:$AW14,Factors!$C$46:$AW$46))/2)</f>
        <v>0.78083404828177883</v>
      </c>
      <c r="AN14" s="20">
        <f>MIN(MAX(0,(SUMPRODUCT(Oxides_min!$C14:$AW14,Factors!$C$47:$AW$47)+SUMPRODUCT(Oxides_max!$C14:$AW14,Factors!$C$47:$AW$47))/2),ABS(SUMPRODUCT(Oxides_max!$C14:$AW14,Factors!$C$47:$AW$47)-SUMPRODUCT(Oxides_min!$C14:$AW14,Factors!$C$47:$AW$47))/2)</f>
        <v>0</v>
      </c>
      <c r="AO14" s="20">
        <f>MIN(MAX(0,(SUMPRODUCT(Oxides_min!$C14:$AW14,Factors!$C$48:$AW$48)+SUMPRODUCT(Oxides_max!$C14:$AW14,Factors!$C$48:$AW$48))/2),ABS(SUMPRODUCT(Oxides_max!$C14:$AW14,Factors!$C$48:$AW$48)-SUMPRODUCT(Oxides_min!$C14:$AW14,Factors!$C$48:$AW$48))/2)</f>
        <v>0.43566034043169244</v>
      </c>
      <c r="AP14" s="20">
        <f>MIN(MAX(0,(SUMPRODUCT(Oxides_min!$C14:$AW14,Factors!$C$49:$AW$49)+SUMPRODUCT(Oxides_max!$C14:$AW14,Factors!$C$49:$AW$49))/2),ABS(SUMPRODUCT(Oxides_max!$C14:$AW14,Factors!$C$49:$AW$49)-SUMPRODUCT(Oxides_min!$C14:$AW14,Factors!$C$49:$AW$49))/2)</f>
        <v>0</v>
      </c>
      <c r="AQ14" s="20">
        <f>MIN(MAX(0,(SUMPRODUCT(Oxides_min!$C14:$AW14,Factors!$C$50:$AW$50)+SUMPRODUCT(Oxides_max!$C14:$AW14,Factors!$C$50:$AW$50))/2),ABS(SUMPRODUCT(Oxides_max!$C14:$AW14,Factors!$C$50:$AW$50)-SUMPRODUCT(Oxides_min!$C14:$AW14,Factors!$C$50:$AW$50))/2)</f>
        <v>0.21863064193561035</v>
      </c>
      <c r="AR14" s="20">
        <f>MIN(MAX(0,(SUMPRODUCT(Oxides_min!$C14:$AW14,Factors!$C$51:$AW$51)+SUMPRODUCT(Oxides_max!$C14:$AW14,Factors!$C$51:$AW$51))/2),ABS(SUMPRODUCT(Oxides_max!$C14:$AW14,Factors!$C$51:$AW$51)-SUMPRODUCT(Oxides_min!$C14:$AW14,Factors!$C$51:$AW$51))/2)</f>
        <v>0</v>
      </c>
      <c r="AS14" s="20">
        <f>MIN(MAX(0,(SUMPRODUCT(Oxides_min!$C14:$AW14,Factors!$C$52:$AW$52)+SUMPRODUCT(Oxides_max!$C14:$AW14,Factors!$C$52:$AW$52))/2),ABS(SUMPRODUCT(Oxides_max!$C14:$AW14,Factors!$C$52:$AW$52)-SUMPRODUCT(Oxides_min!$C14:$AW14,Factors!$C$52:$AW$52))/2)</f>
        <v>0.13173106446038566</v>
      </c>
      <c r="AT14" s="20">
        <f>MIN(MAX(0,(SUMPRODUCT(Oxides_min!$C14:$AW14,Factors!$C$53:$AW$53)+SUMPRODUCT(Oxides_max!$C14:$AW14,Factors!$C$53:$AW$53))/2),ABS(SUMPRODUCT(Oxides_max!$C14:$AW14,Factors!$C$53:$AW$53)-SUMPRODUCT(Oxides_min!$C14:$AW14,Factors!$C$53:$AW$53))/2)</f>
        <v>0</v>
      </c>
      <c r="AU14" s="20">
        <f>MIN(MAX(0,(SUMPRODUCT(Oxides_min!$C14:$AW14,Factors!$C$54:$AW$54)+SUMPRODUCT(Oxides_max!$C14:$AW14,Factors!$C$54:$AW$54))/2),ABS(SUMPRODUCT(Oxides_max!$C14:$AW14,Factors!$C$54:$AW$54)-SUMPRODUCT(Oxides_min!$C14:$AW14,Factors!$C$54:$AW$54))/2)</f>
        <v>0</v>
      </c>
      <c r="AV14" s="18">
        <f t="shared" si="0"/>
        <v>52.045089918481366</v>
      </c>
    </row>
    <row r="15" spans="1:48" x14ac:dyDescent="0.25">
      <c r="A15" s="13" t="s">
        <v>152</v>
      </c>
      <c r="B15" s="20">
        <f>MIN(MAX(0,(SUMPRODUCT(Oxides_min!$C15:$AW15,Factors!$C$9:$AW$9)+SUMPRODUCT(Oxides_max!$C15:$AW15,Factors!$C$9:$AW$9))/2),ABS(SUMPRODUCT(Oxides_max!$C15:$AW15,Factors!$C$9:$AW$9)-SUMPRODUCT(Oxides_min!$C15:$AW15,Factors!$C$9:$AW$9))/2)</f>
        <v>6.7560371794054355</v>
      </c>
      <c r="C15" s="20">
        <f>MIN(MAX(0,(SUMPRODUCT(Oxides_min!$C15:$AW15,Factors!$C$10:$AW$10)+SUMPRODUCT(Oxides_max!$C15:$AW15,Factors!$C$10:$AW$10))/2),ABS(SUMPRODUCT(Oxides_max!$C15:$AW15,Factors!$C$10:$AW$10)-SUMPRODUCT(Oxides_min!$C15:$AW15,Factors!$C$10:$AW$10))/2)</f>
        <v>0.11685917813691062</v>
      </c>
      <c r="D15" s="20">
        <f>MIN(MAX(0,(SUMPRODUCT(Oxides_min!$C15:$AW15,Factors!$C$11:$AW$11)+SUMPRODUCT(Oxides_max!$C15:$AW15,Factors!$C$11:$AW$11))/2),ABS(SUMPRODUCT(Oxides_max!$C15:$AW15,Factors!$C$11:$AW$11)-SUMPRODUCT(Oxides_min!$C15:$AW15,Factors!$C$11:$AW$11))/2)</f>
        <v>0</v>
      </c>
      <c r="E15" s="20">
        <f>MIN(MAX(0,(SUMPRODUCT(Oxides_min!$C15:$AW15,Factors!$C$12:$AW$12)+SUMPRODUCT(Oxides_max!$C15:$AW15,Factors!$C$12:$AW$12))/2),ABS(SUMPRODUCT(Oxides_max!$C15:$AW15,Factors!$C$12:$AW$12)-SUMPRODUCT(Oxides_min!$C15:$AW15,Factors!$C$12:$AW$12))/2)</f>
        <v>0</v>
      </c>
      <c r="F15" s="20">
        <f>MIN(MAX(0,(SUMPRODUCT(Oxides_min!$C15:$AW15,Factors!$C$13:$AW$13)+SUMPRODUCT(Oxides_max!$C15:$AW15,Factors!$C$13:$AW$13))/2),ABS(SUMPRODUCT(Oxides_max!$C15:$AW15,Factors!$C$13:$AW$13)-SUMPRODUCT(Oxides_min!$C15:$AW15,Factors!$C$13:$AW$13))/2)</f>
        <v>0</v>
      </c>
      <c r="G15" s="20">
        <f>MIN(MAX(0,(SUMPRODUCT(Oxides_min!$C15:$AW15,Factors!$C$14:$AW$14)+SUMPRODUCT(Oxides_max!$C15:$AW15,Factors!$C$14:$AW$14))/2),ABS(SUMPRODUCT(Oxides_max!$C15:$AW15,Factors!$C$14:$AW$14)-SUMPRODUCT(Oxides_min!$C15:$AW15,Factors!$C$14:$AW$14))/2)</f>
        <v>0</v>
      </c>
      <c r="H15" s="20">
        <f>MIN(MAX(0,(SUMPRODUCT(Oxides_min!$C15:$AW15,Factors!$C$15:$AW$15)+SUMPRODUCT(Oxides_max!$C15:$AW15,Factors!$C$15:$AW$15))/2),ABS(SUMPRODUCT(Oxides_max!$C15:$AW15,Factors!$C$15:$AW$15)-SUMPRODUCT(Oxides_min!$C15:$AW15,Factors!$C$15:$AW$15))/2)</f>
        <v>0.26462846335433821</v>
      </c>
      <c r="I15" s="20">
        <f>MIN(MAX(0,(SUMPRODUCT(Oxides_min!$C15:$AW15,Factors!$C$16:$AW$16)+SUMPRODUCT(Oxides_max!$C15:$AW15,Factors!$C$16:$AW$16))/2),ABS(SUMPRODUCT(Oxides_max!$C15:$AW15,Factors!$C$16:$AW$16)-SUMPRODUCT(Oxides_min!$C15:$AW15,Factors!$C$16:$AW$16))/2)</f>
        <v>0.52457307107028117</v>
      </c>
      <c r="J15" s="20">
        <f>MIN(MAX(0,(SUMPRODUCT(Oxides_min!$C15:$AW15,Factors!$C$17:$AW$17)+SUMPRODUCT(Oxides_max!$C15:$AW15,Factors!$C$17:$AW$17))/2),ABS(SUMPRODUCT(Oxides_max!$C15:$AW15,Factors!$C$17:$AW$17)-SUMPRODUCT(Oxides_min!$C15:$AW15,Factors!$C$17:$AW$17))/2)</f>
        <v>0</v>
      </c>
      <c r="K15" s="20">
        <f>MIN(MAX(0,(SUMPRODUCT(Oxides_min!$C15:$AW15,Factors!$C$18:$AW$18)+SUMPRODUCT(Oxides_max!$C15:$AW15,Factors!$C$18:$AW$18))/2),ABS(SUMPRODUCT(Oxides_max!$C15:$AW15,Factors!$C$18:$AW$18)-SUMPRODUCT(Oxides_min!$C15:$AW15,Factors!$C$18:$AW$18))/2)</f>
        <v>0</v>
      </c>
      <c r="L15" s="20">
        <f>MIN(MAX(0,(SUMPRODUCT(Oxides_min!$C15:$AW15,Factors!$C$19:$AW$19)+SUMPRODUCT(Oxides_max!$C15:$AW15,Factors!$C$19:$AW$19))/2),ABS(SUMPRODUCT(Oxides_max!$C15:$AW15,Factors!$C$19:$AW$19)-SUMPRODUCT(Oxides_min!$C15:$AW15,Factors!$C$19:$AW$19))/2)</f>
        <v>0.71469586461472612</v>
      </c>
      <c r="M15" s="20">
        <f>MIN(MAX(0,(SUMPRODUCT(Oxides_min!$C15:$AW15,Factors!$C$20:$AW$20)+SUMPRODUCT(Oxides_max!$C15:$AW15,Factors!$C$20:$AW$20))/2),ABS(SUMPRODUCT(Oxides_max!$C15:$AW15,Factors!$C$20:$AW$20)-SUMPRODUCT(Oxides_min!$C15:$AW15,Factors!$C$20:$AW$20))/2)</f>
        <v>0</v>
      </c>
      <c r="N15" s="20">
        <f>MIN(MAX(0,(SUMPRODUCT(Oxides_min!$C15:$AW15,Factors!$C$21:$AW$21)+SUMPRODUCT(Oxides_max!$C15:$AW15,Factors!$C$21:$AW$21))/2),ABS(SUMPRODUCT(Oxides_max!$C15:$AW15,Factors!$C$21:$AW$21)-SUMPRODUCT(Oxides_min!$C15:$AW15,Factors!$C$21:$AW$21))/2)</f>
        <v>0</v>
      </c>
      <c r="O15" s="20">
        <f>MIN(MAX(0,(SUMPRODUCT(Oxides_min!$C15:$AW15,Factors!$C$22:$AW$22)+SUMPRODUCT(Oxides_max!$C15:$AW15,Factors!$C$22:$AW$22))/2),ABS(SUMPRODUCT(Oxides_max!$C15:$AW15,Factors!$C$22:$AW$22)-SUMPRODUCT(Oxides_min!$C15:$AW15,Factors!$C$22:$AW$22))/2)</f>
        <v>0</v>
      </c>
      <c r="P15" s="20">
        <f>MIN(MAX(0,(SUMPRODUCT(Oxides_min!$C15:$AW15,Factors!$C$23:$AW$23)+SUMPRODUCT(Oxides_max!$C15:$AW15,Factors!$C$23:$AW$23))/2),ABS(SUMPRODUCT(Oxides_max!$C15:$AW15,Factors!$C$23:$AW$23)-SUMPRODUCT(Oxides_min!$C15:$AW15,Factors!$C$23:$AW$23))/2)</f>
        <v>0</v>
      </c>
      <c r="Q15" s="20">
        <f>MIN(MAX(0,(SUMPRODUCT(Oxides_min!$C15:$AW15,Factors!$C$24:$AW$24)+SUMPRODUCT(Oxides_max!$C15:$AW15,Factors!$C$24:$AW$24))/2),ABS(SUMPRODUCT(Oxides_max!$C15:$AW15,Factors!$C$24:$AW$24)-SUMPRODUCT(Oxides_min!$C15:$AW15,Factors!$C$24:$AW$24))/2)</f>
        <v>0</v>
      </c>
      <c r="R15" s="20">
        <f>MIN(MAX(0,(SUMPRODUCT(Oxides_min!$C15:$AW15,Factors!$C$25:$AW$25)+SUMPRODUCT(Oxides_max!$C15:$AW15,Factors!$C$25:$AW$25))/2),ABS(SUMPRODUCT(Oxides_max!$C15:$AW15,Factors!$C$25:$AW$25)-SUMPRODUCT(Oxides_min!$C15:$AW15,Factors!$C$25:$AW$25))/2)</f>
        <v>0</v>
      </c>
      <c r="S15" s="20">
        <f>MIN(MAX(0,(SUMPRODUCT(Oxides_min!$C15:$AW15,Factors!$C$26:$AW$26)+SUMPRODUCT(Oxides_max!$C15:$AW15,Factors!$C$26:$AW$26))/2),ABS(SUMPRODUCT(Oxides_max!$C15:$AW15,Factors!$C$26:$AW$26)-SUMPRODUCT(Oxides_min!$C15:$AW15,Factors!$C$26:$AW$26))/2)</f>
        <v>0</v>
      </c>
      <c r="T15" s="20">
        <f>MIN(MAX(0,(SUMPRODUCT(Oxides_min!$C15:$AW15,Factors!$C$27:$AW$27)+SUMPRODUCT(Oxides_max!$C15:$AW15,Factors!$C$27:$AW$27))/2),ABS(SUMPRODUCT(Oxides_max!$C15:$AW15,Factors!$C$27:$AW$27)-SUMPRODUCT(Oxides_min!$C15:$AW15,Factors!$C$27:$AW$27))/2)</f>
        <v>0</v>
      </c>
      <c r="U15" s="20">
        <f>MIN(MAX(0,(SUMPRODUCT(Oxides_min!$C15:$AW15,Factors!$C$28:$AW$28)+SUMPRODUCT(Oxides_max!$C15:$AW15,Factors!$C$28:$AW$28))/2),ABS(SUMPRODUCT(Oxides_max!$C15:$AW15,Factors!$C$28:$AW$28)-SUMPRODUCT(Oxides_min!$C15:$AW15,Factors!$C$28:$AW$28))/2)</f>
        <v>0</v>
      </c>
      <c r="V15" s="20">
        <f>MIN(MAX(0,(SUMPRODUCT(Oxides_min!$C15:$AW15,Factors!$C$29:$AW$29)+SUMPRODUCT(Oxides_max!$C15:$AW15,Factors!$C$29:$AW$29))/2),ABS(SUMPRODUCT(Oxides_max!$C15:$AW15,Factors!$C$29:$AW$29)-SUMPRODUCT(Oxides_min!$C15:$AW15,Factors!$C$29:$AW$29))/2)</f>
        <v>0.8728536347253586</v>
      </c>
      <c r="W15" s="20">
        <f>MIN(MAX(0,(SUMPRODUCT(Oxides_min!$C15:$AW15,Factors!$C$30:$AW$30)+SUMPRODUCT(Oxides_max!$C15:$AW15,Factors!$C$30:$AW$30))/2),ABS(SUMPRODUCT(Oxides_max!$C15:$AW15,Factors!$C$30:$AW$30)-SUMPRODUCT(Oxides_min!$C15:$AW15,Factors!$C$30:$AW$30))/2)</f>
        <v>0</v>
      </c>
      <c r="X15" s="20">
        <f>MIN(MAX(0,(SUMPRODUCT(Oxides_min!$C15:$AW15,Factors!$C$31:$AW$31)+SUMPRODUCT(Oxides_max!$C15:$AW15,Factors!$C$31:$AW$31))/2),ABS(SUMPRODUCT(Oxides_max!$C15:$AW15,Factors!$C$31:$AW$31)-SUMPRODUCT(Oxides_min!$C15:$AW15,Factors!$C$31:$AW$31))/2)</f>
        <v>0</v>
      </c>
      <c r="Y15" s="20">
        <f>MIN(MAX(0,(SUMPRODUCT(Oxides_min!$C15:$AW15,Factors!$C$32:$AW$32)+SUMPRODUCT(Oxides_max!$C15:$AW15,Factors!$C$32:$AW$32))/2),ABS(SUMPRODUCT(Oxides_max!$C15:$AW15,Factors!$C$32:$AW$32)-SUMPRODUCT(Oxides_min!$C15:$AW15,Factors!$C$32:$AW$32))/2)</f>
        <v>0</v>
      </c>
      <c r="Z15" s="20">
        <f>MIN(MAX(0,(SUMPRODUCT(Oxides_min!$C15:$AW15,Factors!$C$33:$AW$33)+SUMPRODUCT(Oxides_max!$C15:$AW15,Factors!$C$33:$AW$33))/2),ABS(SUMPRODUCT(Oxides_max!$C15:$AW15,Factors!$C$33:$AW$33)-SUMPRODUCT(Oxides_min!$C15:$AW15,Factors!$C$33:$AW$33))/2)</f>
        <v>0.16786011656952537</v>
      </c>
      <c r="AA15" s="20">
        <f>MIN(MAX(0,(SUMPRODUCT(Oxides_min!$C15:$AW15,Factors!$C$34:$AW$34)+SUMPRODUCT(Oxides_max!$C15:$AW15,Factors!$C$34:$AW$34))/2),ABS(SUMPRODUCT(Oxides_max!$C15:$AW15,Factors!$C$34:$AW$34)-SUMPRODUCT(Oxides_min!$C15:$AW15,Factors!$C$34:$AW$34))/2)</f>
        <v>0</v>
      </c>
      <c r="AB15" s="20">
        <f>MIN(MAX(0,(SUMPRODUCT(Oxides_min!$C15:$AW15,Factors!$C$35:$AW$35)+SUMPRODUCT(Oxides_max!$C15:$AW15,Factors!$C$35:$AW$35))/2),ABS(SUMPRODUCT(Oxides_max!$C15:$AW15,Factors!$C$35:$AW$35)-SUMPRODUCT(Oxides_min!$C15:$AW15,Factors!$C$35:$AW$35))/2)</f>
        <v>0</v>
      </c>
      <c r="AC15" s="20">
        <f>MIN(MAX(0,(SUMPRODUCT(Oxides_min!$C15:$AW15,Factors!$C$36:$AW$36)+SUMPRODUCT(Oxides_max!$C15:$AW15,Factors!$C$36:$AW$36))/2),ABS(SUMPRODUCT(Oxides_max!$C15:$AW15,Factors!$C$36:$AW$36)-SUMPRODUCT(Oxides_min!$C15:$AW15,Factors!$C$36:$AW$36))/2)</f>
        <v>0</v>
      </c>
      <c r="AD15" s="20">
        <f>MIN(MAX(0,(SUMPRODUCT(Oxides_min!$C15:$AW15,Factors!$C$37:$AW$37)+SUMPRODUCT(Oxides_max!$C15:$AW15,Factors!$C$37:$AW$37))/2),ABS(SUMPRODUCT(Oxides_max!$C15:$AW15,Factors!$C$37:$AW$37)-SUMPRODUCT(Oxides_min!$C15:$AW15,Factors!$C$37:$AW$37))/2)</f>
        <v>0</v>
      </c>
      <c r="AE15" s="20">
        <f>MIN(MAX(0,(SUMPRODUCT(Oxides_min!$C15:$AW15,Factors!$C$38:$AW$38)+SUMPRODUCT(Oxides_max!$C15:$AW15,Factors!$C$38:$AW$38))/2),ABS(SUMPRODUCT(Oxides_max!$C15:$AW15,Factors!$C$38:$AW$38)-SUMPRODUCT(Oxides_min!$C15:$AW15,Factors!$C$38:$AW$38))/2)</f>
        <v>0</v>
      </c>
      <c r="AF15" s="20">
        <f>MIN(MAX(0,(SUMPRODUCT(Oxides_min!$C15:$AW15,Factors!$C$39:$AW$39)+SUMPRODUCT(Oxides_max!$C15:$AW15,Factors!$C$39:$AW$39))/2),ABS(SUMPRODUCT(Oxides_max!$C15:$AW15,Factors!$C$39:$AW$39)-SUMPRODUCT(Oxides_min!$C15:$AW15,Factors!$C$39:$AW$39))/2)</f>
        <v>5.9058296607552894</v>
      </c>
      <c r="AG15" s="20">
        <f>MIN(MAX(0,(SUMPRODUCT(Oxides_min!$C15:$AW15,Factors!$C$40:$AW$40)+SUMPRODUCT(Oxides_max!$C15:$AW15,Factors!$C$40:$AW$40))/2),ABS(SUMPRODUCT(Oxides_max!$C15:$AW15,Factors!$C$40:$AW$40)-SUMPRODUCT(Oxides_min!$C15:$AW15,Factors!$C$40:$AW$40))/2)</f>
        <v>1.7053662964751564</v>
      </c>
      <c r="AH15" s="20">
        <f>MIN(MAX(0,(SUMPRODUCT(Oxides_min!$C15:$AW15,Factors!$C$41:$AW$41)+SUMPRODUCT(Oxides_max!$C15:$AW15,Factors!$C$41:$AW$41))/2),ABS(SUMPRODUCT(Oxides_max!$C15:$AW15,Factors!$C$41:$AW$41)-SUMPRODUCT(Oxides_min!$C15:$AW15,Factors!$C$41:$AW$41))/2)</f>
        <v>0.64032733244167939</v>
      </c>
      <c r="AI15" s="20">
        <f>MIN(MAX(0,(SUMPRODUCT(Oxides_min!$C15:$AW15,Factors!$C$42:$AW$42)+SUMPRODUCT(Oxides_max!$C15:$AW15,Factors!$C$42:$AW$42))/2),ABS(SUMPRODUCT(Oxides_max!$C15:$AW15,Factors!$C$42:$AW$42)-SUMPRODUCT(Oxides_min!$C15:$AW15,Factors!$C$42:$AW$42))/2)</f>
        <v>0.21361794489666122</v>
      </c>
      <c r="AJ15" s="20">
        <f>MIN(MAX(0,(SUMPRODUCT(Oxides_min!$C15:$AW15,Factors!$C$43:$AW$43)+SUMPRODUCT(Oxides_max!$C15:$AW15,Factors!$C$43:$AW$43))/2),ABS(SUMPRODUCT(Oxides_max!$C15:$AW15,Factors!$C$43:$AW$43)-SUMPRODUCT(Oxides_min!$C15:$AW15,Factors!$C$43:$AW$43))/2)</f>
        <v>1.7147119748217581</v>
      </c>
      <c r="AK15" s="20">
        <f>MIN(MAX(0,(SUMPRODUCT(Oxides_min!$C15:$AW15,Factors!$C$44:$AW$44)+SUMPRODUCT(Oxides_max!$C15:$AW15,Factors!$C$44:$AW$44))/2),ABS(SUMPRODUCT(Oxides_max!$C15:$AW15,Factors!$C$44:$AW$44)-SUMPRODUCT(Oxides_min!$C15:$AW15,Factors!$C$44:$AW$44))/2)</f>
        <v>0.43118058482953225</v>
      </c>
      <c r="AL15" s="20">
        <f>MIN(MAX(0,(SUMPRODUCT(Oxides_min!$C15:$AW15,Factors!$C$45:$AW$45)+SUMPRODUCT(Oxides_max!$C15:$AW15,Factors!$C$45:$AW$45))/2),ABS(SUMPRODUCT(Oxides_max!$C15:$AW15,Factors!$C$45:$AW$45)-SUMPRODUCT(Oxides_min!$C15:$AW15,Factors!$C$45:$AW$45))/2)</f>
        <v>0.12954237408538749</v>
      </c>
      <c r="AM15" s="20">
        <f>MIN(MAX(0,(SUMPRODUCT(Oxides_min!$C15:$AW15,Factors!$C$46:$AW$46)+SUMPRODUCT(Oxides_max!$C15:$AW15,Factors!$C$46:$AW$46))/2),ABS(SUMPRODUCT(Oxides_max!$C15:$AW15,Factors!$C$46:$AW$46)-SUMPRODUCT(Oxides_min!$C15:$AW15,Factors!$C$46:$AW$46))/2)</f>
        <v>1.3013900804696314</v>
      </c>
      <c r="AN15" s="20">
        <f>MIN(MAX(0,(SUMPRODUCT(Oxides_min!$C15:$AW15,Factors!$C$47:$AW$47)+SUMPRODUCT(Oxides_max!$C15:$AW15,Factors!$C$47:$AW$47))/2),ABS(SUMPRODUCT(Oxides_max!$C15:$AW15,Factors!$C$47:$AW$47)-SUMPRODUCT(Oxides_min!$C15:$AW15,Factors!$C$47:$AW$47))/2)</f>
        <v>0.30408212215082941</v>
      </c>
      <c r="AO15" s="20">
        <f>MIN(MAX(0,(SUMPRODUCT(Oxides_min!$C15:$AW15,Factors!$C$48:$AW$48)+SUMPRODUCT(Oxides_max!$C15:$AW15,Factors!$C$48:$AW$48))/2),ABS(SUMPRODUCT(Oxides_max!$C15:$AW15,Factors!$C$48:$AW$48)-SUMPRODUCT(Oxides_min!$C15:$AW15,Factors!$C$48:$AW$48))/2)</f>
        <v>1.5248111915109237</v>
      </c>
      <c r="AP15" s="20">
        <f>MIN(MAX(0,(SUMPRODUCT(Oxides_min!$C15:$AW15,Factors!$C$49:$AW$49)+SUMPRODUCT(Oxides_max!$C15:$AW15,Factors!$C$49:$AW$49))/2),ABS(SUMPRODUCT(Oxides_max!$C15:$AW15,Factors!$C$49:$AW$49)-SUMPRODUCT(Oxides_min!$C15:$AW15,Factors!$C$49:$AW$49))/2)</f>
        <v>0.43648798862513466</v>
      </c>
      <c r="AQ15" s="20">
        <f>MIN(MAX(0,(SUMPRODUCT(Oxides_min!$C15:$AW15,Factors!$C$50:$AW$50)+SUMPRODUCT(Oxides_max!$C15:$AW15,Factors!$C$50:$AW$50))/2),ABS(SUMPRODUCT(Oxides_max!$C15:$AW15,Factors!$C$50:$AW$50)-SUMPRODUCT(Oxides_min!$C15:$AW15,Factors!$C$50:$AW$50))/2)</f>
        <v>1.3117838516136622</v>
      </c>
      <c r="AR15" s="20">
        <f>MIN(MAX(0,(SUMPRODUCT(Oxides_min!$C15:$AW15,Factors!$C$51:$AW$51)+SUMPRODUCT(Oxides_max!$C15:$AW15,Factors!$C$51:$AW$51))/2),ABS(SUMPRODUCT(Oxides_max!$C15:$AW15,Factors!$C$51:$AW$51)-SUMPRODUCT(Oxides_min!$C15:$AW15,Factors!$C$51:$AW$51))/2)</f>
        <v>0.26268362359686837</v>
      </c>
      <c r="AS15" s="20">
        <f>MIN(MAX(0,(SUMPRODUCT(Oxides_min!$C15:$AW15,Factors!$C$52:$AW$52)+SUMPRODUCT(Oxides_max!$C15:$AW15,Factors!$C$52:$AW$52))/2),ABS(SUMPRODUCT(Oxides_max!$C15:$AW15,Factors!$C$52:$AW$52)-SUMPRODUCT(Oxides_min!$C15:$AW15,Factors!$C$52:$AW$52))/2)</f>
        <v>1.5368624187044992</v>
      </c>
      <c r="AT15" s="20">
        <f>MIN(MAX(0,(SUMPRODUCT(Oxides_min!$C15:$AW15,Factors!$C$53:$AW$53)+SUMPRODUCT(Oxides_max!$C15:$AW15,Factors!$C$53:$AW$53))/2),ABS(SUMPRODUCT(Oxides_max!$C15:$AW15,Factors!$C$53:$AW$53)-SUMPRODUCT(Oxides_min!$C15:$AW15,Factors!$C$53:$AW$53))/2)</f>
        <v>0.26381504714641196</v>
      </c>
      <c r="AU15" s="20">
        <f>MIN(MAX(0,(SUMPRODUCT(Oxides_min!$C15:$AW15,Factors!$C$54:$AW$54)+SUMPRODUCT(Oxides_max!$C15:$AW15,Factors!$C$54:$AW$54))/2),ABS(SUMPRODUCT(Oxides_max!$C15:$AW15,Factors!$C$54:$AW$54)-SUMPRODUCT(Oxides_min!$C15:$AW15,Factors!$C$54:$AW$54))/2)</f>
        <v>0</v>
      </c>
      <c r="AV15" s="18">
        <f t="shared" si="0"/>
        <v>27.1</v>
      </c>
    </row>
    <row r="16" spans="1:48" x14ac:dyDescent="0.25">
      <c r="A16" s="13" t="s">
        <v>154</v>
      </c>
      <c r="B16" s="20">
        <f>MIN(MAX(0,(SUMPRODUCT(Oxides_min!$C16:$AW16,Factors!$C$9:$AW$9)+SUMPRODUCT(Oxides_max!$C16:$AW16,Factors!$C$9:$AW$9))/2),ABS(SUMPRODUCT(Oxides_max!$C16:$AW16,Factors!$C$9:$AW$9)-SUMPRODUCT(Oxides_min!$C16:$AW16,Factors!$C$9:$AW$9))/2)</f>
        <v>10.942583638394115</v>
      </c>
      <c r="C16" s="20">
        <f>MIN(MAX(0,(SUMPRODUCT(Oxides_min!$C16:$AW16,Factors!$C$10:$AW$10)+SUMPRODUCT(Oxides_max!$C16:$AW16,Factors!$C$10:$AW$10))/2),ABS(SUMPRODUCT(Oxides_max!$C16:$AW16,Factors!$C$10:$AW$10)-SUMPRODUCT(Oxides_min!$C16:$AW16,Factors!$C$10:$AW$10))/2)</f>
        <v>0.93487342509528493</v>
      </c>
      <c r="D16" s="20">
        <f>MIN(MAX(0,(SUMPRODUCT(Oxides_min!$C16:$AW16,Factors!$C$11:$AW$11)+SUMPRODUCT(Oxides_max!$C16:$AW16,Factors!$C$11:$AW$11))/2),ABS(SUMPRODUCT(Oxides_max!$C16:$AW16,Factors!$C$11:$AW$11)-SUMPRODUCT(Oxides_min!$C16:$AW16,Factors!$C$11:$AW$11))/2)</f>
        <v>0</v>
      </c>
      <c r="E16" s="20">
        <f>MIN(MAX(0,(SUMPRODUCT(Oxides_min!$C16:$AW16,Factors!$C$12:$AW$12)+SUMPRODUCT(Oxides_max!$C16:$AW16,Factors!$C$12:$AW$12))/2),ABS(SUMPRODUCT(Oxides_max!$C16:$AW16,Factors!$C$12:$AW$12)-SUMPRODUCT(Oxides_min!$C16:$AW16,Factors!$C$12:$AW$12))/2)</f>
        <v>0</v>
      </c>
      <c r="F16" s="20">
        <f>MIN(MAX(0,(SUMPRODUCT(Oxides_min!$C16:$AW16,Factors!$C$13:$AW$13)+SUMPRODUCT(Oxides_max!$C16:$AW16,Factors!$C$13:$AW$13))/2),ABS(SUMPRODUCT(Oxides_max!$C16:$AW16,Factors!$C$13:$AW$13)-SUMPRODUCT(Oxides_min!$C16:$AW16,Factors!$C$13:$AW$13))/2)</f>
        <v>0</v>
      </c>
      <c r="G16" s="20">
        <f>MIN(MAX(0,(SUMPRODUCT(Oxides_min!$C16:$AW16,Factors!$C$14:$AW$14)+SUMPRODUCT(Oxides_max!$C16:$AW16,Factors!$C$14:$AW$14))/2),ABS(SUMPRODUCT(Oxides_max!$C16:$AW16,Factors!$C$14:$AW$14)-SUMPRODUCT(Oxides_min!$C16:$AW16,Factors!$C$14:$AW$14))/2)</f>
        <v>0</v>
      </c>
      <c r="H16" s="20">
        <f>MIN(MAX(0,(SUMPRODUCT(Oxides_min!$C16:$AW16,Factors!$C$15:$AW$15)+SUMPRODUCT(Oxides_max!$C16:$AW16,Factors!$C$15:$AW$15))/2),ABS(SUMPRODUCT(Oxides_max!$C16:$AW16,Factors!$C$15:$AW$15)-SUMPRODUCT(Oxides_min!$C16:$AW16,Factors!$C$15:$AW$15))/2)</f>
        <v>0.52925692670867641</v>
      </c>
      <c r="I16" s="20">
        <f>MIN(MAX(0,(SUMPRODUCT(Oxides_min!$C16:$AW16,Factors!$C$16:$AW$16)+SUMPRODUCT(Oxides_max!$C16:$AW16,Factors!$C$16:$AW$16))/2),ABS(SUMPRODUCT(Oxides_max!$C16:$AW16,Factors!$C$16:$AW$16)-SUMPRODUCT(Oxides_min!$C16:$AW16,Factors!$C$16:$AW$16))/2)</f>
        <v>0.52457307107028117</v>
      </c>
      <c r="J16" s="20">
        <f>MIN(MAX(0,(SUMPRODUCT(Oxides_min!$C16:$AW16,Factors!$C$17:$AW$17)+SUMPRODUCT(Oxides_max!$C16:$AW16,Factors!$C$17:$AW$17))/2),ABS(SUMPRODUCT(Oxides_max!$C16:$AW16,Factors!$C$17:$AW$17)-SUMPRODUCT(Oxides_min!$C16:$AW16,Factors!$C$17:$AW$17))/2)</f>
        <v>0</v>
      </c>
      <c r="K16" s="20">
        <f>MIN(MAX(0,(SUMPRODUCT(Oxides_min!$C16:$AW16,Factors!$C$18:$AW$18)+SUMPRODUCT(Oxides_max!$C16:$AW16,Factors!$C$18:$AW$18))/2),ABS(SUMPRODUCT(Oxides_max!$C16:$AW16,Factors!$C$18:$AW$18)-SUMPRODUCT(Oxides_min!$C16:$AW16,Factors!$C$18:$AW$18))/2)</f>
        <v>0</v>
      </c>
      <c r="L16" s="20">
        <f>MIN(MAX(0,(SUMPRODUCT(Oxides_min!$C16:$AW16,Factors!$C$19:$AW$19)+SUMPRODUCT(Oxides_max!$C16:$AW16,Factors!$C$19:$AW$19))/2),ABS(SUMPRODUCT(Oxides_max!$C16:$AW16,Factors!$C$19:$AW$19)-SUMPRODUCT(Oxides_min!$C16:$AW16,Factors!$C$19:$AW$19))/2)</f>
        <v>1.3579221427679795</v>
      </c>
      <c r="M16" s="20">
        <f>MIN(MAX(0,(SUMPRODUCT(Oxides_min!$C16:$AW16,Factors!$C$20:$AW$20)+SUMPRODUCT(Oxides_max!$C16:$AW16,Factors!$C$20:$AW$20))/2),ABS(SUMPRODUCT(Oxides_max!$C16:$AW16,Factors!$C$20:$AW$20)-SUMPRODUCT(Oxides_min!$C16:$AW16,Factors!$C$20:$AW$20))/2)</f>
        <v>0.4227989075362627</v>
      </c>
      <c r="N16" s="20">
        <f>MIN(MAX(0,(SUMPRODUCT(Oxides_min!$C16:$AW16,Factors!$C$21:$AW$21)+SUMPRODUCT(Oxides_max!$C16:$AW16,Factors!$C$21:$AW$21))/2),ABS(SUMPRODUCT(Oxides_max!$C16:$AW16,Factors!$C$21:$AW$21)-SUMPRODUCT(Oxides_min!$C16:$AW16,Factors!$C$21:$AW$21))/2)</f>
        <v>0</v>
      </c>
      <c r="O16" s="20">
        <f>MIN(MAX(0,(SUMPRODUCT(Oxides_min!$C16:$AW16,Factors!$C$22:$AW$22)+SUMPRODUCT(Oxides_max!$C16:$AW16,Factors!$C$22:$AW$22))/2),ABS(SUMPRODUCT(Oxides_max!$C16:$AW16,Factors!$C$22:$AW$22)-SUMPRODUCT(Oxides_min!$C16:$AW16,Factors!$C$22:$AW$22))/2)</f>
        <v>9.2831957132424425E-2</v>
      </c>
      <c r="P16" s="20">
        <f>MIN(MAX(0,(SUMPRODUCT(Oxides_min!$C16:$AW16,Factors!$C$23:$AW$23)+SUMPRODUCT(Oxides_max!$C16:$AW16,Factors!$C$23:$AW$23))/2),ABS(SUMPRODUCT(Oxides_max!$C16:$AW16,Factors!$C$23:$AW$23)-SUMPRODUCT(Oxides_min!$C16:$AW16,Factors!$C$23:$AW$23))/2)</f>
        <v>0</v>
      </c>
      <c r="Q16" s="20">
        <f>MIN(MAX(0,(SUMPRODUCT(Oxides_min!$C16:$AW16,Factors!$C$24:$AW$24)+SUMPRODUCT(Oxides_max!$C16:$AW16,Factors!$C$24:$AW$24))/2),ABS(SUMPRODUCT(Oxides_max!$C16:$AW16,Factors!$C$24:$AW$24)-SUMPRODUCT(Oxides_min!$C16:$AW16,Factors!$C$24:$AW$24))/2)</f>
        <v>0</v>
      </c>
      <c r="R16" s="20">
        <f>MIN(MAX(0,(SUMPRODUCT(Oxides_min!$C16:$AW16,Factors!$C$25:$AW$25)+SUMPRODUCT(Oxides_max!$C16:$AW16,Factors!$C$25:$AW$25))/2),ABS(SUMPRODUCT(Oxides_max!$C16:$AW16,Factors!$C$25:$AW$25)-SUMPRODUCT(Oxides_min!$C16:$AW16,Factors!$C$25:$AW$25))/2)</f>
        <v>0</v>
      </c>
      <c r="S16" s="20">
        <f>MIN(MAX(0,(SUMPRODUCT(Oxides_min!$C16:$AW16,Factors!$C$26:$AW$26)+SUMPRODUCT(Oxides_max!$C16:$AW16,Factors!$C$26:$AW$26))/2),ABS(SUMPRODUCT(Oxides_max!$C16:$AW16,Factors!$C$26:$AW$26)-SUMPRODUCT(Oxides_min!$C16:$AW16,Factors!$C$26:$AW$26))/2)</f>
        <v>0</v>
      </c>
      <c r="T16" s="20">
        <f>MIN(MAX(0,(SUMPRODUCT(Oxides_min!$C16:$AW16,Factors!$C$27:$AW$27)+SUMPRODUCT(Oxides_max!$C16:$AW16,Factors!$C$27:$AW$27))/2),ABS(SUMPRODUCT(Oxides_max!$C16:$AW16,Factors!$C$27:$AW$27)-SUMPRODUCT(Oxides_min!$C16:$AW16,Factors!$C$27:$AW$27))/2)</f>
        <v>0</v>
      </c>
      <c r="U16" s="20">
        <f>MIN(MAX(0,(SUMPRODUCT(Oxides_min!$C16:$AW16,Factors!$C$28:$AW$28)+SUMPRODUCT(Oxides_max!$C16:$AW16,Factors!$C$28:$AW$28))/2),ABS(SUMPRODUCT(Oxides_max!$C16:$AW16,Factors!$C$28:$AW$28)-SUMPRODUCT(Oxides_min!$C16:$AW16,Factors!$C$28:$AW$28))/2)</f>
        <v>0</v>
      </c>
      <c r="V16" s="20">
        <f>MIN(MAX(0,(SUMPRODUCT(Oxides_min!$C16:$AW16,Factors!$C$29:$AW$29)+SUMPRODUCT(Oxides_max!$C16:$AW16,Factors!$C$29:$AW$29))/2),ABS(SUMPRODUCT(Oxides_max!$C16:$AW16,Factors!$C$29:$AW$29)-SUMPRODUCT(Oxides_min!$C16:$AW16,Factors!$C$29:$AW$29))/2)</f>
        <v>1.3092804520880383</v>
      </c>
      <c r="W16" s="20">
        <f>MIN(MAX(0,(SUMPRODUCT(Oxides_min!$C16:$AW16,Factors!$C$30:$AW$30)+SUMPRODUCT(Oxides_max!$C16:$AW16,Factors!$C$30:$AW$30))/2),ABS(SUMPRODUCT(Oxides_max!$C16:$AW16,Factors!$C$30:$AW$30)-SUMPRODUCT(Oxides_min!$C16:$AW16,Factors!$C$30:$AW$30))/2)</f>
        <v>0</v>
      </c>
      <c r="X16" s="20">
        <f>MIN(MAX(0,(SUMPRODUCT(Oxides_min!$C16:$AW16,Factors!$C$31:$AW$31)+SUMPRODUCT(Oxides_max!$C16:$AW16,Factors!$C$31:$AW$31))/2),ABS(SUMPRODUCT(Oxides_max!$C16:$AW16,Factors!$C$31:$AW$31)-SUMPRODUCT(Oxides_min!$C16:$AW16,Factors!$C$31:$AW$31))/2)</f>
        <v>0</v>
      </c>
      <c r="Y16" s="20">
        <f>MIN(MAX(0,(SUMPRODUCT(Oxides_min!$C16:$AW16,Factors!$C$32:$AW$32)+SUMPRODUCT(Oxides_max!$C16:$AW16,Factors!$C$32:$AW$32))/2),ABS(SUMPRODUCT(Oxides_max!$C16:$AW16,Factors!$C$32:$AW$32)-SUMPRODUCT(Oxides_min!$C16:$AW16,Factors!$C$32:$AW$32))/2)</f>
        <v>0</v>
      </c>
      <c r="Z16" s="20">
        <f>MIN(MAX(0,(SUMPRODUCT(Oxides_min!$C16:$AW16,Factors!$C$33:$AW$33)+SUMPRODUCT(Oxides_max!$C16:$AW16,Factors!$C$33:$AW$33))/2),ABS(SUMPRODUCT(Oxides_max!$C16:$AW16,Factors!$C$33:$AW$33)-SUMPRODUCT(Oxides_min!$C16:$AW16,Factors!$C$33:$AW$33))/2)</f>
        <v>0.22381348875936713</v>
      </c>
      <c r="AA16" s="20">
        <f>MIN(MAX(0,(SUMPRODUCT(Oxides_min!$C16:$AW16,Factors!$C$34:$AW$34)+SUMPRODUCT(Oxides_max!$C16:$AW16,Factors!$C$34:$AW$34))/2),ABS(SUMPRODUCT(Oxides_max!$C16:$AW16,Factors!$C$34:$AW$34)-SUMPRODUCT(Oxides_min!$C16:$AW16,Factors!$C$34:$AW$34))/2)</f>
        <v>0</v>
      </c>
      <c r="AB16" s="20">
        <f>MIN(MAX(0,(SUMPRODUCT(Oxides_min!$C16:$AW16,Factors!$C$35:$AW$35)+SUMPRODUCT(Oxides_max!$C16:$AW16,Factors!$C$35:$AW$35))/2),ABS(SUMPRODUCT(Oxides_max!$C16:$AW16,Factors!$C$35:$AW$35)-SUMPRODUCT(Oxides_min!$C16:$AW16,Factors!$C$35:$AW$35))/2)</f>
        <v>0</v>
      </c>
      <c r="AC16" s="20">
        <f>MIN(MAX(0,(SUMPRODUCT(Oxides_min!$C16:$AW16,Factors!$C$36:$AW$36)+SUMPRODUCT(Oxides_max!$C16:$AW16,Factors!$C$36:$AW$36))/2),ABS(SUMPRODUCT(Oxides_max!$C16:$AW16,Factors!$C$36:$AW$36)-SUMPRODUCT(Oxides_min!$C16:$AW16,Factors!$C$36:$AW$36))/2)</f>
        <v>3.5152473699579261</v>
      </c>
      <c r="AD16" s="20">
        <f>MIN(MAX(0,(SUMPRODUCT(Oxides_min!$C16:$AW16,Factors!$C$37:$AW$37)+SUMPRODUCT(Oxides_max!$C16:$AW16,Factors!$C$37:$AW$37))/2),ABS(SUMPRODUCT(Oxides_max!$C16:$AW16,Factors!$C$37:$AW$37)-SUMPRODUCT(Oxides_min!$C16:$AW16,Factors!$C$37:$AW$37))/2)</f>
        <v>0.22037517482979752</v>
      </c>
      <c r="AE16" s="20">
        <f>MIN(MAX(0,(SUMPRODUCT(Oxides_min!$C16:$AW16,Factors!$C$38:$AW$38)+SUMPRODUCT(Oxides_max!$C16:$AW16,Factors!$C$38:$AW$38))/2),ABS(SUMPRODUCT(Oxides_max!$C16:$AW16,Factors!$C$38:$AW$38)-SUMPRODUCT(Oxides_min!$C16:$AW16,Factors!$C$38:$AW$38))/2)</f>
        <v>0</v>
      </c>
      <c r="AF16" s="20">
        <f>MIN(MAX(0,(SUMPRODUCT(Oxides_min!$C16:$AW16,Factors!$C$39:$AW$39)+SUMPRODUCT(Oxides_max!$C16:$AW16,Factors!$C$39:$AW$39))/2),ABS(SUMPRODUCT(Oxides_max!$C16:$AW16,Factors!$C$39:$AW$39)-SUMPRODUCT(Oxides_min!$C16:$AW16,Factors!$C$39:$AW$39))/2)</f>
        <v>1.5748879095347443</v>
      </c>
      <c r="AG16" s="20">
        <f>MIN(MAX(0,(SUMPRODUCT(Oxides_min!$C16:$AW16,Factors!$C$40:$AW$40)+SUMPRODUCT(Oxides_max!$C16:$AW16,Factors!$C$40:$AW$40))/2),ABS(SUMPRODUCT(Oxides_max!$C16:$AW16,Factors!$C$40:$AW$40)-SUMPRODUCT(Oxides_min!$C16:$AW16,Factors!$C$40:$AW$40))/2)</f>
        <v>5.1160988894254693</v>
      </c>
      <c r="AH16" s="20">
        <f>MIN(MAX(0,(SUMPRODUCT(Oxides_min!$C16:$AW16,Factors!$C$41:$AW$41)+SUMPRODUCT(Oxides_max!$C16:$AW16,Factors!$C$41:$AW$41))/2),ABS(SUMPRODUCT(Oxides_max!$C16:$AW16,Factors!$C$41:$AW$41)-SUMPRODUCT(Oxides_min!$C16:$AW16,Factors!$C$41:$AW$41))/2)</f>
        <v>6.4032733244167943</v>
      </c>
      <c r="AI16" s="20">
        <f>MIN(MAX(0,(SUMPRODUCT(Oxides_min!$C16:$AW16,Factors!$C$42:$AW$42)+SUMPRODUCT(Oxides_max!$C16:$AW16,Factors!$C$42:$AW$42))/2),ABS(SUMPRODUCT(Oxides_max!$C16:$AW16,Factors!$C$42:$AW$42)-SUMPRODUCT(Oxides_min!$C16:$AW16,Factors!$C$42:$AW$42))/2)</f>
        <v>1.2817076693799674</v>
      </c>
      <c r="AJ16" s="20">
        <f>MIN(MAX(0,(SUMPRODUCT(Oxides_min!$C16:$AW16,Factors!$C$43:$AW$43)+SUMPRODUCT(Oxides_max!$C16:$AW16,Factors!$C$43:$AW$43))/2),ABS(SUMPRODUCT(Oxides_max!$C16:$AW16,Factors!$C$43:$AW$43)-SUMPRODUCT(Oxides_min!$C16:$AW16,Factors!$C$43:$AW$43))/2)</f>
        <v>6.4301699055815931</v>
      </c>
      <c r="AK16" s="20">
        <f>MIN(MAX(0,(SUMPRODUCT(Oxides_min!$C16:$AW16,Factors!$C$44:$AW$44)+SUMPRODUCT(Oxides_max!$C16:$AW16,Factors!$C$44:$AW$44))/2),ABS(SUMPRODUCT(Oxides_max!$C16:$AW16,Factors!$C$44:$AW$44)-SUMPRODUCT(Oxides_min!$C16:$AW16,Factors!$C$44:$AW$44))/2)</f>
        <v>1.5091320469033629</v>
      </c>
      <c r="AL16" s="20">
        <f>MIN(MAX(0,(SUMPRODUCT(Oxides_min!$C16:$AW16,Factors!$C$45:$AW$45)+SUMPRODUCT(Oxides_max!$C16:$AW16,Factors!$C$45:$AW$45))/2),ABS(SUMPRODUCT(Oxides_max!$C16:$AW16,Factors!$C$45:$AW$45)-SUMPRODUCT(Oxides_min!$C16:$AW16,Factors!$C$45:$AW$45))/2)</f>
        <v>0.77725424451232505</v>
      </c>
      <c r="AM16" s="20">
        <f>MIN(MAX(0,(SUMPRODUCT(Oxides_min!$C16:$AW16,Factors!$C$46:$AW$46)+SUMPRODUCT(Oxides_max!$C16:$AW16,Factors!$C$46:$AW$46))/2),ABS(SUMPRODUCT(Oxides_max!$C16:$AW16,Factors!$C$46:$AW$46)-SUMPRODUCT(Oxides_min!$C16:$AW16,Factors!$C$46:$AW$46))/2)</f>
        <v>1.4315290885165946</v>
      </c>
      <c r="AN16" s="20">
        <f>MIN(MAX(0,(SUMPRODUCT(Oxides_min!$C16:$AW16,Factors!$C$47:$AW$47)+SUMPRODUCT(Oxides_max!$C16:$AW16,Factors!$C$47:$AW$47))/2),ABS(SUMPRODUCT(Oxides_max!$C16:$AW16,Factors!$C$47:$AW$47)-SUMPRODUCT(Oxides_min!$C16:$AW16,Factors!$C$47:$AW$47))/2)</f>
        <v>0.17376121265761682</v>
      </c>
      <c r="AO16" s="20">
        <f>MIN(MAX(0,(SUMPRODUCT(Oxides_min!$C16:$AW16,Factors!$C$48:$AW$48)+SUMPRODUCT(Oxides_max!$C16:$AW16,Factors!$C$48:$AW$48))/2),ABS(SUMPRODUCT(Oxides_max!$C16:$AW16,Factors!$C$48:$AW$48)-SUMPRODUCT(Oxides_min!$C16:$AW16,Factors!$C$48:$AW$48))/2)</f>
        <v>0.74062257873387716</v>
      </c>
      <c r="AP16" s="20">
        <f>MIN(MAX(0,(SUMPRODUCT(Oxides_min!$C16:$AW16,Factors!$C$49:$AW$49)+SUMPRODUCT(Oxides_max!$C16:$AW16,Factors!$C$49:$AW$49))/2),ABS(SUMPRODUCT(Oxides_max!$C16:$AW16,Factors!$C$49:$AW$49)-SUMPRODUCT(Oxides_min!$C16:$AW16,Factors!$C$49:$AW$49))/2)</f>
        <v>0.17459519545005386</v>
      </c>
      <c r="AQ16" s="20">
        <f>MIN(MAX(0,(SUMPRODUCT(Oxides_min!$C16:$AW16,Factors!$C$50:$AW$50)+SUMPRODUCT(Oxides_max!$C16:$AW16,Factors!$C$50:$AW$50))/2),ABS(SUMPRODUCT(Oxides_max!$C16:$AW16,Factors!$C$50:$AW$50)-SUMPRODUCT(Oxides_min!$C16:$AW16,Factors!$C$50:$AW$50))/2)</f>
        <v>0.48098741225834279</v>
      </c>
      <c r="AR16" s="20">
        <f>MIN(MAX(0,(SUMPRODUCT(Oxides_min!$C16:$AW16,Factors!$C$51:$AW$51)+SUMPRODUCT(Oxides_max!$C16:$AW16,Factors!$C$51:$AW$51))/2),ABS(SUMPRODUCT(Oxides_max!$C16:$AW16,Factors!$C$51:$AW$51)-SUMPRODUCT(Oxides_min!$C16:$AW16,Factors!$C$51:$AW$51))/2)</f>
        <v>0.21890301966405698</v>
      </c>
      <c r="AS16" s="20">
        <f>MIN(MAX(0,(SUMPRODUCT(Oxides_min!$C16:$AW16,Factors!$C$52:$AW$52)+SUMPRODUCT(Oxides_max!$C16:$AW16,Factors!$C$52:$AW$52))/2),ABS(SUMPRODUCT(Oxides_max!$C16:$AW16,Factors!$C$52:$AW$52)-SUMPRODUCT(Oxides_min!$C16:$AW16,Factors!$C$52:$AW$52))/2)</f>
        <v>0.21955177410064275</v>
      </c>
      <c r="AT16" s="20">
        <f>MIN(MAX(0,(SUMPRODUCT(Oxides_min!$C16:$AW16,Factors!$C$53:$AW$53)+SUMPRODUCT(Oxides_max!$C16:$AW16,Factors!$C$53:$AW$53))/2),ABS(SUMPRODUCT(Oxides_max!$C16:$AW16,Factors!$C$53:$AW$53)-SUMPRODUCT(Oxides_min!$C16:$AW16,Factors!$C$53:$AW$53))/2)</f>
        <v>4.3969174524401994E-2</v>
      </c>
      <c r="AU16" s="20">
        <f>MIN(MAX(0,(SUMPRODUCT(Oxides_min!$C16:$AW16,Factors!$C$54:$AW$54)+SUMPRODUCT(Oxides_max!$C16:$AW16,Factors!$C$54:$AW$54))/2),ABS(SUMPRODUCT(Oxides_max!$C16:$AW16,Factors!$C$54:$AW$54)-SUMPRODUCT(Oxides_min!$C16:$AW16,Factors!$C$54:$AW$54))/2)</f>
        <v>0</v>
      </c>
      <c r="AV16" s="18">
        <f t="shared" si="0"/>
        <v>46.65</v>
      </c>
    </row>
    <row r="17" spans="1:48" x14ac:dyDescent="0.25">
      <c r="A17" s="13" t="s">
        <v>156</v>
      </c>
      <c r="B17" s="20">
        <f>MIN(MAX(0,(SUMPRODUCT(Oxides_min!$C17:$AW17,Factors!$C$9:$AW$9)+SUMPRODUCT(Oxides_max!$C17:$AW17,Factors!$C$9:$AW$9))/2),ABS(SUMPRODUCT(Oxides_max!$C17:$AW17,Factors!$C$9:$AW$9)-SUMPRODUCT(Oxides_min!$C17:$AW17,Factors!$C$9:$AW$9))/2)</f>
        <v>1.4975557205055883</v>
      </c>
      <c r="C17" s="20">
        <f>MIN(MAX(0,(SUMPRODUCT(Oxides_min!$C17:$AW17,Factors!$C$10:$AW$10)+SUMPRODUCT(Oxides_max!$C17:$AW17,Factors!$C$10:$AW$10))/2),ABS(SUMPRODUCT(Oxides_max!$C17:$AW17,Factors!$C$10:$AW$10)-SUMPRODUCT(Oxides_min!$C17:$AW17,Factors!$C$10:$AW$10))/2)</f>
        <v>0.11685917813691062</v>
      </c>
      <c r="D17" s="20">
        <f>MIN(MAX(0,(SUMPRODUCT(Oxides_min!$C17:$AW17,Factors!$C$11:$AW$11)+SUMPRODUCT(Oxides_max!$C17:$AW17,Factors!$C$11:$AW$11))/2),ABS(SUMPRODUCT(Oxides_max!$C17:$AW17,Factors!$C$11:$AW$11)-SUMPRODUCT(Oxides_min!$C17:$AW17,Factors!$C$11:$AW$11))/2)</f>
        <v>0</v>
      </c>
      <c r="E17" s="20">
        <f>MIN(MAX(0,(SUMPRODUCT(Oxides_min!$C17:$AW17,Factors!$C$12:$AW$12)+SUMPRODUCT(Oxides_max!$C17:$AW17,Factors!$C$12:$AW$12))/2),ABS(SUMPRODUCT(Oxides_max!$C17:$AW17,Factors!$C$12:$AW$12)-SUMPRODUCT(Oxides_min!$C17:$AW17,Factors!$C$12:$AW$12))/2)</f>
        <v>0</v>
      </c>
      <c r="F17" s="20">
        <f>MIN(MAX(0,(SUMPRODUCT(Oxides_min!$C17:$AW17,Factors!$C$13:$AW$13)+SUMPRODUCT(Oxides_max!$C17:$AW17,Factors!$C$13:$AW$13))/2),ABS(SUMPRODUCT(Oxides_max!$C17:$AW17,Factors!$C$13:$AW$13)-SUMPRODUCT(Oxides_min!$C17:$AW17,Factors!$C$13:$AW$13))/2)</f>
        <v>0</v>
      </c>
      <c r="G17" s="20">
        <f>MIN(MAX(0,(SUMPRODUCT(Oxides_min!$C17:$AW17,Factors!$C$14:$AW$14)+SUMPRODUCT(Oxides_max!$C17:$AW17,Factors!$C$14:$AW$14))/2),ABS(SUMPRODUCT(Oxides_max!$C17:$AW17,Factors!$C$14:$AW$14)-SUMPRODUCT(Oxides_min!$C17:$AW17,Factors!$C$14:$AW$14))/2)</f>
        <v>0</v>
      </c>
      <c r="H17" s="20">
        <f>MIN(MAX(0,(SUMPRODUCT(Oxides_min!$C17:$AW17,Factors!$C$15:$AW$15)+SUMPRODUCT(Oxides_max!$C17:$AW17,Factors!$C$15:$AW$15))/2),ABS(SUMPRODUCT(Oxides_max!$C17:$AW17,Factors!$C$15:$AW$15)-SUMPRODUCT(Oxides_min!$C17:$AW17,Factors!$C$15:$AW$15))/2)</f>
        <v>0</v>
      </c>
      <c r="I17" s="20">
        <f>MIN(MAX(0,(SUMPRODUCT(Oxides_min!$C17:$AW17,Factors!$C$16:$AW$16)+SUMPRODUCT(Oxides_max!$C17:$AW17,Factors!$C$16:$AW$16))/2),ABS(SUMPRODUCT(Oxides_max!$C17:$AW17,Factors!$C$16:$AW$16)-SUMPRODUCT(Oxides_min!$C17:$AW17,Factors!$C$16:$AW$16))/2)</f>
        <v>0.10491461421405625</v>
      </c>
      <c r="J17" s="20">
        <f>MIN(MAX(0,(SUMPRODUCT(Oxides_min!$C17:$AW17,Factors!$C$17:$AW$17)+SUMPRODUCT(Oxides_max!$C17:$AW17,Factors!$C$17:$AW$17))/2),ABS(SUMPRODUCT(Oxides_max!$C17:$AW17,Factors!$C$17:$AW$17)-SUMPRODUCT(Oxides_min!$C17:$AW17,Factors!$C$17:$AW$17))/2)</f>
        <v>0</v>
      </c>
      <c r="K17" s="20">
        <f>MIN(MAX(0,(SUMPRODUCT(Oxides_min!$C17:$AW17,Factors!$C$18:$AW$18)+SUMPRODUCT(Oxides_max!$C17:$AW17,Factors!$C$18:$AW$18))/2),ABS(SUMPRODUCT(Oxides_max!$C17:$AW17,Factors!$C$18:$AW$18)-SUMPRODUCT(Oxides_min!$C17:$AW17,Factors!$C$18:$AW$18))/2)</f>
        <v>0</v>
      </c>
      <c r="L17" s="20">
        <f>MIN(MAX(0,(SUMPRODUCT(Oxides_min!$C17:$AW17,Factors!$C$19:$AW$19)+SUMPRODUCT(Oxides_max!$C17:$AW17,Factors!$C$19:$AW$19))/2),ABS(SUMPRODUCT(Oxides_max!$C17:$AW17,Factors!$C$19:$AW$19)-SUMPRODUCT(Oxides_min!$C17:$AW17,Factors!$C$19:$AW$19))/2)</f>
        <v>0.35734793230736306</v>
      </c>
      <c r="M17" s="20">
        <f>MIN(MAX(0,(SUMPRODUCT(Oxides_min!$C17:$AW17,Factors!$C$20:$AW$20)+SUMPRODUCT(Oxides_max!$C17:$AW17,Factors!$C$20:$AW$20))/2),ABS(SUMPRODUCT(Oxides_max!$C17:$AW17,Factors!$C$20:$AW$20)-SUMPRODUCT(Oxides_min!$C17:$AW17,Factors!$C$20:$AW$20))/2)</f>
        <v>0</v>
      </c>
      <c r="N17" s="20">
        <f>MIN(MAX(0,(SUMPRODUCT(Oxides_min!$C17:$AW17,Factors!$C$21:$AW$21)+SUMPRODUCT(Oxides_max!$C17:$AW17,Factors!$C$21:$AW$21))/2),ABS(SUMPRODUCT(Oxides_max!$C17:$AW17,Factors!$C$21:$AW$21)-SUMPRODUCT(Oxides_min!$C17:$AW17,Factors!$C$21:$AW$21))/2)</f>
        <v>0</v>
      </c>
      <c r="O17" s="20">
        <f>MIN(MAX(0,(SUMPRODUCT(Oxides_min!$C17:$AW17,Factors!$C$22:$AW$22)+SUMPRODUCT(Oxides_max!$C17:$AW17,Factors!$C$22:$AW$22))/2),ABS(SUMPRODUCT(Oxides_max!$C17:$AW17,Factors!$C$22:$AW$22)-SUMPRODUCT(Oxides_min!$C17:$AW17,Factors!$C$22:$AW$22))/2)</f>
        <v>0</v>
      </c>
      <c r="P17" s="20">
        <f>MIN(MAX(0,(SUMPRODUCT(Oxides_min!$C17:$AW17,Factors!$C$23:$AW$23)+SUMPRODUCT(Oxides_max!$C17:$AW17,Factors!$C$23:$AW$23))/2),ABS(SUMPRODUCT(Oxides_max!$C17:$AW17,Factors!$C$23:$AW$23)-SUMPRODUCT(Oxides_min!$C17:$AW17,Factors!$C$23:$AW$23))/2)</f>
        <v>0</v>
      </c>
      <c r="Q17" s="20">
        <f>MIN(MAX(0,(SUMPRODUCT(Oxides_min!$C17:$AW17,Factors!$C$24:$AW$24)+SUMPRODUCT(Oxides_max!$C17:$AW17,Factors!$C$24:$AW$24))/2),ABS(SUMPRODUCT(Oxides_max!$C17:$AW17,Factors!$C$24:$AW$24)-SUMPRODUCT(Oxides_min!$C17:$AW17,Factors!$C$24:$AW$24))/2)</f>
        <v>0</v>
      </c>
      <c r="R17" s="20">
        <f>MIN(MAX(0,(SUMPRODUCT(Oxides_min!$C17:$AW17,Factors!$C$25:$AW$25)+SUMPRODUCT(Oxides_max!$C17:$AW17,Factors!$C$25:$AW$25))/2),ABS(SUMPRODUCT(Oxides_max!$C17:$AW17,Factors!$C$25:$AW$25)-SUMPRODUCT(Oxides_min!$C17:$AW17,Factors!$C$25:$AW$25))/2)</f>
        <v>0</v>
      </c>
      <c r="S17" s="20">
        <f>MIN(MAX(0,(SUMPRODUCT(Oxides_min!$C17:$AW17,Factors!$C$26:$AW$26)+SUMPRODUCT(Oxides_max!$C17:$AW17,Factors!$C$26:$AW$26))/2),ABS(SUMPRODUCT(Oxides_max!$C17:$AW17,Factors!$C$26:$AW$26)-SUMPRODUCT(Oxides_min!$C17:$AW17,Factors!$C$26:$AW$26))/2)</f>
        <v>0</v>
      </c>
      <c r="T17" s="20">
        <f>MIN(MAX(0,(SUMPRODUCT(Oxides_min!$C17:$AW17,Factors!$C$27:$AW$27)+SUMPRODUCT(Oxides_max!$C17:$AW17,Factors!$C$27:$AW$27))/2),ABS(SUMPRODUCT(Oxides_max!$C17:$AW17,Factors!$C$27:$AW$27)-SUMPRODUCT(Oxides_min!$C17:$AW17,Factors!$C$27:$AW$27))/2)</f>
        <v>0</v>
      </c>
      <c r="U17" s="20">
        <f>MIN(MAX(0,(SUMPRODUCT(Oxides_min!$C17:$AW17,Factors!$C$28:$AW$28)+SUMPRODUCT(Oxides_max!$C17:$AW17,Factors!$C$28:$AW$28))/2),ABS(SUMPRODUCT(Oxides_max!$C17:$AW17,Factors!$C$28:$AW$28)-SUMPRODUCT(Oxides_min!$C17:$AW17,Factors!$C$28:$AW$28))/2)</f>
        <v>0</v>
      </c>
      <c r="V17" s="20">
        <f>MIN(MAX(0,(SUMPRODUCT(Oxides_min!$C17:$AW17,Factors!$C$29:$AW$29)+SUMPRODUCT(Oxides_max!$C17:$AW17,Factors!$C$29:$AW$29))/2),ABS(SUMPRODUCT(Oxides_max!$C17:$AW17,Factors!$C$29:$AW$29)-SUMPRODUCT(Oxides_min!$C17:$AW17,Factors!$C$29:$AW$29))/2)</f>
        <v>0</v>
      </c>
      <c r="W17" s="20">
        <f>MIN(MAX(0,(SUMPRODUCT(Oxides_min!$C17:$AW17,Factors!$C$30:$AW$30)+SUMPRODUCT(Oxides_max!$C17:$AW17,Factors!$C$30:$AW$30))/2),ABS(SUMPRODUCT(Oxides_max!$C17:$AW17,Factors!$C$30:$AW$30)-SUMPRODUCT(Oxides_min!$C17:$AW17,Factors!$C$30:$AW$30))/2)</f>
        <v>0</v>
      </c>
      <c r="X17" s="20">
        <f>MIN(MAX(0,(SUMPRODUCT(Oxides_min!$C17:$AW17,Factors!$C$31:$AW$31)+SUMPRODUCT(Oxides_max!$C17:$AW17,Factors!$C$31:$AW$31))/2),ABS(SUMPRODUCT(Oxides_max!$C17:$AW17,Factors!$C$31:$AW$31)-SUMPRODUCT(Oxides_min!$C17:$AW17,Factors!$C$31:$AW$31))/2)</f>
        <v>0</v>
      </c>
      <c r="Y17" s="20">
        <f>MIN(MAX(0,(SUMPRODUCT(Oxides_min!$C17:$AW17,Factors!$C$32:$AW$32)+SUMPRODUCT(Oxides_max!$C17:$AW17,Factors!$C$32:$AW$32))/2),ABS(SUMPRODUCT(Oxides_max!$C17:$AW17,Factors!$C$32:$AW$32)-SUMPRODUCT(Oxides_min!$C17:$AW17,Factors!$C$32:$AW$32))/2)</f>
        <v>0</v>
      </c>
      <c r="Z17" s="20">
        <f>MIN(MAX(0,(SUMPRODUCT(Oxides_min!$C17:$AW17,Factors!$C$33:$AW$33)+SUMPRODUCT(Oxides_max!$C17:$AW17,Factors!$C$33:$AW$33))/2),ABS(SUMPRODUCT(Oxides_max!$C17:$AW17,Factors!$C$33:$AW$33)-SUMPRODUCT(Oxides_min!$C17:$AW17,Factors!$C$33:$AW$33))/2)</f>
        <v>0</v>
      </c>
      <c r="AA17" s="20">
        <f>MIN(MAX(0,(SUMPRODUCT(Oxides_min!$C17:$AW17,Factors!$C$34:$AW$34)+SUMPRODUCT(Oxides_max!$C17:$AW17,Factors!$C$34:$AW$34))/2),ABS(SUMPRODUCT(Oxides_max!$C17:$AW17,Factors!$C$34:$AW$34)-SUMPRODUCT(Oxides_min!$C17:$AW17,Factors!$C$34:$AW$34))/2)</f>
        <v>2.5</v>
      </c>
      <c r="AB17" s="20">
        <f>MIN(MAX(0,(SUMPRODUCT(Oxides_min!$C17:$AW17,Factors!$C$35:$AW$35)+SUMPRODUCT(Oxides_max!$C17:$AW17,Factors!$C$35:$AW$35))/2),ABS(SUMPRODUCT(Oxides_max!$C17:$AW17,Factors!$C$35:$AW$35)-SUMPRODUCT(Oxides_min!$C17:$AW17,Factors!$C$35:$AW$35))/2)</f>
        <v>0</v>
      </c>
      <c r="AC17" s="20">
        <f>MIN(MAX(0,(SUMPRODUCT(Oxides_min!$C17:$AW17,Factors!$C$36:$AW$36)+SUMPRODUCT(Oxides_max!$C17:$AW17,Factors!$C$36:$AW$36))/2),ABS(SUMPRODUCT(Oxides_max!$C17:$AW17,Factors!$C$36:$AW$36)-SUMPRODUCT(Oxides_min!$C17:$AW17,Factors!$C$36:$AW$36))/2)</f>
        <v>0.87881184248948152</v>
      </c>
      <c r="AD17" s="20">
        <f>MIN(MAX(0,(SUMPRODUCT(Oxides_min!$C17:$AW17,Factors!$C$37:$AW$37)+SUMPRODUCT(Oxides_max!$C17:$AW17,Factors!$C$37:$AW$37))/2),ABS(SUMPRODUCT(Oxides_max!$C17:$AW17,Factors!$C$37:$AW$37)-SUMPRODUCT(Oxides_min!$C17:$AW17,Factors!$C$37:$AW$37))/2)</f>
        <v>0</v>
      </c>
      <c r="AE17" s="20">
        <f>MIN(MAX(0,(SUMPRODUCT(Oxides_min!$C17:$AW17,Factors!$C$38:$AW$38)+SUMPRODUCT(Oxides_max!$C17:$AW17,Factors!$C$38:$AW$38))/2),ABS(SUMPRODUCT(Oxides_max!$C17:$AW17,Factors!$C$38:$AW$38)-SUMPRODUCT(Oxides_min!$C17:$AW17,Factors!$C$38:$AW$38))/2)</f>
        <v>0</v>
      </c>
      <c r="AF17" s="20">
        <f>MIN(MAX(0,(SUMPRODUCT(Oxides_min!$C17:$AW17,Factors!$C$39:$AW$39)+SUMPRODUCT(Oxides_max!$C17:$AW17,Factors!$C$39:$AW$39))/2),ABS(SUMPRODUCT(Oxides_max!$C17:$AW17,Factors!$C$39:$AW$39)-SUMPRODUCT(Oxides_min!$C17:$AW17,Factors!$C$39:$AW$39))/2)</f>
        <v>0.39372197738368608</v>
      </c>
      <c r="AG17" s="20">
        <f>MIN(MAX(0,(SUMPRODUCT(Oxides_min!$C17:$AW17,Factors!$C$40:$AW$40)+SUMPRODUCT(Oxides_max!$C17:$AW17,Factors!$C$40:$AW$40))/2),ABS(SUMPRODUCT(Oxides_max!$C17:$AW17,Factors!$C$40:$AW$40)-SUMPRODUCT(Oxides_min!$C17:$AW17,Factors!$C$40:$AW$40))/2)</f>
        <v>7.6741483341382031</v>
      </c>
      <c r="AH17" s="20">
        <f>MIN(MAX(0,(SUMPRODUCT(Oxides_min!$C17:$AW17,Factors!$C$41:$AW$41)+SUMPRODUCT(Oxides_max!$C17:$AW17,Factors!$C$41:$AW$41))/2),ABS(SUMPRODUCT(Oxides_max!$C17:$AW17,Factors!$C$41:$AW$41)-SUMPRODUCT(Oxides_min!$C17:$AW17,Factors!$C$41:$AW$41))/2)</f>
        <v>7.2570431010056993</v>
      </c>
      <c r="AI17" s="20">
        <f>MIN(MAX(0,(SUMPRODUCT(Oxides_min!$C17:$AW17,Factors!$C$42:$AW$42)+SUMPRODUCT(Oxides_max!$C17:$AW17,Factors!$C$42:$AW$42))/2),ABS(SUMPRODUCT(Oxides_max!$C17:$AW17,Factors!$C$42:$AW$42)-SUMPRODUCT(Oxides_min!$C17:$AW17,Factors!$C$42:$AW$42))/2)</f>
        <v>1.4953256142766285</v>
      </c>
      <c r="AJ17" s="20">
        <f>MIN(MAX(0,(SUMPRODUCT(Oxides_min!$C17:$AW17,Factors!$C$43:$AW$43)+SUMPRODUCT(Oxides_max!$C17:$AW17,Factors!$C$43:$AW$43))/2),ABS(SUMPRODUCT(Oxides_max!$C17:$AW17,Factors!$C$43:$AW$43)-SUMPRODUCT(Oxides_min!$C17:$AW17,Factors!$C$43:$AW$43))/2)</f>
        <v>4.7154579307598343</v>
      </c>
      <c r="AK17" s="20">
        <f>MIN(MAX(0,(SUMPRODUCT(Oxides_min!$C17:$AW17,Factors!$C$44:$AW$44)+SUMPRODUCT(Oxides_max!$C17:$AW17,Factors!$C$44:$AW$44))/2),ABS(SUMPRODUCT(Oxides_max!$C17:$AW17,Factors!$C$44:$AW$44)-SUMPRODUCT(Oxides_min!$C17:$AW17,Factors!$C$44:$AW$44))/2)</f>
        <v>0.81924311117611126</v>
      </c>
      <c r="AL17" s="20">
        <f>MIN(MAX(0,(SUMPRODUCT(Oxides_min!$C17:$AW17,Factors!$C$45:$AW$45)+SUMPRODUCT(Oxides_max!$C17:$AW17,Factors!$C$45:$AW$45))/2),ABS(SUMPRODUCT(Oxides_max!$C17:$AW17,Factors!$C$45:$AW$45)-SUMPRODUCT(Oxides_min!$C17:$AW17,Factors!$C$45:$AW$45))/2)</f>
        <v>8.6361582723591679E-2</v>
      </c>
      <c r="AM17" s="20">
        <f>MIN(MAX(0,(SUMPRODUCT(Oxides_min!$C17:$AW17,Factors!$C$46:$AW$46)+SUMPRODUCT(Oxides_max!$C17:$AW17,Factors!$C$46:$AW$46))/2),ABS(SUMPRODUCT(Oxides_max!$C17:$AW17,Factors!$C$46:$AW$46)-SUMPRODUCT(Oxides_min!$C17:$AW17,Factors!$C$46:$AW$46))/2)</f>
        <v>0.43379669348987715</v>
      </c>
      <c r="AN17" s="20">
        <f>MIN(MAX(0,(SUMPRODUCT(Oxides_min!$C17:$AW17,Factors!$C$47:$AW$47)+SUMPRODUCT(Oxides_max!$C17:$AW17,Factors!$C$47:$AW$47))/2),ABS(SUMPRODUCT(Oxides_max!$C17:$AW17,Factors!$C$47:$AW$47)-SUMPRODUCT(Oxides_min!$C17:$AW17,Factors!$C$47:$AW$47))/2)</f>
        <v>0</v>
      </c>
      <c r="AO17" s="20">
        <f>MIN(MAX(0,(SUMPRODUCT(Oxides_min!$C17:$AW17,Factors!$C$48:$AW$48)+SUMPRODUCT(Oxides_max!$C17:$AW17,Factors!$C$48:$AW$48))/2),ABS(SUMPRODUCT(Oxides_max!$C17:$AW17,Factors!$C$48:$AW$48)-SUMPRODUCT(Oxides_min!$C17:$AW17,Factors!$C$48:$AW$48))/2)</f>
        <v>0</v>
      </c>
      <c r="AP17" s="20">
        <f>MIN(MAX(0,(SUMPRODUCT(Oxides_min!$C17:$AW17,Factors!$C$49:$AW$49)+SUMPRODUCT(Oxides_max!$C17:$AW17,Factors!$C$49:$AW$49))/2),ABS(SUMPRODUCT(Oxides_max!$C17:$AW17,Factors!$C$49:$AW$49)-SUMPRODUCT(Oxides_min!$C17:$AW17,Factors!$C$49:$AW$49))/2)</f>
        <v>0</v>
      </c>
      <c r="AQ17" s="20">
        <f>MIN(MAX(0,(SUMPRODUCT(Oxides_min!$C17:$AW17,Factors!$C$50:$AW$50)+SUMPRODUCT(Oxides_max!$C17:$AW17,Factors!$C$50:$AW$50))/2),ABS(SUMPRODUCT(Oxides_max!$C17:$AW17,Factors!$C$50:$AW$50)-SUMPRODUCT(Oxides_min!$C17:$AW17,Factors!$C$50:$AW$50))/2)</f>
        <v>0</v>
      </c>
      <c r="AR17" s="20">
        <f>MIN(MAX(0,(SUMPRODUCT(Oxides_min!$C17:$AW17,Factors!$C$51:$AW$51)+SUMPRODUCT(Oxides_max!$C17:$AW17,Factors!$C$51:$AW$51))/2),ABS(SUMPRODUCT(Oxides_max!$C17:$AW17,Factors!$C$51:$AW$51)-SUMPRODUCT(Oxides_min!$C17:$AW17,Factors!$C$51:$AW$51))/2)</f>
        <v>0</v>
      </c>
      <c r="AS17" s="20">
        <f>MIN(MAX(0,(SUMPRODUCT(Oxides_min!$C17:$AW17,Factors!$C$52:$AW$52)+SUMPRODUCT(Oxides_max!$C17:$AW17,Factors!$C$52:$AW$52))/2),ABS(SUMPRODUCT(Oxides_max!$C17:$AW17,Factors!$C$52:$AW$52)-SUMPRODUCT(Oxides_min!$C17:$AW17,Factors!$C$52:$AW$52))/2)</f>
        <v>0</v>
      </c>
      <c r="AT17" s="20">
        <f>MIN(MAX(0,(SUMPRODUCT(Oxides_min!$C17:$AW17,Factors!$C$53:$AW$53)+SUMPRODUCT(Oxides_max!$C17:$AW17,Factors!$C$53:$AW$53))/2),ABS(SUMPRODUCT(Oxides_max!$C17:$AW17,Factors!$C$53:$AW$53)-SUMPRODUCT(Oxides_min!$C17:$AW17,Factors!$C$53:$AW$53))/2)</f>
        <v>0</v>
      </c>
      <c r="AU17" s="20">
        <f>MIN(MAX(0,(SUMPRODUCT(Oxides_min!$C17:$AW17,Factors!$C$54:$AW$54)+SUMPRODUCT(Oxides_max!$C17:$AW17,Factors!$C$54:$AW$54))/2),ABS(SUMPRODUCT(Oxides_max!$C17:$AW17,Factors!$C$54:$AW$54)-SUMPRODUCT(Oxides_min!$C17:$AW17,Factors!$C$54:$AW$54))/2)</f>
        <v>0</v>
      </c>
      <c r="AV17" s="18">
        <f t="shared" si="0"/>
        <v>28.330587632607028</v>
      </c>
    </row>
    <row r="18" spans="1:48" x14ac:dyDescent="0.25">
      <c r="A18" s="13" t="s">
        <v>158</v>
      </c>
      <c r="B18" s="20">
        <f>MIN(MAX(0,(SUMPRODUCT(Oxides_min!$C18:$AW18,Factors!$C$9:$AW$9)+SUMPRODUCT(Oxides_max!$C18:$AW18,Factors!$C$9:$AW$9))/2),ABS(SUMPRODUCT(Oxides_max!$C18:$AW18,Factors!$C$9:$AW$9)-SUMPRODUCT(Oxides_min!$C18:$AW18,Factors!$C$9:$AW$9))/2)</f>
        <v>8.6654452596490366</v>
      </c>
      <c r="C18" s="20">
        <f>MIN(MAX(0,(SUMPRODUCT(Oxides_min!$C18:$AW18,Factors!$C$10:$AW$10)+SUMPRODUCT(Oxides_max!$C18:$AW18,Factors!$C$10:$AW$10))/2),ABS(SUMPRODUCT(Oxides_max!$C18:$AW18,Factors!$C$10:$AW$10)-SUMPRODUCT(Oxides_min!$C18:$AW18,Factors!$C$10:$AW$10))/2)</f>
        <v>0.93487342509528482</v>
      </c>
      <c r="D18" s="20">
        <f>MIN(MAX(0,(SUMPRODUCT(Oxides_min!$C18:$AW18,Factors!$C$11:$AW$11)+SUMPRODUCT(Oxides_max!$C18:$AW18,Factors!$C$11:$AW$11))/2),ABS(SUMPRODUCT(Oxides_max!$C18:$AW18,Factors!$C$11:$AW$11)-SUMPRODUCT(Oxides_min!$C18:$AW18,Factors!$C$11:$AW$11))/2)</f>
        <v>2.9967445063544734E-2</v>
      </c>
      <c r="E18" s="20">
        <f>MIN(MAX(0,(SUMPRODUCT(Oxides_min!$C18:$AW18,Factors!$C$12:$AW$12)+SUMPRODUCT(Oxides_max!$C18:$AW18,Factors!$C$12:$AW$12))/2),ABS(SUMPRODUCT(Oxides_max!$C18:$AW18,Factors!$C$12:$AW$12)-SUMPRODUCT(Oxides_min!$C18:$AW18,Factors!$C$12:$AW$12))/2)</f>
        <v>0</v>
      </c>
      <c r="F18" s="20">
        <f>MIN(MAX(0,(SUMPRODUCT(Oxides_min!$C18:$AW18,Factors!$C$13:$AW$13)+SUMPRODUCT(Oxides_max!$C18:$AW18,Factors!$C$13:$AW$13))/2),ABS(SUMPRODUCT(Oxides_max!$C18:$AW18,Factors!$C$13:$AW$13)-SUMPRODUCT(Oxides_min!$C18:$AW18,Factors!$C$13:$AW$13))/2)</f>
        <v>0</v>
      </c>
      <c r="G18" s="20">
        <f>MIN(MAX(0,(SUMPRODUCT(Oxides_min!$C18:$AW18,Factors!$C$14:$AW$14)+SUMPRODUCT(Oxides_max!$C18:$AW18,Factors!$C$14:$AW$14))/2),ABS(SUMPRODUCT(Oxides_max!$C18:$AW18,Factors!$C$14:$AW$14)-SUMPRODUCT(Oxides_min!$C18:$AW18,Factors!$C$14:$AW$14))/2)</f>
        <v>0</v>
      </c>
      <c r="H18" s="20">
        <f>MIN(MAX(0,(SUMPRODUCT(Oxides_min!$C18:$AW18,Factors!$C$15:$AW$15)+SUMPRODUCT(Oxides_max!$C18:$AW18,Factors!$C$15:$AW$15))/2),ABS(SUMPRODUCT(Oxides_max!$C18:$AW18,Factors!$C$15:$AW$15)-SUMPRODUCT(Oxides_min!$C18:$AW18,Factors!$C$15:$AW$15))/2)</f>
        <v>0.39694269503150731</v>
      </c>
      <c r="I18" s="20">
        <f>MIN(MAX(0,(SUMPRODUCT(Oxides_min!$C18:$AW18,Factors!$C$16:$AW$16)+SUMPRODUCT(Oxides_max!$C18:$AW18,Factors!$C$16:$AW$16))/2),ABS(SUMPRODUCT(Oxides_max!$C18:$AW18,Factors!$C$16:$AW$16)-SUMPRODUCT(Oxides_min!$C18:$AW18,Factors!$C$16:$AW$16))/2)</f>
        <v>1.2240038324973228</v>
      </c>
      <c r="J18" s="20">
        <f>MIN(MAX(0,(SUMPRODUCT(Oxides_min!$C18:$AW18,Factors!$C$17:$AW$17)+SUMPRODUCT(Oxides_max!$C18:$AW18,Factors!$C$17:$AW$17))/2),ABS(SUMPRODUCT(Oxides_max!$C18:$AW18,Factors!$C$17:$AW$17)-SUMPRODUCT(Oxides_min!$C18:$AW18,Factors!$C$17:$AW$17))/2)</f>
        <v>0.11616929794819192</v>
      </c>
      <c r="K18" s="20">
        <f>MIN(MAX(0,(SUMPRODUCT(Oxides_min!$C18:$AW18,Factors!$C$18:$AW$18)+SUMPRODUCT(Oxides_max!$C18:$AW18,Factors!$C$18:$AW$18))/2),ABS(SUMPRODUCT(Oxides_max!$C18:$AW18,Factors!$C$18:$AW$18)-SUMPRODUCT(Oxides_min!$C18:$AW18,Factors!$C$18:$AW$18))/2)</f>
        <v>0.66334606986899558</v>
      </c>
      <c r="L18" s="20">
        <f>MIN(MAX(0,(SUMPRODUCT(Oxides_min!$C18:$AW18,Factors!$C$19:$AW$19)+SUMPRODUCT(Oxides_max!$C18:$AW18,Factors!$C$19:$AW$19))/2),ABS(SUMPRODUCT(Oxides_max!$C18:$AW18,Factors!$C$19:$AW$19)-SUMPRODUCT(Oxides_min!$C18:$AW18,Factors!$C$19:$AW$19))/2)</f>
        <v>1.6080656953831336</v>
      </c>
      <c r="M18" s="20">
        <f>MIN(MAX(0,(SUMPRODUCT(Oxides_min!$C18:$AW18,Factors!$C$20:$AW$20)+SUMPRODUCT(Oxides_max!$C18:$AW18,Factors!$C$20:$AW$20))/2),ABS(SUMPRODUCT(Oxides_max!$C18:$AW18,Factors!$C$20:$AW$20)-SUMPRODUCT(Oxides_min!$C18:$AW18,Factors!$C$20:$AW$20))/2)</f>
        <v>0.84559781507252541</v>
      </c>
      <c r="N18" s="20">
        <f>MIN(MAX(0,(SUMPRODUCT(Oxides_min!$C18:$AW18,Factors!$C$21:$AW$21)+SUMPRODUCT(Oxides_max!$C18:$AW18,Factors!$C$21:$AW$21))/2),ABS(SUMPRODUCT(Oxides_max!$C18:$AW18,Factors!$C$21:$AW$21)-SUMPRODUCT(Oxides_min!$C18:$AW18,Factors!$C$21:$AW$21))/2)</f>
        <v>0.22391342629430103</v>
      </c>
      <c r="O18" s="20">
        <f>MIN(MAX(0,(SUMPRODUCT(Oxides_min!$C18:$AW18,Factors!$C$22:$AW$22)+SUMPRODUCT(Oxides_max!$C18:$AW18,Factors!$C$22:$AW$22))/2),ABS(SUMPRODUCT(Oxides_max!$C18:$AW18,Factors!$C$22:$AW$22)-SUMPRODUCT(Oxides_min!$C18:$AW18,Factors!$C$22:$AW$22))/2)</f>
        <v>0</v>
      </c>
      <c r="P18" s="20">
        <f>MIN(MAX(0,(SUMPRODUCT(Oxides_min!$C18:$AW18,Factors!$C$23:$AW$23)+SUMPRODUCT(Oxides_max!$C18:$AW18,Factors!$C$23:$AW$23))/2),ABS(SUMPRODUCT(Oxides_max!$C18:$AW18,Factors!$C$23:$AW$23)-SUMPRODUCT(Oxides_min!$C18:$AW18,Factors!$C$23:$AW$23))/2)</f>
        <v>0.11127933869113804</v>
      </c>
      <c r="Q18" s="20">
        <f>MIN(MAX(0,(SUMPRODUCT(Oxides_min!$C18:$AW18,Factors!$C$24:$AW$24)+SUMPRODUCT(Oxides_max!$C18:$AW18,Factors!$C$24:$AW$24))/2),ABS(SUMPRODUCT(Oxides_max!$C18:$AW18,Factors!$C$24:$AW$24)-SUMPRODUCT(Oxides_min!$C18:$AW18,Factors!$C$24:$AW$24))/2)</f>
        <v>8.3015130218396627E-2</v>
      </c>
      <c r="R18" s="20">
        <f>MIN(MAX(0,(SUMPRODUCT(Oxides_min!$C18:$AW18,Factors!$C$25:$AW$25)+SUMPRODUCT(Oxides_max!$C18:$AW18,Factors!$C$25:$AW$25))/2),ABS(SUMPRODUCT(Oxides_max!$C18:$AW18,Factors!$C$25:$AW$25)-SUMPRODUCT(Oxides_min!$C18:$AW18,Factors!$C$25:$AW$25))/2)</f>
        <v>0</v>
      </c>
      <c r="S18" s="20">
        <f>MIN(MAX(0,(SUMPRODUCT(Oxides_min!$C18:$AW18,Factors!$C$26:$AW$26)+SUMPRODUCT(Oxides_max!$C18:$AW18,Factors!$C$26:$AW$26))/2),ABS(SUMPRODUCT(Oxides_max!$C18:$AW18,Factors!$C$26:$AW$26)-SUMPRODUCT(Oxides_min!$C18:$AW18,Factors!$C$26:$AW$26))/2)</f>
        <v>0</v>
      </c>
      <c r="T18" s="20">
        <f>MIN(MAX(0,(SUMPRODUCT(Oxides_min!$C18:$AW18,Factors!$C$27:$AW$27)+SUMPRODUCT(Oxides_max!$C18:$AW18,Factors!$C$27:$AW$27))/2),ABS(SUMPRODUCT(Oxides_max!$C18:$AW18,Factors!$C$27:$AW$27)-SUMPRODUCT(Oxides_min!$C18:$AW18,Factors!$C$27:$AW$27))/2)</f>
        <v>0</v>
      </c>
      <c r="U18" s="20">
        <f>MIN(MAX(0,(SUMPRODUCT(Oxides_min!$C18:$AW18,Factors!$C$28:$AW$28)+SUMPRODUCT(Oxides_max!$C18:$AW18,Factors!$C$28:$AW$28))/2),ABS(SUMPRODUCT(Oxides_max!$C18:$AW18,Factors!$C$28:$AW$28)-SUMPRODUCT(Oxides_min!$C18:$AW18,Factors!$C$28:$AW$28))/2)</f>
        <v>0</v>
      </c>
      <c r="V18" s="20">
        <f>MIN(MAX(0,(SUMPRODUCT(Oxides_min!$C18:$AW18,Factors!$C$29:$AW$29)+SUMPRODUCT(Oxides_max!$C18:$AW18,Factors!$C$29:$AW$29))/2),ABS(SUMPRODUCT(Oxides_max!$C18:$AW18,Factors!$C$29:$AW$29)-SUMPRODUCT(Oxides_min!$C18:$AW18,Factors!$C$29:$AW$29))/2)</f>
        <v>0.21821340868133959</v>
      </c>
      <c r="W18" s="20">
        <f>MIN(MAX(0,(SUMPRODUCT(Oxides_min!$C18:$AW18,Factors!$C$30:$AW$30)+SUMPRODUCT(Oxides_max!$C18:$AW18,Factors!$C$30:$AW$30))/2),ABS(SUMPRODUCT(Oxides_max!$C18:$AW18,Factors!$C$30:$AW$30)-SUMPRODUCT(Oxides_min!$C18:$AW18,Factors!$C$30:$AW$30))/2)</f>
        <v>0</v>
      </c>
      <c r="X18" s="20">
        <f>MIN(MAX(0,(SUMPRODUCT(Oxides_min!$C18:$AW18,Factors!$C$31:$AW$31)+SUMPRODUCT(Oxides_max!$C18:$AW18,Factors!$C$31:$AW$31))/2),ABS(SUMPRODUCT(Oxides_max!$C18:$AW18,Factors!$C$31:$AW$31)-SUMPRODUCT(Oxides_min!$C18:$AW18,Factors!$C$31:$AW$31))/2)</f>
        <v>4.0046466892339212E-2</v>
      </c>
      <c r="Y18" s="20">
        <f>MIN(MAX(0,(SUMPRODUCT(Oxides_min!$C18:$AW18,Factors!$C$32:$AW$32)+SUMPRODUCT(Oxides_max!$C18:$AW18,Factors!$C$32:$AW$32))/2),ABS(SUMPRODUCT(Oxides_max!$C18:$AW18,Factors!$C$32:$AW$32)-SUMPRODUCT(Oxides_min!$C18:$AW18,Factors!$C$32:$AW$32))/2)</f>
        <v>0</v>
      </c>
      <c r="Z18" s="20">
        <f>MIN(MAX(0,(SUMPRODUCT(Oxides_min!$C18:$AW18,Factors!$C$33:$AW$33)+SUMPRODUCT(Oxides_max!$C18:$AW18,Factors!$C$33:$AW$33))/2),ABS(SUMPRODUCT(Oxides_max!$C18:$AW18,Factors!$C$33:$AW$33)-SUMPRODUCT(Oxides_min!$C18:$AW18,Factors!$C$33:$AW$33))/2)</f>
        <v>5.5953372189841782E-2</v>
      </c>
      <c r="AA18" s="20">
        <f>MIN(MAX(0,(SUMPRODUCT(Oxides_min!$C18:$AW18,Factors!$C$34:$AW$34)+SUMPRODUCT(Oxides_max!$C18:$AW18,Factors!$C$34:$AW$34))/2),ABS(SUMPRODUCT(Oxides_max!$C18:$AW18,Factors!$C$34:$AW$34)-SUMPRODUCT(Oxides_min!$C18:$AW18,Factors!$C$34:$AW$34))/2)</f>
        <v>0.4</v>
      </c>
      <c r="AB18" s="20">
        <f>MIN(MAX(0,(SUMPRODUCT(Oxides_min!$C18:$AW18,Factors!$C$35:$AW$35)+SUMPRODUCT(Oxides_max!$C18:$AW18,Factors!$C$35:$AW$35))/2),ABS(SUMPRODUCT(Oxides_max!$C18:$AW18,Factors!$C$35:$AW$35)-SUMPRODUCT(Oxides_min!$C18:$AW18,Factors!$C$35:$AW$35))/2)</f>
        <v>0</v>
      </c>
      <c r="AC18" s="20">
        <f>MIN(MAX(0,(SUMPRODUCT(Oxides_min!$C18:$AW18,Factors!$C$36:$AW$36)+SUMPRODUCT(Oxides_max!$C18:$AW18,Factors!$C$36:$AW$36))/2),ABS(SUMPRODUCT(Oxides_max!$C18:$AW18,Factors!$C$36:$AW$36)-SUMPRODUCT(Oxides_min!$C18:$AW18,Factors!$C$36:$AW$36))/2)</f>
        <v>0.43940592124474076</v>
      </c>
      <c r="AD18" s="20">
        <f>MIN(MAX(0,(SUMPRODUCT(Oxides_min!$C18:$AW18,Factors!$C$37:$AW$37)+SUMPRODUCT(Oxides_max!$C18:$AW18,Factors!$C$37:$AW$37))/2),ABS(SUMPRODUCT(Oxides_max!$C18:$AW18,Factors!$C$37:$AW$37)-SUMPRODUCT(Oxides_min!$C18:$AW18,Factors!$C$37:$AW$37))/2)</f>
        <v>0</v>
      </c>
      <c r="AE18" s="20">
        <f>MIN(MAX(0,(SUMPRODUCT(Oxides_min!$C18:$AW18,Factors!$C$38:$AW$38)+SUMPRODUCT(Oxides_max!$C18:$AW18,Factors!$C$38:$AW$38))/2),ABS(SUMPRODUCT(Oxides_max!$C18:$AW18,Factors!$C$38:$AW$38)-SUMPRODUCT(Oxides_min!$C18:$AW18,Factors!$C$38:$AW$38))/2)</f>
        <v>0</v>
      </c>
      <c r="AF18" s="20">
        <f>MIN(MAX(0,(SUMPRODUCT(Oxides_min!$C18:$AW18,Factors!$C$39:$AW$39)+SUMPRODUCT(Oxides_max!$C18:$AW18,Factors!$C$39:$AW$39))/2),ABS(SUMPRODUCT(Oxides_max!$C18:$AW18,Factors!$C$39:$AW$39)-SUMPRODUCT(Oxides_min!$C18:$AW18,Factors!$C$39:$AW$39))/2)</f>
        <v>0.59058296607552907</v>
      </c>
      <c r="AG18" s="20">
        <f>MIN(MAX(0,(SUMPRODUCT(Oxides_min!$C18:$AW18,Factors!$C$40:$AW$40)+SUMPRODUCT(Oxides_max!$C18:$AW18,Factors!$C$40:$AW$40))/2),ABS(SUMPRODUCT(Oxides_max!$C18:$AW18,Factors!$C$40:$AW$40)-SUMPRODUCT(Oxides_min!$C18:$AW18,Factors!$C$40:$AW$40))/2)</f>
        <v>11.937564075326094</v>
      </c>
      <c r="AH18" s="20">
        <f>MIN(MAX(0,(SUMPRODUCT(Oxides_min!$C18:$AW18,Factors!$C$41:$AW$41)+SUMPRODUCT(Oxides_max!$C18:$AW18,Factors!$C$41:$AW$41))/2),ABS(SUMPRODUCT(Oxides_max!$C18:$AW18,Factors!$C$41:$AW$41)-SUMPRODUCT(Oxides_min!$C18:$AW18,Factors!$C$41:$AW$41))/2)</f>
        <v>6.4032733244167943</v>
      </c>
      <c r="AI18" s="20">
        <f>MIN(MAX(0,(SUMPRODUCT(Oxides_min!$C18:$AW18,Factors!$C$42:$AW$42)+SUMPRODUCT(Oxides_max!$C18:$AW18,Factors!$C$42:$AW$42))/2),ABS(SUMPRODUCT(Oxides_max!$C18:$AW18,Factors!$C$42:$AW$42)-SUMPRODUCT(Oxides_min!$C18:$AW18,Factors!$C$42:$AW$42))/2)</f>
        <v>1.4953256142766285</v>
      </c>
      <c r="AJ18" s="20">
        <f>MIN(MAX(0,(SUMPRODUCT(Oxides_min!$C18:$AW18,Factors!$C$43:$AW$43)+SUMPRODUCT(Oxides_max!$C18:$AW18,Factors!$C$43:$AW$43))/2),ABS(SUMPRODUCT(Oxides_max!$C18:$AW18,Factors!$C$43:$AW$43)-SUMPRODUCT(Oxides_min!$C18:$AW18,Factors!$C$43:$AW$43))/2)</f>
        <v>4.9297969276125544</v>
      </c>
      <c r="AK18" s="20">
        <f>MIN(MAX(0,(SUMPRODUCT(Oxides_min!$C18:$AW18,Factors!$C$44:$AW$44)+SUMPRODUCT(Oxides_max!$C18:$AW18,Factors!$C$44:$AW$44))/2),ABS(SUMPRODUCT(Oxides_max!$C18:$AW18,Factors!$C$44:$AW$44)-SUMPRODUCT(Oxides_min!$C18:$AW18,Factors!$C$44:$AW$44))/2)</f>
        <v>0.81924311117611126</v>
      </c>
      <c r="AL18" s="20">
        <f>MIN(MAX(0,(SUMPRODUCT(Oxides_min!$C18:$AW18,Factors!$C$45:$AW$45)+SUMPRODUCT(Oxides_max!$C18:$AW18,Factors!$C$45:$AW$45))/2),ABS(SUMPRODUCT(Oxides_max!$C18:$AW18,Factors!$C$45:$AW$45)-SUMPRODUCT(Oxides_min!$C18:$AW18,Factors!$C$45:$AW$45))/2)</f>
        <v>8.6361582723591679E-2</v>
      </c>
      <c r="AM18" s="20">
        <f>MIN(MAX(0,(SUMPRODUCT(Oxides_min!$C18:$AW18,Factors!$C$46:$AW$46)+SUMPRODUCT(Oxides_max!$C18:$AW18,Factors!$C$46:$AW$46))/2),ABS(SUMPRODUCT(Oxides_max!$C18:$AW18,Factors!$C$46:$AW$46)-SUMPRODUCT(Oxides_min!$C18:$AW18,Factors!$C$46:$AW$46))/2)</f>
        <v>0.52055603218785251</v>
      </c>
      <c r="AN18" s="20">
        <f>MIN(MAX(0,(SUMPRODUCT(Oxides_min!$C18:$AW18,Factors!$C$47:$AW$47)+SUMPRODUCT(Oxides_max!$C18:$AW18,Factors!$C$47:$AW$47))/2),ABS(SUMPRODUCT(Oxides_max!$C18:$AW18,Factors!$C$47:$AW$47)-SUMPRODUCT(Oxides_min!$C18:$AW18,Factors!$C$47:$AW$47))/2)</f>
        <v>4.3440303164404205E-2</v>
      </c>
      <c r="AO18" s="20">
        <f>MIN(MAX(0,(SUMPRODUCT(Oxides_min!$C18:$AW18,Factors!$C$48:$AW$48)+SUMPRODUCT(Oxides_max!$C18:$AW18,Factors!$C$48:$AW$48))/2),ABS(SUMPRODUCT(Oxides_max!$C18:$AW18,Factors!$C$48:$AW$48)-SUMPRODUCT(Oxides_min!$C18:$AW18,Factors!$C$48:$AW$48))/2)</f>
        <v>0.21783017021584622</v>
      </c>
      <c r="AP18" s="20">
        <f>MIN(MAX(0,(SUMPRODUCT(Oxides_min!$C18:$AW18,Factors!$C$49:$AW$49)+SUMPRODUCT(Oxides_max!$C18:$AW18,Factors!$C$49:$AW$49))/2),ABS(SUMPRODUCT(Oxides_max!$C18:$AW18,Factors!$C$49:$AW$49)-SUMPRODUCT(Oxides_min!$C18:$AW18,Factors!$C$49:$AW$49))/2)</f>
        <v>0</v>
      </c>
      <c r="AQ18" s="20">
        <f>MIN(MAX(0,(SUMPRODUCT(Oxides_min!$C18:$AW18,Factors!$C$50:$AW$50)+SUMPRODUCT(Oxides_max!$C18:$AW18,Factors!$C$50:$AW$50))/2),ABS(SUMPRODUCT(Oxides_max!$C18:$AW18,Factors!$C$50:$AW$50)-SUMPRODUCT(Oxides_min!$C18:$AW18,Factors!$C$50:$AW$50))/2)</f>
        <v>8.7452256774244147E-2</v>
      </c>
      <c r="AR18" s="20">
        <f>MIN(MAX(0,(SUMPRODUCT(Oxides_min!$C18:$AW18,Factors!$C$51:$AW$51)+SUMPRODUCT(Oxides_max!$C18:$AW18,Factors!$C$51:$AW$51))/2),ABS(SUMPRODUCT(Oxides_max!$C18:$AW18,Factors!$C$51:$AW$51)-SUMPRODUCT(Oxides_min!$C18:$AW18,Factors!$C$51:$AW$51))/2)</f>
        <v>0</v>
      </c>
      <c r="AS18" s="20">
        <f>MIN(MAX(0,(SUMPRODUCT(Oxides_min!$C18:$AW18,Factors!$C$52:$AW$52)+SUMPRODUCT(Oxides_max!$C18:$AW18,Factors!$C$52:$AW$52))/2),ABS(SUMPRODUCT(Oxides_max!$C18:$AW18,Factors!$C$52:$AW$52)-SUMPRODUCT(Oxides_min!$C18:$AW18,Factors!$C$52:$AW$52))/2)</f>
        <v>4.3910354820128554E-2</v>
      </c>
      <c r="AT18" s="20">
        <f>MIN(MAX(0,(SUMPRODUCT(Oxides_min!$C18:$AW18,Factors!$C$53:$AW$53)+SUMPRODUCT(Oxides_max!$C18:$AW18,Factors!$C$53:$AW$53))/2),ABS(SUMPRODUCT(Oxides_max!$C18:$AW18,Factors!$C$53:$AW$53)-SUMPRODUCT(Oxides_min!$C18:$AW18,Factors!$C$53:$AW$53))/2)</f>
        <v>0</v>
      </c>
      <c r="AU18" s="20">
        <f>MIN(MAX(0,(SUMPRODUCT(Oxides_min!$C18:$AW18,Factors!$C$54:$AW$54)+SUMPRODUCT(Oxides_max!$C18:$AW18,Factors!$C$54:$AW$54))/2),ABS(SUMPRODUCT(Oxides_max!$C18:$AW18,Factors!$C$54:$AW$54)-SUMPRODUCT(Oxides_min!$C18:$AW18,Factors!$C$54:$AW$54))/2)</f>
        <v>0</v>
      </c>
      <c r="AV18" s="18">
        <f t="shared" si="0"/>
        <v>43.231575318591425</v>
      </c>
    </row>
    <row r="19" spans="1:48" x14ac:dyDescent="0.25">
      <c r="A19" s="13" t="s">
        <v>160</v>
      </c>
      <c r="B19" s="20">
        <f>MIN(MAX(0,(SUMPRODUCT(Oxides_min!$C19:$AW19,Factors!$C$9:$AW$9)+SUMPRODUCT(Oxides_max!$C19:$AW19,Factors!$C$9:$AW$9))/2),ABS(SUMPRODUCT(Oxides_max!$C19:$AW19,Factors!$C$9:$AW$9)-SUMPRODUCT(Oxides_min!$C19:$AW19,Factors!$C$9:$AW$9))/2)</f>
        <v>9.5572722099934406</v>
      </c>
      <c r="C19" s="20">
        <f>MIN(MAX(0,(SUMPRODUCT(Oxides_min!$C19:$AW19,Factors!$C$10:$AW$10)+SUMPRODUCT(Oxides_max!$C19:$AW19,Factors!$C$10:$AW$10))/2),ABS(SUMPRODUCT(Oxides_max!$C19:$AW19,Factors!$C$10:$AW$10)-SUMPRODUCT(Oxides_min!$C19:$AW19,Factors!$C$10:$AW$10))/2)</f>
        <v>1.8697468501905696</v>
      </c>
      <c r="D19" s="20">
        <f>MIN(MAX(0,(SUMPRODUCT(Oxides_min!$C19:$AW19,Factors!$C$11:$AW$11)+SUMPRODUCT(Oxides_max!$C19:$AW19,Factors!$C$11:$AW$11))/2),ABS(SUMPRODUCT(Oxides_max!$C19:$AW19,Factors!$C$11:$AW$11)-SUMPRODUCT(Oxides_min!$C19:$AW19,Factors!$C$11:$AW$11))/2)</f>
        <v>0.41954423088962622</v>
      </c>
      <c r="E19" s="20">
        <f>MIN(MAX(0,(SUMPRODUCT(Oxides_min!$C19:$AW19,Factors!$C$12:$AW$12)+SUMPRODUCT(Oxides_max!$C19:$AW19,Factors!$C$12:$AW$12))/2),ABS(SUMPRODUCT(Oxides_max!$C19:$AW19,Factors!$C$12:$AW$12)-SUMPRODUCT(Oxides_min!$C19:$AW19,Factors!$C$12:$AW$12))/2)</f>
        <v>2.5911282076252617</v>
      </c>
      <c r="F19" s="20">
        <f>MIN(MAX(0,(SUMPRODUCT(Oxides_min!$C19:$AW19,Factors!$C$13:$AW$13)+SUMPRODUCT(Oxides_max!$C19:$AW19,Factors!$C$13:$AW$13))/2),ABS(SUMPRODUCT(Oxides_max!$C19:$AW19,Factors!$C$13:$AW$13)-SUMPRODUCT(Oxides_min!$C19:$AW19,Factors!$C$13:$AW$13))/2)</f>
        <v>0.21199545817338758</v>
      </c>
      <c r="G19" s="20">
        <f>MIN(MAX(0,(SUMPRODUCT(Oxides_min!$C19:$AW19,Factors!$C$14:$AW$14)+SUMPRODUCT(Oxides_max!$C19:$AW19,Factors!$C$14:$AW$14))/2),ABS(SUMPRODUCT(Oxides_max!$C19:$AW19,Factors!$C$14:$AW$14)-SUMPRODUCT(Oxides_min!$C19:$AW19,Factors!$C$14:$AW$14))/2)</f>
        <v>0</v>
      </c>
      <c r="H19" s="20">
        <f>MIN(MAX(0,(SUMPRODUCT(Oxides_min!$C19:$AW19,Factors!$C$15:$AW$15)+SUMPRODUCT(Oxides_max!$C19:$AW19,Factors!$C$15:$AW$15))/2),ABS(SUMPRODUCT(Oxides_max!$C19:$AW19,Factors!$C$15:$AW$15)-SUMPRODUCT(Oxides_min!$C19:$AW19,Factors!$C$15:$AW$15))/2)</f>
        <v>0.1323142316771691</v>
      </c>
      <c r="I19" s="20">
        <f>MIN(MAX(0,(SUMPRODUCT(Oxides_min!$C19:$AW19,Factors!$C$16:$AW$16)+SUMPRODUCT(Oxides_max!$C19:$AW19,Factors!$C$16:$AW$16))/2),ABS(SUMPRODUCT(Oxides_max!$C19:$AW19,Factors!$C$16:$AW$16)-SUMPRODUCT(Oxides_min!$C19:$AW19,Factors!$C$16:$AW$16))/2)</f>
        <v>2.7593738073044678</v>
      </c>
      <c r="J19" s="20">
        <f>MIN(MAX(0,(SUMPRODUCT(Oxides_min!$C19:$AW19,Factors!$C$17:$AW$17)+SUMPRODUCT(Oxides_max!$C19:$AW19,Factors!$C$17:$AW$17))/2),ABS(SUMPRODUCT(Oxides_max!$C19:$AW19,Factors!$C$17:$AW$17)-SUMPRODUCT(Oxides_min!$C19:$AW19,Factors!$C$17:$AW$17))/2)</f>
        <v>1.7425394692228788</v>
      </c>
      <c r="K19" s="20">
        <f>MIN(MAX(0,(SUMPRODUCT(Oxides_min!$C19:$AW19,Factors!$C$18:$AW$18)+SUMPRODUCT(Oxides_max!$C19:$AW19,Factors!$C$18:$AW$18))/2),ABS(SUMPRODUCT(Oxides_max!$C19:$AW19,Factors!$C$18:$AW$18)-SUMPRODUCT(Oxides_min!$C19:$AW19,Factors!$C$18:$AW$18))/2)</f>
        <v>9.0456282254863032E-2</v>
      </c>
      <c r="L19" s="20">
        <f>MIN(MAX(0,(SUMPRODUCT(Oxides_min!$C19:$AW19,Factors!$C$19:$AW$19)+SUMPRODUCT(Oxides_max!$C19:$AW19,Factors!$C$19:$AW$19))/2),ABS(SUMPRODUCT(Oxides_max!$C19:$AW19,Factors!$C$19:$AW$19)-SUMPRODUCT(Oxides_min!$C19:$AW19,Factors!$C$19:$AW$19))/2)</f>
        <v>2.6801094923052222</v>
      </c>
      <c r="M19" s="20">
        <f>MIN(MAX(0,(SUMPRODUCT(Oxides_min!$C19:$AW19,Factors!$C$20:$AW$20)+SUMPRODUCT(Oxides_max!$C19:$AW19,Factors!$C$20:$AW$20))/2),ABS(SUMPRODUCT(Oxides_max!$C19:$AW19,Factors!$C$20:$AW$20)-SUMPRODUCT(Oxides_min!$C19:$AW19,Factors!$C$20:$AW$20))/2)</f>
        <v>1.437516285623293</v>
      </c>
      <c r="N19" s="20">
        <f>MIN(MAX(0,(SUMPRODUCT(Oxides_min!$C19:$AW19,Factors!$C$21:$AW$21)+SUMPRODUCT(Oxides_max!$C19:$AW19,Factors!$C$21:$AW$21))/2),ABS(SUMPRODUCT(Oxides_max!$C19:$AW19,Factors!$C$21:$AW$21)-SUMPRODUCT(Oxides_min!$C19:$AW19,Factors!$C$21:$AW$21))/2)</f>
        <v>0.3134787968120214</v>
      </c>
      <c r="O19" s="20">
        <f>MIN(MAX(0,(SUMPRODUCT(Oxides_min!$C19:$AW19,Factors!$C$22:$AW$22)+SUMPRODUCT(Oxides_max!$C19:$AW19,Factors!$C$22:$AW$22))/2),ABS(SUMPRODUCT(Oxides_max!$C19:$AW19,Factors!$C$22:$AW$22)-SUMPRODUCT(Oxides_min!$C19:$AW19,Factors!$C$22:$AW$22))/2)</f>
        <v>0</v>
      </c>
      <c r="P19" s="20">
        <f>MIN(MAX(0,(SUMPRODUCT(Oxides_min!$C19:$AW19,Factors!$C$23:$AW$23)+SUMPRODUCT(Oxides_max!$C19:$AW19,Factors!$C$23:$AW$23))/2),ABS(SUMPRODUCT(Oxides_max!$C19:$AW19,Factors!$C$23:$AW$23)-SUMPRODUCT(Oxides_min!$C19:$AW19,Factors!$C$23:$AW$23))/2)</f>
        <v>2.4110523383079911</v>
      </c>
      <c r="Q19" s="20">
        <f>MIN(MAX(0,(SUMPRODUCT(Oxides_min!$C19:$AW19,Factors!$C$24:$AW$24)+SUMPRODUCT(Oxides_max!$C19:$AW19,Factors!$C$24:$AW$24))/2),ABS(SUMPRODUCT(Oxides_max!$C19:$AW19,Factors!$C$24:$AW$24)-SUMPRODUCT(Oxides_min!$C19:$AW19,Factors!$C$24:$AW$24))/2)</f>
        <v>0.49809078131037959</v>
      </c>
      <c r="R19" s="20">
        <f>MIN(MAX(0,(SUMPRODUCT(Oxides_min!$C19:$AW19,Factors!$C$25:$AW$25)+SUMPRODUCT(Oxides_max!$C19:$AW19,Factors!$C$25:$AW$25))/2),ABS(SUMPRODUCT(Oxides_max!$C19:$AW19,Factors!$C$25:$AW$25)-SUMPRODUCT(Oxides_min!$C19:$AW19,Factors!$C$25:$AW$25))/2)</f>
        <v>0</v>
      </c>
      <c r="S19" s="20">
        <f>MIN(MAX(0,(SUMPRODUCT(Oxides_min!$C19:$AW19,Factors!$C$26:$AW$26)+SUMPRODUCT(Oxides_max!$C19:$AW19,Factors!$C$26:$AW$26))/2),ABS(SUMPRODUCT(Oxides_max!$C19:$AW19,Factors!$C$26:$AW$26)-SUMPRODUCT(Oxides_min!$C19:$AW19,Factors!$C$26:$AW$26))/2)</f>
        <v>1.0136216236592661</v>
      </c>
      <c r="T19" s="20">
        <f>MIN(MAX(0,(SUMPRODUCT(Oxides_min!$C19:$AW19,Factors!$C$27:$AW$27)+SUMPRODUCT(Oxides_max!$C19:$AW19,Factors!$C$27:$AW$27))/2),ABS(SUMPRODUCT(Oxides_max!$C19:$AW19,Factors!$C$27:$AW$27)-SUMPRODUCT(Oxides_min!$C19:$AW19,Factors!$C$27:$AW$27))/2)</f>
        <v>0</v>
      </c>
      <c r="U19" s="20">
        <f>MIN(MAX(0,(SUMPRODUCT(Oxides_min!$C19:$AW19,Factors!$C$28:$AW$28)+SUMPRODUCT(Oxides_max!$C19:$AW19,Factors!$C$28:$AW$28))/2),ABS(SUMPRODUCT(Oxides_max!$C19:$AW19,Factors!$C$28:$AW$28)-SUMPRODUCT(Oxides_min!$C19:$AW19,Factors!$C$28:$AW$28))/2)</f>
        <v>0</v>
      </c>
      <c r="V19" s="20">
        <f>MIN(MAX(0,(SUMPRODUCT(Oxides_min!$C19:$AW19,Factors!$C$29:$AW$29)+SUMPRODUCT(Oxides_max!$C19:$AW19,Factors!$C$29:$AW$29))/2),ABS(SUMPRODUCT(Oxides_max!$C19:$AW19,Factors!$C$29:$AW$29)-SUMPRODUCT(Oxides_min!$C19:$AW19,Factors!$C$29:$AW$29))/2)</f>
        <v>0</v>
      </c>
      <c r="W19" s="20">
        <f>MIN(MAX(0,(SUMPRODUCT(Oxides_min!$C19:$AW19,Factors!$C$30:$AW$30)+SUMPRODUCT(Oxides_max!$C19:$AW19,Factors!$C$30:$AW$30))/2),ABS(SUMPRODUCT(Oxides_max!$C19:$AW19,Factors!$C$30:$AW$30)-SUMPRODUCT(Oxides_min!$C19:$AW19,Factors!$C$30:$AW$30))/2)</f>
        <v>0</v>
      </c>
      <c r="X19" s="20">
        <f>MIN(MAX(0,(SUMPRODUCT(Oxides_min!$C19:$AW19,Factors!$C$31:$AW$31)+SUMPRODUCT(Oxides_max!$C19:$AW19,Factors!$C$31:$AW$31))/2),ABS(SUMPRODUCT(Oxides_max!$C19:$AW19,Factors!$C$31:$AW$31)-SUMPRODUCT(Oxides_min!$C19:$AW19,Factors!$C$31:$AW$31))/2)</f>
        <v>0.12013940067701763</v>
      </c>
      <c r="Y19" s="20">
        <f>MIN(MAX(0,(SUMPRODUCT(Oxides_min!$C19:$AW19,Factors!$C$32:$AW$32)+SUMPRODUCT(Oxides_max!$C19:$AW19,Factors!$C$32:$AW$32))/2),ABS(SUMPRODUCT(Oxides_max!$C19:$AW19,Factors!$C$32:$AW$32)-SUMPRODUCT(Oxides_min!$C19:$AW19,Factors!$C$32:$AW$32))/2)</f>
        <v>0</v>
      </c>
      <c r="Z19" s="20">
        <f>MIN(MAX(0,(SUMPRODUCT(Oxides_min!$C19:$AW19,Factors!$C$33:$AW$33)+SUMPRODUCT(Oxides_max!$C19:$AW19,Factors!$C$33:$AW$33))/2),ABS(SUMPRODUCT(Oxides_max!$C19:$AW19,Factors!$C$33:$AW$33)-SUMPRODUCT(Oxides_min!$C19:$AW19,Factors!$C$33:$AW$33))/2)</f>
        <v>0.12309741881765196</v>
      </c>
      <c r="AA19" s="20">
        <f>MIN(MAX(0,(SUMPRODUCT(Oxides_min!$C19:$AW19,Factors!$C$34:$AW$34)+SUMPRODUCT(Oxides_max!$C19:$AW19,Factors!$C$34:$AW$34))/2),ABS(SUMPRODUCT(Oxides_max!$C19:$AW19,Factors!$C$34:$AW$34)-SUMPRODUCT(Oxides_min!$C19:$AW19,Factors!$C$34:$AW$34))/2)</f>
        <v>0.15</v>
      </c>
      <c r="AB19" s="20">
        <f>MIN(MAX(0,(SUMPRODUCT(Oxides_min!$C19:$AW19,Factors!$C$35:$AW$35)+SUMPRODUCT(Oxides_max!$C19:$AW19,Factors!$C$35:$AW$35))/2),ABS(SUMPRODUCT(Oxides_max!$C19:$AW19,Factors!$C$35:$AW$35)-SUMPRODUCT(Oxides_min!$C19:$AW19,Factors!$C$35:$AW$35))/2)</f>
        <v>0.85</v>
      </c>
      <c r="AC19" s="20">
        <f>MIN(MAX(0,(SUMPRODUCT(Oxides_min!$C19:$AW19,Factors!$C$36:$AW$36)+SUMPRODUCT(Oxides_max!$C19:$AW19,Factors!$C$36:$AW$36))/2),ABS(SUMPRODUCT(Oxides_max!$C19:$AW19,Factors!$C$36:$AW$36)-SUMPRODUCT(Oxides_min!$C19:$AW19,Factors!$C$36:$AW$36))/2)</f>
        <v>4.3940592124474077E-2</v>
      </c>
      <c r="AD19" s="20">
        <f>MIN(MAX(0,(SUMPRODUCT(Oxides_min!$C19:$AW19,Factors!$C$37:$AW$37)+SUMPRODUCT(Oxides_max!$C19:$AW19,Factors!$C$37:$AW$37))/2),ABS(SUMPRODUCT(Oxides_max!$C19:$AW19,Factors!$C$37:$AW$37)-SUMPRODUCT(Oxides_min!$C19:$AW19,Factors!$C$37:$AW$37))/2)</f>
        <v>7.0520055945535204E-2</v>
      </c>
      <c r="AE19" s="20">
        <f>MIN(MAX(0,(SUMPRODUCT(Oxides_min!$C19:$AW19,Factors!$C$38:$AW$38)+SUMPRODUCT(Oxides_max!$C19:$AW19,Factors!$C$38:$AW$38))/2),ABS(SUMPRODUCT(Oxides_max!$C19:$AW19,Factors!$C$38:$AW$38)-SUMPRODUCT(Oxides_min!$C19:$AW19,Factors!$C$38:$AW$38))/2)</f>
        <v>0</v>
      </c>
      <c r="AF19" s="20">
        <f>MIN(MAX(0,(SUMPRODUCT(Oxides_min!$C19:$AW19,Factors!$C$39:$AW$39)+SUMPRODUCT(Oxides_max!$C19:$AW19,Factors!$C$39:$AW$39))/2),ABS(SUMPRODUCT(Oxides_max!$C19:$AW19,Factors!$C$39:$AW$39)-SUMPRODUCT(Oxides_min!$C19:$AW19,Factors!$C$39:$AW$39))/2)</f>
        <v>1.299282525366164</v>
      </c>
      <c r="AG19" s="20">
        <f>MIN(MAX(0,(SUMPRODUCT(Oxides_min!$C19:$AW19,Factors!$C$40:$AW$40)+SUMPRODUCT(Oxides_max!$C19:$AW19,Factors!$C$40:$AW$40))/2),ABS(SUMPRODUCT(Oxides_max!$C19:$AW19,Factors!$C$40:$AW$40)-SUMPRODUCT(Oxides_min!$C19:$AW19,Factors!$C$40:$AW$40))/2)</f>
        <v>1.0232197778850938</v>
      </c>
      <c r="AH19" s="20">
        <f>MIN(MAX(0,(SUMPRODUCT(Oxides_min!$C19:$AW19,Factors!$C$41:$AW$41)+SUMPRODUCT(Oxides_max!$C19:$AW19,Factors!$C$41:$AW$41))/2),ABS(SUMPRODUCT(Oxides_max!$C19:$AW19,Factors!$C$41:$AW$41)-SUMPRODUCT(Oxides_min!$C19:$AW19,Factors!$C$41:$AW$41))/2)</f>
        <v>1.3660316425422494</v>
      </c>
      <c r="AI19" s="20">
        <f>MIN(MAX(0,(SUMPRODUCT(Oxides_min!$C19:$AW19,Factors!$C$42:$AW$42)+SUMPRODUCT(Oxides_max!$C19:$AW19,Factors!$C$42:$AW$42))/2),ABS(SUMPRODUCT(Oxides_max!$C19:$AW19,Factors!$C$42:$AW$42)-SUMPRODUCT(Oxides_min!$C19:$AW19,Factors!$C$42:$AW$42))/2)</f>
        <v>0.21361794489666122</v>
      </c>
      <c r="AJ19" s="20">
        <f>MIN(MAX(0,(SUMPRODUCT(Oxides_min!$C19:$AW19,Factors!$C$43:$AW$43)+SUMPRODUCT(Oxides_max!$C19:$AW19,Factors!$C$43:$AW$43))/2),ABS(SUMPRODUCT(Oxides_max!$C19:$AW19,Factors!$C$43:$AW$43)-SUMPRODUCT(Oxides_min!$C19:$AW19,Factors!$C$43:$AW$43))/2)</f>
        <v>0.55728139181707137</v>
      </c>
      <c r="AK19" s="20">
        <f>MIN(MAX(0,(SUMPRODUCT(Oxides_min!$C19:$AW19,Factors!$C$44:$AW$44)+SUMPRODUCT(Oxides_max!$C19:$AW19,Factors!$C$44:$AW$44))/2),ABS(SUMPRODUCT(Oxides_max!$C19:$AW19,Factors!$C$44:$AW$44)-SUMPRODUCT(Oxides_min!$C19:$AW19,Factors!$C$44:$AW$44))/2)</f>
        <v>0.12935417544885966</v>
      </c>
      <c r="AL19" s="20">
        <f>MIN(MAX(0,(SUMPRODUCT(Oxides_min!$C19:$AW19,Factors!$C$45:$AW$45)+SUMPRODUCT(Oxides_max!$C19:$AW19,Factors!$C$45:$AW$45))/2),ABS(SUMPRODUCT(Oxides_max!$C19:$AW19,Factors!$C$45:$AW$45)-SUMPRODUCT(Oxides_min!$C19:$AW19,Factors!$C$45:$AW$45))/2)</f>
        <v>4.3180791361795839E-2</v>
      </c>
      <c r="AM19" s="20">
        <f>MIN(MAX(0,(SUMPRODUCT(Oxides_min!$C19:$AW19,Factors!$C$46:$AW$46)+SUMPRODUCT(Oxides_max!$C19:$AW19,Factors!$C$46:$AW$46))/2),ABS(SUMPRODUCT(Oxides_max!$C19:$AW19,Factors!$C$46:$AW$46)-SUMPRODUCT(Oxides_min!$C19:$AW19,Factors!$C$46:$AW$46))/2)</f>
        <v>0.151828842721457</v>
      </c>
      <c r="AN19" s="20">
        <f>MIN(MAX(0,(SUMPRODUCT(Oxides_min!$C19:$AW19,Factors!$C$47:$AW$47)+SUMPRODUCT(Oxides_max!$C19:$AW19,Factors!$C$47:$AW$47))/2),ABS(SUMPRODUCT(Oxides_max!$C19:$AW19,Factors!$C$47:$AW$47)-SUMPRODUCT(Oxides_min!$C19:$AW19,Factors!$C$47:$AW$47))/2)</f>
        <v>2.1720151582202103E-2</v>
      </c>
      <c r="AO19" s="20">
        <f>MIN(MAX(0,(SUMPRODUCT(Oxides_min!$C19:$AW19,Factors!$C$48:$AW$48)+SUMPRODUCT(Oxides_max!$C19:$AW19,Factors!$C$48:$AW$48))/2),ABS(SUMPRODUCT(Oxides_max!$C19:$AW19,Factors!$C$48:$AW$48)-SUMPRODUCT(Oxides_min!$C19:$AW19,Factors!$C$48:$AW$48))/2)</f>
        <v>0.15248111915109233</v>
      </c>
      <c r="AP19" s="20">
        <f>MIN(MAX(0,(SUMPRODUCT(Oxides_min!$C19:$AW19,Factors!$C$49:$AW$49)+SUMPRODUCT(Oxides_max!$C19:$AW19,Factors!$C$49:$AW$49))/2),ABS(SUMPRODUCT(Oxides_max!$C19:$AW19,Factors!$C$49:$AW$49)-SUMPRODUCT(Oxides_min!$C19:$AW19,Factors!$C$49:$AW$49))/2)</f>
        <v>3.055415920375943E-2</v>
      </c>
      <c r="AQ19" s="20">
        <f>MIN(MAX(0,(SUMPRODUCT(Oxides_min!$C19:$AW19,Factors!$C$50:$AW$50)+SUMPRODUCT(Oxides_max!$C19:$AW19,Factors!$C$50:$AW$50))/2),ABS(SUMPRODUCT(Oxides_max!$C19:$AW19,Factors!$C$50:$AW$50)-SUMPRODUCT(Oxides_min!$C19:$AW19,Factors!$C$50:$AW$50))/2)</f>
        <v>0.10931532096780518</v>
      </c>
      <c r="AR19" s="20">
        <f>MIN(MAX(0,(SUMPRODUCT(Oxides_min!$C19:$AW19,Factors!$C$51:$AW$51)+SUMPRODUCT(Oxides_max!$C19:$AW19,Factors!$C$51:$AW$51))/2),ABS(SUMPRODUCT(Oxides_max!$C19:$AW19,Factors!$C$51:$AW$51)-SUMPRODUCT(Oxides_min!$C19:$AW19,Factors!$C$51:$AW$51))/2)</f>
        <v>1.751224157312456E-2</v>
      </c>
      <c r="AS19" s="20">
        <f>MIN(MAX(0,(SUMPRODUCT(Oxides_min!$C19:$AW19,Factors!$C$52:$AW$52)+SUMPRODUCT(Oxides_max!$C19:$AW19,Factors!$C$52:$AW$52))/2),ABS(SUMPRODUCT(Oxides_max!$C19:$AW19,Factors!$C$52:$AW$52)-SUMPRODUCT(Oxides_min!$C19:$AW19,Factors!$C$52:$AW$52))/2)</f>
        <v>0.13173106446038566</v>
      </c>
      <c r="AT19" s="20">
        <f>MIN(MAX(0,(SUMPRODUCT(Oxides_min!$C19:$AW19,Factors!$C$53:$AW$53)+SUMPRODUCT(Oxides_max!$C19:$AW19,Factors!$C$53:$AW$53))/2),ABS(SUMPRODUCT(Oxides_max!$C19:$AW19,Factors!$C$53:$AW$53)-SUMPRODUCT(Oxides_min!$C19:$AW19,Factors!$C$53:$AW$53))/2)</f>
        <v>2.1984587262200997E-2</v>
      </c>
      <c r="AU19" s="20">
        <f>MIN(MAX(0,(SUMPRODUCT(Oxides_min!$C19:$AW19,Factors!$C$54:$AW$54)+SUMPRODUCT(Oxides_max!$C19:$AW19,Factors!$C$54:$AW$54))/2),ABS(SUMPRODUCT(Oxides_max!$C19:$AW19,Factors!$C$54:$AW$54)-SUMPRODUCT(Oxides_min!$C19:$AW19,Factors!$C$54:$AW$54))/2)</f>
        <v>0</v>
      </c>
      <c r="AV19" s="18">
        <f t="shared" si="0"/>
        <v>34.355033269154433</v>
      </c>
    </row>
    <row r="20" spans="1:48" x14ac:dyDescent="0.25">
      <c r="A20" s="13" t="s">
        <v>162</v>
      </c>
      <c r="B20" s="20">
        <f>MIN(MAX(0,(SUMPRODUCT(Oxides_min!$C20:$AW20,Factors!$C$9:$AW$9)+SUMPRODUCT(Oxides_max!$C20:$AW20,Factors!$C$9:$AW$9))/2),ABS(SUMPRODUCT(Oxides_max!$C20:$AW20,Factors!$C$9:$AW$9)-SUMPRODUCT(Oxides_min!$C20:$AW20,Factors!$C$9:$AW$9))/2)</f>
        <v>11.210693491419331</v>
      </c>
      <c r="C20" s="20">
        <f>MIN(MAX(0,(SUMPRODUCT(Oxides_min!$C20:$AW20,Factors!$C$10:$AW$10)+SUMPRODUCT(Oxides_max!$C20:$AW20,Factors!$C$10:$AW$10))/2),ABS(SUMPRODUCT(Oxides_max!$C20:$AW20,Factors!$C$10:$AW$10)-SUMPRODUCT(Oxides_min!$C20:$AW20,Factors!$C$10:$AW$10))/2)</f>
        <v>1.1685917813691065</v>
      </c>
      <c r="D20" s="20">
        <f>MIN(MAX(0,(SUMPRODUCT(Oxides_min!$C20:$AW20,Factors!$C$11:$AW$11)+SUMPRODUCT(Oxides_max!$C20:$AW20,Factors!$C$11:$AW$11))/2),ABS(SUMPRODUCT(Oxides_max!$C20:$AW20,Factors!$C$11:$AW$11)-SUMPRODUCT(Oxides_min!$C20:$AW20,Factors!$C$11:$AW$11))/2)</f>
        <v>0</v>
      </c>
      <c r="E20" s="20">
        <f>MIN(MAX(0,(SUMPRODUCT(Oxides_min!$C20:$AW20,Factors!$C$12:$AW$12)+SUMPRODUCT(Oxides_max!$C20:$AW20,Factors!$C$12:$AW$12))/2),ABS(SUMPRODUCT(Oxides_max!$C20:$AW20,Factors!$C$12:$AW$12)-SUMPRODUCT(Oxides_min!$C20:$AW20,Factors!$C$12:$AW$12))/2)</f>
        <v>0</v>
      </c>
      <c r="F20" s="20">
        <f>MIN(MAX(0,(SUMPRODUCT(Oxides_min!$C20:$AW20,Factors!$C$13:$AW$13)+SUMPRODUCT(Oxides_max!$C20:$AW20,Factors!$C$13:$AW$13))/2),ABS(SUMPRODUCT(Oxides_max!$C20:$AW20,Factors!$C$13:$AW$13)-SUMPRODUCT(Oxides_min!$C20:$AW20,Factors!$C$13:$AW$13))/2)</f>
        <v>0</v>
      </c>
      <c r="G20" s="20">
        <f>MIN(MAX(0,(SUMPRODUCT(Oxides_min!$C20:$AW20,Factors!$C$14:$AW$14)+SUMPRODUCT(Oxides_max!$C20:$AW20,Factors!$C$14:$AW$14))/2),ABS(SUMPRODUCT(Oxides_max!$C20:$AW20,Factors!$C$14:$AW$14)-SUMPRODUCT(Oxides_min!$C20:$AW20,Factors!$C$14:$AW$14))/2)</f>
        <v>0</v>
      </c>
      <c r="H20" s="20">
        <f>MIN(MAX(0,(SUMPRODUCT(Oxides_min!$C20:$AW20,Factors!$C$15:$AW$15)+SUMPRODUCT(Oxides_max!$C20:$AW20,Factors!$C$15:$AW$15))/2),ABS(SUMPRODUCT(Oxides_max!$C20:$AW20,Factors!$C$15:$AW$15)-SUMPRODUCT(Oxides_min!$C20:$AW20,Factors!$C$15:$AW$15))/2)</f>
        <v>0</v>
      </c>
      <c r="I20" s="20">
        <f>MIN(MAX(0,(SUMPRODUCT(Oxides_min!$C20:$AW20,Factors!$C$16:$AW$16)+SUMPRODUCT(Oxides_max!$C20:$AW20,Factors!$C$16:$AW$16))/2),ABS(SUMPRODUCT(Oxides_max!$C20:$AW20,Factors!$C$16:$AW$16)-SUMPRODUCT(Oxides_min!$C20:$AW20,Factors!$C$16:$AW$16))/2)</f>
        <v>3.9445859270354884</v>
      </c>
      <c r="J20" s="20">
        <f>MIN(MAX(0,(SUMPRODUCT(Oxides_min!$C20:$AW20,Factors!$C$17:$AW$17)+SUMPRODUCT(Oxides_max!$C20:$AW20,Factors!$C$17:$AW$17))/2),ABS(SUMPRODUCT(Oxides_max!$C20:$AW20,Factors!$C$17:$AW$17)-SUMPRODUCT(Oxides_min!$C20:$AW20,Factors!$C$17:$AW$17))/2)</f>
        <v>0.27106169521244783</v>
      </c>
      <c r="K20" s="20">
        <f>MIN(MAX(0,(SUMPRODUCT(Oxides_min!$C20:$AW20,Factors!$C$18:$AW$18)+SUMPRODUCT(Oxides_max!$C20:$AW20,Factors!$C$18:$AW$18))/2),ABS(SUMPRODUCT(Oxides_max!$C20:$AW20,Factors!$C$18:$AW$18)-SUMPRODUCT(Oxides_min!$C20:$AW20,Factors!$C$18:$AW$18))/2)</f>
        <v>0.15076047042477173</v>
      </c>
      <c r="L20" s="20">
        <f>MIN(MAX(0,(SUMPRODUCT(Oxides_min!$C20:$AW20,Factors!$C$19:$AW$19)+SUMPRODUCT(Oxides_max!$C20:$AW20,Factors!$C$19:$AW$19))/2),ABS(SUMPRODUCT(Oxides_max!$C20:$AW20,Factors!$C$19:$AW$19)-SUMPRODUCT(Oxides_min!$C20:$AW20,Factors!$C$19:$AW$19))/2)</f>
        <v>1.0720437969220891</v>
      </c>
      <c r="M20" s="20">
        <f>MIN(MAX(0,(SUMPRODUCT(Oxides_min!$C20:$AW20,Factors!$C$20:$AW$20)+SUMPRODUCT(Oxides_max!$C20:$AW20,Factors!$C$20:$AW$20))/2),ABS(SUMPRODUCT(Oxides_max!$C20:$AW20,Factors!$C$20:$AW$20)-SUMPRODUCT(Oxides_min!$C20:$AW20,Factors!$C$20:$AW$20))/2)</f>
        <v>0</v>
      </c>
      <c r="N20" s="20">
        <f>MIN(MAX(0,(SUMPRODUCT(Oxides_min!$C20:$AW20,Factors!$C$21:$AW$21)+SUMPRODUCT(Oxides_max!$C20:$AW20,Factors!$C$21:$AW$21))/2),ABS(SUMPRODUCT(Oxides_max!$C20:$AW20,Factors!$C$21:$AW$21)-SUMPRODUCT(Oxides_min!$C20:$AW20,Factors!$C$21:$AW$21))/2)</f>
        <v>0</v>
      </c>
      <c r="O20" s="20">
        <f>MIN(MAX(0,(SUMPRODUCT(Oxides_min!$C20:$AW20,Factors!$C$22:$AW$22)+SUMPRODUCT(Oxides_max!$C20:$AW20,Factors!$C$22:$AW$22))/2),ABS(SUMPRODUCT(Oxides_max!$C20:$AW20,Factors!$C$22:$AW$22)-SUMPRODUCT(Oxides_min!$C20:$AW20,Factors!$C$22:$AW$22))/2)</f>
        <v>0</v>
      </c>
      <c r="P20" s="20">
        <f>MIN(MAX(0,(SUMPRODUCT(Oxides_min!$C20:$AW20,Factors!$C$23:$AW$23)+SUMPRODUCT(Oxides_max!$C20:$AW20,Factors!$C$23:$AW$23))/2),ABS(SUMPRODUCT(Oxides_max!$C20:$AW20,Factors!$C$23:$AW$23)-SUMPRODUCT(Oxides_min!$C20:$AW20,Factors!$C$23:$AW$23))/2)</f>
        <v>0.18546556448523008</v>
      </c>
      <c r="Q20" s="20">
        <f>MIN(MAX(0,(SUMPRODUCT(Oxides_min!$C20:$AW20,Factors!$C$24:$AW$24)+SUMPRODUCT(Oxides_max!$C20:$AW20,Factors!$C$24:$AW$24))/2),ABS(SUMPRODUCT(Oxides_max!$C20:$AW20,Factors!$C$24:$AW$24)-SUMPRODUCT(Oxides_min!$C20:$AW20,Factors!$C$24:$AW$24))/2)</f>
        <v>0</v>
      </c>
      <c r="R20" s="20">
        <f>MIN(MAX(0,(SUMPRODUCT(Oxides_min!$C20:$AW20,Factors!$C$25:$AW$25)+SUMPRODUCT(Oxides_max!$C20:$AW20,Factors!$C$25:$AW$25))/2),ABS(SUMPRODUCT(Oxides_max!$C20:$AW20,Factors!$C$25:$AW$25)-SUMPRODUCT(Oxides_min!$C20:$AW20,Factors!$C$25:$AW$25))/2)</f>
        <v>0.63057074757091347</v>
      </c>
      <c r="S20" s="20">
        <f>MIN(MAX(0,(SUMPRODUCT(Oxides_min!$C20:$AW20,Factors!$C$26:$AW$26)+SUMPRODUCT(Oxides_max!$C20:$AW20,Factors!$C$26:$AW$26))/2),ABS(SUMPRODUCT(Oxides_max!$C20:$AW20,Factors!$C$26:$AW$26)-SUMPRODUCT(Oxides_min!$C20:$AW20,Factors!$C$26:$AW$26))/2)</f>
        <v>0</v>
      </c>
      <c r="T20" s="20">
        <f>MIN(MAX(0,(SUMPRODUCT(Oxides_min!$C20:$AW20,Factors!$C$27:$AW$27)+SUMPRODUCT(Oxides_max!$C20:$AW20,Factors!$C$27:$AW$27))/2),ABS(SUMPRODUCT(Oxides_max!$C20:$AW20,Factors!$C$27:$AW$27)-SUMPRODUCT(Oxides_min!$C20:$AW20,Factors!$C$27:$AW$27))/2)</f>
        <v>0</v>
      </c>
      <c r="U20" s="20">
        <f>MIN(MAX(0,(SUMPRODUCT(Oxides_min!$C20:$AW20,Factors!$C$28:$AW$28)+SUMPRODUCT(Oxides_max!$C20:$AW20,Factors!$C$28:$AW$28))/2),ABS(SUMPRODUCT(Oxides_max!$C20:$AW20,Factors!$C$28:$AW$28)-SUMPRODUCT(Oxides_min!$C20:$AW20,Factors!$C$28:$AW$28))/2)</f>
        <v>0</v>
      </c>
      <c r="V20" s="20">
        <f>MIN(MAX(0,(SUMPRODUCT(Oxides_min!$C20:$AW20,Factors!$C$29:$AW$29)+SUMPRODUCT(Oxides_max!$C20:$AW20,Factors!$C$29:$AW$29))/2),ABS(SUMPRODUCT(Oxides_max!$C20:$AW20,Factors!$C$29:$AW$29)-SUMPRODUCT(Oxides_min!$C20:$AW20,Factors!$C$29:$AW$29))/2)</f>
        <v>0</v>
      </c>
      <c r="W20" s="20">
        <f>MIN(MAX(0,(SUMPRODUCT(Oxides_min!$C20:$AW20,Factors!$C$30:$AW$30)+SUMPRODUCT(Oxides_max!$C20:$AW20,Factors!$C$30:$AW$30))/2),ABS(SUMPRODUCT(Oxides_max!$C20:$AW20,Factors!$C$30:$AW$30)-SUMPRODUCT(Oxides_min!$C20:$AW20,Factors!$C$30:$AW$30))/2)</f>
        <v>0</v>
      </c>
      <c r="X20" s="20">
        <f>MIN(MAX(0,(SUMPRODUCT(Oxides_min!$C20:$AW20,Factors!$C$31:$AW$31)+SUMPRODUCT(Oxides_max!$C20:$AW20,Factors!$C$31:$AW$31))/2),ABS(SUMPRODUCT(Oxides_max!$C20:$AW20,Factors!$C$31:$AW$31)-SUMPRODUCT(Oxides_min!$C20:$AW20,Factors!$C$31:$AW$31))/2)</f>
        <v>0</v>
      </c>
      <c r="Y20" s="20">
        <f>MIN(MAX(0,(SUMPRODUCT(Oxides_min!$C20:$AW20,Factors!$C$32:$AW$32)+SUMPRODUCT(Oxides_max!$C20:$AW20,Factors!$C$32:$AW$32))/2),ABS(SUMPRODUCT(Oxides_max!$C20:$AW20,Factors!$C$32:$AW$32)-SUMPRODUCT(Oxides_min!$C20:$AW20,Factors!$C$32:$AW$32))/2)</f>
        <v>0</v>
      </c>
      <c r="Z20" s="20">
        <f>MIN(MAX(0,(SUMPRODUCT(Oxides_min!$C20:$AW20,Factors!$C$33:$AW$33)+SUMPRODUCT(Oxides_max!$C20:$AW20,Factors!$C$33:$AW$33))/2),ABS(SUMPRODUCT(Oxides_max!$C20:$AW20,Factors!$C$33:$AW$33)-SUMPRODUCT(Oxides_min!$C20:$AW20,Factors!$C$33:$AW$33))/2)</f>
        <v>9.5120732722731055E-2</v>
      </c>
      <c r="AA20" s="20">
        <f>MIN(MAX(0,(SUMPRODUCT(Oxides_min!$C20:$AW20,Factors!$C$34:$AW$34)+SUMPRODUCT(Oxides_max!$C20:$AW20,Factors!$C$34:$AW$34))/2),ABS(SUMPRODUCT(Oxides_max!$C20:$AW20,Factors!$C$34:$AW$34)-SUMPRODUCT(Oxides_min!$C20:$AW20,Factors!$C$34:$AW$34))/2)</f>
        <v>0</v>
      </c>
      <c r="AB20" s="20">
        <f>MIN(MAX(0,(SUMPRODUCT(Oxides_min!$C20:$AW20,Factors!$C$35:$AW$35)+SUMPRODUCT(Oxides_max!$C20:$AW20,Factors!$C$35:$AW$35))/2),ABS(SUMPRODUCT(Oxides_max!$C20:$AW20,Factors!$C$35:$AW$35)-SUMPRODUCT(Oxides_min!$C20:$AW20,Factors!$C$35:$AW$35))/2)</f>
        <v>0</v>
      </c>
      <c r="AC20" s="20">
        <f>MIN(MAX(0,(SUMPRODUCT(Oxides_min!$C20:$AW20,Factors!$C$36:$AW$36)+SUMPRODUCT(Oxides_max!$C20:$AW20,Factors!$C$36:$AW$36))/2),ABS(SUMPRODUCT(Oxides_max!$C20:$AW20,Factors!$C$36:$AW$36)-SUMPRODUCT(Oxides_min!$C20:$AW20,Factors!$C$36:$AW$36))/2)</f>
        <v>0.65910888186711114</v>
      </c>
      <c r="AD20" s="20">
        <f>MIN(MAX(0,(SUMPRODUCT(Oxides_min!$C20:$AW20,Factors!$C$37:$AW$37)+SUMPRODUCT(Oxides_max!$C20:$AW20,Factors!$C$37:$AW$37))/2),ABS(SUMPRODUCT(Oxides_max!$C20:$AW20,Factors!$C$37:$AW$37)-SUMPRODUCT(Oxides_min!$C20:$AW20,Factors!$C$37:$AW$37))/2)</f>
        <v>0.22037517482979752</v>
      </c>
      <c r="AE20" s="20">
        <f>MIN(MAX(0,(SUMPRODUCT(Oxides_min!$C20:$AW20,Factors!$C$38:$AW$38)+SUMPRODUCT(Oxides_max!$C20:$AW20,Factors!$C$38:$AW$38))/2),ABS(SUMPRODUCT(Oxides_max!$C20:$AW20,Factors!$C$38:$AW$38)-SUMPRODUCT(Oxides_min!$C20:$AW20,Factors!$C$38:$AW$38))/2)</f>
        <v>0</v>
      </c>
      <c r="AF20" s="20">
        <f>MIN(MAX(0,(SUMPRODUCT(Oxides_min!$C20:$AW20,Factors!$C$39:$AW$39)+SUMPRODUCT(Oxides_max!$C20:$AW20,Factors!$C$39:$AW$39))/2),ABS(SUMPRODUCT(Oxides_max!$C20:$AW20,Factors!$C$39:$AW$39)-SUMPRODUCT(Oxides_min!$C20:$AW20,Factors!$C$39:$AW$39))/2)</f>
        <v>10.236771411975839</v>
      </c>
      <c r="AG20" s="20">
        <f>MIN(MAX(0,(SUMPRODUCT(Oxides_min!$C20:$AW20,Factors!$C$40:$AW$40)+SUMPRODUCT(Oxides_max!$C20:$AW20,Factors!$C$40:$AW$40))/2),ABS(SUMPRODUCT(Oxides_max!$C20:$AW20,Factors!$C$40:$AW$40)-SUMPRODUCT(Oxides_min!$C20:$AW20,Factors!$C$40:$AW$40))/2)</f>
        <v>2.1317078705939454</v>
      </c>
      <c r="AH20" s="20">
        <f>MIN(MAX(0,(SUMPRODUCT(Oxides_min!$C20:$AW20,Factors!$C$41:$AW$41)+SUMPRODUCT(Oxides_max!$C20:$AW20,Factors!$C$41:$AW$41))/2),ABS(SUMPRODUCT(Oxides_max!$C20:$AW20,Factors!$C$41:$AW$41)-SUMPRODUCT(Oxides_min!$C20:$AW20,Factors!$C$41:$AW$41))/2)</f>
        <v>4.5249798159212009</v>
      </c>
      <c r="AI20" s="20">
        <f>MIN(MAX(0,(SUMPRODUCT(Oxides_min!$C20:$AW20,Factors!$C$42:$AW$42)+SUMPRODUCT(Oxides_max!$C20:$AW20,Factors!$C$42:$AW$42))/2),ABS(SUMPRODUCT(Oxides_max!$C20:$AW20,Factors!$C$42:$AW$42)-SUMPRODUCT(Oxides_min!$C20:$AW20,Factors!$C$42:$AW$42))/2)</f>
        <v>0.59813024571065143</v>
      </c>
      <c r="AJ20" s="20">
        <f>MIN(MAX(0,(SUMPRODUCT(Oxides_min!$C20:$AW20,Factors!$C$43:$AW$43)+SUMPRODUCT(Oxides_max!$C20:$AW20,Factors!$C$43:$AW$43))/2),ABS(SUMPRODUCT(Oxides_max!$C20:$AW20,Factors!$C$43:$AW$43)-SUMPRODUCT(Oxides_min!$C20:$AW20,Factors!$C$43:$AW$43))/2)</f>
        <v>2.3577289653799176</v>
      </c>
      <c r="AK20" s="20">
        <f>MIN(MAX(0,(SUMPRODUCT(Oxides_min!$C20:$AW20,Factors!$C$44:$AW$44)+SUMPRODUCT(Oxides_max!$C20:$AW20,Factors!$C$44:$AW$44))/2),ABS(SUMPRODUCT(Oxides_max!$C20:$AW20,Factors!$C$44:$AW$44)-SUMPRODUCT(Oxides_min!$C20:$AW20,Factors!$C$44:$AW$44))/2)</f>
        <v>1.1641875790397371</v>
      </c>
      <c r="AL20" s="20">
        <f>MIN(MAX(0,(SUMPRODUCT(Oxides_min!$C20:$AW20,Factors!$C$45:$AW$45)+SUMPRODUCT(Oxides_max!$C20:$AW20,Factors!$C$45:$AW$45))/2),ABS(SUMPRODUCT(Oxides_max!$C20:$AW20,Factors!$C$45:$AW$45)-SUMPRODUCT(Oxides_min!$C20:$AW20,Factors!$C$45:$AW$45))/2)</f>
        <v>0.25908474817077498</v>
      </c>
      <c r="AM20" s="20">
        <f>MIN(MAX(0,(SUMPRODUCT(Oxides_min!$C20:$AW20,Factors!$C$46:$AW$46)+SUMPRODUCT(Oxides_max!$C20:$AW20,Factors!$C$46:$AW$46))/2),ABS(SUMPRODUCT(Oxides_max!$C20:$AW20,Factors!$C$46:$AW$46)-SUMPRODUCT(Oxides_min!$C20:$AW20,Factors!$C$46:$AW$46))/2)</f>
        <v>1.3881494191676069</v>
      </c>
      <c r="AN20" s="20">
        <f>MIN(MAX(0,(SUMPRODUCT(Oxides_min!$C20:$AW20,Factors!$C$47:$AW$47)+SUMPRODUCT(Oxides_max!$C20:$AW20,Factors!$C$47:$AW$47))/2),ABS(SUMPRODUCT(Oxides_max!$C20:$AW20,Factors!$C$47:$AW$47)-SUMPRODUCT(Oxides_min!$C20:$AW20,Factors!$C$47:$AW$47))/2)</f>
        <v>0.43440303164404204</v>
      </c>
      <c r="AO20" s="20">
        <f>MIN(MAX(0,(SUMPRODUCT(Oxides_min!$C20:$AW20,Factors!$C$48:$AW$48)+SUMPRODUCT(Oxides_max!$C20:$AW20,Factors!$C$48:$AW$48))/2),ABS(SUMPRODUCT(Oxides_max!$C20:$AW20,Factors!$C$48:$AW$48)-SUMPRODUCT(Oxides_min!$C20:$AW20,Factors!$C$48:$AW$48))/2)</f>
        <v>2.1783017021584619</v>
      </c>
      <c r="AP20" s="20">
        <f>MIN(MAX(0,(SUMPRODUCT(Oxides_min!$C20:$AW20,Factors!$C$49:$AW$49)+SUMPRODUCT(Oxides_max!$C20:$AW20,Factors!$C$49:$AW$49))/2),ABS(SUMPRODUCT(Oxides_max!$C20:$AW20,Factors!$C$49:$AW$49)-SUMPRODUCT(Oxides_min!$C20:$AW20,Factors!$C$49:$AW$49))/2)</f>
        <v>0.78567837952524244</v>
      </c>
      <c r="AQ20" s="20">
        <f>MIN(MAX(0,(SUMPRODUCT(Oxides_min!$C20:$AW20,Factors!$C$50:$AW$50)+SUMPRODUCT(Oxides_max!$C20:$AW20,Factors!$C$50:$AW$50))/2),ABS(SUMPRODUCT(Oxides_max!$C20:$AW20,Factors!$C$50:$AW$50)-SUMPRODUCT(Oxides_min!$C20:$AW20,Factors!$C$50:$AW$50))/2)</f>
        <v>1.6178667503235165</v>
      </c>
      <c r="AR20" s="20">
        <f>MIN(MAX(0,(SUMPRODUCT(Oxides_min!$C20:$AW20,Factors!$C$51:$AW$51)+SUMPRODUCT(Oxides_max!$C20:$AW20,Factors!$C$51:$AW$51))/2),ABS(SUMPRODUCT(Oxides_max!$C20:$AW20,Factors!$C$51:$AW$51)-SUMPRODUCT(Oxides_min!$C20:$AW20,Factors!$C$51:$AW$51))/2)</f>
        <v>0.30646422752967978</v>
      </c>
      <c r="AS20" s="20">
        <f>MIN(MAX(0,(SUMPRODUCT(Oxides_min!$C20:$AW20,Factors!$C$52:$AW$52)+SUMPRODUCT(Oxides_max!$C20:$AW20,Factors!$C$52:$AW$52))/2),ABS(SUMPRODUCT(Oxides_max!$C20:$AW20,Factors!$C$52:$AW$52)-SUMPRODUCT(Oxides_min!$C20:$AW20,Factors!$C$52:$AW$52))/2)</f>
        <v>1.756414192805142</v>
      </c>
      <c r="AT20" s="20">
        <f>MIN(MAX(0,(SUMPRODUCT(Oxides_min!$C20:$AW20,Factors!$C$53:$AW$53)+SUMPRODUCT(Oxides_max!$C20:$AW20,Factors!$C$53:$AW$53))/2),ABS(SUMPRODUCT(Oxides_max!$C20:$AW20,Factors!$C$53:$AW$53)-SUMPRODUCT(Oxides_min!$C20:$AW20,Factors!$C$53:$AW$53))/2)</f>
        <v>0.35175339619521595</v>
      </c>
      <c r="AU20" s="20">
        <f>MIN(MAX(0,(SUMPRODUCT(Oxides_min!$C20:$AW20,Factors!$C$54:$AW$54)+SUMPRODUCT(Oxides_max!$C20:$AW20,Factors!$C$54:$AW$54))/2),ABS(SUMPRODUCT(Oxides_max!$C20:$AW20,Factors!$C$54:$AW$54)-SUMPRODUCT(Oxides_min!$C20:$AW20,Factors!$C$54:$AW$54))/2)</f>
        <v>0</v>
      </c>
      <c r="AV20" s="18">
        <f t="shared" si="0"/>
        <v>49.70000000000001</v>
      </c>
    </row>
    <row r="21" spans="1:48" x14ac:dyDescent="0.25">
      <c r="A21" s="13" t="s">
        <v>164</v>
      </c>
      <c r="B21" s="20">
        <f>MIN(MAX(0,(SUMPRODUCT(Oxides_min!$C21:$AW21,Factors!$C$9:$AW$9)+SUMPRODUCT(Oxides_max!$C21:$AW21,Factors!$C$9:$AW$9))/2),ABS(SUMPRODUCT(Oxides_max!$C21:$AW21,Factors!$C$9:$AW$9)-SUMPRODUCT(Oxides_min!$C21:$AW21,Factors!$C$9:$AW$9))/2)</f>
        <v>13.280905655169127</v>
      </c>
      <c r="C21" s="20">
        <f>MIN(MAX(0,(SUMPRODUCT(Oxides_min!$C21:$AW21,Factors!$C$10:$AW$10)+SUMPRODUCT(Oxides_max!$C21:$AW21,Factors!$C$10:$AW$10))/2),ABS(SUMPRODUCT(Oxides_max!$C21:$AW21,Factors!$C$10:$AW$10)-SUMPRODUCT(Oxides_min!$C21:$AW21,Factors!$C$10:$AW$10))/2)</f>
        <v>2.6877610971489441</v>
      </c>
      <c r="D21" s="20">
        <f>MIN(MAX(0,(SUMPRODUCT(Oxides_min!$C21:$AW21,Factors!$C$11:$AW$11)+SUMPRODUCT(Oxides_max!$C21:$AW21,Factors!$C$11:$AW$11))/2),ABS(SUMPRODUCT(Oxides_max!$C21:$AW21,Factors!$C$11:$AW$11)-SUMPRODUCT(Oxides_min!$C21:$AW21,Factors!$C$11:$AW$11))/2)</f>
        <v>0</v>
      </c>
      <c r="E21" s="20">
        <f>MIN(MAX(0,(SUMPRODUCT(Oxides_min!$C21:$AW21,Factors!$C$12:$AW$12)+SUMPRODUCT(Oxides_max!$C21:$AW21,Factors!$C$12:$AW$12))/2),ABS(SUMPRODUCT(Oxides_max!$C21:$AW21,Factors!$C$12:$AW$12)-SUMPRODUCT(Oxides_min!$C21:$AW21,Factors!$C$12:$AW$12))/2)</f>
        <v>9.8092710717242042</v>
      </c>
      <c r="F21" s="20">
        <f>MIN(MAX(0,(SUMPRODUCT(Oxides_min!$C21:$AW21,Factors!$C$13:$AW$13)+SUMPRODUCT(Oxides_max!$C21:$AW21,Factors!$C$13:$AW$13))/2),ABS(SUMPRODUCT(Oxides_max!$C21:$AW21,Factors!$C$13:$AW$13)-SUMPRODUCT(Oxides_min!$C21:$AW21,Factors!$C$13:$AW$13))/2)</f>
        <v>2.3319500399072632</v>
      </c>
      <c r="G21" s="20">
        <f>MIN(MAX(0,(SUMPRODUCT(Oxides_min!$C21:$AW21,Factors!$C$14:$AW$14)+SUMPRODUCT(Oxides_max!$C21:$AW21,Factors!$C$14:$AW$14))/2),ABS(SUMPRODUCT(Oxides_max!$C21:$AW21,Factors!$C$14:$AW$14)-SUMPRODUCT(Oxides_min!$C21:$AW21,Factors!$C$14:$AW$14))/2)</f>
        <v>0</v>
      </c>
      <c r="H21" s="20">
        <f>MIN(MAX(0,(SUMPRODUCT(Oxides_min!$C21:$AW21,Factors!$C$15:$AW$15)+SUMPRODUCT(Oxides_max!$C21:$AW21,Factors!$C$15:$AW$15))/2),ABS(SUMPRODUCT(Oxides_max!$C21:$AW21,Factors!$C$15:$AW$15)-SUMPRODUCT(Oxides_min!$C21:$AW21,Factors!$C$15:$AW$15))/2)</f>
        <v>0.26462846335433821</v>
      </c>
      <c r="I21" s="20">
        <f>MIN(MAX(0,(SUMPRODUCT(Oxides_min!$C21:$AW21,Factors!$C$16:$AW$16)+SUMPRODUCT(Oxides_max!$C21:$AW21,Factors!$C$16:$AW$16))/2),ABS(SUMPRODUCT(Oxides_max!$C21:$AW21,Factors!$C$16:$AW$16)-SUMPRODUCT(Oxides_min!$C21:$AW21,Factors!$C$16:$AW$16))/2)</f>
        <v>0.77730916986804743</v>
      </c>
      <c r="J21" s="20">
        <f>MIN(MAX(0,(SUMPRODUCT(Oxides_min!$C21:$AW21,Factors!$C$17:$AW$17)+SUMPRODUCT(Oxides_max!$C21:$AW21,Factors!$C$17:$AW$17))/2),ABS(SUMPRODUCT(Oxides_max!$C21:$AW21,Factors!$C$17:$AW$17)-SUMPRODUCT(Oxides_min!$C21:$AW21,Factors!$C$17:$AW$17))/2)</f>
        <v>3.8723099316063977E-2</v>
      </c>
      <c r="K21" s="20">
        <f>MIN(MAX(0,(SUMPRODUCT(Oxides_min!$C21:$AW21,Factors!$C$18:$AW$18)+SUMPRODUCT(Oxides_max!$C21:$AW21,Factors!$C$18:$AW$18))/2),ABS(SUMPRODUCT(Oxides_max!$C21:$AW21,Factors!$C$18:$AW$18)-SUMPRODUCT(Oxides_min!$C21:$AW21,Factors!$C$18:$AW$18))/2)</f>
        <v>0</v>
      </c>
      <c r="L21" s="20">
        <f>MIN(MAX(0,(SUMPRODUCT(Oxides_min!$C21:$AW21,Factors!$C$19:$AW$19)+SUMPRODUCT(Oxides_max!$C21:$AW21,Factors!$C$19:$AW$19))/2),ABS(SUMPRODUCT(Oxides_max!$C21:$AW21,Factors!$C$19:$AW$19)-SUMPRODUCT(Oxides_min!$C21:$AW21,Factors!$C$19:$AW$19))/2)</f>
        <v>0.8933698307684077</v>
      </c>
      <c r="M21" s="20">
        <f>MIN(MAX(0,(SUMPRODUCT(Oxides_min!$C21:$AW21,Factors!$C$20:$AW$20)+SUMPRODUCT(Oxides_max!$C21:$AW21,Factors!$C$20:$AW$20))/2),ABS(SUMPRODUCT(Oxides_max!$C21:$AW21,Factors!$C$20:$AW$20)-SUMPRODUCT(Oxides_min!$C21:$AW21,Factors!$C$20:$AW$20))/2)</f>
        <v>0</v>
      </c>
      <c r="N21" s="20">
        <f>MIN(MAX(0,(SUMPRODUCT(Oxides_min!$C21:$AW21,Factors!$C$21:$AW$21)+SUMPRODUCT(Oxides_max!$C21:$AW21,Factors!$C$21:$AW$21))/2),ABS(SUMPRODUCT(Oxides_max!$C21:$AW21,Factors!$C$21:$AW$21)-SUMPRODUCT(Oxides_min!$C21:$AW21,Factors!$C$21:$AW$21))/2)</f>
        <v>0</v>
      </c>
      <c r="O21" s="20">
        <f>MIN(MAX(0,(SUMPRODUCT(Oxides_min!$C21:$AW21,Factors!$C$22:$AW$22)+SUMPRODUCT(Oxides_max!$C21:$AW21,Factors!$C$22:$AW$22))/2),ABS(SUMPRODUCT(Oxides_max!$C21:$AW21,Factors!$C$22:$AW$22)-SUMPRODUCT(Oxides_min!$C21:$AW21,Factors!$C$22:$AW$22))/2)</f>
        <v>0.41774380709590991</v>
      </c>
      <c r="P21" s="20">
        <f>MIN(MAX(0,(SUMPRODUCT(Oxides_min!$C21:$AW21,Factors!$C$23:$AW$23)+SUMPRODUCT(Oxides_max!$C21:$AW21,Factors!$C$23:$AW$23))/2),ABS(SUMPRODUCT(Oxides_max!$C21:$AW21,Factors!$C$23:$AW$23)-SUMPRODUCT(Oxides_min!$C21:$AW21,Factors!$C$23:$AW$23))/2)</f>
        <v>0.11127933869113804</v>
      </c>
      <c r="Q21" s="20">
        <f>MIN(MAX(0,(SUMPRODUCT(Oxides_min!$C21:$AW21,Factors!$C$24:$AW$24)+SUMPRODUCT(Oxides_max!$C21:$AW21,Factors!$C$24:$AW$24))/2),ABS(SUMPRODUCT(Oxides_max!$C21:$AW21,Factors!$C$24:$AW$24)-SUMPRODUCT(Oxides_min!$C21:$AW21,Factors!$C$24:$AW$24))/2)</f>
        <v>0</v>
      </c>
      <c r="R21" s="20">
        <f>MIN(MAX(0,(SUMPRODUCT(Oxides_min!$C21:$AW21,Factors!$C$25:$AW$25)+SUMPRODUCT(Oxides_max!$C21:$AW21,Factors!$C$25:$AW$25))/2),ABS(SUMPRODUCT(Oxides_max!$C21:$AW21,Factors!$C$25:$AW$25)-SUMPRODUCT(Oxides_min!$C21:$AW21,Factors!$C$25:$AW$25))/2)</f>
        <v>0</v>
      </c>
      <c r="S21" s="20">
        <f>MIN(MAX(0,(SUMPRODUCT(Oxides_min!$C21:$AW21,Factors!$C$26:$AW$26)+SUMPRODUCT(Oxides_max!$C21:$AW21,Factors!$C$26:$AW$26))/2),ABS(SUMPRODUCT(Oxides_max!$C21:$AW21,Factors!$C$26:$AW$26)-SUMPRODUCT(Oxides_min!$C21:$AW21,Factors!$C$26:$AW$26))/2)</f>
        <v>0.17476234890677</v>
      </c>
      <c r="T21" s="20">
        <f>MIN(MAX(0,(SUMPRODUCT(Oxides_min!$C21:$AW21,Factors!$C$27:$AW$27)+SUMPRODUCT(Oxides_max!$C21:$AW21,Factors!$C$27:$AW$27))/2),ABS(SUMPRODUCT(Oxides_max!$C21:$AW21,Factors!$C$27:$AW$27)-SUMPRODUCT(Oxides_min!$C21:$AW21,Factors!$C$27:$AW$27))/2)</f>
        <v>0</v>
      </c>
      <c r="U21" s="20">
        <f>MIN(MAX(0,(SUMPRODUCT(Oxides_min!$C21:$AW21,Factors!$C$28:$AW$28)+SUMPRODUCT(Oxides_max!$C21:$AW21,Factors!$C$28:$AW$28))/2),ABS(SUMPRODUCT(Oxides_max!$C21:$AW21,Factors!$C$28:$AW$28)-SUMPRODUCT(Oxides_min!$C21:$AW21,Factors!$C$28:$AW$28))/2)</f>
        <v>0</v>
      </c>
      <c r="V21" s="20">
        <f>MIN(MAX(0,(SUMPRODUCT(Oxides_min!$C21:$AW21,Factors!$C$29:$AW$29)+SUMPRODUCT(Oxides_max!$C21:$AW21,Factors!$C$29:$AW$29))/2),ABS(SUMPRODUCT(Oxides_max!$C21:$AW21,Factors!$C$29:$AW$29)-SUMPRODUCT(Oxides_min!$C21:$AW21,Factors!$C$29:$AW$29))/2)</f>
        <v>1.3092804520880374</v>
      </c>
      <c r="W21" s="20">
        <f>MIN(MAX(0,(SUMPRODUCT(Oxides_min!$C21:$AW21,Factors!$C$30:$AW$30)+SUMPRODUCT(Oxides_max!$C21:$AW21,Factors!$C$30:$AW$30))/2),ABS(SUMPRODUCT(Oxides_max!$C21:$AW21,Factors!$C$30:$AW$30)-SUMPRODUCT(Oxides_min!$C21:$AW21,Factors!$C$30:$AW$30))/2)</f>
        <v>9.7792618798468595E-2</v>
      </c>
      <c r="X21" s="20">
        <f>MIN(MAX(0,(SUMPRODUCT(Oxides_min!$C21:$AW21,Factors!$C$31:$AW$31)+SUMPRODUCT(Oxides_max!$C21:$AW21,Factors!$C$31:$AW$31))/2),ABS(SUMPRODUCT(Oxides_max!$C21:$AW21,Factors!$C$31:$AW$31)-SUMPRODUCT(Oxides_min!$C21:$AW21,Factors!$C$31:$AW$31))/2)</f>
        <v>0</v>
      </c>
      <c r="Y21" s="20">
        <f>MIN(MAX(0,(SUMPRODUCT(Oxides_min!$C21:$AW21,Factors!$C$32:$AW$32)+SUMPRODUCT(Oxides_max!$C21:$AW21,Factors!$C$32:$AW$32))/2),ABS(SUMPRODUCT(Oxides_max!$C21:$AW21,Factors!$C$32:$AW$32)-SUMPRODUCT(Oxides_min!$C21:$AW21,Factors!$C$32:$AW$32))/2)</f>
        <v>0</v>
      </c>
      <c r="Z21" s="20">
        <f>MIN(MAX(0,(SUMPRODUCT(Oxides_min!$C21:$AW21,Factors!$C$33:$AW$33)+SUMPRODUCT(Oxides_max!$C21:$AW21,Factors!$C$33:$AW$33))/2),ABS(SUMPRODUCT(Oxides_max!$C21:$AW21,Factors!$C$33:$AW$33)-SUMPRODUCT(Oxides_min!$C21:$AW21,Factors!$C$33:$AW$33))/2)</f>
        <v>0.279766860949209</v>
      </c>
      <c r="AA21" s="20">
        <f>MIN(MAX(0,(SUMPRODUCT(Oxides_min!$C21:$AW21,Factors!$C$34:$AW$34)+SUMPRODUCT(Oxides_max!$C21:$AW21,Factors!$C$34:$AW$34))/2),ABS(SUMPRODUCT(Oxides_max!$C21:$AW21,Factors!$C$34:$AW$34)-SUMPRODUCT(Oxides_min!$C21:$AW21,Factors!$C$34:$AW$34))/2)</f>
        <v>0.6</v>
      </c>
      <c r="AB21" s="20">
        <f>MIN(MAX(0,(SUMPRODUCT(Oxides_min!$C21:$AW21,Factors!$C$35:$AW$35)+SUMPRODUCT(Oxides_max!$C21:$AW21,Factors!$C$35:$AW$35))/2),ABS(SUMPRODUCT(Oxides_max!$C21:$AW21,Factors!$C$35:$AW$35)-SUMPRODUCT(Oxides_min!$C21:$AW21,Factors!$C$35:$AW$35))/2)</f>
        <v>0</v>
      </c>
      <c r="AC21" s="20">
        <f>MIN(MAX(0,(SUMPRODUCT(Oxides_min!$C21:$AW21,Factors!$C$36:$AW$36)+SUMPRODUCT(Oxides_max!$C21:$AW21,Factors!$C$36:$AW$36))/2),ABS(SUMPRODUCT(Oxides_max!$C21:$AW21,Factors!$C$36:$AW$36)-SUMPRODUCT(Oxides_min!$C21:$AW21,Factors!$C$36:$AW$36))/2)</f>
        <v>0.65910888186711114</v>
      </c>
      <c r="AD21" s="20">
        <f>MIN(MAX(0,(SUMPRODUCT(Oxides_min!$C21:$AW21,Factors!$C$37:$AW$37)+SUMPRODUCT(Oxides_max!$C21:$AW21,Factors!$C$37:$AW$37))/2),ABS(SUMPRODUCT(Oxides_max!$C21:$AW21,Factors!$C$37:$AW$37)-SUMPRODUCT(Oxides_min!$C21:$AW21,Factors!$C$37:$AW$37))/2)</f>
        <v>1.5426262238085826</v>
      </c>
      <c r="AE21" s="20">
        <f>MIN(MAX(0,(SUMPRODUCT(Oxides_min!$C21:$AW21,Factors!$C$38:$AW$38)+SUMPRODUCT(Oxides_max!$C21:$AW21,Factors!$C$38:$AW$38))/2),ABS(SUMPRODUCT(Oxides_max!$C21:$AW21,Factors!$C$38:$AW$38)-SUMPRODUCT(Oxides_min!$C21:$AW21,Factors!$C$38:$AW$38))/2)</f>
        <v>0.16299142181019088</v>
      </c>
      <c r="AF21" s="20">
        <f>MIN(MAX(0,(SUMPRODUCT(Oxides_min!$C21:$AW21,Factors!$C$39:$AW$39)+SUMPRODUCT(Oxides_max!$C21:$AW21,Factors!$C$39:$AW$39))/2),ABS(SUMPRODUCT(Oxides_max!$C21:$AW21,Factors!$C$39:$AW$39)-SUMPRODUCT(Oxides_min!$C21:$AW21,Factors!$C$39:$AW$39))/2)</f>
        <v>3.1497758190694887</v>
      </c>
      <c r="AG21" s="20">
        <f>MIN(MAX(0,(SUMPRODUCT(Oxides_min!$C21:$AW21,Factors!$C$40:$AW$40)+SUMPRODUCT(Oxides_max!$C21:$AW21,Factors!$C$40:$AW$40))/2),ABS(SUMPRODUCT(Oxides_max!$C21:$AW21,Factors!$C$40:$AW$40)-SUMPRODUCT(Oxides_min!$C21:$AW21,Factors!$C$40:$AW$40))/2)</f>
        <v>2.1317078705939456E-2</v>
      </c>
      <c r="AH21" s="20">
        <f>MIN(MAX(0,(SUMPRODUCT(Oxides_min!$C21:$AW21,Factors!$C$41:$AW$41)+SUMPRODUCT(Oxides_max!$C21:$AW21,Factors!$C$41:$AW$41))/2),ABS(SUMPRODUCT(Oxides_max!$C21:$AW21,Factors!$C$41:$AW$41)-SUMPRODUCT(Oxides_min!$C21:$AW21,Factors!$C$41:$AW$41))/2)</f>
        <v>0.21344244414722646</v>
      </c>
      <c r="AI21" s="20">
        <f>MIN(MAX(0,(SUMPRODUCT(Oxides_min!$C21:$AW21,Factors!$C$42:$AW$42)+SUMPRODUCT(Oxides_max!$C21:$AW21,Factors!$C$42:$AW$42))/2),ABS(SUMPRODUCT(Oxides_max!$C21:$AW21,Factors!$C$42:$AW$42)-SUMPRODUCT(Oxides_min!$C21:$AW21,Factors!$C$42:$AW$42))/2)</f>
        <v>2.5634153387599345E-2</v>
      </c>
      <c r="AJ21" s="20">
        <f>MIN(MAX(0,(SUMPRODUCT(Oxides_min!$C21:$AW21,Factors!$C$43:$AW$43)+SUMPRODUCT(Oxides_max!$C21:$AW21,Factors!$C$43:$AW$43))/2),ABS(SUMPRODUCT(Oxides_max!$C21:$AW21,Factors!$C$43:$AW$43)-SUMPRODUCT(Oxides_min!$C21:$AW21,Factors!$C$43:$AW$43))/2)</f>
        <v>6.4301699055815925E-2</v>
      </c>
      <c r="AK21" s="20">
        <f>MIN(MAX(0,(SUMPRODUCT(Oxides_min!$C21:$AW21,Factors!$C$44:$AW$44)+SUMPRODUCT(Oxides_max!$C21:$AW21,Factors!$C$44:$AW$44))/2),ABS(SUMPRODUCT(Oxides_max!$C21:$AW21,Factors!$C$44:$AW$44)-SUMPRODUCT(Oxides_min!$C21:$AW21,Factors!$C$44:$AW$44))/2)</f>
        <v>6.467708772442983E-2</v>
      </c>
      <c r="AL21" s="20">
        <f>MIN(MAX(0,(SUMPRODUCT(Oxides_min!$C21:$AW21,Factors!$C$45:$AW$45)+SUMPRODUCT(Oxides_max!$C21:$AW21,Factors!$C$45:$AW$45))/2),ABS(SUMPRODUCT(Oxides_max!$C21:$AW21,Factors!$C$45:$AW$45)-SUMPRODUCT(Oxides_min!$C21:$AW21,Factors!$C$45:$AW$45))/2)</f>
        <v>1.295423740853875E-2</v>
      </c>
      <c r="AM21" s="20">
        <f>MIN(MAX(0,(SUMPRODUCT(Oxides_min!$C21:$AW21,Factors!$C$46:$AW$46)+SUMPRODUCT(Oxides_max!$C21:$AW21,Factors!$C$46:$AW$46))/2),ABS(SUMPRODUCT(Oxides_max!$C21:$AW21,Factors!$C$46:$AW$46)-SUMPRODUCT(Oxides_min!$C21:$AW21,Factors!$C$46:$AW$46))/2)</f>
        <v>0.21689834674493857</v>
      </c>
      <c r="AN21" s="20">
        <f>MIN(MAX(0,(SUMPRODUCT(Oxides_min!$C21:$AW21,Factors!$C$47:$AW$47)+SUMPRODUCT(Oxides_max!$C21:$AW21,Factors!$C$47:$AW$47))/2),ABS(SUMPRODUCT(Oxides_max!$C21:$AW21,Factors!$C$47:$AW$47)-SUMPRODUCT(Oxides_min!$C21:$AW21,Factors!$C$47:$AW$47))/2)</f>
        <v>6.5160454746606297E-2</v>
      </c>
      <c r="AO21" s="20">
        <f>MIN(MAX(0,(SUMPRODUCT(Oxides_min!$C21:$AW21,Factors!$C$48:$AW$48)+SUMPRODUCT(Oxides_max!$C21:$AW21,Factors!$C$48:$AW$48))/2),ABS(SUMPRODUCT(Oxides_max!$C21:$AW21,Factors!$C$48:$AW$48)-SUMPRODUCT(Oxides_min!$C21:$AW21,Factors!$C$48:$AW$48))/2)</f>
        <v>0.52279240851803088</v>
      </c>
      <c r="AP21" s="20">
        <f>MIN(MAX(0,(SUMPRODUCT(Oxides_min!$C21:$AW21,Factors!$C$49:$AW$49)+SUMPRODUCT(Oxides_max!$C21:$AW21,Factors!$C$49:$AW$49))/2),ABS(SUMPRODUCT(Oxides_max!$C21:$AW21,Factors!$C$49:$AW$49)-SUMPRODUCT(Oxides_min!$C21:$AW21,Factors!$C$49:$AW$49))/2)</f>
        <v>0.10912199715628366</v>
      </c>
      <c r="AQ21" s="20">
        <f>MIN(MAX(0,(SUMPRODUCT(Oxides_min!$C21:$AW21,Factors!$C$50:$AW$50)+SUMPRODUCT(Oxides_max!$C21:$AW21,Factors!$C$50:$AW$50))/2),ABS(SUMPRODUCT(Oxides_max!$C21:$AW21,Factors!$C$50:$AW$50)-SUMPRODUCT(Oxides_min!$C21:$AW21,Factors!$C$50:$AW$50))/2)</f>
        <v>0.43726128387122071</v>
      </c>
      <c r="AR21" s="20">
        <f>MIN(MAX(0,(SUMPRODUCT(Oxides_min!$C21:$AW21,Factors!$C$51:$AW$51)+SUMPRODUCT(Oxides_max!$C21:$AW21,Factors!$C$51:$AW$51))/2),ABS(SUMPRODUCT(Oxides_max!$C21:$AW21,Factors!$C$51:$AW$51)-SUMPRODUCT(Oxides_min!$C21:$AW21,Factors!$C$51:$AW$51))/2)</f>
        <v>8.7561207865622798E-2</v>
      </c>
      <c r="AS21" s="20">
        <f>MIN(MAX(0,(SUMPRODUCT(Oxides_min!$C21:$AW21,Factors!$C$52:$AW$52)+SUMPRODUCT(Oxides_max!$C21:$AW21,Factors!$C$52:$AW$52))/2),ABS(SUMPRODUCT(Oxides_max!$C21:$AW21,Factors!$C$52:$AW$52)-SUMPRODUCT(Oxides_min!$C21:$AW21,Factors!$C$52:$AW$52))/2)</f>
        <v>0.96602780604282823</v>
      </c>
      <c r="AT21" s="20">
        <f>MIN(MAX(0,(SUMPRODUCT(Oxides_min!$C21:$AW21,Factors!$C$53:$AW$53)+SUMPRODUCT(Oxides_max!$C21:$AW21,Factors!$C$53:$AW$53))/2),ABS(SUMPRODUCT(Oxides_max!$C21:$AW21,Factors!$C$53:$AW$53)-SUMPRODUCT(Oxides_min!$C21:$AW21,Factors!$C$53:$AW$53))/2)</f>
        <v>0.15389211083540696</v>
      </c>
      <c r="AU21" s="20">
        <f>MIN(MAX(0,(SUMPRODUCT(Oxides_min!$C21:$AW21,Factors!$C$54:$AW$54)+SUMPRODUCT(Oxides_max!$C21:$AW21,Factors!$C$54:$AW$54))/2),ABS(SUMPRODUCT(Oxides_max!$C21:$AW21,Factors!$C$54:$AW$54)-SUMPRODUCT(Oxides_min!$C21:$AW21,Factors!$C$54:$AW$54))/2)</f>
        <v>6.7274461335339805E-2</v>
      </c>
      <c r="AV21" s="18">
        <f t="shared" si="0"/>
        <v>41.61736297788714</v>
      </c>
    </row>
    <row r="22" spans="1:48" x14ac:dyDescent="0.25">
      <c r="A22" s="13" t="s">
        <v>166</v>
      </c>
      <c r="B22" s="20">
        <f>MIN(MAX(0,(SUMPRODUCT(Oxides_min!$C22:$AW22,Factors!$C$9:$AW$9)+SUMPRODUCT(Oxides_max!$C22:$AW22,Factors!$C$9:$AW$9))/2),ABS(SUMPRODUCT(Oxides_max!$C22:$AW22,Factors!$C$9:$AW$9)-SUMPRODUCT(Oxides_min!$C22:$AW22,Factors!$C$9:$AW$9))/2)</f>
        <v>19.109096250055167</v>
      </c>
      <c r="C22" s="20">
        <f>MIN(MAX(0,(SUMPRODUCT(Oxides_min!$C22:$AW22,Factors!$C$10:$AW$10)+SUMPRODUCT(Oxides_max!$C22:$AW22,Factors!$C$10:$AW$10))/2),ABS(SUMPRODUCT(Oxides_max!$C22:$AW22,Factors!$C$10:$AW$10)-SUMPRODUCT(Oxides_min!$C22:$AW22,Factors!$C$10:$AW$10))/2)</f>
        <v>0.18697468501905701</v>
      </c>
      <c r="D22" s="20">
        <f>MIN(MAX(0,(SUMPRODUCT(Oxides_min!$C22:$AW22,Factors!$C$11:$AW$11)+SUMPRODUCT(Oxides_max!$C22:$AW22,Factors!$C$11:$AW$11))/2),ABS(SUMPRODUCT(Oxides_max!$C22:$AW22,Factors!$C$11:$AW$11)-SUMPRODUCT(Oxides_min!$C22:$AW22,Factors!$C$11:$AW$11))/2)</f>
        <v>7.4918612658861834</v>
      </c>
      <c r="E22" s="20">
        <f>MIN(MAX(0,(SUMPRODUCT(Oxides_min!$C22:$AW22,Factors!$C$12:$AW$12)+SUMPRODUCT(Oxides_max!$C22:$AW22,Factors!$C$12:$AW$12))/2),ABS(SUMPRODUCT(Oxides_max!$C22:$AW22,Factors!$C$12:$AW$12)-SUMPRODUCT(Oxides_min!$C22:$AW22,Factors!$C$12:$AW$12))/2)</f>
        <v>0.96241904854652582</v>
      </c>
      <c r="F22" s="20">
        <f>MIN(MAX(0,(SUMPRODUCT(Oxides_min!$C22:$AW22,Factors!$C$13:$AW$13)+SUMPRODUCT(Oxides_max!$C22:$AW22,Factors!$C$13:$AW$13))/2),ABS(SUMPRODUCT(Oxides_max!$C22:$AW22,Factors!$C$13:$AW$13)-SUMPRODUCT(Oxides_min!$C22:$AW22,Factors!$C$13:$AW$13))/2)</f>
        <v>0</v>
      </c>
      <c r="G22" s="20">
        <f>MIN(MAX(0,(SUMPRODUCT(Oxides_min!$C22:$AW22,Factors!$C$14:$AW$14)+SUMPRODUCT(Oxides_max!$C22:$AW22,Factors!$C$14:$AW$14))/2),ABS(SUMPRODUCT(Oxides_max!$C22:$AW22,Factors!$C$14:$AW$14)-SUMPRODUCT(Oxides_min!$C22:$AW22,Factors!$C$14:$AW$14))/2)</f>
        <v>7.8768214029779446E-2</v>
      </c>
      <c r="H22" s="20">
        <f>MIN(MAX(0,(SUMPRODUCT(Oxides_min!$C22:$AW22,Factors!$C$15:$AW$15)+SUMPRODUCT(Oxides_max!$C22:$AW22,Factors!$C$15:$AW$15))/2),ABS(SUMPRODUCT(Oxides_max!$C22:$AW22,Factors!$C$15:$AW$15)-SUMPRODUCT(Oxides_min!$C22:$AW22,Factors!$C$15:$AW$15))/2)</f>
        <v>0</v>
      </c>
      <c r="I22" s="20">
        <f>MIN(MAX(0,(SUMPRODUCT(Oxides_min!$C22:$AW22,Factors!$C$16:$AW$16)+SUMPRODUCT(Oxides_max!$C22:$AW22,Factors!$C$16:$AW$16))/2),ABS(SUMPRODUCT(Oxides_max!$C22:$AW22,Factors!$C$16:$AW$16)-SUMPRODUCT(Oxides_min!$C22:$AW22,Factors!$C$16:$AW$16))/2)</f>
        <v>3.8394500756401309</v>
      </c>
      <c r="J22" s="20">
        <f>MIN(MAX(0,(SUMPRODUCT(Oxides_min!$C22:$AW22,Factors!$C$17:$AW$17)+SUMPRODUCT(Oxides_max!$C22:$AW22,Factors!$C$17:$AW$17))/2),ABS(SUMPRODUCT(Oxides_max!$C22:$AW22,Factors!$C$17:$AW$17)-SUMPRODUCT(Oxides_min!$C22:$AW22,Factors!$C$17:$AW$17))/2)</f>
        <v>0.48403874145079967</v>
      </c>
      <c r="K22" s="20">
        <f>MIN(MAX(0,(SUMPRODUCT(Oxides_min!$C22:$AW22,Factors!$C$18:$AW$18)+SUMPRODUCT(Oxides_max!$C22:$AW22,Factors!$C$18:$AW$18))/2),ABS(SUMPRODUCT(Oxides_max!$C22:$AW22,Factors!$C$18:$AW$18)-SUMPRODUCT(Oxides_min!$C22:$AW22,Factors!$C$18:$AW$18))/2)</f>
        <v>0</v>
      </c>
      <c r="L22" s="20">
        <f>MIN(MAX(0,(SUMPRODUCT(Oxides_min!$C22:$AW22,Factors!$C$19:$AW$19)+SUMPRODUCT(Oxides_max!$C22:$AW22,Factors!$C$19:$AW$19))/2),ABS(SUMPRODUCT(Oxides_max!$C22:$AW22,Factors!$C$19:$AW$19)-SUMPRODUCT(Oxides_min!$C22:$AW22,Factors!$C$19:$AW$19))/2)</f>
        <v>0.82190024430693498</v>
      </c>
      <c r="M22" s="20">
        <f>MIN(MAX(0,(SUMPRODUCT(Oxides_min!$C22:$AW22,Factors!$C$20:$AW$20)+SUMPRODUCT(Oxides_max!$C22:$AW22,Factors!$C$20:$AW$20))/2),ABS(SUMPRODUCT(Oxides_max!$C22:$AW22,Factors!$C$20:$AW$20)-SUMPRODUCT(Oxides_min!$C22:$AW22,Factors!$C$20:$AW$20))/2)</f>
        <v>0</v>
      </c>
      <c r="N22" s="20">
        <f>MIN(MAX(0,(SUMPRODUCT(Oxides_min!$C22:$AW22,Factors!$C$21:$AW$21)+SUMPRODUCT(Oxides_max!$C22:$AW22,Factors!$C$21:$AW$21))/2),ABS(SUMPRODUCT(Oxides_max!$C22:$AW22,Factors!$C$21:$AW$21)-SUMPRODUCT(Oxides_min!$C22:$AW22,Factors!$C$21:$AW$21))/2)</f>
        <v>0</v>
      </c>
      <c r="O22" s="20">
        <f>MIN(MAX(0,(SUMPRODUCT(Oxides_min!$C22:$AW22,Factors!$C$22:$AW$22)+SUMPRODUCT(Oxides_max!$C22:$AW22,Factors!$C$22:$AW$22))/2),ABS(SUMPRODUCT(Oxides_max!$C22:$AW22,Factors!$C$22:$AW$22)-SUMPRODUCT(Oxides_min!$C22:$AW22,Factors!$C$22:$AW$22))/2)</f>
        <v>0</v>
      </c>
      <c r="P22" s="20">
        <f>MIN(MAX(0,(SUMPRODUCT(Oxides_min!$C22:$AW22,Factors!$C$23:$AW$23)+SUMPRODUCT(Oxides_max!$C22:$AW22,Factors!$C$23:$AW$23))/2),ABS(SUMPRODUCT(Oxides_max!$C22:$AW22,Factors!$C$23:$AW$23)-SUMPRODUCT(Oxides_min!$C22:$AW22,Factors!$C$23:$AW$23))/2)</f>
        <v>0</v>
      </c>
      <c r="Q22" s="20">
        <f>MIN(MAX(0,(SUMPRODUCT(Oxides_min!$C22:$AW22,Factors!$C$24:$AW$24)+SUMPRODUCT(Oxides_max!$C22:$AW22,Factors!$C$24:$AW$24))/2),ABS(SUMPRODUCT(Oxides_max!$C22:$AW22,Factors!$C$24:$AW$24)-SUMPRODUCT(Oxides_min!$C22:$AW22,Factors!$C$24:$AW$24))/2)</f>
        <v>0</v>
      </c>
      <c r="R22" s="20">
        <f>MIN(MAX(0,(SUMPRODUCT(Oxides_min!$C22:$AW22,Factors!$C$25:$AW$25)+SUMPRODUCT(Oxides_max!$C22:$AW22,Factors!$C$25:$AW$25))/2),ABS(SUMPRODUCT(Oxides_max!$C22:$AW22,Factors!$C$25:$AW$25)-SUMPRODUCT(Oxides_min!$C22:$AW22,Factors!$C$25:$AW$25))/2)</f>
        <v>0</v>
      </c>
      <c r="S22" s="20">
        <f>MIN(MAX(0,(SUMPRODUCT(Oxides_min!$C22:$AW22,Factors!$C$26:$AW$26)+SUMPRODUCT(Oxides_max!$C22:$AW22,Factors!$C$26:$AW$26))/2),ABS(SUMPRODUCT(Oxides_max!$C22:$AW22,Factors!$C$26:$AW$26)-SUMPRODUCT(Oxides_min!$C22:$AW22,Factors!$C$26:$AW$26))/2)</f>
        <v>10.380883525062139</v>
      </c>
      <c r="T22" s="20">
        <f>MIN(MAX(0,(SUMPRODUCT(Oxides_min!$C22:$AW22,Factors!$C$27:$AW$27)+SUMPRODUCT(Oxides_max!$C22:$AW22,Factors!$C$27:$AW$27))/2),ABS(SUMPRODUCT(Oxides_max!$C22:$AW22,Factors!$C$27:$AW$27)-SUMPRODUCT(Oxides_min!$C22:$AW22,Factors!$C$27:$AW$27))/2)</f>
        <v>2.8663988357665593</v>
      </c>
      <c r="U22" s="20">
        <f>MIN(MAX(0,(SUMPRODUCT(Oxides_min!$C22:$AW22,Factors!$C$28:$AW$28)+SUMPRODUCT(Oxides_max!$C22:$AW22,Factors!$C$28:$AW$28))/2),ABS(SUMPRODUCT(Oxides_max!$C22:$AW22,Factors!$C$28:$AW$28)-SUMPRODUCT(Oxides_min!$C22:$AW22,Factors!$C$28:$AW$28))/2)</f>
        <v>0</v>
      </c>
      <c r="V22" s="20">
        <f>MIN(MAX(0,(SUMPRODUCT(Oxides_min!$C22:$AW22,Factors!$C$29:$AW$29)+SUMPRODUCT(Oxides_max!$C22:$AW22,Factors!$C$29:$AW$29))/2),ABS(SUMPRODUCT(Oxides_max!$C22:$AW22,Factors!$C$29:$AW$29)-SUMPRODUCT(Oxides_min!$C22:$AW22,Factors!$C$29:$AW$29))/2)</f>
        <v>0</v>
      </c>
      <c r="W22" s="20">
        <f>MIN(MAX(0,(SUMPRODUCT(Oxides_min!$C22:$AW22,Factors!$C$30:$AW$30)+SUMPRODUCT(Oxides_max!$C22:$AW22,Factors!$C$30:$AW$30))/2),ABS(SUMPRODUCT(Oxides_max!$C22:$AW22,Factors!$C$30:$AW$30)-SUMPRODUCT(Oxides_min!$C22:$AW22,Factors!$C$30:$AW$30))/2)</f>
        <v>0</v>
      </c>
      <c r="X22" s="20">
        <f>MIN(MAX(0,(SUMPRODUCT(Oxides_min!$C22:$AW22,Factors!$C$31:$AW$31)+SUMPRODUCT(Oxides_max!$C22:$AW22,Factors!$C$31:$AW$31))/2),ABS(SUMPRODUCT(Oxides_max!$C22:$AW22,Factors!$C$31:$AW$31)-SUMPRODUCT(Oxides_min!$C22:$AW22,Factors!$C$31:$AW$31))/2)</f>
        <v>0</v>
      </c>
      <c r="Y22" s="20">
        <f>MIN(MAX(0,(SUMPRODUCT(Oxides_min!$C22:$AW22,Factors!$C$32:$AW$32)+SUMPRODUCT(Oxides_max!$C22:$AW22,Factors!$C$32:$AW$32))/2),ABS(SUMPRODUCT(Oxides_max!$C22:$AW22,Factors!$C$32:$AW$32)-SUMPRODUCT(Oxides_min!$C22:$AW22,Factors!$C$32:$AW$32))/2)</f>
        <v>0</v>
      </c>
      <c r="Z22" s="20">
        <f>MIN(MAX(0,(SUMPRODUCT(Oxides_min!$C22:$AW22,Factors!$C$33:$AW$33)+SUMPRODUCT(Oxides_max!$C22:$AW22,Factors!$C$33:$AW$33))/2),ABS(SUMPRODUCT(Oxides_max!$C22:$AW22,Factors!$C$33:$AW$33)-SUMPRODUCT(Oxides_min!$C22:$AW22,Factors!$C$33:$AW$33))/2)</f>
        <v>0.17905079100749377</v>
      </c>
      <c r="AA22" s="20">
        <f>MIN(MAX(0,(SUMPRODUCT(Oxides_min!$C22:$AW22,Factors!$C$34:$AW$34)+SUMPRODUCT(Oxides_max!$C22:$AW22,Factors!$C$34:$AW$34))/2),ABS(SUMPRODUCT(Oxides_max!$C22:$AW22,Factors!$C$34:$AW$34)-SUMPRODUCT(Oxides_min!$C22:$AW22,Factors!$C$34:$AW$34))/2)</f>
        <v>0.25</v>
      </c>
      <c r="AB22" s="20">
        <f>MIN(MAX(0,(SUMPRODUCT(Oxides_min!$C22:$AW22,Factors!$C$35:$AW$35)+SUMPRODUCT(Oxides_max!$C22:$AW22,Factors!$C$35:$AW$35))/2),ABS(SUMPRODUCT(Oxides_max!$C22:$AW22,Factors!$C$35:$AW$35)-SUMPRODUCT(Oxides_min!$C22:$AW22,Factors!$C$35:$AW$35))/2)</f>
        <v>0</v>
      </c>
      <c r="AC22" s="20">
        <f>MIN(MAX(0,(SUMPRODUCT(Oxides_min!$C22:$AW22,Factors!$C$36:$AW$36)+SUMPRODUCT(Oxides_max!$C22:$AW22,Factors!$C$36:$AW$36))/2),ABS(SUMPRODUCT(Oxides_max!$C22:$AW22,Factors!$C$36:$AW$36)-SUMPRODUCT(Oxides_min!$C22:$AW22,Factors!$C$36:$AW$36))/2)</f>
        <v>7.0304947399158522</v>
      </c>
      <c r="AD22" s="20">
        <f>MIN(MAX(0,(SUMPRODUCT(Oxides_min!$C22:$AW22,Factors!$C$37:$AW$37)+SUMPRODUCT(Oxides_max!$C22:$AW22,Factors!$C$37:$AW$37))/2),ABS(SUMPRODUCT(Oxides_max!$C22:$AW22,Factors!$C$37:$AW$37)-SUMPRODUCT(Oxides_min!$C22:$AW22,Factors!$C$37:$AW$37))/2)</f>
        <v>0.44075034965959503</v>
      </c>
      <c r="AE22" s="20">
        <f>MIN(MAX(0,(SUMPRODUCT(Oxides_min!$C22:$AW22,Factors!$C$38:$AW$38)+SUMPRODUCT(Oxides_max!$C22:$AW22,Factors!$C$38:$AW$38))/2),ABS(SUMPRODUCT(Oxides_max!$C22:$AW22,Factors!$C$38:$AW$38)-SUMPRODUCT(Oxides_min!$C22:$AW22,Factors!$C$38:$AW$38))/2)</f>
        <v>0</v>
      </c>
      <c r="AF22" s="20">
        <f>MIN(MAX(0,(SUMPRODUCT(Oxides_min!$C22:$AW22,Factors!$C$39:$AW$39)+SUMPRODUCT(Oxides_max!$C22:$AW22,Factors!$C$39:$AW$39))/2),ABS(SUMPRODUCT(Oxides_max!$C22:$AW22,Factors!$C$39:$AW$39)-SUMPRODUCT(Oxides_min!$C22:$AW22,Factors!$C$39:$AW$39))/2)</f>
        <v>2.4804484575172223</v>
      </c>
      <c r="AG22" s="20">
        <f>MIN(MAX(0,(SUMPRODUCT(Oxides_min!$C22:$AW22,Factors!$C$40:$AW$40)+SUMPRODUCT(Oxides_max!$C22:$AW22,Factors!$C$40:$AW$40))/2),ABS(SUMPRODUCT(Oxides_max!$C22:$AW22,Factors!$C$40:$AW$40)-SUMPRODUCT(Oxides_min!$C22:$AW22,Factors!$C$40:$AW$40))/2)</f>
        <v>4.9455622597779527</v>
      </c>
      <c r="AH22" s="20">
        <f>MIN(MAX(0,(SUMPRODUCT(Oxides_min!$C22:$AW22,Factors!$C$41:$AW$41)+SUMPRODUCT(Oxides_max!$C22:$AW22,Factors!$C$41:$AW$41))/2),ABS(SUMPRODUCT(Oxides_max!$C22:$AW22,Factors!$C$41:$AW$41)-SUMPRODUCT(Oxides_min!$C22:$AW22,Factors!$C$41:$AW$41))/2)</f>
        <v>5.891011458463451</v>
      </c>
      <c r="AI22" s="20">
        <f>MIN(MAX(0,(SUMPRODUCT(Oxides_min!$C22:$AW22,Factors!$C$42:$AW$42)+SUMPRODUCT(Oxides_max!$C22:$AW22,Factors!$C$42:$AW$42))/2),ABS(SUMPRODUCT(Oxides_max!$C22:$AW22,Factors!$C$42:$AW$42)-SUMPRODUCT(Oxides_min!$C22:$AW22,Factors!$C$42:$AW$42))/2)</f>
        <v>0.46995947877265465</v>
      </c>
      <c r="AJ22" s="20">
        <f>MIN(MAX(0,(SUMPRODUCT(Oxides_min!$C22:$AW22,Factors!$C$43:$AW$43)+SUMPRODUCT(Oxides_max!$C22:$AW22,Factors!$C$43:$AW$43))/2),ABS(SUMPRODUCT(Oxides_max!$C22:$AW22,Factors!$C$43:$AW$43)-SUMPRODUCT(Oxides_min!$C22:$AW22,Factors!$C$43:$AW$43))/2)</f>
        <v>5.7014173162823454</v>
      </c>
      <c r="AK22" s="20">
        <f>MIN(MAX(0,(SUMPRODUCT(Oxides_min!$C22:$AW22,Factors!$C$44:$AW$44)+SUMPRODUCT(Oxides_max!$C22:$AW22,Factors!$C$44:$AW$44))/2),ABS(SUMPRODUCT(Oxides_max!$C22:$AW22,Factors!$C$44:$AW$44)-SUMPRODUCT(Oxides_min!$C22:$AW22,Factors!$C$44:$AW$44))/2)</f>
        <v>1.2073056375226903</v>
      </c>
      <c r="AL22" s="20">
        <f>MIN(MAX(0,(SUMPRODUCT(Oxides_min!$C22:$AW22,Factors!$C$45:$AW$45)+SUMPRODUCT(Oxides_max!$C22:$AW22,Factors!$C$45:$AW$45))/2),ABS(SUMPRODUCT(Oxides_max!$C22:$AW22,Factors!$C$45:$AW$45)-SUMPRODUCT(Oxides_min!$C22:$AW22,Factors!$C$45:$AW$45))/2)</f>
        <v>0.64771187042693756</v>
      </c>
      <c r="AM22" s="20">
        <f>MIN(MAX(0,(SUMPRODUCT(Oxides_min!$C22:$AW22,Factors!$C$46:$AW$46)+SUMPRODUCT(Oxides_max!$C22:$AW22,Factors!$C$46:$AW$46))/2),ABS(SUMPRODUCT(Oxides_max!$C22:$AW22,Factors!$C$46:$AW$46)-SUMPRODUCT(Oxides_min!$C22:$AW22,Factors!$C$46:$AW$46))/2)</f>
        <v>1.3447697498186193</v>
      </c>
      <c r="AN22" s="20">
        <f>MIN(MAX(0,(SUMPRODUCT(Oxides_min!$C22:$AW22,Factors!$C$47:$AW$47)+SUMPRODUCT(Oxides_max!$C22:$AW22,Factors!$C$47:$AW$47))/2),ABS(SUMPRODUCT(Oxides_max!$C22:$AW22,Factors!$C$47:$AW$47)-SUMPRODUCT(Oxides_min!$C22:$AW22,Factors!$C$47:$AW$47))/2)</f>
        <v>0</v>
      </c>
      <c r="AO22" s="20">
        <f>MIN(MAX(0,(SUMPRODUCT(Oxides_min!$C22:$AW22,Factors!$C$48:$AW$48)+SUMPRODUCT(Oxides_max!$C22:$AW22,Factors!$C$48:$AW$48))/2),ABS(SUMPRODUCT(Oxides_max!$C22:$AW22,Factors!$C$48:$AW$48)-SUMPRODUCT(Oxides_min!$C22:$AW22,Factors!$C$48:$AW$48))/2)</f>
        <v>0.78418861277704643</v>
      </c>
      <c r="AP22" s="20">
        <f>MIN(MAX(0,(SUMPRODUCT(Oxides_min!$C22:$AW22,Factors!$C$49:$AW$49)+SUMPRODUCT(Oxides_max!$C22:$AW22,Factors!$C$49:$AW$49))/2),ABS(SUMPRODUCT(Oxides_max!$C22:$AW22,Factors!$C$49:$AW$49)-SUMPRODUCT(Oxides_min!$C22:$AW22,Factors!$C$49:$AW$49))/2)</f>
        <v>0</v>
      </c>
      <c r="AQ22" s="20">
        <f>MIN(MAX(0,(SUMPRODUCT(Oxides_min!$C22:$AW22,Factors!$C$50:$AW$50)+SUMPRODUCT(Oxides_max!$C22:$AW22,Factors!$C$50:$AW$50))/2),ABS(SUMPRODUCT(Oxides_max!$C22:$AW22,Factors!$C$50:$AW$50)-SUMPRODUCT(Oxides_min!$C22:$AW22,Factors!$C$50:$AW$50))/2)</f>
        <v>8.7452256774244147E-2</v>
      </c>
      <c r="AR22" s="20">
        <f>MIN(MAX(0,(SUMPRODUCT(Oxides_min!$C22:$AW22,Factors!$C$51:$AW$51)+SUMPRODUCT(Oxides_max!$C22:$AW22,Factors!$C$51:$AW$51))/2),ABS(SUMPRODUCT(Oxides_max!$C22:$AW22,Factors!$C$51:$AW$51)-SUMPRODUCT(Oxides_min!$C22:$AW22,Factors!$C$51:$AW$51))/2)</f>
        <v>0</v>
      </c>
      <c r="AS22" s="20">
        <f>MIN(MAX(0,(SUMPRODUCT(Oxides_min!$C22:$AW22,Factors!$C$52:$AW$52)+SUMPRODUCT(Oxides_max!$C22:$AW22,Factors!$C$52:$AW$52))/2),ABS(SUMPRODUCT(Oxides_max!$C22:$AW22,Factors!$C$52:$AW$52)-SUMPRODUCT(Oxides_min!$C22:$AW22,Factors!$C$52:$AW$52))/2)</f>
        <v>8.7820709640257108E-2</v>
      </c>
      <c r="AT22" s="20">
        <f>MIN(MAX(0,(SUMPRODUCT(Oxides_min!$C22:$AW22,Factors!$C$53:$AW$53)+SUMPRODUCT(Oxides_max!$C22:$AW22,Factors!$C$53:$AW$53))/2),ABS(SUMPRODUCT(Oxides_max!$C22:$AW22,Factors!$C$53:$AW$53)-SUMPRODUCT(Oxides_min!$C22:$AW22,Factors!$C$53:$AW$53))/2)</f>
        <v>0</v>
      </c>
      <c r="AU22" s="20">
        <f>MIN(MAX(0,(SUMPRODUCT(Oxides_min!$C22:$AW22,Factors!$C$54:$AW$54)+SUMPRODUCT(Oxides_max!$C22:$AW22,Factors!$C$54:$AW$54))/2),ABS(SUMPRODUCT(Oxides_max!$C22:$AW22,Factors!$C$54:$AW$54)-SUMPRODUCT(Oxides_min!$C22:$AW22,Factors!$C$54:$AW$54))/2)</f>
        <v>0</v>
      </c>
      <c r="AV22" s="18">
        <f t="shared" si="0"/>
        <v>77.769734574119624</v>
      </c>
    </row>
    <row r="23" spans="1:48" x14ac:dyDescent="0.25">
      <c r="A23" s="13" t="s">
        <v>168</v>
      </c>
      <c r="B23" s="20">
        <f>MIN(MAX(0,(SUMPRODUCT(Oxides_min!$C23:$AW23,Factors!$C$9:$AW$9)+SUMPRODUCT(Oxides_max!$C23:$AW23,Factors!$C$9:$AW$9))/2),ABS(SUMPRODUCT(Oxides_max!$C23:$AW23,Factors!$C$9:$AW$9)-SUMPRODUCT(Oxides_min!$C23:$AW23,Factors!$C$9:$AW$9))/2)</f>
        <v>11.823007402160954</v>
      </c>
      <c r="C23" s="20">
        <f>MIN(MAX(0,(SUMPRODUCT(Oxides_min!$C23:$AW23,Factors!$C$10:$AW$10)+SUMPRODUCT(Oxides_max!$C23:$AW23,Factors!$C$10:$AW$10))/2),ABS(SUMPRODUCT(Oxides_max!$C23:$AW23,Factors!$C$10:$AW$10)-SUMPRODUCT(Oxides_min!$C23:$AW23,Factors!$C$10:$AW$10))/2)</f>
        <v>0.18697468501905701</v>
      </c>
      <c r="D23" s="20">
        <f>MIN(MAX(0,(SUMPRODUCT(Oxides_min!$C23:$AW23,Factors!$C$11:$AW$11)+SUMPRODUCT(Oxides_max!$C23:$AW23,Factors!$C$11:$AW$11))/2),ABS(SUMPRODUCT(Oxides_max!$C23:$AW23,Factors!$C$11:$AW$11)-SUMPRODUCT(Oxides_min!$C23:$AW23,Factors!$C$11:$AW$11))/2)</f>
        <v>2.3973956050835783</v>
      </c>
      <c r="E23" s="20">
        <f>MIN(MAX(0,(SUMPRODUCT(Oxides_min!$C23:$AW23,Factors!$C$12:$AW$12)+SUMPRODUCT(Oxides_max!$C23:$AW23,Factors!$C$12:$AW$12))/2),ABS(SUMPRODUCT(Oxides_max!$C23:$AW23,Factors!$C$12:$AW$12)-SUMPRODUCT(Oxides_min!$C23:$AW23,Factors!$C$12:$AW$12))/2)</f>
        <v>3.7016117251789458E-2</v>
      </c>
      <c r="F23" s="20">
        <f>MIN(MAX(0,(SUMPRODUCT(Oxides_min!$C23:$AW23,Factors!$C$13:$AW$13)+SUMPRODUCT(Oxides_max!$C23:$AW23,Factors!$C$13:$AW$13))/2),ABS(SUMPRODUCT(Oxides_max!$C23:$AW23,Factors!$C$13:$AW$13)-SUMPRODUCT(Oxides_min!$C23:$AW23,Factors!$C$13:$AW$13))/2)</f>
        <v>0</v>
      </c>
      <c r="G23" s="20">
        <f>MIN(MAX(0,(SUMPRODUCT(Oxides_min!$C23:$AW23,Factors!$C$14:$AW$14)+SUMPRODUCT(Oxides_max!$C23:$AW23,Factors!$C$14:$AW$14))/2),ABS(SUMPRODUCT(Oxides_max!$C23:$AW23,Factors!$C$14:$AW$14)-SUMPRODUCT(Oxides_min!$C23:$AW23,Factors!$C$14:$AW$14))/2)</f>
        <v>0.15753642805955889</v>
      </c>
      <c r="H23" s="20">
        <f>MIN(MAX(0,(SUMPRODUCT(Oxides_min!$C23:$AW23,Factors!$C$15:$AW$15)+SUMPRODUCT(Oxides_max!$C23:$AW23,Factors!$C$15:$AW$15))/2),ABS(SUMPRODUCT(Oxides_max!$C23:$AW23,Factors!$C$15:$AW$15)-SUMPRODUCT(Oxides_min!$C23:$AW23,Factors!$C$15:$AW$15))/2)</f>
        <v>3.9694269503150727E-2</v>
      </c>
      <c r="I23" s="20">
        <f>MIN(MAX(0,(SUMPRODUCT(Oxides_min!$C23:$AW23,Factors!$C$16:$AW$16)+SUMPRODUCT(Oxides_max!$C23:$AW23,Factors!$C$16:$AW$16))/2),ABS(SUMPRODUCT(Oxides_max!$C23:$AW23,Factors!$C$16:$AW$16)-SUMPRODUCT(Oxides_min!$C23:$AW23,Factors!$C$16:$AW$16))/2)</f>
        <v>0.87825611793295288</v>
      </c>
      <c r="J23" s="20">
        <f>MIN(MAX(0,(SUMPRODUCT(Oxides_min!$C23:$AW23,Factors!$C$17:$AW$17)+SUMPRODUCT(Oxides_max!$C23:$AW23,Factors!$C$17:$AW$17))/2),ABS(SUMPRODUCT(Oxides_max!$C23:$AW23,Factors!$C$17:$AW$17)-SUMPRODUCT(Oxides_min!$C23:$AW23,Factors!$C$17:$AW$17))/2)</f>
        <v>0.23233859589638384</v>
      </c>
      <c r="K23" s="20">
        <f>MIN(MAX(0,(SUMPRODUCT(Oxides_min!$C23:$AW23,Factors!$C$18:$AW$18)+SUMPRODUCT(Oxides_max!$C23:$AW23,Factors!$C$18:$AW$18))/2),ABS(SUMPRODUCT(Oxides_max!$C23:$AW23,Factors!$C$18:$AW$18)-SUMPRODUCT(Oxides_min!$C23:$AW23,Factors!$C$18:$AW$18))/2)</f>
        <v>4.5228141127431516E-2</v>
      </c>
      <c r="L23" s="20">
        <f>MIN(MAX(0,(SUMPRODUCT(Oxides_min!$C23:$AW23,Factors!$C$19:$AW$19)+SUMPRODUCT(Oxides_max!$C23:$AW23,Factors!$C$19:$AW$19))/2),ABS(SUMPRODUCT(Oxides_max!$C23:$AW23,Factors!$C$19:$AW$19)-SUMPRODUCT(Oxides_min!$C23:$AW23,Factors!$C$19:$AW$19))/2)</f>
        <v>1.6795352818446063</v>
      </c>
      <c r="M23" s="20">
        <f>MIN(MAX(0,(SUMPRODUCT(Oxides_min!$C23:$AW23,Factors!$C$20:$AW$20)+SUMPRODUCT(Oxides_max!$C23:$AW23,Factors!$C$20:$AW$20))/2),ABS(SUMPRODUCT(Oxides_max!$C23:$AW23,Factors!$C$20:$AW$20)-SUMPRODUCT(Oxides_min!$C23:$AW23,Factors!$C$20:$AW$20))/2)</f>
        <v>0</v>
      </c>
      <c r="N23" s="20">
        <f>MIN(MAX(0,(SUMPRODUCT(Oxides_min!$C23:$AW23,Factors!$C$21:$AW$21)+SUMPRODUCT(Oxides_max!$C23:$AW23,Factors!$C$21:$AW$21))/2),ABS(SUMPRODUCT(Oxides_max!$C23:$AW23,Factors!$C$21:$AW$21)-SUMPRODUCT(Oxides_min!$C23:$AW23,Factors!$C$21:$AW$21))/2)</f>
        <v>0</v>
      </c>
      <c r="O23" s="20">
        <f>MIN(MAX(0,(SUMPRODUCT(Oxides_min!$C23:$AW23,Factors!$C$22:$AW$22)+SUMPRODUCT(Oxides_max!$C23:$AW23,Factors!$C$22:$AW$22))/2),ABS(SUMPRODUCT(Oxides_max!$C23:$AW23,Factors!$C$22:$AW$22)-SUMPRODUCT(Oxides_min!$C23:$AW23,Factors!$C$22:$AW$22))/2)</f>
        <v>0.27849587139727328</v>
      </c>
      <c r="P23" s="20">
        <f>MIN(MAX(0,(SUMPRODUCT(Oxides_min!$C23:$AW23,Factors!$C$23:$AW$23)+SUMPRODUCT(Oxides_max!$C23:$AW23,Factors!$C$23:$AW$23))/2),ABS(SUMPRODUCT(Oxides_max!$C23:$AW23,Factors!$C$23:$AW$23)-SUMPRODUCT(Oxides_min!$C23:$AW23,Factors!$C$23:$AW$23))/2)</f>
        <v>7.4186225794092037E-2</v>
      </c>
      <c r="Q23" s="20">
        <f>MIN(MAX(0,(SUMPRODUCT(Oxides_min!$C23:$AW23,Factors!$C$24:$AW$24)+SUMPRODUCT(Oxides_max!$C23:$AW23,Factors!$C$24:$AW$24))/2),ABS(SUMPRODUCT(Oxides_max!$C23:$AW23,Factors!$C$24:$AW$24)-SUMPRODUCT(Oxides_min!$C23:$AW23,Factors!$C$24:$AW$24))/2)</f>
        <v>4.1507565109198313E-2</v>
      </c>
      <c r="R23" s="20">
        <f>MIN(MAX(0,(SUMPRODUCT(Oxides_min!$C23:$AW23,Factors!$C$25:$AW$25)+SUMPRODUCT(Oxides_max!$C23:$AW23,Factors!$C$25:$AW$25))/2),ABS(SUMPRODUCT(Oxides_max!$C23:$AW23,Factors!$C$25:$AW$25)-SUMPRODUCT(Oxides_min!$C23:$AW23,Factors!$C$25:$AW$25))/2)</f>
        <v>0</v>
      </c>
      <c r="S23" s="20">
        <f>MIN(MAX(0,(SUMPRODUCT(Oxides_min!$C23:$AW23,Factors!$C$26:$AW$26)+SUMPRODUCT(Oxides_max!$C23:$AW23,Factors!$C$26:$AW$26))/2),ABS(SUMPRODUCT(Oxides_max!$C23:$AW23,Factors!$C$26:$AW$26)-SUMPRODUCT(Oxides_min!$C23:$AW23,Factors!$C$26:$AW$26))/2)</f>
        <v>6.9904939562708002</v>
      </c>
      <c r="T23" s="20">
        <f>MIN(MAX(0,(SUMPRODUCT(Oxides_min!$C23:$AW23,Factors!$C$27:$AW$27)+SUMPRODUCT(Oxides_max!$C23:$AW23,Factors!$C$27:$AW$27))/2),ABS(SUMPRODUCT(Oxides_max!$C23:$AW23,Factors!$C$27:$AW$27)-SUMPRODUCT(Oxides_min!$C23:$AW23,Factors!$C$27:$AW$27))/2)</f>
        <v>5.9375404455164436</v>
      </c>
      <c r="U23" s="20">
        <f>MIN(MAX(0,(SUMPRODUCT(Oxides_min!$C23:$AW23,Factors!$C$28:$AW$28)+SUMPRODUCT(Oxides_max!$C23:$AW23,Factors!$C$28:$AW$28))/2),ABS(SUMPRODUCT(Oxides_max!$C23:$AW23,Factors!$C$28:$AW$28)-SUMPRODUCT(Oxides_min!$C23:$AW23,Factors!$C$28:$AW$28))/2)</f>
        <v>0.11894563853051929</v>
      </c>
      <c r="V23" s="20">
        <f>MIN(MAX(0,(SUMPRODUCT(Oxides_min!$C23:$AW23,Factors!$C$29:$AW$29)+SUMPRODUCT(Oxides_max!$C23:$AW23,Factors!$C$29:$AW$29))/2),ABS(SUMPRODUCT(Oxides_max!$C23:$AW23,Factors!$C$29:$AW$29)-SUMPRODUCT(Oxides_min!$C23:$AW23,Factors!$C$29:$AW$29))/2)</f>
        <v>0</v>
      </c>
      <c r="W23" s="20">
        <f>MIN(MAX(0,(SUMPRODUCT(Oxides_min!$C23:$AW23,Factors!$C$30:$AW$30)+SUMPRODUCT(Oxides_max!$C23:$AW23,Factors!$C$30:$AW$30))/2),ABS(SUMPRODUCT(Oxides_max!$C23:$AW23,Factors!$C$30:$AW$30)-SUMPRODUCT(Oxides_min!$C23:$AW23,Factors!$C$30:$AW$30))/2)</f>
        <v>0</v>
      </c>
      <c r="X23" s="20">
        <f>MIN(MAX(0,(SUMPRODUCT(Oxides_min!$C23:$AW23,Factors!$C$31:$AW$31)+SUMPRODUCT(Oxides_max!$C23:$AW23,Factors!$C$31:$AW$31))/2),ABS(SUMPRODUCT(Oxides_max!$C23:$AW23,Factors!$C$31:$AW$31)-SUMPRODUCT(Oxides_min!$C23:$AW23,Factors!$C$31:$AW$31))/2)</f>
        <v>0</v>
      </c>
      <c r="Y23" s="20">
        <f>MIN(MAX(0,(SUMPRODUCT(Oxides_min!$C23:$AW23,Factors!$C$32:$AW$32)+SUMPRODUCT(Oxides_max!$C23:$AW23,Factors!$C$32:$AW$32))/2),ABS(SUMPRODUCT(Oxides_max!$C23:$AW23,Factors!$C$32:$AW$32)-SUMPRODUCT(Oxides_min!$C23:$AW23,Factors!$C$32:$AW$32))/2)</f>
        <v>0</v>
      </c>
      <c r="Z23" s="20">
        <f>MIN(MAX(0,(SUMPRODUCT(Oxides_min!$C23:$AW23,Factors!$C$33:$AW$33)+SUMPRODUCT(Oxides_max!$C23:$AW23,Factors!$C$33:$AW$33))/2),ABS(SUMPRODUCT(Oxides_max!$C23:$AW23,Factors!$C$33:$AW$33)-SUMPRODUCT(Oxides_min!$C23:$AW23,Factors!$C$33:$AW$33))/2)</f>
        <v>0.16786011656952537</v>
      </c>
      <c r="AA23" s="20">
        <f>MIN(MAX(0,(SUMPRODUCT(Oxides_min!$C23:$AW23,Factors!$C$34:$AW$34)+SUMPRODUCT(Oxides_max!$C23:$AW23,Factors!$C$34:$AW$34))/2),ABS(SUMPRODUCT(Oxides_max!$C23:$AW23,Factors!$C$34:$AW$34)-SUMPRODUCT(Oxides_min!$C23:$AW23,Factors!$C$34:$AW$34))/2)</f>
        <v>0</v>
      </c>
      <c r="AB23" s="20">
        <f>MIN(MAX(0,(SUMPRODUCT(Oxides_min!$C23:$AW23,Factors!$C$35:$AW$35)+SUMPRODUCT(Oxides_max!$C23:$AW23,Factors!$C$35:$AW$35))/2),ABS(SUMPRODUCT(Oxides_max!$C23:$AW23,Factors!$C$35:$AW$35)-SUMPRODUCT(Oxides_min!$C23:$AW23,Factors!$C$35:$AW$35))/2)</f>
        <v>0</v>
      </c>
      <c r="AC23" s="20">
        <f>MIN(MAX(0,(SUMPRODUCT(Oxides_min!$C23:$AW23,Factors!$C$36:$AW$36)+SUMPRODUCT(Oxides_max!$C23:$AW23,Factors!$C$36:$AW$36))/2),ABS(SUMPRODUCT(Oxides_max!$C23:$AW23,Factors!$C$36:$AW$36)-SUMPRODUCT(Oxides_min!$C23:$AW23,Factors!$C$36:$AW$36))/2)</f>
        <v>1.9773266456013334</v>
      </c>
      <c r="AD23" s="20">
        <f>MIN(MAX(0,(SUMPRODUCT(Oxides_min!$C23:$AW23,Factors!$C$37:$AW$37)+SUMPRODUCT(Oxides_max!$C23:$AW23,Factors!$C$37:$AW$37))/2),ABS(SUMPRODUCT(Oxides_max!$C23:$AW23,Factors!$C$37:$AW$37)-SUMPRODUCT(Oxides_min!$C23:$AW23,Factors!$C$37:$AW$37))/2)</f>
        <v>4.9804789511534242</v>
      </c>
      <c r="AE23" s="20">
        <f>MIN(MAX(0,(SUMPRODUCT(Oxides_min!$C23:$AW23,Factors!$C$38:$AW$38)+SUMPRODUCT(Oxides_max!$C23:$AW23,Factors!$C$38:$AW$38))/2),ABS(SUMPRODUCT(Oxides_max!$C23:$AW23,Factors!$C$38:$AW$38)-SUMPRODUCT(Oxides_min!$C23:$AW23,Factors!$C$38:$AW$38))/2)</f>
        <v>3.2598284362038175E-2</v>
      </c>
      <c r="AF23" s="20">
        <f>MIN(MAX(0,(SUMPRODUCT(Oxides_min!$C23:$AW23,Factors!$C$39:$AW$39)+SUMPRODUCT(Oxides_max!$C23:$AW23,Factors!$C$39:$AW$39))/2),ABS(SUMPRODUCT(Oxides_max!$C23:$AW23,Factors!$C$39:$AW$39)-SUMPRODUCT(Oxides_min!$C23:$AW23,Factors!$C$39:$AW$39))/2)</f>
        <v>5.1577579037262886</v>
      </c>
      <c r="AG23" s="20">
        <f>MIN(MAX(0,(SUMPRODUCT(Oxides_min!$C23:$AW23,Factors!$C$40:$AW$40)+SUMPRODUCT(Oxides_max!$C23:$AW23,Factors!$C$40:$AW$40))/2),ABS(SUMPRODUCT(Oxides_max!$C23:$AW23,Factors!$C$40:$AW$40)-SUMPRODUCT(Oxides_min!$C23:$AW23,Factors!$C$40:$AW$40))/2)</f>
        <v>8.5268314823757824E-2</v>
      </c>
      <c r="AH23" s="20">
        <f>MIN(MAX(0,(SUMPRODUCT(Oxides_min!$C23:$AW23,Factors!$C$41:$AW$41)+SUMPRODUCT(Oxides_max!$C23:$AW23,Factors!$C$41:$AW$41))/2),ABS(SUMPRODUCT(Oxides_max!$C23:$AW23,Factors!$C$41:$AW$41)-SUMPRODUCT(Oxides_min!$C23:$AW23,Factors!$C$41:$AW$41))/2)</f>
        <v>0.59763884361223407</v>
      </c>
      <c r="AI23" s="20">
        <f>MIN(MAX(0,(SUMPRODUCT(Oxides_min!$C23:$AW23,Factors!$C$42:$AW$42)+SUMPRODUCT(Oxides_max!$C23:$AW23,Factors!$C$42:$AW$42))/2),ABS(SUMPRODUCT(Oxides_max!$C23:$AW23,Factors!$C$42:$AW$42)-SUMPRODUCT(Oxides_min!$C23:$AW23,Factors!$C$42:$AW$42))/2)</f>
        <v>0.12817076693799673</v>
      </c>
      <c r="AJ23" s="20">
        <f>MIN(MAX(0,(SUMPRODUCT(Oxides_min!$C23:$AW23,Factors!$C$43:$AW$43)+SUMPRODUCT(Oxides_max!$C23:$AW23,Factors!$C$43:$AW$43))/2),ABS(SUMPRODUCT(Oxides_max!$C23:$AW23,Factors!$C$43:$AW$43)-SUMPRODUCT(Oxides_min!$C23:$AW23,Factors!$C$43:$AW$43))/2)</f>
        <v>0.5144135924465274</v>
      </c>
      <c r="AK23" s="20">
        <f>MIN(MAX(0,(SUMPRODUCT(Oxides_min!$C23:$AW23,Factors!$C$44:$AW$44)+SUMPRODUCT(Oxides_max!$C23:$AW23,Factors!$C$44:$AW$44))/2),ABS(SUMPRODUCT(Oxides_max!$C23:$AW23,Factors!$C$44:$AW$44)-SUMPRODUCT(Oxides_min!$C23:$AW23,Factors!$C$44:$AW$44))/2)</f>
        <v>0.51741670179543875</v>
      </c>
      <c r="AL23" s="20">
        <f>MIN(MAX(0,(SUMPRODUCT(Oxides_min!$C23:$AW23,Factors!$C$45:$AW$45)+SUMPRODUCT(Oxides_max!$C23:$AW23,Factors!$C$45:$AW$45))/2),ABS(SUMPRODUCT(Oxides_max!$C23:$AW23,Factors!$C$45:$AW$45)-SUMPRODUCT(Oxides_min!$C23:$AW23,Factors!$C$45:$AW$45))/2)</f>
        <v>0.12954237408538749</v>
      </c>
      <c r="AM23" s="20">
        <f>MIN(MAX(0,(SUMPRODUCT(Oxides_min!$C23:$AW23,Factors!$C$46:$AW$46)+SUMPRODUCT(Oxides_max!$C23:$AW23,Factors!$C$46:$AW$46))/2),ABS(SUMPRODUCT(Oxides_max!$C23:$AW23,Factors!$C$46:$AW$46)-SUMPRODUCT(Oxides_min!$C23:$AW23,Factors!$C$46:$AW$46))/2)</f>
        <v>0.39041702414088941</v>
      </c>
      <c r="AN23" s="20">
        <f>MIN(MAX(0,(SUMPRODUCT(Oxides_min!$C23:$AW23,Factors!$C$47:$AW$47)+SUMPRODUCT(Oxides_max!$C23:$AW23,Factors!$C$47:$AW$47))/2),ABS(SUMPRODUCT(Oxides_max!$C23:$AW23,Factors!$C$47:$AW$47)-SUMPRODUCT(Oxides_min!$C23:$AW23,Factors!$C$47:$AW$47))/2)</f>
        <v>0.10860075791101051</v>
      </c>
      <c r="AO23" s="20">
        <f>MIN(MAX(0,(SUMPRODUCT(Oxides_min!$C23:$AW23,Factors!$C$48:$AW$48)+SUMPRODUCT(Oxides_max!$C23:$AW23,Factors!$C$48:$AW$48))/2),ABS(SUMPRODUCT(Oxides_max!$C23:$AW23,Factors!$C$48:$AW$48)-SUMPRODUCT(Oxides_min!$C23:$AW23,Factors!$C$48:$AW$48))/2)</f>
        <v>0.56635844256120005</v>
      </c>
      <c r="AP23" s="20">
        <f>MIN(MAX(0,(SUMPRODUCT(Oxides_min!$C23:$AW23,Factors!$C$49:$AW$49)+SUMPRODUCT(Oxides_max!$C23:$AW23,Factors!$C$49:$AW$49))/2),ABS(SUMPRODUCT(Oxides_max!$C23:$AW23,Factors!$C$49:$AW$49)-SUMPRODUCT(Oxides_min!$C23:$AW23,Factors!$C$49:$AW$49))/2)</f>
        <v>0.17459519545005386</v>
      </c>
      <c r="AQ23" s="20">
        <f>MIN(MAX(0,(SUMPRODUCT(Oxides_min!$C23:$AW23,Factors!$C$50:$AW$50)+SUMPRODUCT(Oxides_max!$C23:$AW23,Factors!$C$50:$AW$50))/2),ABS(SUMPRODUCT(Oxides_max!$C23:$AW23,Factors!$C$50:$AW$50)-SUMPRODUCT(Oxides_min!$C23:$AW23,Factors!$C$50:$AW$50))/2)</f>
        <v>0.48098741225834274</v>
      </c>
      <c r="AR23" s="20">
        <f>MIN(MAX(0,(SUMPRODUCT(Oxides_min!$C23:$AW23,Factors!$C$51:$AW$51)+SUMPRODUCT(Oxides_max!$C23:$AW23,Factors!$C$51:$AW$51))/2),ABS(SUMPRODUCT(Oxides_max!$C23:$AW23,Factors!$C$51:$AW$51)-SUMPRODUCT(Oxides_min!$C23:$AW23,Factors!$C$51:$AW$51))/2)</f>
        <v>0.1751224157312456</v>
      </c>
      <c r="AS23" s="20">
        <f>MIN(MAX(0,(SUMPRODUCT(Oxides_min!$C23:$AW23,Factors!$C$52:$AW$52)+SUMPRODUCT(Oxides_max!$C23:$AW23,Factors!$C$52:$AW$52))/2),ABS(SUMPRODUCT(Oxides_max!$C23:$AW23,Factors!$C$52:$AW$52)-SUMPRODUCT(Oxides_min!$C23:$AW23,Factors!$C$52:$AW$52))/2)</f>
        <v>0.79038638676231399</v>
      </c>
      <c r="AT23" s="20">
        <f>MIN(MAX(0,(SUMPRODUCT(Oxides_min!$C23:$AW23,Factors!$C$53:$AW$53)+SUMPRODUCT(Oxides_max!$C23:$AW23,Factors!$C$53:$AW$53))/2),ABS(SUMPRODUCT(Oxides_max!$C23:$AW23,Factors!$C$53:$AW$53)-SUMPRODUCT(Oxides_min!$C23:$AW23,Factors!$C$53:$AW$53))/2)</f>
        <v>0.13190752357320598</v>
      </c>
      <c r="AU23" s="20">
        <f>MIN(MAX(0,(SUMPRODUCT(Oxides_min!$C23:$AW23,Factors!$C$54:$AW$54)+SUMPRODUCT(Oxides_max!$C23:$AW23,Factors!$C$54:$AW$54))/2),ABS(SUMPRODUCT(Oxides_max!$C23:$AW23,Factors!$C$54:$AW$54)-SUMPRODUCT(Oxides_min!$C23:$AW23,Factors!$C$54:$AW$54))/2)</f>
        <v>0</v>
      </c>
      <c r="AV23" s="18">
        <f t="shared" si="0"/>
        <v>48.025000000000013</v>
      </c>
    </row>
    <row r="24" spans="1:48" x14ac:dyDescent="0.25">
      <c r="A24" s="13" t="s">
        <v>170</v>
      </c>
      <c r="B24" s="20">
        <f>MIN(MAX(0,(SUMPRODUCT(Oxides_min!$C24:$AW24,Factors!$C$9:$AW$9)+SUMPRODUCT(Oxides_max!$C24:$AW24,Factors!$C$9:$AW$9))/2),ABS(SUMPRODUCT(Oxides_max!$C24:$AW24,Factors!$C$9:$AW$9)-SUMPRODUCT(Oxides_min!$C24:$AW24,Factors!$C$9:$AW$9))/2)</f>
        <v>7.4093380233091217</v>
      </c>
      <c r="C24" s="20">
        <f>MIN(MAX(0,(SUMPRODUCT(Oxides_min!$C24:$AW24,Factors!$C$10:$AW$10)+SUMPRODUCT(Oxides_max!$C24:$AW24,Factors!$C$10:$AW$10))/2),ABS(SUMPRODUCT(Oxides_max!$C24:$AW24,Factors!$C$10:$AW$10)-SUMPRODUCT(Oxides_min!$C24:$AW24,Factors!$C$10:$AW$10))/2)</f>
        <v>0.23371835627382123</v>
      </c>
      <c r="D24" s="20">
        <f>MIN(MAX(0,(SUMPRODUCT(Oxides_min!$C24:$AW24,Factors!$C$11:$AW$11)+SUMPRODUCT(Oxides_max!$C24:$AW24,Factors!$C$11:$AW$11))/2),ABS(SUMPRODUCT(Oxides_max!$C24:$AW24,Factors!$C$11:$AW$11)-SUMPRODUCT(Oxides_min!$C24:$AW24,Factors!$C$11:$AW$11))/2)</f>
        <v>1.2586326926688789</v>
      </c>
      <c r="E24" s="20">
        <f>MIN(MAX(0,(SUMPRODUCT(Oxides_min!$C24:$AW24,Factors!$C$12:$AW$12)+SUMPRODUCT(Oxides_max!$C24:$AW24,Factors!$C$12:$AW$12))/2),ABS(SUMPRODUCT(Oxides_max!$C24:$AW24,Factors!$C$12:$AW$12)-SUMPRODUCT(Oxides_min!$C24:$AW24,Factors!$C$12:$AW$12))/2)</f>
        <v>0</v>
      </c>
      <c r="F24" s="20">
        <f>MIN(MAX(0,(SUMPRODUCT(Oxides_min!$C24:$AW24,Factors!$C$13:$AW$13)+SUMPRODUCT(Oxides_max!$C24:$AW24,Factors!$C$13:$AW$13))/2),ABS(SUMPRODUCT(Oxides_max!$C24:$AW24,Factors!$C$13:$AW$13)-SUMPRODUCT(Oxides_min!$C24:$AW24,Factors!$C$13:$AW$13))/2)</f>
        <v>0</v>
      </c>
      <c r="G24" s="20">
        <f>MIN(MAX(0,(SUMPRODUCT(Oxides_min!$C24:$AW24,Factors!$C$14:$AW$14)+SUMPRODUCT(Oxides_max!$C24:$AW24,Factors!$C$14:$AW$14))/2),ABS(SUMPRODUCT(Oxides_max!$C24:$AW24,Factors!$C$14:$AW$14)-SUMPRODUCT(Oxides_min!$C24:$AW24,Factors!$C$14:$AW$14))/2)</f>
        <v>0.19692053507444859</v>
      </c>
      <c r="H24" s="20">
        <f>MIN(MAX(0,(SUMPRODUCT(Oxides_min!$C24:$AW24,Factors!$C$15:$AW$15)+SUMPRODUCT(Oxides_max!$C24:$AW24,Factors!$C$15:$AW$15))/2),ABS(SUMPRODUCT(Oxides_max!$C24:$AW24,Factors!$C$15:$AW$15)-SUMPRODUCT(Oxides_min!$C24:$AW24,Factors!$C$15:$AW$15))/2)</f>
        <v>0</v>
      </c>
      <c r="I24" s="20">
        <f>MIN(MAX(0,(SUMPRODUCT(Oxides_min!$C24:$AW24,Factors!$C$16:$AW$16)+SUMPRODUCT(Oxides_max!$C24:$AW24,Factors!$C$16:$AW$16))/2),ABS(SUMPRODUCT(Oxides_max!$C24:$AW24,Factors!$C$16:$AW$16)-SUMPRODUCT(Oxides_min!$C24:$AW24,Factors!$C$16:$AW$16))/2)</f>
        <v>1.7489456322031067</v>
      </c>
      <c r="J24" s="20">
        <f>MIN(MAX(0,(SUMPRODUCT(Oxides_min!$C24:$AW24,Factors!$C$17:$AW$17)+SUMPRODUCT(Oxides_max!$C24:$AW24,Factors!$C$17:$AW$17))/2),ABS(SUMPRODUCT(Oxides_max!$C24:$AW24,Factors!$C$17:$AW$17)-SUMPRODUCT(Oxides_min!$C24:$AW24,Factors!$C$17:$AW$17))/2)</f>
        <v>0</v>
      </c>
      <c r="K24" s="20">
        <f>MIN(MAX(0,(SUMPRODUCT(Oxides_min!$C24:$AW24,Factors!$C$18:$AW$18)+SUMPRODUCT(Oxides_max!$C24:$AW24,Factors!$C$18:$AW$18))/2),ABS(SUMPRODUCT(Oxides_max!$C24:$AW24,Factors!$C$18:$AW$18)-SUMPRODUCT(Oxides_min!$C24:$AW24,Factors!$C$18:$AW$18))/2)</f>
        <v>0</v>
      </c>
      <c r="L24" s="20">
        <f>MIN(MAX(0,(SUMPRODUCT(Oxides_min!$C24:$AW24,Factors!$C$19:$AW$19)+SUMPRODUCT(Oxides_max!$C24:$AW24,Factors!$C$19:$AW$19))/2),ABS(SUMPRODUCT(Oxides_max!$C24:$AW24,Factors!$C$19:$AW$19)-SUMPRODUCT(Oxides_min!$C24:$AW24,Factors!$C$19:$AW$19))/2)</f>
        <v>0.46455231199957198</v>
      </c>
      <c r="M24" s="20">
        <f>MIN(MAX(0,(SUMPRODUCT(Oxides_min!$C24:$AW24,Factors!$C$20:$AW$20)+SUMPRODUCT(Oxides_max!$C24:$AW24,Factors!$C$20:$AW$20))/2),ABS(SUMPRODUCT(Oxides_max!$C24:$AW24,Factors!$C$20:$AW$20)-SUMPRODUCT(Oxides_min!$C24:$AW24,Factors!$C$20:$AW$20))/2)</f>
        <v>0</v>
      </c>
      <c r="N24" s="20">
        <f>MIN(MAX(0,(SUMPRODUCT(Oxides_min!$C24:$AW24,Factors!$C$21:$AW$21)+SUMPRODUCT(Oxides_max!$C24:$AW24,Factors!$C$21:$AW$21))/2),ABS(SUMPRODUCT(Oxides_max!$C24:$AW24,Factors!$C$21:$AW$21)-SUMPRODUCT(Oxides_min!$C24:$AW24,Factors!$C$21:$AW$21))/2)</f>
        <v>0</v>
      </c>
      <c r="O24" s="20">
        <f>MIN(MAX(0,(SUMPRODUCT(Oxides_min!$C24:$AW24,Factors!$C$22:$AW$22)+SUMPRODUCT(Oxides_max!$C24:$AW24,Factors!$C$22:$AW$22))/2),ABS(SUMPRODUCT(Oxides_max!$C24:$AW24,Factors!$C$22:$AW$22)-SUMPRODUCT(Oxides_min!$C24:$AW24,Factors!$C$22:$AW$22))/2)</f>
        <v>0</v>
      </c>
      <c r="P24" s="20">
        <f>MIN(MAX(0,(SUMPRODUCT(Oxides_min!$C24:$AW24,Factors!$C$23:$AW$23)+SUMPRODUCT(Oxides_max!$C24:$AW24,Factors!$C$23:$AW$23))/2),ABS(SUMPRODUCT(Oxides_max!$C24:$AW24,Factors!$C$23:$AW$23)-SUMPRODUCT(Oxides_min!$C24:$AW24,Factors!$C$23:$AW$23))/2)</f>
        <v>0</v>
      </c>
      <c r="Q24" s="20">
        <f>MIN(MAX(0,(SUMPRODUCT(Oxides_min!$C24:$AW24,Factors!$C$24:$AW$24)+SUMPRODUCT(Oxides_max!$C24:$AW24,Factors!$C$24:$AW$24))/2),ABS(SUMPRODUCT(Oxides_max!$C24:$AW24,Factors!$C$24:$AW$24)-SUMPRODUCT(Oxides_min!$C24:$AW24,Factors!$C$24:$AW$24))/2)</f>
        <v>0</v>
      </c>
      <c r="R24" s="20">
        <f>MIN(MAX(0,(SUMPRODUCT(Oxides_min!$C24:$AW24,Factors!$C$25:$AW$25)+SUMPRODUCT(Oxides_max!$C24:$AW24,Factors!$C$25:$AW$25))/2),ABS(SUMPRODUCT(Oxides_max!$C24:$AW24,Factors!$C$25:$AW$25)-SUMPRODUCT(Oxides_min!$C24:$AW24,Factors!$C$25:$AW$25))/2)</f>
        <v>0</v>
      </c>
      <c r="S24" s="20">
        <f>MIN(MAX(0,(SUMPRODUCT(Oxides_min!$C24:$AW24,Factors!$C$26:$AW$26)+SUMPRODUCT(Oxides_max!$C24:$AW24,Factors!$C$26:$AW$26))/2),ABS(SUMPRODUCT(Oxides_max!$C24:$AW24,Factors!$C$26:$AW$26)-SUMPRODUCT(Oxides_min!$C24:$AW24,Factors!$C$26:$AW$26))/2)</f>
        <v>2.9709599314150896</v>
      </c>
      <c r="T24" s="20">
        <f>MIN(MAX(0,(SUMPRODUCT(Oxides_min!$C24:$AW24,Factors!$C$27:$AW$27)+SUMPRODUCT(Oxides_max!$C24:$AW24,Factors!$C$27:$AW$27))/2),ABS(SUMPRODUCT(Oxides_max!$C24:$AW24,Factors!$C$27:$AW$27)-SUMPRODUCT(Oxides_min!$C24:$AW24,Factors!$C$27:$AW$27))/2)</f>
        <v>2.5797589521899034</v>
      </c>
      <c r="U24" s="20">
        <f>MIN(MAX(0,(SUMPRODUCT(Oxides_min!$C24:$AW24,Factors!$C$28:$AW$28)+SUMPRODUCT(Oxides_max!$C24:$AW24,Factors!$C$28:$AW$28))/2),ABS(SUMPRODUCT(Oxides_max!$C24:$AW24,Factors!$C$28:$AW$28)-SUMPRODUCT(Oxides_min!$C24:$AW24,Factors!$C$28:$AW$28))/2)</f>
        <v>7.9297092353679544E-2</v>
      </c>
      <c r="V24" s="20">
        <f>MIN(MAX(0,(SUMPRODUCT(Oxides_min!$C24:$AW24,Factors!$C$29:$AW$29)+SUMPRODUCT(Oxides_max!$C24:$AW24,Factors!$C$29:$AW$29))/2),ABS(SUMPRODUCT(Oxides_max!$C24:$AW24,Factors!$C$29:$AW$29)-SUMPRODUCT(Oxides_min!$C24:$AW24,Factors!$C$29:$AW$29))/2)</f>
        <v>0</v>
      </c>
      <c r="W24" s="20">
        <f>MIN(MAX(0,(SUMPRODUCT(Oxides_min!$C24:$AW24,Factors!$C$30:$AW$30)+SUMPRODUCT(Oxides_max!$C24:$AW24,Factors!$C$30:$AW$30))/2),ABS(SUMPRODUCT(Oxides_max!$C24:$AW24,Factors!$C$30:$AW$30)-SUMPRODUCT(Oxides_min!$C24:$AW24,Factors!$C$30:$AW$30))/2)</f>
        <v>0</v>
      </c>
      <c r="X24" s="20">
        <f>MIN(MAX(0,(SUMPRODUCT(Oxides_min!$C24:$AW24,Factors!$C$31:$AW$31)+SUMPRODUCT(Oxides_max!$C24:$AW24,Factors!$C$31:$AW$31))/2),ABS(SUMPRODUCT(Oxides_max!$C24:$AW24,Factors!$C$31:$AW$31)-SUMPRODUCT(Oxides_min!$C24:$AW24,Factors!$C$31:$AW$31))/2)</f>
        <v>0</v>
      </c>
      <c r="Y24" s="20">
        <f>MIN(MAX(0,(SUMPRODUCT(Oxides_min!$C24:$AW24,Factors!$C$32:$AW$32)+SUMPRODUCT(Oxides_max!$C24:$AW24,Factors!$C$32:$AW$32))/2),ABS(SUMPRODUCT(Oxides_max!$C24:$AW24,Factors!$C$32:$AW$32)-SUMPRODUCT(Oxides_min!$C24:$AW24,Factors!$C$32:$AW$32))/2)</f>
        <v>0</v>
      </c>
      <c r="Z24" s="20">
        <f>MIN(MAX(0,(SUMPRODUCT(Oxides_min!$C24:$AW24,Factors!$C$33:$AW$33)+SUMPRODUCT(Oxides_max!$C24:$AW24,Factors!$C$33:$AW$33))/2),ABS(SUMPRODUCT(Oxides_max!$C24:$AW24,Factors!$C$33:$AW$33)-SUMPRODUCT(Oxides_min!$C24:$AW24,Factors!$C$33:$AW$33))/2)</f>
        <v>0.11190674437968359</v>
      </c>
      <c r="AA24" s="20">
        <f>MIN(MAX(0,(SUMPRODUCT(Oxides_min!$C24:$AW24,Factors!$C$34:$AW$34)+SUMPRODUCT(Oxides_max!$C24:$AW24,Factors!$C$34:$AW$34))/2),ABS(SUMPRODUCT(Oxides_max!$C24:$AW24,Factors!$C$34:$AW$34)-SUMPRODUCT(Oxides_min!$C24:$AW24,Factors!$C$34:$AW$34))/2)</f>
        <v>0</v>
      </c>
      <c r="AB24" s="20">
        <f>MIN(MAX(0,(SUMPRODUCT(Oxides_min!$C24:$AW24,Factors!$C$35:$AW$35)+SUMPRODUCT(Oxides_max!$C24:$AW24,Factors!$C$35:$AW$35))/2),ABS(SUMPRODUCT(Oxides_max!$C24:$AW24,Factors!$C$35:$AW$35)-SUMPRODUCT(Oxides_min!$C24:$AW24,Factors!$C$35:$AW$35))/2)</f>
        <v>0</v>
      </c>
      <c r="AC24" s="20">
        <f>MIN(MAX(0,(SUMPRODUCT(Oxides_min!$C24:$AW24,Factors!$C$36:$AW$36)+SUMPRODUCT(Oxides_max!$C24:$AW24,Factors!$C$36:$AW$36))/2),ABS(SUMPRODUCT(Oxides_max!$C24:$AW24,Factors!$C$36:$AW$36)-SUMPRODUCT(Oxides_min!$C24:$AW24,Factors!$C$36:$AW$36))/2)</f>
        <v>2.5485543432194966</v>
      </c>
      <c r="AD24" s="20">
        <f>MIN(MAX(0,(SUMPRODUCT(Oxides_min!$C24:$AW24,Factors!$C$37:$AW$37)+SUMPRODUCT(Oxides_max!$C24:$AW24,Factors!$C$37:$AW$37))/2),ABS(SUMPRODUCT(Oxides_max!$C24:$AW24,Factors!$C$37:$AW$37)-SUMPRODUCT(Oxides_min!$C24:$AW24,Factors!$C$37:$AW$37))/2)</f>
        <v>2.0450816224205211</v>
      </c>
      <c r="AE24" s="20">
        <f>MIN(MAX(0,(SUMPRODUCT(Oxides_min!$C24:$AW24,Factors!$C$38:$AW$38)+SUMPRODUCT(Oxides_max!$C24:$AW24,Factors!$C$38:$AW$38))/2),ABS(SUMPRODUCT(Oxides_max!$C24:$AW24,Factors!$C$38:$AW$38)-SUMPRODUCT(Oxides_min!$C24:$AW24,Factors!$C$38:$AW$38))/2)</f>
        <v>0</v>
      </c>
      <c r="AF24" s="20">
        <f>MIN(MAX(0,(SUMPRODUCT(Oxides_min!$C24:$AW24,Factors!$C$39:$AW$39)+SUMPRODUCT(Oxides_max!$C24:$AW24,Factors!$C$39:$AW$39))/2),ABS(SUMPRODUCT(Oxides_max!$C24:$AW24,Factors!$C$39:$AW$39)-SUMPRODUCT(Oxides_min!$C24:$AW24,Factors!$C$39:$AW$39))/2)</f>
        <v>4.0159641693135981</v>
      </c>
      <c r="AG24" s="20">
        <f>MIN(MAX(0,(SUMPRODUCT(Oxides_min!$C24:$AW24,Factors!$C$40:$AW$40)+SUMPRODUCT(Oxides_max!$C24:$AW24,Factors!$C$40:$AW$40))/2),ABS(SUMPRODUCT(Oxides_max!$C24:$AW24,Factors!$C$40:$AW$40)-SUMPRODUCT(Oxides_min!$C24:$AW24,Factors!$C$40:$AW$40))/2)</f>
        <v>8.5268314823757824E-2</v>
      </c>
      <c r="AH24" s="20">
        <f>MIN(MAX(0,(SUMPRODUCT(Oxides_min!$C24:$AW24,Factors!$C$41:$AW$41)+SUMPRODUCT(Oxides_max!$C24:$AW24,Factors!$C$41:$AW$41))/2),ABS(SUMPRODUCT(Oxides_max!$C24:$AW24,Factors!$C$41:$AW$41)-SUMPRODUCT(Oxides_min!$C24:$AW24,Factors!$C$41:$AW$41))/2)</f>
        <v>0.64032733244167939</v>
      </c>
      <c r="AI24" s="20">
        <f>MIN(MAX(0,(SUMPRODUCT(Oxides_min!$C24:$AW24,Factors!$C$42:$AW$42)+SUMPRODUCT(Oxides_max!$C24:$AW24,Factors!$C$42:$AW$42))/2),ABS(SUMPRODUCT(Oxides_max!$C24:$AW24,Factors!$C$42:$AW$42)-SUMPRODUCT(Oxides_min!$C24:$AW24,Factors!$C$42:$AW$42))/2)</f>
        <v>0.14526020252972965</v>
      </c>
      <c r="AJ24" s="20">
        <f>MIN(MAX(0,(SUMPRODUCT(Oxides_min!$C24:$AW24,Factors!$C$43:$AW$43)+SUMPRODUCT(Oxides_max!$C24:$AW24,Factors!$C$43:$AW$43))/2),ABS(SUMPRODUCT(Oxides_max!$C24:$AW24,Factors!$C$43:$AW$43)-SUMPRODUCT(Oxides_min!$C24:$AW24,Factors!$C$43:$AW$43))/2)</f>
        <v>0.72875258929924724</v>
      </c>
      <c r="AK24" s="20">
        <f>MIN(MAX(0,(SUMPRODUCT(Oxides_min!$C24:$AW24,Factors!$C$44:$AW$44)+SUMPRODUCT(Oxides_max!$C24:$AW24,Factors!$C$44:$AW$44))/2),ABS(SUMPRODUCT(Oxides_max!$C24:$AW24,Factors!$C$44:$AW$44)-SUMPRODUCT(Oxides_min!$C24:$AW24,Factors!$C$44:$AW$44))/2)</f>
        <v>0.30182640938067257</v>
      </c>
      <c r="AL24" s="20">
        <f>MIN(MAX(0,(SUMPRODUCT(Oxides_min!$C24:$AW24,Factors!$C$45:$AW$45)+SUMPRODUCT(Oxides_max!$C24:$AW24,Factors!$C$45:$AW$45))/2),ABS(SUMPRODUCT(Oxides_max!$C24:$AW24,Factors!$C$45:$AW$45)-SUMPRODUCT(Oxides_min!$C24:$AW24,Factors!$C$45:$AW$45))/2)</f>
        <v>6.4771187042693745E-2</v>
      </c>
      <c r="AM24" s="20">
        <f>MIN(MAX(0,(SUMPRODUCT(Oxides_min!$C24:$AW24,Factors!$C$46:$AW$46)+SUMPRODUCT(Oxides_max!$C24:$AW24,Factors!$C$46:$AW$46))/2),ABS(SUMPRODUCT(Oxides_max!$C24:$AW24,Factors!$C$46:$AW$46)-SUMPRODUCT(Oxides_min!$C24:$AW24,Factors!$C$46:$AW$46))/2)</f>
        <v>0.30365768544291394</v>
      </c>
      <c r="AN24" s="20">
        <f>MIN(MAX(0,(SUMPRODUCT(Oxides_min!$C24:$AW24,Factors!$C$47:$AW$47)+SUMPRODUCT(Oxides_max!$C24:$AW24,Factors!$C$47:$AW$47))/2),ABS(SUMPRODUCT(Oxides_max!$C24:$AW24,Factors!$C$47:$AW$47)-SUMPRODUCT(Oxides_min!$C24:$AW24,Factors!$C$47:$AW$47))/2)</f>
        <v>0.13032090949321259</v>
      </c>
      <c r="AO24" s="20">
        <f>MIN(MAX(0,(SUMPRODUCT(Oxides_min!$C24:$AW24,Factors!$C$48:$AW$48)+SUMPRODUCT(Oxides_max!$C24:$AW24,Factors!$C$48:$AW$48))/2),ABS(SUMPRODUCT(Oxides_max!$C24:$AW24,Factors!$C$48:$AW$48)-SUMPRODUCT(Oxides_min!$C24:$AW24,Factors!$C$48:$AW$48))/2)</f>
        <v>0.95845274894972321</v>
      </c>
      <c r="AP24" s="20">
        <f>MIN(MAX(0,(SUMPRODUCT(Oxides_min!$C24:$AW24,Factors!$C$49:$AW$49)+SUMPRODUCT(Oxides_max!$C24:$AW24,Factors!$C$49:$AW$49))/2),ABS(SUMPRODUCT(Oxides_max!$C24:$AW24,Factors!$C$49:$AW$49)-SUMPRODUCT(Oxides_min!$C24:$AW24,Factors!$C$49:$AW$49))/2)</f>
        <v>0.24006839374382405</v>
      </c>
      <c r="AQ24" s="20">
        <f>MIN(MAX(0,(SUMPRODUCT(Oxides_min!$C24:$AW24,Factors!$C$50:$AW$50)+SUMPRODUCT(Oxides_max!$C24:$AW24,Factors!$C$50:$AW$50))/2),ABS(SUMPRODUCT(Oxides_max!$C24:$AW24,Factors!$C$50:$AW$50)-SUMPRODUCT(Oxides_min!$C24:$AW24,Factors!$C$50:$AW$50))/2)</f>
        <v>1.5741406219363947</v>
      </c>
      <c r="AR24" s="20">
        <f>MIN(MAX(0,(SUMPRODUCT(Oxides_min!$C24:$AW24,Factors!$C$51:$AW$51)+SUMPRODUCT(Oxides_max!$C24:$AW24,Factors!$C$51:$AW$51))/2),ABS(SUMPRODUCT(Oxides_max!$C24:$AW24,Factors!$C$51:$AW$51)-SUMPRODUCT(Oxides_min!$C24:$AW24,Factors!$C$51:$AW$51))/2)</f>
        <v>0.30646422752967972</v>
      </c>
      <c r="AS24" s="20">
        <f>MIN(MAX(0,(SUMPRODUCT(Oxides_min!$C24:$AW24,Factors!$C$52:$AW$52)+SUMPRODUCT(Oxides_max!$C24:$AW24,Factors!$C$52:$AW$52))/2),ABS(SUMPRODUCT(Oxides_max!$C24:$AW24,Factors!$C$52:$AW$52)-SUMPRODUCT(Oxides_min!$C24:$AW24,Factors!$C$52:$AW$52))/2)</f>
        <v>1.5368624187044988</v>
      </c>
      <c r="AT24" s="20">
        <f>MIN(MAX(0,(SUMPRODUCT(Oxides_min!$C24:$AW24,Factors!$C$53:$AW$53)+SUMPRODUCT(Oxides_max!$C24:$AW24,Factors!$C$53:$AW$53))/2),ABS(SUMPRODUCT(Oxides_max!$C24:$AW24,Factors!$C$53:$AW$53)-SUMPRODUCT(Oxides_min!$C24:$AW24,Factors!$C$53:$AW$53))/2)</f>
        <v>0.2901965518610532</v>
      </c>
      <c r="AU24" s="20">
        <f>MIN(MAX(0,(SUMPRODUCT(Oxides_min!$C24:$AW24,Factors!$C$54:$AW$54)+SUMPRODUCT(Oxides_max!$C24:$AW24,Factors!$C$54:$AW$54))/2),ABS(SUMPRODUCT(Oxides_max!$C24:$AW24,Factors!$C$54:$AW$54)-SUMPRODUCT(Oxides_min!$C24:$AW24,Factors!$C$54:$AW$54))/2)</f>
        <v>0</v>
      </c>
      <c r="AV24" s="18">
        <f t="shared" si="0"/>
        <v>32.970000000000006</v>
      </c>
    </row>
    <row r="25" spans="1:48" x14ac:dyDescent="0.25">
      <c r="A25" s="13" t="s">
        <v>172</v>
      </c>
      <c r="B25" s="20">
        <f>MIN(MAX(0,(SUMPRODUCT(Oxides_min!$C25:$AW25,Factors!$C$9:$AW$9)+SUMPRODUCT(Oxides_max!$C25:$AW25,Factors!$C$9:$AW$9))/2),ABS(SUMPRODUCT(Oxides_max!$C25:$AW25,Factors!$C$9:$AW$9)-SUMPRODUCT(Oxides_min!$C25:$AW25,Factors!$C$9:$AW$9))/2)</f>
        <v>7.5467678630635593</v>
      </c>
      <c r="C25" s="20">
        <f>MIN(MAX(0,(SUMPRODUCT(Oxides_min!$C25:$AW25,Factors!$C$10:$AW$10)+SUMPRODUCT(Oxides_max!$C25:$AW25,Factors!$C$10:$AW$10))/2),ABS(SUMPRODUCT(Oxides_max!$C25:$AW25,Factors!$C$10:$AW$10)-SUMPRODUCT(Oxides_min!$C25:$AW25,Factors!$C$10:$AW$10))/2)</f>
        <v>9.3487342509528504E-2</v>
      </c>
      <c r="D25" s="20">
        <f>MIN(MAX(0,(SUMPRODUCT(Oxides_min!$C25:$AW25,Factors!$C$11:$AW$11)+SUMPRODUCT(Oxides_max!$C25:$AW25,Factors!$C$11:$AW$11))/2),ABS(SUMPRODUCT(Oxides_max!$C25:$AW25,Factors!$C$11:$AW$11)-SUMPRODUCT(Oxides_min!$C25:$AW25,Factors!$C$11:$AW$11))/2)</f>
        <v>2.3973956050835792</v>
      </c>
      <c r="E25" s="20">
        <f>MIN(MAX(0,(SUMPRODUCT(Oxides_min!$C25:$AW25,Factors!$C$12:$AW$12)+SUMPRODUCT(Oxides_max!$C25:$AW25,Factors!$C$12:$AW$12))/2),ABS(SUMPRODUCT(Oxides_max!$C25:$AW25,Factors!$C$12:$AW$12)-SUMPRODUCT(Oxides_min!$C25:$AW25,Factors!$C$12:$AW$12))/2)</f>
        <v>7.4032234503578917E-2</v>
      </c>
      <c r="F25" s="20">
        <f>MIN(MAX(0,(SUMPRODUCT(Oxides_min!$C25:$AW25,Factors!$C$13:$AW$13)+SUMPRODUCT(Oxides_max!$C25:$AW25,Factors!$C$13:$AW$13))/2),ABS(SUMPRODUCT(Oxides_max!$C25:$AW25,Factors!$C$13:$AW$13)-SUMPRODUCT(Oxides_min!$C25:$AW25,Factors!$C$13:$AW$13))/2)</f>
        <v>0</v>
      </c>
      <c r="G25" s="20">
        <f>MIN(MAX(0,(SUMPRODUCT(Oxides_min!$C25:$AW25,Factors!$C$14:$AW$14)+SUMPRODUCT(Oxides_max!$C25:$AW25,Factors!$C$14:$AW$14))/2),ABS(SUMPRODUCT(Oxides_max!$C25:$AW25,Factors!$C$14:$AW$14)-SUMPRODUCT(Oxides_min!$C25:$AW25,Factors!$C$14:$AW$14))/2)</f>
        <v>0</v>
      </c>
      <c r="H25" s="20">
        <f>MIN(MAX(0,(SUMPRODUCT(Oxides_min!$C25:$AW25,Factors!$C$15:$AW$15)+SUMPRODUCT(Oxides_max!$C25:$AW25,Factors!$C$15:$AW$15))/2),ABS(SUMPRODUCT(Oxides_max!$C25:$AW25,Factors!$C$15:$AW$15)-SUMPRODUCT(Oxides_min!$C25:$AW25,Factors!$C$15:$AW$15))/2)</f>
        <v>5.2925692670867643E-2</v>
      </c>
      <c r="I25" s="20">
        <f>MIN(MAX(0,(SUMPRODUCT(Oxides_min!$C25:$AW25,Factors!$C$16:$AW$16)+SUMPRODUCT(Oxides_max!$C25:$AW25,Factors!$C$16:$AW$16))/2),ABS(SUMPRODUCT(Oxides_max!$C25:$AW25,Factors!$C$16:$AW$16)-SUMPRODUCT(Oxides_min!$C25:$AW25,Factors!$C$16:$AW$16))/2)</f>
        <v>0.5596183548687339</v>
      </c>
      <c r="J25" s="20">
        <f>MIN(MAX(0,(SUMPRODUCT(Oxides_min!$C25:$AW25,Factors!$C$17:$AW$17)+SUMPRODUCT(Oxides_max!$C25:$AW25,Factors!$C$17:$AW$17))/2),ABS(SUMPRODUCT(Oxides_max!$C25:$AW25,Factors!$C$17:$AW$17)-SUMPRODUCT(Oxides_min!$C25:$AW25,Factors!$C$17:$AW$17))/2)</f>
        <v>0</v>
      </c>
      <c r="K25" s="20">
        <f>MIN(MAX(0,(SUMPRODUCT(Oxides_min!$C25:$AW25,Factors!$C$18:$AW$18)+SUMPRODUCT(Oxides_max!$C25:$AW25,Factors!$C$18:$AW$18))/2),ABS(SUMPRODUCT(Oxides_max!$C25:$AW25,Factors!$C$18:$AW$18)-SUMPRODUCT(Oxides_min!$C25:$AW25,Factors!$C$18:$AW$18))/2)</f>
        <v>0</v>
      </c>
      <c r="L25" s="20">
        <f>MIN(MAX(0,(SUMPRODUCT(Oxides_min!$C25:$AW25,Factors!$C$19:$AW$19)+SUMPRODUCT(Oxides_max!$C25:$AW25,Factors!$C$19:$AW$19))/2),ABS(SUMPRODUCT(Oxides_max!$C25:$AW25,Factors!$C$19:$AW$19)-SUMPRODUCT(Oxides_min!$C25:$AW25,Factors!$C$19:$AW$19))/2)</f>
        <v>1.751004868306079</v>
      </c>
      <c r="M25" s="20">
        <f>MIN(MAX(0,(SUMPRODUCT(Oxides_min!$C25:$AW25,Factors!$C$20:$AW$20)+SUMPRODUCT(Oxides_max!$C25:$AW25,Factors!$C$20:$AW$20))/2),ABS(SUMPRODUCT(Oxides_max!$C25:$AW25,Factors!$C$20:$AW$20)-SUMPRODUCT(Oxides_min!$C25:$AW25,Factors!$C$20:$AW$20))/2)</f>
        <v>2.6213532267248283</v>
      </c>
      <c r="N25" s="20">
        <f>MIN(MAX(0,(SUMPRODUCT(Oxides_min!$C25:$AW25,Factors!$C$21:$AW$21)+SUMPRODUCT(Oxides_max!$C25:$AW25,Factors!$C$21:$AW$21))/2),ABS(SUMPRODUCT(Oxides_max!$C25:$AW25,Factors!$C$21:$AW$21)-SUMPRODUCT(Oxides_min!$C25:$AW25,Factors!$C$21:$AW$21))/2)</f>
        <v>0</v>
      </c>
      <c r="O25" s="20">
        <f>MIN(MAX(0,(SUMPRODUCT(Oxides_min!$C25:$AW25,Factors!$C$22:$AW$22)+SUMPRODUCT(Oxides_max!$C25:$AW25,Factors!$C$22:$AW$22))/2),ABS(SUMPRODUCT(Oxides_max!$C25:$AW25,Factors!$C$22:$AW$22)-SUMPRODUCT(Oxides_min!$C25:$AW25,Factors!$C$22:$AW$22))/2)</f>
        <v>0</v>
      </c>
      <c r="P25" s="20">
        <f>MIN(MAX(0,(SUMPRODUCT(Oxides_min!$C25:$AW25,Factors!$C$23:$AW$23)+SUMPRODUCT(Oxides_max!$C25:$AW25,Factors!$C$23:$AW$23))/2),ABS(SUMPRODUCT(Oxides_max!$C25:$AW25,Factors!$C$23:$AW$23)-SUMPRODUCT(Oxides_min!$C25:$AW25,Factors!$C$23:$AW$23))/2)</f>
        <v>1.2611658384995645</v>
      </c>
      <c r="Q25" s="20">
        <f>MIN(MAX(0,(SUMPRODUCT(Oxides_min!$C25:$AW25,Factors!$C$24:$AW$24)+SUMPRODUCT(Oxides_max!$C25:$AW25,Factors!$C$24:$AW$24))/2),ABS(SUMPRODUCT(Oxides_max!$C25:$AW25,Factors!$C$24:$AW$24)-SUMPRODUCT(Oxides_min!$C25:$AW25,Factors!$C$24:$AW$24))/2)</f>
        <v>6.2261347663797456E-2</v>
      </c>
      <c r="R25" s="20">
        <f>MIN(MAX(0,(SUMPRODUCT(Oxides_min!$C25:$AW25,Factors!$C$25:$AW$25)+SUMPRODUCT(Oxides_max!$C25:$AW25,Factors!$C$25:$AW$25))/2),ABS(SUMPRODUCT(Oxides_max!$C25:$AW25,Factors!$C$25:$AW$25)-SUMPRODUCT(Oxides_min!$C25:$AW25,Factors!$C$25:$AW$25))/2)</f>
        <v>0</v>
      </c>
      <c r="S25" s="20">
        <f>MIN(MAX(0,(SUMPRODUCT(Oxides_min!$C25:$AW25,Factors!$C$26:$AW$26)+SUMPRODUCT(Oxides_max!$C25:$AW25,Factors!$C$26:$AW$26))/2),ABS(SUMPRODUCT(Oxides_max!$C25:$AW25,Factors!$C$26:$AW$26)-SUMPRODUCT(Oxides_min!$C25:$AW25,Factors!$C$26:$AW$26))/2)</f>
        <v>4.9982031787336227</v>
      </c>
      <c r="T25" s="20">
        <f>MIN(MAX(0,(SUMPRODUCT(Oxides_min!$C25:$AW25,Factors!$C$27:$AW$27)+SUMPRODUCT(Oxides_max!$C25:$AW25,Factors!$C$27:$AW$27))/2),ABS(SUMPRODUCT(Oxides_max!$C25:$AW25,Factors!$C$27:$AW$27)-SUMPRODUCT(Oxides_min!$C25:$AW25,Factors!$C$27:$AW$27))/2)</f>
        <v>0.49138265755998156</v>
      </c>
      <c r="U25" s="20">
        <f>MIN(MAX(0,(SUMPRODUCT(Oxides_min!$C25:$AW25,Factors!$C$28:$AW$28)+SUMPRODUCT(Oxides_max!$C25:$AW25,Factors!$C$28:$AW$28))/2),ABS(SUMPRODUCT(Oxides_max!$C25:$AW25,Factors!$C$28:$AW$28)-SUMPRODUCT(Oxides_min!$C25:$AW25,Factors!$C$28:$AW$28))/2)</f>
        <v>0</v>
      </c>
      <c r="V25" s="20">
        <f>MIN(MAX(0,(SUMPRODUCT(Oxides_min!$C25:$AW25,Factors!$C$29:$AW$29)+SUMPRODUCT(Oxides_max!$C25:$AW25,Factors!$C$29:$AW$29))/2),ABS(SUMPRODUCT(Oxides_max!$C25:$AW25,Factors!$C$29:$AW$29)-SUMPRODUCT(Oxides_min!$C25:$AW25,Factors!$C$29:$AW$29))/2)</f>
        <v>0</v>
      </c>
      <c r="W25" s="20">
        <f>MIN(MAX(0,(SUMPRODUCT(Oxides_min!$C25:$AW25,Factors!$C$30:$AW$30)+SUMPRODUCT(Oxides_max!$C25:$AW25,Factors!$C$30:$AW$30))/2),ABS(SUMPRODUCT(Oxides_max!$C25:$AW25,Factors!$C$30:$AW$30)-SUMPRODUCT(Oxides_min!$C25:$AW25,Factors!$C$30:$AW$30))/2)</f>
        <v>0</v>
      </c>
      <c r="X25" s="20">
        <f>MIN(MAX(0,(SUMPRODUCT(Oxides_min!$C25:$AW25,Factors!$C$31:$AW$31)+SUMPRODUCT(Oxides_max!$C25:$AW25,Factors!$C$31:$AW$31))/2),ABS(SUMPRODUCT(Oxides_max!$C25:$AW25,Factors!$C$31:$AW$31)-SUMPRODUCT(Oxides_min!$C25:$AW25,Factors!$C$31:$AW$31))/2)</f>
        <v>0</v>
      </c>
      <c r="Y25" s="20">
        <f>MIN(MAX(0,(SUMPRODUCT(Oxides_min!$C25:$AW25,Factors!$C$32:$AW$32)+SUMPRODUCT(Oxides_max!$C25:$AW25,Factors!$C$32:$AW$32))/2),ABS(SUMPRODUCT(Oxides_max!$C25:$AW25,Factors!$C$32:$AW$32)-SUMPRODUCT(Oxides_min!$C25:$AW25,Factors!$C$32:$AW$32))/2)</f>
        <v>0</v>
      </c>
      <c r="Z25" s="20">
        <f>MIN(MAX(0,(SUMPRODUCT(Oxides_min!$C25:$AW25,Factors!$C$33:$AW$33)+SUMPRODUCT(Oxides_max!$C25:$AW25,Factors!$C$33:$AW$33))/2),ABS(SUMPRODUCT(Oxides_max!$C25:$AW25,Factors!$C$33:$AW$33)-SUMPRODUCT(Oxides_min!$C25:$AW25,Factors!$C$33:$AW$33))/2)</f>
        <v>0</v>
      </c>
      <c r="AA25" s="20">
        <f>MIN(MAX(0,(SUMPRODUCT(Oxides_min!$C25:$AW25,Factors!$C$34:$AW$34)+SUMPRODUCT(Oxides_max!$C25:$AW25,Factors!$C$34:$AW$34))/2),ABS(SUMPRODUCT(Oxides_max!$C25:$AW25,Factors!$C$34:$AW$34)-SUMPRODUCT(Oxides_min!$C25:$AW25,Factors!$C$34:$AW$34))/2)</f>
        <v>0.05</v>
      </c>
      <c r="AB25" s="20">
        <f>MIN(MAX(0,(SUMPRODUCT(Oxides_min!$C25:$AW25,Factors!$C$35:$AW$35)+SUMPRODUCT(Oxides_max!$C25:$AW25,Factors!$C$35:$AW$35))/2),ABS(SUMPRODUCT(Oxides_max!$C25:$AW25,Factors!$C$35:$AW$35)-SUMPRODUCT(Oxides_min!$C25:$AW25,Factors!$C$35:$AW$35))/2)</f>
        <v>0</v>
      </c>
      <c r="AC25" s="20">
        <f>MIN(MAX(0,(SUMPRODUCT(Oxides_min!$C25:$AW25,Factors!$C$36:$AW$36)+SUMPRODUCT(Oxides_max!$C25:$AW25,Factors!$C$36:$AW$36))/2),ABS(SUMPRODUCT(Oxides_max!$C25:$AW25,Factors!$C$36:$AW$36)-SUMPRODUCT(Oxides_min!$C25:$AW25,Factors!$C$36:$AW$36))/2)</f>
        <v>2.2409701983481782</v>
      </c>
      <c r="AD25" s="20">
        <f>MIN(MAX(0,(SUMPRODUCT(Oxides_min!$C25:$AW25,Factors!$C$37:$AW$37)+SUMPRODUCT(Oxides_max!$C25:$AW25,Factors!$C$37:$AW$37))/2),ABS(SUMPRODUCT(Oxides_max!$C25:$AW25,Factors!$C$37:$AW$37)-SUMPRODUCT(Oxides_min!$C25:$AW25,Factors!$C$37:$AW$37))/2)</f>
        <v>0.14985511888426231</v>
      </c>
      <c r="AE25" s="20">
        <f>MIN(MAX(0,(SUMPRODUCT(Oxides_min!$C25:$AW25,Factors!$C$38:$AW$38)+SUMPRODUCT(Oxides_max!$C25:$AW25,Factors!$C$38:$AW$38))/2),ABS(SUMPRODUCT(Oxides_max!$C25:$AW25,Factors!$C$38:$AW$38)-SUMPRODUCT(Oxides_min!$C25:$AW25,Factors!$C$38:$AW$38))/2)</f>
        <v>0</v>
      </c>
      <c r="AF25" s="20">
        <f>MIN(MAX(0,(SUMPRODUCT(Oxides_min!$C25:$AW25,Factors!$C$39:$AW$39)+SUMPRODUCT(Oxides_max!$C25:$AW25,Factors!$C$39:$AW$39))/2),ABS(SUMPRODUCT(Oxides_max!$C25:$AW25,Factors!$C$39:$AW$39)-SUMPRODUCT(Oxides_min!$C25:$AW25,Factors!$C$39:$AW$39))/2)</f>
        <v>0</v>
      </c>
      <c r="AG25" s="20">
        <f>MIN(MAX(0,(SUMPRODUCT(Oxides_min!$C25:$AW25,Factors!$C$40:$AW$40)+SUMPRODUCT(Oxides_max!$C25:$AW25,Factors!$C$40:$AW$40))/2),ABS(SUMPRODUCT(Oxides_max!$C25:$AW25,Factors!$C$40:$AW$40)-SUMPRODUCT(Oxides_min!$C25:$AW25,Factors!$C$40:$AW$40))/2)</f>
        <v>2.7285860743602499</v>
      </c>
      <c r="AH25" s="20">
        <f>MIN(MAX(0,(SUMPRODUCT(Oxides_min!$C25:$AW25,Factors!$C$41:$AW$41)+SUMPRODUCT(Oxides_max!$C25:$AW25,Factors!$C$41:$AW$41))/2),ABS(SUMPRODUCT(Oxides_max!$C25:$AW25,Factors!$C$41:$AW$41)-SUMPRODUCT(Oxides_min!$C25:$AW25,Factors!$C$41:$AW$41))/2)</f>
        <v>2.902817240402281</v>
      </c>
      <c r="AI25" s="20">
        <f>MIN(MAX(0,(SUMPRODUCT(Oxides_min!$C25:$AW25,Factors!$C$42:$AW$42)+SUMPRODUCT(Oxides_max!$C25:$AW25,Factors!$C$42:$AW$42))/2),ABS(SUMPRODUCT(Oxides_max!$C25:$AW25,Factors!$C$42:$AW$42)-SUMPRODUCT(Oxides_min!$C25:$AW25,Factors!$C$42:$AW$42))/2)</f>
        <v>0.76902460162798048</v>
      </c>
      <c r="AJ25" s="20">
        <f>MIN(MAX(0,(SUMPRODUCT(Oxides_min!$C25:$AW25,Factors!$C$43:$AW$43)+SUMPRODUCT(Oxides_max!$C25:$AW25,Factors!$C$43:$AW$43))/2),ABS(SUMPRODUCT(Oxides_max!$C25:$AW25,Factors!$C$43:$AW$43)-SUMPRODUCT(Oxides_min!$C25:$AW25,Factors!$C$43:$AW$43))/2)</f>
        <v>1.4575051785984943</v>
      </c>
      <c r="AK25" s="20">
        <f>MIN(MAX(0,(SUMPRODUCT(Oxides_min!$C25:$AW25,Factors!$C$44:$AW$44)+SUMPRODUCT(Oxides_max!$C25:$AW25,Factors!$C$44:$AW$44))/2),ABS(SUMPRODUCT(Oxides_max!$C25:$AW25,Factors!$C$44:$AW$44)-SUMPRODUCT(Oxides_min!$C25:$AW25,Factors!$C$44:$AW$44))/2)</f>
        <v>0.21559029241476613</v>
      </c>
      <c r="AL25" s="20">
        <f>MIN(MAX(0,(SUMPRODUCT(Oxides_min!$C25:$AW25,Factors!$C$45:$AW$45)+SUMPRODUCT(Oxides_max!$C25:$AW25,Factors!$C$45:$AW$45))/2),ABS(SUMPRODUCT(Oxides_max!$C25:$AW25,Factors!$C$45:$AW$45)-SUMPRODUCT(Oxides_min!$C25:$AW25,Factors!$C$45:$AW$45))/2)</f>
        <v>0</v>
      </c>
      <c r="AM25" s="20">
        <f>MIN(MAX(0,(SUMPRODUCT(Oxides_min!$C25:$AW25,Factors!$C$46:$AW$46)+SUMPRODUCT(Oxides_max!$C25:$AW25,Factors!$C$46:$AW$46))/2),ABS(SUMPRODUCT(Oxides_max!$C25:$AW25,Factors!$C$46:$AW$46)-SUMPRODUCT(Oxides_min!$C25:$AW25,Factors!$C$46:$AW$46))/2)</f>
        <v>0</v>
      </c>
      <c r="AN25" s="20">
        <f>MIN(MAX(0,(SUMPRODUCT(Oxides_min!$C25:$AW25,Factors!$C$47:$AW$47)+SUMPRODUCT(Oxides_max!$C25:$AW25,Factors!$C$47:$AW$47))/2),ABS(SUMPRODUCT(Oxides_max!$C25:$AW25,Factors!$C$47:$AW$47)-SUMPRODUCT(Oxides_min!$C25:$AW25,Factors!$C$47:$AW$47))/2)</f>
        <v>0</v>
      </c>
      <c r="AO25" s="20">
        <f>MIN(MAX(0,(SUMPRODUCT(Oxides_min!$C25:$AW25,Factors!$C$48:$AW$48)+SUMPRODUCT(Oxides_max!$C25:$AW25,Factors!$C$48:$AW$48))/2),ABS(SUMPRODUCT(Oxides_max!$C25:$AW25,Factors!$C$48:$AW$48)-SUMPRODUCT(Oxides_min!$C25:$AW25,Factors!$C$48:$AW$48))/2)</f>
        <v>0</v>
      </c>
      <c r="AP25" s="20">
        <f>MIN(MAX(0,(SUMPRODUCT(Oxides_min!$C25:$AW25,Factors!$C$49:$AW$49)+SUMPRODUCT(Oxides_max!$C25:$AW25,Factors!$C$49:$AW$49))/2),ABS(SUMPRODUCT(Oxides_max!$C25:$AW25,Factors!$C$49:$AW$49)-SUMPRODUCT(Oxides_min!$C25:$AW25,Factors!$C$49:$AW$49))/2)</f>
        <v>0</v>
      </c>
      <c r="AQ25" s="20">
        <f>MIN(MAX(0,(SUMPRODUCT(Oxides_min!$C25:$AW25,Factors!$C$50:$AW$50)+SUMPRODUCT(Oxides_max!$C25:$AW25,Factors!$C$50:$AW$50))/2),ABS(SUMPRODUCT(Oxides_max!$C25:$AW25,Factors!$C$50:$AW$50)-SUMPRODUCT(Oxides_min!$C25:$AW25,Factors!$C$50:$AW$50))/2)</f>
        <v>0</v>
      </c>
      <c r="AR25" s="20">
        <f>MIN(MAX(0,(SUMPRODUCT(Oxides_min!$C25:$AW25,Factors!$C$51:$AW$51)+SUMPRODUCT(Oxides_max!$C25:$AW25,Factors!$C$51:$AW$51))/2),ABS(SUMPRODUCT(Oxides_max!$C25:$AW25,Factors!$C$51:$AW$51)-SUMPRODUCT(Oxides_min!$C25:$AW25,Factors!$C$51:$AW$51))/2)</f>
        <v>0</v>
      </c>
      <c r="AS25" s="20">
        <f>MIN(MAX(0,(SUMPRODUCT(Oxides_min!$C25:$AW25,Factors!$C$52:$AW$52)+SUMPRODUCT(Oxides_max!$C25:$AW25,Factors!$C$52:$AW$52))/2),ABS(SUMPRODUCT(Oxides_max!$C25:$AW25,Factors!$C$52:$AW$52)-SUMPRODUCT(Oxides_min!$C25:$AW25,Factors!$C$52:$AW$52))/2)</f>
        <v>0</v>
      </c>
      <c r="AT25" s="20">
        <f>MIN(MAX(0,(SUMPRODUCT(Oxides_min!$C25:$AW25,Factors!$C$53:$AW$53)+SUMPRODUCT(Oxides_max!$C25:$AW25,Factors!$C$53:$AW$53))/2),ABS(SUMPRODUCT(Oxides_max!$C25:$AW25,Factors!$C$53:$AW$53)-SUMPRODUCT(Oxides_min!$C25:$AW25,Factors!$C$53:$AW$53))/2)</f>
        <v>0</v>
      </c>
      <c r="AU25" s="20">
        <f>MIN(MAX(0,(SUMPRODUCT(Oxides_min!$C25:$AW25,Factors!$C$54:$AW$54)+SUMPRODUCT(Oxides_max!$C25:$AW25,Factors!$C$54:$AW$54))/2),ABS(SUMPRODUCT(Oxides_max!$C25:$AW25,Factors!$C$54:$AW$54)-SUMPRODUCT(Oxides_min!$C25:$AW25,Factors!$C$54:$AW$54))/2)</f>
        <v>0</v>
      </c>
      <c r="AV25" s="18">
        <f t="shared" si="0"/>
        <v>32.423946914823937</v>
      </c>
    </row>
    <row r="26" spans="1:48" x14ac:dyDescent="0.25">
      <c r="A26" s="13" t="s">
        <v>174</v>
      </c>
      <c r="B26" s="20">
        <f>MIN(MAX(0,(SUMPRODUCT(Oxides_min!$C26:$AW26,Factors!$C$9:$AW$9)+SUMPRODUCT(Oxides_max!$C26:$AW26,Factors!$C$9:$AW$9))/2),ABS(SUMPRODUCT(Oxides_max!$C26:$AW26,Factors!$C$9:$AW$9)-SUMPRODUCT(Oxides_min!$C26:$AW26,Factors!$C$9:$AW$9))/2)</f>
        <v>14.686804928137537</v>
      </c>
      <c r="C26" s="20">
        <f>MIN(MAX(0,(SUMPRODUCT(Oxides_min!$C26:$AW26,Factors!$C$10:$AW$10)+SUMPRODUCT(Oxides_max!$C26:$AW26,Factors!$C$10:$AW$10))/2),ABS(SUMPRODUCT(Oxides_max!$C26:$AW26,Factors!$C$10:$AW$10)-SUMPRODUCT(Oxides_min!$C26:$AW26,Factors!$C$10:$AW$10))/2)</f>
        <v>0.11685917813691062</v>
      </c>
      <c r="D26" s="20">
        <f>MIN(MAX(0,(SUMPRODUCT(Oxides_min!$C26:$AW26,Factors!$C$11:$AW$11)+SUMPRODUCT(Oxides_max!$C26:$AW26,Factors!$C$11:$AW$11))/2),ABS(SUMPRODUCT(Oxides_max!$C26:$AW26,Factors!$C$11:$AW$11)-SUMPRODUCT(Oxides_min!$C26:$AW26,Factors!$C$11:$AW$11))/2)</f>
        <v>1.8879490390033182</v>
      </c>
      <c r="E26" s="20">
        <f>MIN(MAX(0,(SUMPRODUCT(Oxides_min!$C26:$AW26,Factors!$C$12:$AW$12)+SUMPRODUCT(Oxides_max!$C26:$AW26,Factors!$C$12:$AW$12))/2),ABS(SUMPRODUCT(Oxides_max!$C26:$AW26,Factors!$C$12:$AW$12)-SUMPRODUCT(Oxides_min!$C26:$AW26,Factors!$C$12:$AW$12))/2)</f>
        <v>0.40717728976968404</v>
      </c>
      <c r="F26" s="20">
        <f>MIN(MAX(0,(SUMPRODUCT(Oxides_min!$C26:$AW26,Factors!$C$13:$AW$13)+SUMPRODUCT(Oxides_max!$C26:$AW26,Factors!$C$13:$AW$13))/2),ABS(SUMPRODUCT(Oxides_max!$C26:$AW26,Factors!$C$13:$AW$13)-SUMPRODUCT(Oxides_min!$C26:$AW26,Factors!$C$13:$AW$13))/2)</f>
        <v>0</v>
      </c>
      <c r="G26" s="20">
        <f>MIN(MAX(0,(SUMPRODUCT(Oxides_min!$C26:$AW26,Factors!$C$14:$AW$14)+SUMPRODUCT(Oxides_max!$C26:$AW26,Factors!$C$14:$AW$14))/2),ABS(SUMPRODUCT(Oxides_max!$C26:$AW26,Factors!$C$14:$AW$14)-SUMPRODUCT(Oxides_min!$C26:$AW26,Factors!$C$14:$AW$14))/2)</f>
        <v>0.78768214029779438</v>
      </c>
      <c r="H26" s="20">
        <f>MIN(MAX(0,(SUMPRODUCT(Oxides_min!$C26:$AW26,Factors!$C$15:$AW$15)+SUMPRODUCT(Oxides_max!$C26:$AW26,Factors!$C$15:$AW$15))/2),ABS(SUMPRODUCT(Oxides_max!$C26:$AW26,Factors!$C$15:$AW$15)-SUMPRODUCT(Oxides_min!$C26:$AW26,Factors!$C$15:$AW$15))/2)</f>
        <v>7.9388539006301453E-2</v>
      </c>
      <c r="I26" s="20">
        <f>MIN(MAX(0,(SUMPRODUCT(Oxides_min!$C26:$AW26,Factors!$C$16:$AW$16)+SUMPRODUCT(Oxides_max!$C26:$AW26,Factors!$C$16:$AW$16))/2),ABS(SUMPRODUCT(Oxides_max!$C26:$AW26,Factors!$C$16:$AW$16)-SUMPRODUCT(Oxides_min!$C26:$AW26,Factors!$C$16:$AW$16))/2)</f>
        <v>5.3202314188114705</v>
      </c>
      <c r="J26" s="20">
        <f>MIN(MAX(0,(SUMPRODUCT(Oxides_min!$C26:$AW26,Factors!$C$17:$AW$17)+SUMPRODUCT(Oxides_max!$C26:$AW26,Factors!$C$17:$AW$17))/2),ABS(SUMPRODUCT(Oxides_max!$C26:$AW26,Factors!$C$17:$AW$17)-SUMPRODUCT(Oxides_min!$C26:$AW26,Factors!$C$17:$AW$17))/2)</f>
        <v>0.46467719179276773</v>
      </c>
      <c r="K26" s="20">
        <f>MIN(MAX(0,(SUMPRODUCT(Oxides_min!$C26:$AW26,Factors!$C$18:$AW$18)+SUMPRODUCT(Oxides_max!$C26:$AW26,Factors!$C$18:$AW$18))/2),ABS(SUMPRODUCT(Oxides_max!$C26:$AW26,Factors!$C$18:$AW$18)-SUMPRODUCT(Oxides_min!$C26:$AW26,Factors!$C$18:$AW$18))/2)</f>
        <v>0.12060837633981739</v>
      </c>
      <c r="L26" s="20">
        <f>MIN(MAX(0,(SUMPRODUCT(Oxides_min!$C26:$AW26,Factors!$C$19:$AW$19)+SUMPRODUCT(Oxides_max!$C26:$AW26,Factors!$C$19:$AW$19))/2),ABS(SUMPRODUCT(Oxides_max!$C26:$AW26,Factors!$C$19:$AW$19)-SUMPRODUCT(Oxides_min!$C26:$AW26,Factors!$C$19:$AW$19))/2)</f>
        <v>0.40380316350732026</v>
      </c>
      <c r="M26" s="20">
        <f>MIN(MAX(0,(SUMPRODUCT(Oxides_min!$C26:$AW26,Factors!$C$20:$AW$20)+SUMPRODUCT(Oxides_max!$C26:$AW26,Factors!$C$20:$AW$20))/2),ABS(SUMPRODUCT(Oxides_max!$C26:$AW26,Factors!$C$20:$AW$20)-SUMPRODUCT(Oxides_min!$C26:$AW26,Factors!$C$20:$AW$20))/2)</f>
        <v>0</v>
      </c>
      <c r="N26" s="20">
        <f>MIN(MAX(0,(SUMPRODUCT(Oxides_min!$C26:$AW26,Factors!$C$21:$AW$21)+SUMPRODUCT(Oxides_max!$C26:$AW26,Factors!$C$21:$AW$21))/2),ABS(SUMPRODUCT(Oxides_max!$C26:$AW26,Factors!$C$21:$AW$21)-SUMPRODUCT(Oxides_min!$C26:$AW26,Factors!$C$21:$AW$21))/2)</f>
        <v>0</v>
      </c>
      <c r="O26" s="20">
        <f>MIN(MAX(0,(SUMPRODUCT(Oxides_min!$C26:$AW26,Factors!$C$22:$AW$22)+SUMPRODUCT(Oxides_max!$C26:$AW26,Factors!$C$22:$AW$22))/2),ABS(SUMPRODUCT(Oxides_max!$C26:$AW26,Factors!$C$22:$AW$22)-SUMPRODUCT(Oxides_min!$C26:$AW26,Factors!$C$22:$AW$22))/2)</f>
        <v>9.2831957132424425E-2</v>
      </c>
      <c r="P26" s="20">
        <f>MIN(MAX(0,(SUMPRODUCT(Oxides_min!$C26:$AW26,Factors!$C$23:$AW$23)+SUMPRODUCT(Oxides_max!$C26:$AW26,Factors!$C$23:$AW$23))/2),ABS(SUMPRODUCT(Oxides_max!$C26:$AW26,Factors!$C$23:$AW$23)-SUMPRODUCT(Oxides_min!$C26:$AW26,Factors!$C$23:$AW$23))/2)</f>
        <v>0.11127933869113804</v>
      </c>
      <c r="Q26" s="20">
        <f>MIN(MAX(0,(SUMPRODUCT(Oxides_min!$C26:$AW26,Factors!$C$24:$AW$24)+SUMPRODUCT(Oxides_max!$C26:$AW26,Factors!$C$24:$AW$24))/2),ABS(SUMPRODUCT(Oxides_max!$C26:$AW26,Factors!$C$24:$AW$24)-SUMPRODUCT(Oxides_min!$C26:$AW26,Factors!$C$24:$AW$24))/2)</f>
        <v>8.3015130218396627E-2</v>
      </c>
      <c r="R26" s="20">
        <f>MIN(MAX(0,(SUMPRODUCT(Oxides_min!$C26:$AW26,Factors!$C$25:$AW$25)+SUMPRODUCT(Oxides_max!$C26:$AW26,Factors!$C$25:$AW$25))/2),ABS(SUMPRODUCT(Oxides_max!$C26:$AW26,Factors!$C$25:$AW$25)-SUMPRODUCT(Oxides_min!$C26:$AW26,Factors!$C$25:$AW$25))/2)</f>
        <v>0</v>
      </c>
      <c r="S26" s="20">
        <f>MIN(MAX(0,(SUMPRODUCT(Oxides_min!$C26:$AW26,Factors!$C$26:$AW$26)+SUMPRODUCT(Oxides_max!$C26:$AW26,Factors!$C$26:$AW$26))/2),ABS(SUMPRODUCT(Oxides_max!$C26:$AW26,Factors!$C$26:$AW$26)-SUMPRODUCT(Oxides_min!$C26:$AW26,Factors!$C$26:$AW$26))/2)</f>
        <v>6.9904939562708002</v>
      </c>
      <c r="T26" s="20">
        <f>MIN(MAX(0,(SUMPRODUCT(Oxides_min!$C26:$AW26,Factors!$C$27:$AW$27)+SUMPRODUCT(Oxides_max!$C26:$AW26,Factors!$C$27:$AW$27))/2),ABS(SUMPRODUCT(Oxides_max!$C26:$AW26,Factors!$C$27:$AW$27)-SUMPRODUCT(Oxides_min!$C26:$AW26,Factors!$C$27:$AW$27))/2)</f>
        <v>12.694051986966191</v>
      </c>
      <c r="U26" s="20">
        <f>MIN(MAX(0,(SUMPRODUCT(Oxides_min!$C26:$AW26,Factors!$C$28:$AW$28)+SUMPRODUCT(Oxides_max!$C26:$AW26,Factors!$C$28:$AW$28))/2),ABS(SUMPRODUCT(Oxides_max!$C26:$AW26,Factors!$C$28:$AW$28)-SUMPRODUCT(Oxides_min!$C26:$AW26,Factors!$C$28:$AW$28))/2)</f>
        <v>1.2687534776588727</v>
      </c>
      <c r="V26" s="20">
        <f>MIN(MAX(0,(SUMPRODUCT(Oxides_min!$C26:$AW26,Factors!$C$29:$AW$29)+SUMPRODUCT(Oxides_max!$C26:$AW26,Factors!$C$29:$AW$29))/2),ABS(SUMPRODUCT(Oxides_max!$C26:$AW26,Factors!$C$29:$AW$29)-SUMPRODUCT(Oxides_min!$C26:$AW26,Factors!$C$29:$AW$29))/2)</f>
        <v>0</v>
      </c>
      <c r="W26" s="20">
        <f>MIN(MAX(0,(SUMPRODUCT(Oxides_min!$C26:$AW26,Factors!$C$30:$AW$30)+SUMPRODUCT(Oxides_max!$C26:$AW26,Factors!$C$30:$AW$30))/2),ABS(SUMPRODUCT(Oxides_max!$C26:$AW26,Factors!$C$30:$AW$30)-SUMPRODUCT(Oxides_min!$C26:$AW26,Factors!$C$30:$AW$30))/2)</f>
        <v>0</v>
      </c>
      <c r="X26" s="20">
        <f>MIN(MAX(0,(SUMPRODUCT(Oxides_min!$C26:$AW26,Factors!$C$31:$AW$31)+SUMPRODUCT(Oxides_max!$C26:$AW26,Factors!$C$31:$AW$31))/2),ABS(SUMPRODUCT(Oxides_max!$C26:$AW26,Factors!$C$31:$AW$31)-SUMPRODUCT(Oxides_min!$C26:$AW26,Factors!$C$31:$AW$31))/2)</f>
        <v>0</v>
      </c>
      <c r="Y26" s="20">
        <f>MIN(MAX(0,(SUMPRODUCT(Oxides_min!$C26:$AW26,Factors!$C$32:$AW$32)+SUMPRODUCT(Oxides_max!$C26:$AW26,Factors!$C$32:$AW$32))/2),ABS(SUMPRODUCT(Oxides_max!$C26:$AW26,Factors!$C$32:$AW$32)-SUMPRODUCT(Oxides_min!$C26:$AW26,Factors!$C$32:$AW$32))/2)</f>
        <v>0</v>
      </c>
      <c r="Z26" s="20">
        <f>MIN(MAX(0,(SUMPRODUCT(Oxides_min!$C26:$AW26,Factors!$C$33:$AW$33)+SUMPRODUCT(Oxides_max!$C26:$AW26,Factors!$C$33:$AW$33))/2),ABS(SUMPRODUCT(Oxides_max!$C26:$AW26,Factors!$C$33:$AW$33)-SUMPRODUCT(Oxides_min!$C26:$AW26,Factors!$C$33:$AW$33))/2)</f>
        <v>0.16786011656952537</v>
      </c>
      <c r="AA26" s="20">
        <f>MIN(MAX(0,(SUMPRODUCT(Oxides_min!$C26:$AW26,Factors!$C$34:$AW$34)+SUMPRODUCT(Oxides_max!$C26:$AW26,Factors!$C$34:$AW$34))/2),ABS(SUMPRODUCT(Oxides_max!$C26:$AW26,Factors!$C$34:$AW$34)-SUMPRODUCT(Oxides_min!$C26:$AW26,Factors!$C$34:$AW$34))/2)</f>
        <v>0</v>
      </c>
      <c r="AB26" s="20">
        <f>MIN(MAX(0,(SUMPRODUCT(Oxides_min!$C26:$AW26,Factors!$C$35:$AW$35)+SUMPRODUCT(Oxides_max!$C26:$AW26,Factors!$C$35:$AW$35))/2),ABS(SUMPRODUCT(Oxides_max!$C26:$AW26,Factors!$C$35:$AW$35)-SUMPRODUCT(Oxides_min!$C26:$AW26,Factors!$C$35:$AW$35))/2)</f>
        <v>0</v>
      </c>
      <c r="AC26" s="20">
        <f>MIN(MAX(0,(SUMPRODUCT(Oxides_min!$C26:$AW26,Factors!$C$36:$AW$36)+SUMPRODUCT(Oxides_max!$C26:$AW26,Factors!$C$36:$AW$36))/2),ABS(SUMPRODUCT(Oxides_max!$C26:$AW26,Factors!$C$36:$AW$36)-SUMPRODUCT(Oxides_min!$C26:$AW26,Factors!$C$36:$AW$36))/2)</f>
        <v>1.5379207243565927</v>
      </c>
      <c r="AD26" s="20">
        <f>MIN(MAX(0,(SUMPRODUCT(Oxides_min!$C26:$AW26,Factors!$C$37:$AW$37)+SUMPRODUCT(Oxides_max!$C26:$AW26,Factors!$C$37:$AW$37))/2),ABS(SUMPRODUCT(Oxides_max!$C26:$AW26,Factors!$C$37:$AW$37)-SUMPRODUCT(Oxides_min!$C26:$AW26,Factors!$C$37:$AW$37))/2)</f>
        <v>8.1538814687025081</v>
      </c>
      <c r="AE26" s="20">
        <f>MIN(MAX(0,(SUMPRODUCT(Oxides_min!$C26:$AW26,Factors!$C$38:$AW$38)+SUMPRODUCT(Oxides_max!$C26:$AW26,Factors!$C$38:$AW$38))/2),ABS(SUMPRODUCT(Oxides_max!$C26:$AW26,Factors!$C$38:$AW$38)-SUMPRODUCT(Oxides_min!$C26:$AW26,Factors!$C$38:$AW$38))/2)</f>
        <v>0.32598284362038177</v>
      </c>
      <c r="AF26" s="20">
        <f>MIN(MAX(0,(SUMPRODUCT(Oxides_min!$C26:$AW26,Factors!$C$39:$AW$39)+SUMPRODUCT(Oxides_max!$C26:$AW26,Factors!$C$39:$AW$39))/2),ABS(SUMPRODUCT(Oxides_max!$C26:$AW26,Factors!$C$39:$AW$39)-SUMPRODUCT(Oxides_min!$C26:$AW26,Factors!$C$39:$AW$39))/2)</f>
        <v>3.5434977964531749</v>
      </c>
      <c r="AG26" s="20">
        <f>MIN(MAX(0,(SUMPRODUCT(Oxides_min!$C26:$AW26,Factors!$C$40:$AW$40)+SUMPRODUCT(Oxides_max!$C26:$AW26,Factors!$C$40:$AW$40))/2),ABS(SUMPRODUCT(Oxides_max!$C26:$AW26,Factors!$C$40:$AW$40)-SUMPRODUCT(Oxides_min!$C26:$AW26,Factors!$C$40:$AW$40))/2)</f>
        <v>0.17053662964751565</v>
      </c>
      <c r="AH26" s="20">
        <f>MIN(MAX(0,(SUMPRODUCT(Oxides_min!$C26:$AW26,Factors!$C$41:$AW$41)+SUMPRODUCT(Oxides_max!$C26:$AW26,Factors!$C$41:$AW$41))/2),ABS(SUMPRODUCT(Oxides_max!$C26:$AW26,Factors!$C$41:$AW$41)-SUMPRODUCT(Oxides_min!$C26:$AW26,Factors!$C$41:$AW$41))/2)</f>
        <v>0.21344244414722646</v>
      </c>
      <c r="AI26" s="20">
        <f>MIN(MAX(0,(SUMPRODUCT(Oxides_min!$C26:$AW26,Factors!$C$42:$AW$42)+SUMPRODUCT(Oxides_max!$C26:$AW26,Factors!$C$42:$AW$42))/2),ABS(SUMPRODUCT(Oxides_max!$C26:$AW26,Factors!$C$42:$AW$42)-SUMPRODUCT(Oxides_min!$C26:$AW26,Factors!$C$42:$AW$42))/2)</f>
        <v>0.12817076693799673</v>
      </c>
      <c r="AJ26" s="20">
        <f>MIN(MAX(0,(SUMPRODUCT(Oxides_min!$C26:$AW26,Factors!$C$43:$AW$43)+SUMPRODUCT(Oxides_max!$C26:$AW26,Factors!$C$43:$AW$43))/2),ABS(SUMPRODUCT(Oxides_max!$C26:$AW26,Factors!$C$43:$AW$43)-SUMPRODUCT(Oxides_min!$C26:$AW26,Factors!$C$43:$AW$43))/2)</f>
        <v>0.40295731408311314</v>
      </c>
      <c r="AK26" s="20">
        <f>MIN(MAX(0,(SUMPRODUCT(Oxides_min!$C26:$AW26,Factors!$C$44:$AW$44)+SUMPRODUCT(Oxides_max!$C26:$AW26,Factors!$C$44:$AW$44))/2),ABS(SUMPRODUCT(Oxides_max!$C26:$AW26,Factors!$C$44:$AW$44)-SUMPRODUCT(Oxides_min!$C26:$AW26,Factors!$C$44:$AW$44))/2)</f>
        <v>0.60365281876134513</v>
      </c>
      <c r="AL26" s="20">
        <f>MIN(MAX(0,(SUMPRODUCT(Oxides_min!$C26:$AW26,Factors!$C$45:$AW$45)+SUMPRODUCT(Oxides_max!$C26:$AW26,Factors!$C$45:$AW$45))/2),ABS(SUMPRODUCT(Oxides_max!$C26:$AW26,Factors!$C$45:$AW$45)-SUMPRODUCT(Oxides_min!$C26:$AW26,Factors!$C$45:$AW$45))/2)</f>
        <v>8.6361582723591679E-2</v>
      </c>
      <c r="AM26" s="20">
        <f>MIN(MAX(0,(SUMPRODUCT(Oxides_min!$C26:$AW26,Factors!$C$46:$AW$46)+SUMPRODUCT(Oxides_max!$C26:$AW26,Factors!$C$46:$AW$46))/2),ABS(SUMPRODUCT(Oxides_max!$C26:$AW26,Factors!$C$46:$AW$46)-SUMPRODUCT(Oxides_min!$C26:$AW26,Factors!$C$46:$AW$46))/2)</f>
        <v>0.47717636283886483</v>
      </c>
      <c r="AN26" s="20">
        <f>MIN(MAX(0,(SUMPRODUCT(Oxides_min!$C26:$AW26,Factors!$C$47:$AW$47)+SUMPRODUCT(Oxides_max!$C26:$AW26,Factors!$C$47:$AW$47))/2),ABS(SUMPRODUCT(Oxides_max!$C26:$AW26,Factors!$C$47:$AW$47)-SUMPRODUCT(Oxides_min!$C26:$AW26,Factors!$C$47:$AW$47))/2)</f>
        <v>0.19548136423981893</v>
      </c>
      <c r="AO26" s="20">
        <f>MIN(MAX(0,(SUMPRODUCT(Oxides_min!$C26:$AW26,Factors!$C$48:$AW$48)+SUMPRODUCT(Oxides_max!$C26:$AW26,Factors!$C$48:$AW$48))/2),ABS(SUMPRODUCT(Oxides_max!$C26:$AW26,Factors!$C$48:$AW$48)-SUMPRODUCT(Oxides_min!$C26:$AW26,Factors!$C$48:$AW$48))/2)</f>
        <v>0.6534905106475386</v>
      </c>
      <c r="AP26" s="20">
        <f>MIN(MAX(0,(SUMPRODUCT(Oxides_min!$C26:$AW26,Factors!$C$49:$AW$49)+SUMPRODUCT(Oxides_max!$C26:$AW26,Factors!$C$49:$AW$49))/2),ABS(SUMPRODUCT(Oxides_max!$C26:$AW26,Factors!$C$49:$AW$49)-SUMPRODUCT(Oxides_min!$C26:$AW26,Factors!$C$49:$AW$49))/2)</f>
        <v>0.15277079601879712</v>
      </c>
      <c r="AQ26" s="20">
        <f>MIN(MAX(0,(SUMPRODUCT(Oxides_min!$C26:$AW26,Factors!$C$50:$AW$50)+SUMPRODUCT(Oxides_max!$C26:$AW26,Factors!$C$50:$AW$50))/2),ABS(SUMPRODUCT(Oxides_max!$C26:$AW26,Factors!$C$50:$AW$50)-SUMPRODUCT(Oxides_min!$C26:$AW26,Factors!$C$50:$AW$50))/2)</f>
        <v>0.43726128387122071</v>
      </c>
      <c r="AR26" s="20">
        <f>MIN(MAX(0,(SUMPRODUCT(Oxides_min!$C26:$AW26,Factors!$C$51:$AW$51)+SUMPRODUCT(Oxides_max!$C26:$AW26,Factors!$C$51:$AW$51))/2),ABS(SUMPRODUCT(Oxides_max!$C26:$AW26,Factors!$C$51:$AW$51)-SUMPRODUCT(Oxides_min!$C26:$AW26,Factors!$C$51:$AW$51))/2)</f>
        <v>0.13134181179843418</v>
      </c>
      <c r="AS26" s="20">
        <f>MIN(MAX(0,(SUMPRODUCT(Oxides_min!$C26:$AW26,Factors!$C$52:$AW$52)+SUMPRODUCT(Oxides_max!$C26:$AW26,Factors!$C$52:$AW$52))/2),ABS(SUMPRODUCT(Oxides_max!$C26:$AW26,Factors!$C$52:$AW$52)-SUMPRODUCT(Oxides_min!$C26:$AW26,Factors!$C$52:$AW$52))/2)</f>
        <v>0.61474496748179963</v>
      </c>
      <c r="AT26" s="20">
        <f>MIN(MAX(0,(SUMPRODUCT(Oxides_min!$C26:$AW26,Factors!$C$53:$AW$53)+SUMPRODUCT(Oxides_max!$C26:$AW26,Factors!$C$53:$AW$53))/2),ABS(SUMPRODUCT(Oxides_max!$C26:$AW26,Factors!$C$53:$AW$53)-SUMPRODUCT(Oxides_min!$C26:$AW26,Factors!$C$53:$AW$53))/2)</f>
        <v>0.19786128535980899</v>
      </c>
      <c r="AU26" s="20">
        <f>MIN(MAX(0,(SUMPRODUCT(Oxides_min!$C26:$AW26,Factors!$C$54:$AW$54)+SUMPRODUCT(Oxides_max!$C26:$AW26,Factors!$C$54:$AW$54))/2),ABS(SUMPRODUCT(Oxides_max!$C26:$AW26,Factors!$C$54:$AW$54)-SUMPRODUCT(Oxides_min!$C26:$AW26,Factors!$C$54:$AW$54))/2)</f>
        <v>0</v>
      </c>
      <c r="AV26" s="18">
        <f t="shared" si="0"/>
        <v>63.710000000000008</v>
      </c>
    </row>
  </sheetData>
  <pageMargins left="0.75" right="0.75" top="1" bottom="1" header="0.5" footer="0.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V26"/>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48" width="8" customWidth="1"/>
  </cols>
  <sheetData>
    <row r="1" spans="1:48" x14ac:dyDescent="0.25">
      <c r="A1" s="4" t="s">
        <v>180</v>
      </c>
      <c r="B1" s="4" t="s">
        <v>20</v>
      </c>
      <c r="C1" s="4" t="s">
        <v>22</v>
      </c>
      <c r="D1" s="4" t="s">
        <v>23</v>
      </c>
      <c r="E1" s="19" t="s">
        <v>24</v>
      </c>
      <c r="F1" s="4" t="s">
        <v>26</v>
      </c>
      <c r="G1" s="4" t="s">
        <v>27</v>
      </c>
      <c r="H1" s="4" t="s">
        <v>28</v>
      </c>
      <c r="I1" s="4" t="s">
        <v>29</v>
      </c>
      <c r="J1" s="4" t="s">
        <v>30</v>
      </c>
      <c r="K1" s="4" t="s">
        <v>31</v>
      </c>
      <c r="L1" s="4" t="s">
        <v>32</v>
      </c>
      <c r="M1" s="4" t="s">
        <v>33</v>
      </c>
      <c r="N1" s="4" t="s">
        <v>34</v>
      </c>
      <c r="O1" s="4" t="s">
        <v>35</v>
      </c>
      <c r="P1" s="4" t="s">
        <v>36</v>
      </c>
      <c r="Q1" s="4" t="s">
        <v>37</v>
      </c>
      <c r="R1" s="4" t="s">
        <v>38</v>
      </c>
      <c r="S1" s="19" t="s">
        <v>39</v>
      </c>
      <c r="T1" s="4" t="s">
        <v>40</v>
      </c>
      <c r="U1" s="4" t="s">
        <v>41</v>
      </c>
      <c r="V1" s="4" t="s">
        <v>42</v>
      </c>
      <c r="W1" s="4" t="s">
        <v>43</v>
      </c>
      <c r="X1" s="4" t="s">
        <v>44</v>
      </c>
      <c r="Y1" s="4" t="s">
        <v>45</v>
      </c>
      <c r="Z1" s="4" t="s">
        <v>46</v>
      </c>
      <c r="AA1" s="4" t="s">
        <v>47</v>
      </c>
      <c r="AB1" s="4" t="s">
        <v>48</v>
      </c>
      <c r="AC1" s="19" t="s">
        <v>49</v>
      </c>
      <c r="AD1" s="19" t="s">
        <v>50</v>
      </c>
      <c r="AE1" s="4" t="s">
        <v>51</v>
      </c>
      <c r="AF1" s="4" t="s">
        <v>52</v>
      </c>
      <c r="AG1" s="4" t="s">
        <v>53</v>
      </c>
      <c r="AH1" s="4" t="s">
        <v>54</v>
      </c>
      <c r="AI1" s="4" t="s">
        <v>55</v>
      </c>
      <c r="AJ1" s="4" t="s">
        <v>56</v>
      </c>
      <c r="AK1" s="4" t="s">
        <v>57</v>
      </c>
      <c r="AL1" s="4" t="s">
        <v>58</v>
      </c>
      <c r="AM1" s="4" t="s">
        <v>59</v>
      </c>
      <c r="AN1" s="4" t="s">
        <v>60</v>
      </c>
      <c r="AO1" s="4" t="s">
        <v>61</v>
      </c>
      <c r="AP1" s="4" t="s">
        <v>62</v>
      </c>
      <c r="AQ1" s="4" t="s">
        <v>63</v>
      </c>
      <c r="AR1" s="4" t="s">
        <v>64</v>
      </c>
      <c r="AS1" s="4" t="s">
        <v>65</v>
      </c>
      <c r="AT1" s="4" t="s">
        <v>66</v>
      </c>
      <c r="AU1" s="4" t="s">
        <v>67</v>
      </c>
      <c r="AV1" s="4" t="s">
        <v>181</v>
      </c>
    </row>
    <row r="2" spans="1:48" x14ac:dyDescent="0.25">
      <c r="A2" s="13" t="s">
        <v>126</v>
      </c>
      <c r="B2" s="20">
        <f>SUMPRODUCT(Oxides_typical!$C2:$AW2,Factors!$C$9:$AW$9)</f>
        <v>26.051885110568428</v>
      </c>
      <c r="C2" s="20">
        <f>SUMPRODUCT(Oxides_typical!$C2:$AW2,Factors!$C$10:$AW$10)</f>
        <v>0.18697468501905701</v>
      </c>
      <c r="D2" s="20">
        <f>SUMPRODUCT(Oxides_typical!$C2:$AW2,Factors!$C$11:$AW$11)</f>
        <v>0</v>
      </c>
      <c r="E2" s="20">
        <f>SUMPRODUCT(Oxides_typical!$C2:$AW2,Factors!$C$12:$AW$12)</f>
        <v>0</v>
      </c>
      <c r="F2" s="20">
        <f>SUMPRODUCT(Oxides_typical!$C2:$AW2,Factors!$C$13:$AW$13)</f>
        <v>0</v>
      </c>
      <c r="G2" s="20">
        <f>SUMPRODUCT(Oxides_typical!$C2:$AW2,Factors!$C$14:$AW$14)</f>
        <v>0</v>
      </c>
      <c r="H2" s="20">
        <f>SUMPRODUCT(Oxides_typical!$C2:$AW2,Factors!$C$15:$AW$15)</f>
        <v>1.0585138534173529E-2</v>
      </c>
      <c r="I2" s="20">
        <f>SUMPRODUCT(Oxides_typical!$C2:$AW2,Factors!$C$16:$AW$16)</f>
        <v>0</v>
      </c>
      <c r="J2" s="20">
        <f>SUMPRODUCT(Oxides_typical!$C2:$AW2,Factors!$C$17:$AW$17)</f>
        <v>0</v>
      </c>
      <c r="K2" s="20">
        <f>SUMPRODUCT(Oxides_typical!$C2:$AW2,Factors!$C$18:$AW$18)</f>
        <v>0</v>
      </c>
      <c r="L2" s="20">
        <f>SUMPRODUCT(Oxides_typical!$C2:$AW2,Factors!$C$19:$AW$19)</f>
        <v>0.71469586461472612</v>
      </c>
      <c r="M2" s="20">
        <f>SUMPRODUCT(Oxides_typical!$C2:$AW2,Factors!$C$20:$AW$20)</f>
        <v>0</v>
      </c>
      <c r="N2" s="20">
        <f>SUMPRODUCT(Oxides_typical!$C2:$AW2,Factors!$C$21:$AW$21)</f>
        <v>0</v>
      </c>
      <c r="O2" s="20">
        <f>SUMPRODUCT(Oxides_typical!$C2:$AW2,Factors!$C$22:$AW$22)</f>
        <v>9.0975317989775942E-2</v>
      </c>
      <c r="P2" s="20">
        <f>SUMPRODUCT(Oxides_typical!$C2:$AW2,Factors!$C$23:$AW$23)</f>
        <v>0</v>
      </c>
      <c r="Q2" s="20">
        <f>SUMPRODUCT(Oxides_typical!$C2:$AW2,Factors!$C$24:$AW$24)</f>
        <v>0</v>
      </c>
      <c r="R2" s="20">
        <f>SUMPRODUCT(Oxides_typical!$C2:$AW2,Factors!$C$25:$AW$25)</f>
        <v>0</v>
      </c>
      <c r="S2" s="20">
        <f>SUMPRODUCT(Oxides_typical!$C2:$AW2,Factors!$C$26:$AW$26)</f>
        <v>0</v>
      </c>
      <c r="T2" s="20">
        <f>SUMPRODUCT(Oxides_typical!$C2:$AW2,Factors!$C$27:$AW$27)</f>
        <v>0</v>
      </c>
      <c r="U2" s="20">
        <f>SUMPRODUCT(Oxides_typical!$C2:$AW2,Factors!$C$28:$AW$28)</f>
        <v>0</v>
      </c>
      <c r="V2" s="20">
        <f>SUMPRODUCT(Oxides_typical!$C2:$AW2,Factors!$C$29:$AW$29)</f>
        <v>11.958094795737409</v>
      </c>
      <c r="W2" s="20">
        <f>SUMPRODUCT(Oxides_typical!$C2:$AW2,Factors!$C$30:$AW$30)</f>
        <v>0</v>
      </c>
      <c r="X2" s="20">
        <f>SUMPRODUCT(Oxides_typical!$C2:$AW2,Factors!$C$31:$AW$31)</f>
        <v>0</v>
      </c>
      <c r="Y2" s="20">
        <f>SUMPRODUCT(Oxides_typical!$C2:$AW2,Factors!$C$32:$AW$32)</f>
        <v>0</v>
      </c>
      <c r="Z2" s="20">
        <f>SUMPRODUCT(Oxides_typical!$C2:$AW2,Factors!$C$33:$AW$33)</f>
        <v>0</v>
      </c>
      <c r="AA2" s="20">
        <f>SUMPRODUCT(Oxides_typical!$C2:$AW2,Factors!$C$34:$AW$34)</f>
        <v>0</v>
      </c>
      <c r="AB2" s="20">
        <f>SUMPRODUCT(Oxides_typical!$C2:$AW2,Factors!$C$35:$AW$35)</f>
        <v>0</v>
      </c>
      <c r="AC2" s="20">
        <f>SUMPRODUCT(Oxides_typical!$C2:$AW2,Factors!$C$36:$AW$36)</f>
        <v>10.194217372877985</v>
      </c>
      <c r="AD2" s="20">
        <f>SUMPRODUCT(Oxides_typical!$C2:$AW2,Factors!$C$37:$AW$37)</f>
        <v>0.3393777692378882</v>
      </c>
      <c r="AE2" s="20">
        <f>SUMPRODUCT(Oxides_typical!$C2:$AW2,Factors!$C$38:$AW$38)</f>
        <v>0</v>
      </c>
      <c r="AF2" s="20">
        <f>SUMPRODUCT(Oxides_typical!$C2:$AW2,Factors!$C$39:$AW$39)</f>
        <v>0</v>
      </c>
      <c r="AG2" s="20">
        <f>SUMPRODUCT(Oxides_typical!$C2:$AW2,Factors!$C$40:$AW$40)</f>
        <v>18.503224316755446</v>
      </c>
      <c r="AH2" s="20">
        <f>SUMPRODUCT(Oxides_typical!$C2:$AW2,Factors!$C$41:$AW$41)</f>
        <v>24.503192588101598</v>
      </c>
      <c r="AI2" s="20">
        <f>SUMPRODUCT(Oxides_typical!$C2:$AW2,Factors!$C$42:$AW$42)</f>
        <v>1.5722280744394266</v>
      </c>
      <c r="AJ2" s="20">
        <f>SUMPRODUCT(Oxides_typical!$C2:$AW2,Factors!$C$43:$AW$43)</f>
        <v>5.1441359244652745</v>
      </c>
      <c r="AK2" s="20">
        <f>SUMPRODUCT(Oxides_typical!$C2:$AW2,Factors!$C$44:$AW$44)</f>
        <v>0.51741670179543864</v>
      </c>
      <c r="AL2" s="20">
        <f>SUMPRODUCT(Oxides_typical!$C2:$AW2,Factors!$C$45:$AW$45)</f>
        <v>0</v>
      </c>
      <c r="AM2" s="20">
        <f>SUMPRODUCT(Oxides_typical!$C2:$AW2,Factors!$C$46:$AW$46)</f>
        <v>7.8083404828177883E-2</v>
      </c>
      <c r="AN2" s="20">
        <f>SUMPRODUCT(Oxides_typical!$C2:$AW2,Factors!$C$47:$AW$47)</f>
        <v>0</v>
      </c>
      <c r="AO2" s="20">
        <f>SUMPRODUCT(Oxides_typical!$C2:$AW2,Factors!$C$48:$AW$48)</f>
        <v>0.174264136172677</v>
      </c>
      <c r="AP2" s="20">
        <f>SUMPRODUCT(Oxides_typical!$C2:$AW2,Factors!$C$49:$AW$49)</f>
        <v>4.3648798862513466E-2</v>
      </c>
      <c r="AQ2" s="20">
        <f>SUMPRODUCT(Oxides_typical!$C2:$AW2,Factors!$C$50:$AW$50)</f>
        <v>0</v>
      </c>
      <c r="AR2" s="20">
        <f>SUMPRODUCT(Oxides_typical!$C2:$AW2,Factors!$C$51:$AW$51)</f>
        <v>0</v>
      </c>
      <c r="AS2" s="20">
        <f>SUMPRODUCT(Oxides_typical!$C2:$AW2,Factors!$C$52:$AW$52)</f>
        <v>0</v>
      </c>
      <c r="AT2" s="20">
        <f>SUMPRODUCT(Oxides_typical!$C2:$AW2,Factors!$C$53:$AW$53)</f>
        <v>0</v>
      </c>
      <c r="AU2" s="20">
        <f>SUMPRODUCT(Oxides_typical!$C2:$AW2,Factors!$C$54:$AW$54)</f>
        <v>0</v>
      </c>
      <c r="AV2" s="18">
        <f t="shared" ref="AV2:AV26" si="0">SUM(B2:AU2)</f>
        <v>100.083</v>
      </c>
    </row>
    <row r="3" spans="1:48" x14ac:dyDescent="0.25">
      <c r="A3" s="13" t="s">
        <v>128</v>
      </c>
      <c r="B3" s="20">
        <f>SUMPRODUCT(Oxides_typical!$C3:$AW3,Factors!$C$9:$AW$9)</f>
        <v>21.991186221801776</v>
      </c>
      <c r="C3" s="20">
        <f>SUMPRODUCT(Oxides_typical!$C3:$AW3,Factors!$C$10:$AW$10)</f>
        <v>0</v>
      </c>
      <c r="D3" s="20">
        <f>SUMPRODUCT(Oxides_typical!$C3:$AW3,Factors!$C$11:$AW$11)</f>
        <v>0</v>
      </c>
      <c r="E3" s="20">
        <f>SUMPRODUCT(Oxides_typical!$C3:$AW3,Factors!$C$12:$AW$12)</f>
        <v>0</v>
      </c>
      <c r="F3" s="20">
        <f>SUMPRODUCT(Oxides_typical!$C3:$AW3,Factors!$C$13:$AW$13)</f>
        <v>0</v>
      </c>
      <c r="G3" s="20">
        <f>SUMPRODUCT(Oxides_typical!$C3:$AW3,Factors!$C$14:$AW$14)</f>
        <v>0</v>
      </c>
      <c r="H3" s="20">
        <f>SUMPRODUCT(Oxides_typical!$C3:$AW3,Factors!$C$15:$AW$15)</f>
        <v>0</v>
      </c>
      <c r="I3" s="20">
        <f>SUMPRODUCT(Oxides_typical!$C3:$AW3,Factors!$C$16:$AW$16)</f>
        <v>0</v>
      </c>
      <c r="J3" s="20">
        <f>SUMPRODUCT(Oxides_typical!$C3:$AW3,Factors!$C$17:$AW$17)</f>
        <v>0</v>
      </c>
      <c r="K3" s="20">
        <f>SUMPRODUCT(Oxides_typical!$C3:$AW3,Factors!$C$18:$AW$18)</f>
        <v>0</v>
      </c>
      <c r="L3" s="20">
        <f>SUMPRODUCT(Oxides_typical!$C3:$AW3,Factors!$C$19:$AW$19)</f>
        <v>0.21440875938441784</v>
      </c>
      <c r="M3" s="20">
        <f>SUMPRODUCT(Oxides_typical!$C3:$AW3,Factors!$C$20:$AW$20)</f>
        <v>0</v>
      </c>
      <c r="N3" s="20">
        <f>SUMPRODUCT(Oxides_typical!$C3:$AW3,Factors!$C$21:$AW$21)</f>
        <v>0</v>
      </c>
      <c r="O3" s="20">
        <f>SUMPRODUCT(Oxides_typical!$C3:$AW3,Factors!$C$22:$AW$22)</f>
        <v>0</v>
      </c>
      <c r="P3" s="20">
        <f>SUMPRODUCT(Oxides_typical!$C3:$AW3,Factors!$C$23:$AW$23)</f>
        <v>0</v>
      </c>
      <c r="Q3" s="20">
        <f>SUMPRODUCT(Oxides_typical!$C3:$AW3,Factors!$C$24:$AW$24)</f>
        <v>0</v>
      </c>
      <c r="R3" s="20">
        <f>SUMPRODUCT(Oxides_typical!$C3:$AW3,Factors!$C$25:$AW$25)</f>
        <v>0</v>
      </c>
      <c r="S3" s="20">
        <f>SUMPRODUCT(Oxides_typical!$C3:$AW3,Factors!$C$26:$AW$26)</f>
        <v>0</v>
      </c>
      <c r="T3" s="20">
        <f>SUMPRODUCT(Oxides_typical!$C3:$AW3,Factors!$C$27:$AW$27)</f>
        <v>0</v>
      </c>
      <c r="U3" s="20">
        <f>SUMPRODUCT(Oxides_typical!$C3:$AW3,Factors!$C$28:$AW$28)</f>
        <v>0</v>
      </c>
      <c r="V3" s="20">
        <f>SUMPRODUCT(Oxides_typical!$C3:$AW3,Factors!$C$29:$AW$29)</f>
        <v>0</v>
      </c>
      <c r="W3" s="20">
        <f>SUMPRODUCT(Oxides_typical!$C3:$AW3,Factors!$C$30:$AW$30)</f>
        <v>0</v>
      </c>
      <c r="X3" s="20">
        <f>SUMPRODUCT(Oxides_typical!$C3:$AW3,Factors!$C$31:$AW$31)</f>
        <v>0</v>
      </c>
      <c r="Y3" s="20">
        <f>SUMPRODUCT(Oxides_typical!$C3:$AW3,Factors!$C$32:$AW$32)</f>
        <v>5.4775334590651914</v>
      </c>
      <c r="Z3" s="20">
        <f>SUMPRODUCT(Oxides_typical!$C3:$AW3,Factors!$C$33:$AW$33)</f>
        <v>0</v>
      </c>
      <c r="AA3" s="20">
        <f>SUMPRODUCT(Oxides_typical!$C3:$AW3,Factors!$C$34:$AW$34)</f>
        <v>8.67</v>
      </c>
      <c r="AB3" s="20">
        <f>SUMPRODUCT(Oxides_typical!$C3:$AW3,Factors!$C$35:$AW$35)</f>
        <v>0</v>
      </c>
      <c r="AC3" s="20">
        <f>SUMPRODUCT(Oxides_typical!$C3:$AW3,Factors!$C$36:$AW$36)</f>
        <v>0.13182177637342221</v>
      </c>
      <c r="AD3" s="20">
        <f>SUMPRODUCT(Oxides_typical!$C3:$AW3,Factors!$C$37:$AW$37)</f>
        <v>0</v>
      </c>
      <c r="AE3" s="20">
        <f>SUMPRODUCT(Oxides_typical!$C3:$AW3,Factors!$C$38:$AW$38)</f>
        <v>0</v>
      </c>
      <c r="AF3" s="20">
        <f>SUMPRODUCT(Oxides_typical!$C3:$AW3,Factors!$C$39:$AW$39)</f>
        <v>0.11811659321510581</v>
      </c>
      <c r="AG3" s="20">
        <f>SUMPRODUCT(Oxides_typical!$C3:$AW3,Factors!$C$40:$AW$40)</f>
        <v>20.907790794785416</v>
      </c>
      <c r="AH3" s="20">
        <f>SUMPRODUCT(Oxides_typical!$C3:$AW3,Factors!$C$41:$AW$41)</f>
        <v>31.316275405281065</v>
      </c>
      <c r="AI3" s="20">
        <f>SUMPRODUCT(Oxides_typical!$C3:$AW3,Factors!$C$42:$AW$42)</f>
        <v>2.8881146150028596</v>
      </c>
      <c r="AJ3" s="20">
        <f>SUMPRODUCT(Oxides_typical!$C3:$AW3,Factors!$C$43:$AW$43)</f>
        <v>7.8962486440541966</v>
      </c>
      <c r="AK3" s="20">
        <f>SUMPRODUCT(Oxides_typical!$C3:$AW3,Factors!$C$44:$AW$44)</f>
        <v>0.55191114858180135</v>
      </c>
      <c r="AL3" s="20">
        <f>SUMPRODUCT(Oxides_typical!$C3:$AW3,Factors!$C$45:$AW$45)</f>
        <v>6.9089266178873329E-2</v>
      </c>
      <c r="AM3" s="20">
        <f>SUMPRODUCT(Oxides_typical!$C3:$AW3,Factors!$C$46:$AW$46)</f>
        <v>0.21689834674493857</v>
      </c>
      <c r="AN3" s="20">
        <f>SUMPRODUCT(Oxides_typical!$C3:$AW3,Factors!$C$47:$AW$47)</f>
        <v>0</v>
      </c>
      <c r="AO3" s="20">
        <f>SUMPRODUCT(Oxides_typical!$C3:$AW3,Factors!$C$48:$AW$48)</f>
        <v>0</v>
      </c>
      <c r="AP3" s="20">
        <f>SUMPRODUCT(Oxides_typical!$C3:$AW3,Factors!$C$49:$AW$49)</f>
        <v>0</v>
      </c>
      <c r="AQ3" s="20">
        <f>SUMPRODUCT(Oxides_typical!$C3:$AW3,Factors!$C$50:$AW$50)</f>
        <v>0</v>
      </c>
      <c r="AR3" s="20">
        <f>SUMPRODUCT(Oxides_typical!$C3:$AW3,Factors!$C$51:$AW$51)</f>
        <v>0</v>
      </c>
      <c r="AS3" s="20">
        <f>SUMPRODUCT(Oxides_typical!$C3:$AW3,Factors!$C$52:$AW$52)</f>
        <v>0</v>
      </c>
      <c r="AT3" s="20">
        <f>SUMPRODUCT(Oxides_typical!$C3:$AW3,Factors!$C$53:$AW$53)</f>
        <v>0</v>
      </c>
      <c r="AU3" s="20">
        <f>SUMPRODUCT(Oxides_typical!$C3:$AW3,Factors!$C$54:$AW$54)</f>
        <v>0</v>
      </c>
      <c r="AV3" s="18">
        <f t="shared" si="0"/>
        <v>100.44939503046906</v>
      </c>
    </row>
    <row r="4" spans="1:48" x14ac:dyDescent="0.25">
      <c r="A4" s="13" t="s">
        <v>130</v>
      </c>
      <c r="B4" s="20">
        <f>SUMPRODUCT(Oxides_typical!$C4:$AW4,Factors!$C$9:$AW$9)</f>
        <v>31.392442712597571</v>
      </c>
      <c r="C4" s="20">
        <f>SUMPRODUCT(Oxides_typical!$C4:$AW4,Factors!$C$10:$AW$10)</f>
        <v>4.6743671254764252E-2</v>
      </c>
      <c r="D4" s="20">
        <f>SUMPRODUCT(Oxides_typical!$C4:$AW4,Factors!$C$11:$AW$11)</f>
        <v>0</v>
      </c>
      <c r="E4" s="20">
        <f>SUMPRODUCT(Oxides_typical!$C4:$AW4,Factors!$C$12:$AW$12)</f>
        <v>0</v>
      </c>
      <c r="F4" s="20">
        <f>SUMPRODUCT(Oxides_typical!$C4:$AW4,Factors!$C$13:$AW$13)</f>
        <v>0</v>
      </c>
      <c r="G4" s="20">
        <f>SUMPRODUCT(Oxides_typical!$C4:$AW4,Factors!$C$14:$AW$14)</f>
        <v>0</v>
      </c>
      <c r="H4" s="20">
        <f>SUMPRODUCT(Oxides_typical!$C4:$AW4,Factors!$C$15:$AW$15)</f>
        <v>0</v>
      </c>
      <c r="I4" s="20">
        <f>SUMPRODUCT(Oxides_typical!$C4:$AW4,Factors!$C$16:$AW$16)</f>
        <v>0</v>
      </c>
      <c r="J4" s="20">
        <f>SUMPRODUCT(Oxides_typical!$C4:$AW4,Factors!$C$17:$AW$17)</f>
        <v>0</v>
      </c>
      <c r="K4" s="20">
        <f>SUMPRODUCT(Oxides_typical!$C4:$AW4,Factors!$C$18:$AW$18)</f>
        <v>0</v>
      </c>
      <c r="L4" s="20">
        <f>SUMPRODUCT(Oxides_typical!$C4:$AW4,Factors!$C$19:$AW$19)</f>
        <v>5.0028710523030831E-2</v>
      </c>
      <c r="M4" s="20">
        <f>SUMPRODUCT(Oxides_typical!$C4:$AW4,Factors!$C$20:$AW$20)</f>
        <v>0</v>
      </c>
      <c r="N4" s="20">
        <f>SUMPRODUCT(Oxides_typical!$C4:$AW4,Factors!$C$21:$AW$21)</f>
        <v>0</v>
      </c>
      <c r="O4" s="20">
        <f>SUMPRODUCT(Oxides_typical!$C4:$AW4,Factors!$C$22:$AW$22)</f>
        <v>0</v>
      </c>
      <c r="P4" s="20">
        <f>SUMPRODUCT(Oxides_typical!$C4:$AW4,Factors!$C$23:$AW$23)</f>
        <v>0</v>
      </c>
      <c r="Q4" s="20">
        <f>SUMPRODUCT(Oxides_typical!$C4:$AW4,Factors!$C$24:$AW$24)</f>
        <v>0</v>
      </c>
      <c r="R4" s="20">
        <f>SUMPRODUCT(Oxides_typical!$C4:$AW4,Factors!$C$25:$AW$25)</f>
        <v>0</v>
      </c>
      <c r="S4" s="20">
        <f>SUMPRODUCT(Oxides_typical!$C4:$AW4,Factors!$C$26:$AW$26)</f>
        <v>0</v>
      </c>
      <c r="T4" s="20">
        <f>SUMPRODUCT(Oxides_typical!$C4:$AW4,Factors!$C$27:$AW$27)</f>
        <v>0</v>
      </c>
      <c r="U4" s="20">
        <f>SUMPRODUCT(Oxides_typical!$C4:$AW4,Factors!$C$28:$AW$28)</f>
        <v>0</v>
      </c>
      <c r="V4" s="20">
        <f>SUMPRODUCT(Oxides_typical!$C4:$AW4,Factors!$C$29:$AW$29)</f>
        <v>14.790504840421198</v>
      </c>
      <c r="W4" s="20">
        <f>SUMPRODUCT(Oxides_typical!$C4:$AW4,Factors!$C$30:$AW$30)</f>
        <v>0</v>
      </c>
      <c r="X4" s="20">
        <f>SUMPRODUCT(Oxides_typical!$C4:$AW4,Factors!$C$31:$AW$31)</f>
        <v>0</v>
      </c>
      <c r="Y4" s="20">
        <f>SUMPRODUCT(Oxides_typical!$C4:$AW4,Factors!$C$32:$AW$32)</f>
        <v>0</v>
      </c>
      <c r="Z4" s="20">
        <f>SUMPRODUCT(Oxides_typical!$C4:$AW4,Factors!$C$33:$AW$33)</f>
        <v>0</v>
      </c>
      <c r="AA4" s="20">
        <f>SUMPRODUCT(Oxides_typical!$C4:$AW4,Factors!$C$34:$AW$34)</f>
        <v>0</v>
      </c>
      <c r="AB4" s="20">
        <f>SUMPRODUCT(Oxides_typical!$C4:$AW4,Factors!$C$35:$AW$35)</f>
        <v>0</v>
      </c>
      <c r="AC4" s="20">
        <f>SUMPRODUCT(Oxides_typical!$C4:$AW4,Factors!$C$36:$AW$36)</f>
        <v>0.33394850014600297</v>
      </c>
      <c r="AD4" s="20">
        <f>SUMPRODUCT(Oxides_typical!$C4:$AW4,Factors!$C$37:$AW$37)</f>
        <v>0.84624067134642245</v>
      </c>
      <c r="AE4" s="20">
        <f>SUMPRODUCT(Oxides_typical!$C4:$AW4,Factors!$C$38:$AW$38)</f>
        <v>0</v>
      </c>
      <c r="AF4" s="20">
        <f>SUMPRODUCT(Oxides_typical!$C4:$AW4,Factors!$C$39:$AW$39)</f>
        <v>36.608269457135137</v>
      </c>
      <c r="AG4" s="20">
        <f>SUMPRODUCT(Oxides_typical!$C4:$AW4,Factors!$C$40:$AW$40)</f>
        <v>0</v>
      </c>
      <c r="AH4" s="20">
        <f>SUMPRODUCT(Oxides_typical!$C4:$AW4,Factors!$C$41:$AW$41)</f>
        <v>0</v>
      </c>
      <c r="AI4" s="20">
        <f>SUMPRODUCT(Oxides_typical!$C4:$AW4,Factors!$C$42:$AW$42)</f>
        <v>0</v>
      </c>
      <c r="AJ4" s="20">
        <f>SUMPRODUCT(Oxides_typical!$C4:$AW4,Factors!$C$43:$AW$43)</f>
        <v>0</v>
      </c>
      <c r="AK4" s="20">
        <f>SUMPRODUCT(Oxides_typical!$C4:$AW4,Factors!$C$44:$AW$44)</f>
        <v>0</v>
      </c>
      <c r="AL4" s="20">
        <f>SUMPRODUCT(Oxides_typical!$C4:$AW4,Factors!$C$45:$AW$45)</f>
        <v>3.4544633089436665E-2</v>
      </c>
      <c r="AM4" s="20">
        <f>SUMPRODUCT(Oxides_typical!$C4:$AW4,Factors!$C$46:$AW$46)</f>
        <v>1.6397515013917356</v>
      </c>
      <c r="AN4" s="20">
        <f>SUMPRODUCT(Oxides_typical!$C4:$AW4,Factors!$C$47:$AW$47)</f>
        <v>0.52128363797285038</v>
      </c>
      <c r="AO4" s="20">
        <f>SUMPRODUCT(Oxides_typical!$C4:$AW4,Factors!$C$48:$AW$48)</f>
        <v>4.4873015064464328</v>
      </c>
      <c r="AP4" s="20">
        <f>SUMPRODUCT(Oxides_typical!$C4:$AW4,Factors!$C$49:$AW$49)</f>
        <v>0.92535453588528549</v>
      </c>
      <c r="AQ4" s="20">
        <f>SUMPRODUCT(Oxides_typical!$C4:$AW4,Factors!$C$50:$AW$50)</f>
        <v>3.3756571114858236</v>
      </c>
      <c r="AR4" s="20">
        <f>SUMPRODUCT(Oxides_typical!$C4:$AW4,Factors!$C$51:$AW$51)</f>
        <v>0</v>
      </c>
      <c r="AS4" s="20">
        <f>SUMPRODUCT(Oxides_typical!$C4:$AW4,Factors!$C$52:$AW$52)</f>
        <v>3.6006490952505406</v>
      </c>
      <c r="AT4" s="20">
        <f>SUMPRODUCT(Oxides_typical!$C4:$AW4,Factors!$C$53:$AW$53)</f>
        <v>0.45727941505378072</v>
      </c>
      <c r="AU4" s="20">
        <f>SUMPRODUCT(Oxides_typical!$C4:$AW4,Factors!$C$54:$AW$54)</f>
        <v>0</v>
      </c>
      <c r="AV4" s="18">
        <f t="shared" si="0"/>
        <v>99.110000000000014</v>
      </c>
    </row>
    <row r="5" spans="1:48" x14ac:dyDescent="0.25">
      <c r="A5" s="13" t="s">
        <v>132</v>
      </c>
      <c r="B5" s="20">
        <f>SUMPRODUCT(Oxides_typical!$C5:$AW5,Factors!$C$9:$AW$9)</f>
        <v>27.44864350903315</v>
      </c>
      <c r="C5" s="20">
        <f>SUMPRODUCT(Oxides_typical!$C5:$AW5,Factors!$C$10:$AW$10)</f>
        <v>0</v>
      </c>
      <c r="D5" s="20">
        <f>SUMPRODUCT(Oxides_typical!$C5:$AW5,Factors!$C$11:$AW$11)</f>
        <v>0</v>
      </c>
      <c r="E5" s="20">
        <f>SUMPRODUCT(Oxides_typical!$C5:$AW5,Factors!$C$12:$AW$12)</f>
        <v>0</v>
      </c>
      <c r="F5" s="20">
        <f>SUMPRODUCT(Oxides_typical!$C5:$AW5,Factors!$C$13:$AW$13)</f>
        <v>0</v>
      </c>
      <c r="G5" s="20">
        <f>SUMPRODUCT(Oxides_typical!$C5:$AW5,Factors!$C$14:$AW$14)</f>
        <v>0</v>
      </c>
      <c r="H5" s="20">
        <f>SUMPRODUCT(Oxides_typical!$C5:$AW5,Factors!$C$15:$AW$15)</f>
        <v>0</v>
      </c>
      <c r="I5" s="20">
        <f>SUMPRODUCT(Oxides_typical!$C5:$AW5,Factors!$C$16:$AW$16)</f>
        <v>0</v>
      </c>
      <c r="J5" s="20">
        <f>SUMPRODUCT(Oxides_typical!$C5:$AW5,Factors!$C$17:$AW$17)</f>
        <v>0</v>
      </c>
      <c r="K5" s="20">
        <f>SUMPRODUCT(Oxides_typical!$C5:$AW5,Factors!$C$18:$AW$18)</f>
        <v>0</v>
      </c>
      <c r="L5" s="20">
        <f>SUMPRODUCT(Oxides_typical!$C5:$AW5,Factors!$C$19:$AW$19)</f>
        <v>7.6472457513775689</v>
      </c>
      <c r="M5" s="20">
        <f>SUMPRODUCT(Oxides_typical!$C5:$AW5,Factors!$C$20:$AW$20)</f>
        <v>0</v>
      </c>
      <c r="N5" s="20">
        <f>SUMPRODUCT(Oxides_typical!$C5:$AW5,Factors!$C$21:$AW$21)</f>
        <v>0</v>
      </c>
      <c r="O5" s="20">
        <f>SUMPRODUCT(Oxides_typical!$C5:$AW5,Factors!$C$22:$AW$22)</f>
        <v>0</v>
      </c>
      <c r="P5" s="20">
        <f>SUMPRODUCT(Oxides_typical!$C5:$AW5,Factors!$C$23:$AW$23)</f>
        <v>0</v>
      </c>
      <c r="Q5" s="20">
        <f>SUMPRODUCT(Oxides_typical!$C5:$AW5,Factors!$C$24:$AW$24)</f>
        <v>0</v>
      </c>
      <c r="R5" s="20">
        <f>SUMPRODUCT(Oxides_typical!$C5:$AW5,Factors!$C$25:$AW$25)</f>
        <v>0</v>
      </c>
      <c r="S5" s="20">
        <f>SUMPRODUCT(Oxides_typical!$C5:$AW5,Factors!$C$26:$AW$26)</f>
        <v>0</v>
      </c>
      <c r="T5" s="20">
        <f>SUMPRODUCT(Oxides_typical!$C5:$AW5,Factors!$C$27:$AW$27)</f>
        <v>0</v>
      </c>
      <c r="U5" s="20">
        <f>SUMPRODUCT(Oxides_typical!$C5:$AW5,Factors!$C$28:$AW$28)</f>
        <v>0</v>
      </c>
      <c r="V5" s="20">
        <f>SUMPRODUCT(Oxides_typical!$C5:$AW5,Factors!$C$29:$AW$29)</f>
        <v>0</v>
      </c>
      <c r="W5" s="20">
        <f>SUMPRODUCT(Oxides_typical!$C5:$AW5,Factors!$C$30:$AW$30)</f>
        <v>0</v>
      </c>
      <c r="X5" s="20">
        <f>SUMPRODUCT(Oxides_typical!$C5:$AW5,Factors!$C$31:$AW$31)</f>
        <v>0</v>
      </c>
      <c r="Y5" s="20">
        <f>SUMPRODUCT(Oxides_typical!$C5:$AW5,Factors!$C$32:$AW$32)</f>
        <v>6.7084091890295161</v>
      </c>
      <c r="Z5" s="20">
        <f>SUMPRODUCT(Oxides_typical!$C5:$AW5,Factors!$C$33:$AW$33)</f>
        <v>0</v>
      </c>
      <c r="AA5" s="20">
        <f>SUMPRODUCT(Oxides_typical!$C5:$AW5,Factors!$C$34:$AW$34)</f>
        <v>5.34</v>
      </c>
      <c r="AB5" s="20">
        <f>SUMPRODUCT(Oxides_typical!$C5:$AW5,Factors!$C$35:$AW$35)</f>
        <v>0</v>
      </c>
      <c r="AC5" s="20">
        <f>SUMPRODUCT(Oxides_typical!$C5:$AW5,Factors!$C$36:$AW$36)</f>
        <v>0</v>
      </c>
      <c r="AD5" s="20">
        <f>SUMPRODUCT(Oxides_typical!$C5:$AW5,Factors!$C$37:$AW$37)</f>
        <v>0</v>
      </c>
      <c r="AE5" s="20">
        <f>SUMPRODUCT(Oxides_typical!$C5:$AW5,Factors!$C$38:$AW$38)</f>
        <v>0</v>
      </c>
      <c r="AF5" s="20">
        <f>SUMPRODUCT(Oxides_typical!$C5:$AW5,Factors!$C$39:$AW$39)</f>
        <v>0</v>
      </c>
      <c r="AG5" s="20">
        <f>SUMPRODUCT(Oxides_typical!$C5:$AW5,Factors!$C$40:$AW$40)</f>
        <v>12.875515538387431</v>
      </c>
      <c r="AH5" s="20">
        <f>SUMPRODUCT(Oxides_typical!$C5:$AW5,Factors!$C$41:$AW$41)</f>
        <v>24.648333450121712</v>
      </c>
      <c r="AI5" s="20">
        <f>SUMPRODUCT(Oxides_typical!$C5:$AW5,Factors!$C$42:$AW$42)</f>
        <v>2.5634153387599348</v>
      </c>
      <c r="AJ5" s="20">
        <f>SUMPRODUCT(Oxides_typical!$C5:$AW5,Factors!$C$43:$AW$43)</f>
        <v>9.9881972533367414</v>
      </c>
      <c r="AK5" s="20">
        <f>SUMPRODUCT(Oxides_typical!$C5:$AW5,Factors!$C$44:$AW$44)</f>
        <v>1.2590473077022342</v>
      </c>
      <c r="AL5" s="20">
        <f>SUMPRODUCT(Oxides_typical!$C5:$AW5,Factors!$C$45:$AW$45)</f>
        <v>0.17272316544718336</v>
      </c>
      <c r="AM5" s="20">
        <f>SUMPRODUCT(Oxides_typical!$C5:$AW5,Factors!$C$46:$AW$46)</f>
        <v>0</v>
      </c>
      <c r="AN5" s="20">
        <f>SUMPRODUCT(Oxides_typical!$C5:$AW5,Factors!$C$47:$AW$47)</f>
        <v>0</v>
      </c>
      <c r="AO5" s="20">
        <f>SUMPRODUCT(Oxides_typical!$C5:$AW5,Factors!$C$48:$AW$48)</f>
        <v>0</v>
      </c>
      <c r="AP5" s="20">
        <f>SUMPRODUCT(Oxides_typical!$C5:$AW5,Factors!$C$49:$AW$49)</f>
        <v>0</v>
      </c>
      <c r="AQ5" s="20">
        <f>SUMPRODUCT(Oxides_typical!$C5:$AW5,Factors!$C$50:$AW$50)</f>
        <v>0</v>
      </c>
      <c r="AR5" s="20">
        <f>SUMPRODUCT(Oxides_typical!$C5:$AW5,Factors!$C$51:$AW$51)</f>
        <v>0</v>
      </c>
      <c r="AS5" s="20">
        <f>SUMPRODUCT(Oxides_typical!$C5:$AW5,Factors!$C$52:$AW$52)</f>
        <v>0</v>
      </c>
      <c r="AT5" s="20">
        <f>SUMPRODUCT(Oxides_typical!$C5:$AW5,Factors!$C$53:$AW$53)</f>
        <v>0</v>
      </c>
      <c r="AU5" s="20">
        <f>SUMPRODUCT(Oxides_typical!$C5:$AW5,Factors!$C$54:$AW$54)</f>
        <v>0</v>
      </c>
      <c r="AV5" s="18">
        <f t="shared" si="0"/>
        <v>98.651530503195474</v>
      </c>
    </row>
    <row r="6" spans="1:48" x14ac:dyDescent="0.25">
      <c r="A6" s="13" t="s">
        <v>134</v>
      </c>
      <c r="B6" s="20">
        <f>SUMPRODUCT(Oxides_typical!$C6:$AW6,Factors!$C$9:$AW$9)</f>
        <v>30.54958434690618</v>
      </c>
      <c r="C6" s="20">
        <f>SUMPRODUCT(Oxides_typical!$C6:$AW6,Factors!$C$10:$AW$10)</f>
        <v>6.5441139756669944E-2</v>
      </c>
      <c r="D6" s="20">
        <f>SUMPRODUCT(Oxides_typical!$C6:$AW6,Factors!$C$11:$AW$11)</f>
        <v>0</v>
      </c>
      <c r="E6" s="20">
        <f>SUMPRODUCT(Oxides_typical!$C6:$AW6,Factors!$C$12:$AW$12)</f>
        <v>0</v>
      </c>
      <c r="F6" s="20">
        <f>SUMPRODUCT(Oxides_typical!$C6:$AW6,Factors!$C$13:$AW$13)</f>
        <v>0</v>
      </c>
      <c r="G6" s="20">
        <f>SUMPRODUCT(Oxides_typical!$C6:$AW6,Factors!$C$14:$AW$14)</f>
        <v>0</v>
      </c>
      <c r="H6" s="20">
        <f>SUMPRODUCT(Oxides_typical!$C6:$AW6,Factors!$C$15:$AW$15)</f>
        <v>0</v>
      </c>
      <c r="I6" s="20">
        <f>SUMPRODUCT(Oxides_typical!$C6:$AW6,Factors!$C$16:$AW$16)</f>
        <v>0</v>
      </c>
      <c r="J6" s="20">
        <f>SUMPRODUCT(Oxides_typical!$C6:$AW6,Factors!$C$17:$AW$17)</f>
        <v>0</v>
      </c>
      <c r="K6" s="20">
        <f>SUMPRODUCT(Oxides_typical!$C6:$AW6,Factors!$C$18:$AW$18)</f>
        <v>0</v>
      </c>
      <c r="L6" s="20">
        <f>SUMPRODUCT(Oxides_typical!$C6:$AW6,Factors!$C$19:$AW$19)</f>
        <v>12.964582984111132</v>
      </c>
      <c r="M6" s="20">
        <f>SUMPRODUCT(Oxides_typical!$C6:$AW6,Factors!$C$20:$AW$20)</f>
        <v>0</v>
      </c>
      <c r="N6" s="20">
        <f>SUMPRODUCT(Oxides_typical!$C6:$AW6,Factors!$C$21:$AW$21)</f>
        <v>0</v>
      </c>
      <c r="O6" s="20">
        <f>SUMPRODUCT(Oxides_typical!$C6:$AW6,Factors!$C$22:$AW$22)</f>
        <v>0</v>
      </c>
      <c r="P6" s="20">
        <f>SUMPRODUCT(Oxides_typical!$C6:$AW6,Factors!$C$23:$AW$23)</f>
        <v>0</v>
      </c>
      <c r="Q6" s="20">
        <f>SUMPRODUCT(Oxides_typical!$C6:$AW6,Factors!$C$24:$AW$24)</f>
        <v>0</v>
      </c>
      <c r="R6" s="20">
        <f>SUMPRODUCT(Oxides_typical!$C6:$AW6,Factors!$C$25:$AW$25)</f>
        <v>0</v>
      </c>
      <c r="S6" s="20">
        <f>SUMPRODUCT(Oxides_typical!$C6:$AW6,Factors!$C$26:$AW$26)</f>
        <v>0</v>
      </c>
      <c r="T6" s="20">
        <f>SUMPRODUCT(Oxides_typical!$C6:$AW6,Factors!$C$27:$AW$27)</f>
        <v>0</v>
      </c>
      <c r="U6" s="20">
        <f>SUMPRODUCT(Oxides_typical!$C6:$AW6,Factors!$C$28:$AW$28)</f>
        <v>0</v>
      </c>
      <c r="V6" s="20">
        <f>SUMPRODUCT(Oxides_typical!$C6:$AW6,Factors!$C$29:$AW$29)</f>
        <v>0</v>
      </c>
      <c r="W6" s="20">
        <f>SUMPRODUCT(Oxides_typical!$C6:$AW6,Factors!$C$30:$AW$30)</f>
        <v>0</v>
      </c>
      <c r="X6" s="20">
        <f>SUMPRODUCT(Oxides_typical!$C6:$AW6,Factors!$C$31:$AW$31)</f>
        <v>0</v>
      </c>
      <c r="Y6" s="20">
        <f>SUMPRODUCT(Oxides_typical!$C6:$AW6,Factors!$C$32:$AW$32)</f>
        <v>7.6281544684041895</v>
      </c>
      <c r="Z6" s="20">
        <f>SUMPRODUCT(Oxides_typical!$C6:$AW6,Factors!$C$33:$AW$33)</f>
        <v>0</v>
      </c>
      <c r="AA6" s="20">
        <f>SUMPRODUCT(Oxides_typical!$C6:$AW6,Factors!$C$34:$AW$34)</f>
        <v>5.73</v>
      </c>
      <c r="AB6" s="20">
        <f>SUMPRODUCT(Oxides_typical!$C6:$AW6,Factors!$C$35:$AW$35)</f>
        <v>0</v>
      </c>
      <c r="AC6" s="20">
        <f>SUMPRODUCT(Oxides_typical!$C6:$AW6,Factors!$C$36:$AW$36)</f>
        <v>0</v>
      </c>
      <c r="AD6" s="20">
        <f>SUMPRODUCT(Oxides_typical!$C6:$AW6,Factors!$C$37:$AW$37)</f>
        <v>0</v>
      </c>
      <c r="AE6" s="20">
        <f>SUMPRODUCT(Oxides_typical!$C6:$AW6,Factors!$C$38:$AW$38)</f>
        <v>0</v>
      </c>
      <c r="AF6" s="20">
        <f>SUMPRODUCT(Oxides_typical!$C6:$AW6,Factors!$C$39:$AW$39)</f>
        <v>0.3543497796453175</v>
      </c>
      <c r="AG6" s="20">
        <f>SUMPRODUCT(Oxides_typical!$C6:$AW6,Factors!$C$40:$AW$40)</f>
        <v>8.492724156446279</v>
      </c>
      <c r="AH6" s="20">
        <f>SUMPRODUCT(Oxides_typical!$C6:$AW6,Factors!$C$41:$AW$41)</f>
        <v>19.073216808996158</v>
      </c>
      <c r="AI6" s="20">
        <f>SUMPRODUCT(Oxides_typical!$C6:$AW6,Factors!$C$42:$AW$42)</f>
        <v>1.9396509396616839</v>
      </c>
      <c r="AJ6" s="20">
        <f>SUMPRODUCT(Oxides_typical!$C6:$AW6,Factors!$C$43:$AW$43)</f>
        <v>10.91414171974049</v>
      </c>
      <c r="AK6" s="20">
        <f>SUMPRODUCT(Oxides_typical!$C6:$AW6,Factors!$C$44:$AW$44)</f>
        <v>1.5436264936897255</v>
      </c>
      <c r="AL6" s="20">
        <f>SUMPRODUCT(Oxides_typical!$C6:$AW6,Factors!$C$45:$AW$45)</f>
        <v>0</v>
      </c>
      <c r="AM6" s="20">
        <f>SUMPRODUCT(Oxides_typical!$C6:$AW6,Factors!$C$46:$AW$46)</f>
        <v>1.1018436014642881</v>
      </c>
      <c r="AN6" s="20">
        <f>SUMPRODUCT(Oxides_typical!$C6:$AW6,Factors!$C$47:$AW$47)</f>
        <v>0</v>
      </c>
      <c r="AO6" s="20">
        <f>SUMPRODUCT(Oxides_typical!$C6:$AW6,Factors!$C$48:$AW$48)</f>
        <v>0</v>
      </c>
      <c r="AP6" s="20">
        <f>SUMPRODUCT(Oxides_typical!$C6:$AW6,Factors!$C$49:$AW$49)</f>
        <v>0</v>
      </c>
      <c r="AQ6" s="20">
        <f>SUMPRODUCT(Oxides_typical!$C6:$AW6,Factors!$C$50:$AW$50)</f>
        <v>0</v>
      </c>
      <c r="AR6" s="20">
        <f>SUMPRODUCT(Oxides_typical!$C6:$AW6,Factors!$C$51:$AW$51)</f>
        <v>0</v>
      </c>
      <c r="AS6" s="20">
        <f>SUMPRODUCT(Oxides_typical!$C6:$AW6,Factors!$C$52:$AW$52)</f>
        <v>0</v>
      </c>
      <c r="AT6" s="20">
        <f>SUMPRODUCT(Oxides_typical!$C6:$AW6,Factors!$C$53:$AW$53)</f>
        <v>0</v>
      </c>
      <c r="AU6" s="20">
        <f>SUMPRODUCT(Oxides_typical!$C6:$AW6,Factors!$C$54:$AW$54)</f>
        <v>0</v>
      </c>
      <c r="AV6" s="18">
        <f t="shared" si="0"/>
        <v>100.35731643882212</v>
      </c>
    </row>
    <row r="7" spans="1:48" x14ac:dyDescent="0.25">
      <c r="A7" s="13" t="s">
        <v>136</v>
      </c>
      <c r="B7" s="20">
        <f>SUMPRODUCT(Oxides_typical!$C7:$AW7,Factors!$C$9:$AW$9)</f>
        <v>35.57608240259259</v>
      </c>
      <c r="C7" s="20">
        <f>SUMPRODUCT(Oxides_typical!$C7:$AW7,Factors!$C$10:$AW$10)</f>
        <v>13.924939666794268</v>
      </c>
      <c r="D7" s="20">
        <f>SUMPRODUCT(Oxides_typical!$C7:$AW7,Factors!$C$11:$AW$11)</f>
        <v>1.1986978025417894E-2</v>
      </c>
      <c r="E7" s="20">
        <f>SUMPRODUCT(Oxides_typical!$C7:$AW7,Factors!$C$12:$AW$12)</f>
        <v>0</v>
      </c>
      <c r="F7" s="20">
        <f>SUMPRODUCT(Oxides_typical!$C7:$AW7,Factors!$C$13:$AW$13)</f>
        <v>0</v>
      </c>
      <c r="G7" s="20">
        <f>SUMPRODUCT(Oxides_typical!$C7:$AW7,Factors!$C$14:$AW$14)</f>
        <v>0</v>
      </c>
      <c r="H7" s="20">
        <f>SUMPRODUCT(Oxides_typical!$C7:$AW7,Factors!$C$15:$AW$15)</f>
        <v>6.7480258155356241</v>
      </c>
      <c r="I7" s="20">
        <f>SUMPRODUCT(Oxides_typical!$C7:$AW7,Factors!$C$16:$AW$16)</f>
        <v>14.453272013793512</v>
      </c>
      <c r="J7" s="20">
        <f>SUMPRODUCT(Oxides_typical!$C7:$AW7,Factors!$C$17:$AW$17)</f>
        <v>0.65829268837308752</v>
      </c>
      <c r="K7" s="20">
        <f>SUMPRODUCT(Oxides_typical!$C7:$AW7,Factors!$C$18:$AW$18)</f>
        <v>0.38594680428741562</v>
      </c>
      <c r="L7" s="20">
        <f>SUMPRODUCT(Oxides_typical!$C7:$AW7,Factors!$C$19:$AW$19)</f>
        <v>7.2184282326087335</v>
      </c>
      <c r="M7" s="20">
        <f>SUMPRODUCT(Oxides_typical!$C7:$AW7,Factors!$C$20:$AW$20)</f>
        <v>0</v>
      </c>
      <c r="N7" s="20">
        <f>SUMPRODUCT(Oxides_typical!$C7:$AW7,Factors!$C$21:$AW$21)</f>
        <v>0</v>
      </c>
      <c r="O7" s="20">
        <f>SUMPRODUCT(Oxides_typical!$C7:$AW7,Factors!$C$22:$AW$22)</f>
        <v>0</v>
      </c>
      <c r="P7" s="20">
        <f>SUMPRODUCT(Oxides_typical!$C7:$AW7,Factors!$C$23:$AW$23)</f>
        <v>0</v>
      </c>
      <c r="Q7" s="20">
        <f>SUMPRODUCT(Oxides_typical!$C7:$AW7,Factors!$C$24:$AW$24)</f>
        <v>0</v>
      </c>
      <c r="R7" s="20">
        <f>SUMPRODUCT(Oxides_typical!$C7:$AW7,Factors!$C$25:$AW$25)</f>
        <v>0</v>
      </c>
      <c r="S7" s="20">
        <f>SUMPRODUCT(Oxides_typical!$C7:$AW7,Factors!$C$26:$AW$26)</f>
        <v>0</v>
      </c>
      <c r="T7" s="20">
        <f>SUMPRODUCT(Oxides_typical!$C7:$AW7,Factors!$C$27:$AW$27)</f>
        <v>0</v>
      </c>
      <c r="U7" s="20">
        <f>SUMPRODUCT(Oxides_typical!$C7:$AW7,Factors!$C$28:$AW$28)</f>
        <v>0</v>
      </c>
      <c r="V7" s="20">
        <f>SUMPRODUCT(Oxides_typical!$C7:$AW7,Factors!$C$29:$AW$29)</f>
        <v>0</v>
      </c>
      <c r="W7" s="20">
        <f>SUMPRODUCT(Oxides_typical!$C7:$AW7,Factors!$C$30:$AW$30)</f>
        <v>0</v>
      </c>
      <c r="X7" s="20">
        <f>SUMPRODUCT(Oxides_typical!$C7:$AW7,Factors!$C$31:$AW$31)</f>
        <v>0</v>
      </c>
      <c r="Y7" s="20">
        <f>SUMPRODUCT(Oxides_typical!$C7:$AW7,Factors!$C$32:$AW$32)</f>
        <v>0</v>
      </c>
      <c r="Z7" s="20">
        <f>SUMPRODUCT(Oxides_typical!$C7:$AW7,Factors!$C$33:$AW$33)</f>
        <v>0.19471773522064945</v>
      </c>
      <c r="AA7" s="20">
        <f>SUMPRODUCT(Oxides_typical!$C7:$AW7,Factors!$C$34:$AW$34)</f>
        <v>0</v>
      </c>
      <c r="AB7" s="20">
        <f>SUMPRODUCT(Oxides_typical!$C7:$AW7,Factors!$C$35:$AW$35)</f>
        <v>0</v>
      </c>
      <c r="AC7" s="20">
        <f>SUMPRODUCT(Oxides_typical!$C7:$AW7,Factors!$C$36:$AW$36)</f>
        <v>0</v>
      </c>
      <c r="AD7" s="20">
        <f>SUMPRODUCT(Oxides_typical!$C7:$AW7,Factors!$C$37:$AW$37)</f>
        <v>0</v>
      </c>
      <c r="AE7" s="20">
        <f>SUMPRODUCT(Oxides_typical!$C7:$AW7,Factors!$C$38:$AW$38)</f>
        <v>0</v>
      </c>
      <c r="AF7" s="20">
        <f>SUMPRODUCT(Oxides_typical!$C7:$AW7,Factors!$C$39:$AW$39)</f>
        <v>3.1497758190694884E-2</v>
      </c>
      <c r="AG7" s="20">
        <f>SUMPRODUCT(Oxides_typical!$C7:$AW7,Factors!$C$40:$AW$40)</f>
        <v>6.1393186673105626</v>
      </c>
      <c r="AH7" s="20">
        <f>SUMPRODUCT(Oxides_typical!$C7:$AW7,Factors!$C$41:$AW$41)</f>
        <v>10.928253140337995</v>
      </c>
      <c r="AI7" s="20">
        <f>SUMPRODUCT(Oxides_typical!$C7:$AW7,Factors!$C$42:$AW$42)</f>
        <v>0.85447177958664489</v>
      </c>
      <c r="AJ7" s="20">
        <f>SUMPRODUCT(Oxides_typical!$C7:$AW7,Factors!$C$43:$AW$43)</f>
        <v>2.6578035609737252</v>
      </c>
      <c r="AK7" s="20">
        <f>SUMPRODUCT(Oxides_typical!$C7:$AW7,Factors!$C$44:$AW$44)</f>
        <v>0.51741670179543864</v>
      </c>
      <c r="AL7" s="20">
        <f>SUMPRODUCT(Oxides_typical!$C7:$AW7,Factors!$C$45:$AW$45)</f>
        <v>0</v>
      </c>
      <c r="AM7" s="20">
        <f>SUMPRODUCT(Oxides_typical!$C7:$AW7,Factors!$C$46:$AW$46)</f>
        <v>5.2055603218785253E-2</v>
      </c>
      <c r="AN7" s="20">
        <f>SUMPRODUCT(Oxides_typical!$C7:$AW7,Factors!$C$47:$AW$47)</f>
        <v>0</v>
      </c>
      <c r="AO7" s="20">
        <f>SUMPRODUCT(Oxides_typical!$C7:$AW7,Factors!$C$48:$AW$48)</f>
        <v>0</v>
      </c>
      <c r="AP7" s="20">
        <f>SUMPRODUCT(Oxides_typical!$C7:$AW7,Factors!$C$49:$AW$49)</f>
        <v>0</v>
      </c>
      <c r="AQ7" s="20">
        <f>SUMPRODUCT(Oxides_typical!$C7:$AW7,Factors!$C$50:$AW$50)</f>
        <v>1.7490451354848828E-2</v>
      </c>
      <c r="AR7" s="20">
        <f>SUMPRODUCT(Oxides_typical!$C7:$AW7,Factors!$C$51:$AW$51)</f>
        <v>0</v>
      </c>
      <c r="AS7" s="20">
        <f>SUMPRODUCT(Oxides_typical!$C7:$AW7,Factors!$C$52:$AW$52)</f>
        <v>0</v>
      </c>
      <c r="AT7" s="20">
        <f>SUMPRODUCT(Oxides_typical!$C7:$AW7,Factors!$C$53:$AW$53)</f>
        <v>0</v>
      </c>
      <c r="AU7" s="20">
        <f>SUMPRODUCT(Oxides_typical!$C7:$AW7,Factors!$C$54:$AW$54)</f>
        <v>0</v>
      </c>
      <c r="AV7" s="18">
        <f t="shared" si="0"/>
        <v>100.36999999999999</v>
      </c>
    </row>
    <row r="8" spans="1:48" x14ac:dyDescent="0.25">
      <c r="A8" s="13" t="s">
        <v>138</v>
      </c>
      <c r="B8" s="20">
        <f>SUMPRODUCT(Oxides_typical!$C8:$AW8,Factors!$C$9:$AW$9)</f>
        <v>37.685648677259579</v>
      </c>
      <c r="C8" s="20">
        <f>SUMPRODUCT(Oxides_typical!$C8:$AW8,Factors!$C$10:$AW$10)</f>
        <v>0.21969525489739195</v>
      </c>
      <c r="D8" s="20">
        <f>SUMPRODUCT(Oxides_typical!$C8:$AW8,Factors!$C$11:$AW$11)</f>
        <v>0</v>
      </c>
      <c r="E8" s="20">
        <f>SUMPRODUCT(Oxides_typical!$C8:$AW8,Factors!$C$12:$AW$12)</f>
        <v>0</v>
      </c>
      <c r="F8" s="20">
        <f>SUMPRODUCT(Oxides_typical!$C8:$AW8,Factors!$C$13:$AW$13)</f>
        <v>0</v>
      </c>
      <c r="G8" s="20">
        <f>SUMPRODUCT(Oxides_typical!$C8:$AW8,Factors!$C$14:$AW$14)</f>
        <v>0</v>
      </c>
      <c r="H8" s="20">
        <f>SUMPRODUCT(Oxides_typical!$C8:$AW8,Factors!$C$15:$AW$15)</f>
        <v>0</v>
      </c>
      <c r="I8" s="20">
        <f>SUMPRODUCT(Oxides_typical!$C8:$AW8,Factors!$C$16:$AW$16)</f>
        <v>7.7730916986804746E-2</v>
      </c>
      <c r="J8" s="20">
        <f>SUMPRODUCT(Oxides_typical!$C8:$AW8,Factors!$C$17:$AW$17)</f>
        <v>4.6467719179276765E-2</v>
      </c>
      <c r="K8" s="20">
        <f>SUMPRODUCT(Oxides_typical!$C8:$AW8,Factors!$C$18:$AW$18)</f>
        <v>0</v>
      </c>
      <c r="L8" s="20">
        <f>SUMPRODUCT(Oxides_typical!$C8:$AW8,Factors!$C$19:$AW$19)</f>
        <v>38.300551384703176</v>
      </c>
      <c r="M8" s="20">
        <f>SUMPRODUCT(Oxides_typical!$C8:$AW8,Factors!$C$20:$AW$20)</f>
        <v>0.26213532267248285</v>
      </c>
      <c r="N8" s="20">
        <f>SUMPRODUCT(Oxides_typical!$C8:$AW8,Factors!$C$21:$AW$21)</f>
        <v>0</v>
      </c>
      <c r="O8" s="20">
        <f>SUMPRODUCT(Oxides_typical!$C8:$AW8,Factors!$C$22:$AW$22)</f>
        <v>0</v>
      </c>
      <c r="P8" s="20">
        <f>SUMPRODUCT(Oxides_typical!$C8:$AW8,Factors!$C$23:$AW$23)</f>
        <v>0.11127933869113804</v>
      </c>
      <c r="Q8" s="20">
        <f>SUMPRODUCT(Oxides_typical!$C8:$AW8,Factors!$C$24:$AW$24)</f>
        <v>0</v>
      </c>
      <c r="R8" s="20">
        <f>SUMPRODUCT(Oxides_typical!$C8:$AW8,Factors!$C$25:$AW$25)</f>
        <v>0</v>
      </c>
      <c r="S8" s="20">
        <f>SUMPRODUCT(Oxides_typical!$C8:$AW8,Factors!$C$26:$AW$26)</f>
        <v>0</v>
      </c>
      <c r="T8" s="20">
        <f>SUMPRODUCT(Oxides_typical!$C8:$AW8,Factors!$C$27:$AW$27)</f>
        <v>0</v>
      </c>
      <c r="U8" s="20">
        <f>SUMPRODUCT(Oxides_typical!$C8:$AW8,Factors!$C$28:$AW$28)</f>
        <v>0</v>
      </c>
      <c r="V8" s="20">
        <f>SUMPRODUCT(Oxides_typical!$C8:$AW8,Factors!$C$29:$AW$29)</f>
        <v>17.932777925432489</v>
      </c>
      <c r="W8" s="20">
        <f>SUMPRODUCT(Oxides_typical!$C8:$AW8,Factors!$C$30:$AW$30)</f>
        <v>0</v>
      </c>
      <c r="X8" s="20">
        <f>SUMPRODUCT(Oxides_typical!$C8:$AW8,Factors!$C$31:$AW$31)</f>
        <v>3.2037173513871371E-2</v>
      </c>
      <c r="Y8" s="20">
        <f>SUMPRODUCT(Oxides_typical!$C8:$AW8,Factors!$C$32:$AW$32)</f>
        <v>0</v>
      </c>
      <c r="Z8" s="20">
        <f>SUMPRODUCT(Oxides_typical!$C8:$AW8,Factors!$C$33:$AW$33)</f>
        <v>5.5953372189841803E-3</v>
      </c>
      <c r="AA8" s="20">
        <f>SUMPRODUCT(Oxides_typical!$C8:$AW8,Factors!$C$34:$AW$34)</f>
        <v>3.54</v>
      </c>
      <c r="AB8" s="20">
        <f>SUMPRODUCT(Oxides_typical!$C8:$AW8,Factors!$C$35:$AW$35)</f>
        <v>0.14000000000000001</v>
      </c>
      <c r="AC8" s="20">
        <f>SUMPRODUCT(Oxides_typical!$C8:$AW8,Factors!$C$36:$AW$36)</f>
        <v>0</v>
      </c>
      <c r="AD8" s="20">
        <f>SUMPRODUCT(Oxides_typical!$C8:$AW8,Factors!$C$37:$AW$37)</f>
        <v>0</v>
      </c>
      <c r="AE8" s="20">
        <f>SUMPRODUCT(Oxides_typical!$C8:$AW8,Factors!$C$38:$AW$38)</f>
        <v>0</v>
      </c>
      <c r="AF8" s="20">
        <f>SUMPRODUCT(Oxides_typical!$C8:$AW8,Factors!$C$39:$AW$39)</f>
        <v>0.12599103276277954</v>
      </c>
      <c r="AG8" s="20">
        <f>SUMPRODUCT(Oxides_typical!$C8:$AW8,Factors!$C$40:$AW$40)</f>
        <v>0.35812692225978282</v>
      </c>
      <c r="AH8" s="20">
        <f>SUMPRODUCT(Oxides_typical!$C8:$AW8,Factors!$C$41:$AW$41)</f>
        <v>0.69155351903701379</v>
      </c>
      <c r="AI8" s="20">
        <f>SUMPRODUCT(Oxides_typical!$C8:$AW8,Factors!$C$42:$AW$42)</f>
        <v>8.5447177958664494E-2</v>
      </c>
      <c r="AJ8" s="20">
        <f>SUMPRODUCT(Oxides_typical!$C8:$AW8,Factors!$C$43:$AW$43)</f>
        <v>0.28292747584559008</v>
      </c>
      <c r="AK8" s="20">
        <f>SUMPRODUCT(Oxides_typical!$C8:$AW8,Factors!$C$44:$AW$44)</f>
        <v>6.0365281876134519E-2</v>
      </c>
      <c r="AL8" s="20">
        <f>SUMPRODUCT(Oxides_typical!$C8:$AW8,Factors!$C$45:$AW$45)</f>
        <v>0</v>
      </c>
      <c r="AM8" s="20">
        <f>SUMPRODUCT(Oxides_typical!$C8:$AW8,Factors!$C$46:$AW$46)</f>
        <v>4.3379669348987716E-2</v>
      </c>
      <c r="AN8" s="20">
        <f>SUMPRODUCT(Oxides_typical!$C8:$AW8,Factors!$C$47:$AW$47)</f>
        <v>0</v>
      </c>
      <c r="AO8" s="20">
        <f>SUMPRODUCT(Oxides_typical!$C8:$AW8,Factors!$C$48:$AW$48)</f>
        <v>2.6139620425901545E-2</v>
      </c>
      <c r="AP8" s="20">
        <f>SUMPRODUCT(Oxides_typical!$C8:$AW8,Factors!$C$49:$AW$49)</f>
        <v>0</v>
      </c>
      <c r="AQ8" s="20">
        <f>SUMPRODUCT(Oxides_typical!$C8:$AW8,Factors!$C$50:$AW$50)</f>
        <v>0</v>
      </c>
      <c r="AR8" s="20">
        <f>SUMPRODUCT(Oxides_typical!$C8:$AW8,Factors!$C$51:$AW$51)</f>
        <v>0</v>
      </c>
      <c r="AS8" s="20">
        <f>SUMPRODUCT(Oxides_typical!$C8:$AW8,Factors!$C$52:$AW$52)</f>
        <v>0</v>
      </c>
      <c r="AT8" s="20">
        <f>SUMPRODUCT(Oxides_typical!$C8:$AW8,Factors!$C$53:$AW$53)</f>
        <v>0</v>
      </c>
      <c r="AU8" s="20">
        <f>SUMPRODUCT(Oxides_typical!$C8:$AW8,Factors!$C$54:$AW$54)</f>
        <v>0</v>
      </c>
      <c r="AV8" s="18">
        <f t="shared" si="0"/>
        <v>100.02784975007006</v>
      </c>
    </row>
    <row r="9" spans="1:48" x14ac:dyDescent="0.25">
      <c r="A9" s="13" t="s">
        <v>140</v>
      </c>
      <c r="B9" s="20">
        <f>SUMPRODUCT(Oxides_typical!$C9:$AW9,Factors!$C$9:$AW$9)</f>
        <v>43.422494355378007</v>
      </c>
      <c r="C9" s="20">
        <f>SUMPRODUCT(Oxides_typical!$C9:$AW9,Factors!$C$10:$AW$10)</f>
        <v>0</v>
      </c>
      <c r="D9" s="20">
        <f>SUMPRODUCT(Oxides_typical!$C9:$AW9,Factors!$C$11:$AW$11)</f>
        <v>0</v>
      </c>
      <c r="E9" s="20">
        <f>SUMPRODUCT(Oxides_typical!$C9:$AW9,Factors!$C$12:$AW$12)</f>
        <v>0</v>
      </c>
      <c r="F9" s="20">
        <f>SUMPRODUCT(Oxides_typical!$C9:$AW9,Factors!$C$13:$AW$13)</f>
        <v>0</v>
      </c>
      <c r="G9" s="20">
        <f>SUMPRODUCT(Oxides_typical!$C9:$AW9,Factors!$C$14:$AW$14)</f>
        <v>0</v>
      </c>
      <c r="H9" s="20">
        <f>SUMPRODUCT(Oxides_typical!$C9:$AW9,Factors!$C$15:$AW$15)</f>
        <v>15.666005030576823</v>
      </c>
      <c r="I9" s="20">
        <f>SUMPRODUCT(Oxides_typical!$C9:$AW9,Factors!$C$16:$AW$16)</f>
        <v>0</v>
      </c>
      <c r="J9" s="20">
        <f>SUMPRODUCT(Oxides_typical!$C9:$AW9,Factors!$C$17:$AW$17)</f>
        <v>0</v>
      </c>
      <c r="K9" s="20">
        <f>SUMPRODUCT(Oxides_typical!$C9:$AW9,Factors!$C$18:$AW$18)</f>
        <v>0</v>
      </c>
      <c r="L9" s="20">
        <f>SUMPRODUCT(Oxides_typical!$C9:$AW9,Factors!$C$19:$AW$19)</f>
        <v>0.33590705636892126</v>
      </c>
      <c r="M9" s="20">
        <f>SUMPRODUCT(Oxides_typical!$C9:$AW9,Factors!$C$20:$AW$20)</f>
        <v>0</v>
      </c>
      <c r="N9" s="20">
        <f>SUMPRODUCT(Oxides_typical!$C9:$AW9,Factors!$C$21:$AW$21)</f>
        <v>0</v>
      </c>
      <c r="O9" s="20">
        <f>SUMPRODUCT(Oxides_typical!$C9:$AW9,Factors!$C$22:$AW$22)</f>
        <v>0</v>
      </c>
      <c r="P9" s="20">
        <f>SUMPRODUCT(Oxides_typical!$C9:$AW9,Factors!$C$23:$AW$23)</f>
        <v>0</v>
      </c>
      <c r="Q9" s="20">
        <f>SUMPRODUCT(Oxides_typical!$C9:$AW9,Factors!$C$24:$AW$24)</f>
        <v>0</v>
      </c>
      <c r="R9" s="20">
        <f>SUMPRODUCT(Oxides_typical!$C9:$AW9,Factors!$C$25:$AW$25)</f>
        <v>0</v>
      </c>
      <c r="S9" s="20">
        <f>SUMPRODUCT(Oxides_typical!$C9:$AW9,Factors!$C$26:$AW$26)</f>
        <v>0</v>
      </c>
      <c r="T9" s="20">
        <f>SUMPRODUCT(Oxides_typical!$C9:$AW9,Factors!$C$27:$AW$27)</f>
        <v>0</v>
      </c>
      <c r="U9" s="20">
        <f>SUMPRODUCT(Oxides_typical!$C9:$AW9,Factors!$C$28:$AW$28)</f>
        <v>0</v>
      </c>
      <c r="V9" s="20">
        <f>SUMPRODUCT(Oxides_typical!$C9:$AW9,Factors!$C$29:$AW$29)</f>
        <v>11.958094795737409</v>
      </c>
      <c r="W9" s="20">
        <f>SUMPRODUCT(Oxides_typical!$C9:$AW9,Factors!$C$30:$AW$30)</f>
        <v>0</v>
      </c>
      <c r="X9" s="20">
        <f>SUMPRODUCT(Oxides_typical!$C9:$AW9,Factors!$C$31:$AW$31)</f>
        <v>0</v>
      </c>
      <c r="Y9" s="20">
        <f>SUMPRODUCT(Oxides_typical!$C9:$AW9,Factors!$C$32:$AW$32)</f>
        <v>0</v>
      </c>
      <c r="Z9" s="20">
        <f>SUMPRODUCT(Oxides_typical!$C9:$AW9,Factors!$C$33:$AW$33)</f>
        <v>1.1705445462114905</v>
      </c>
      <c r="AA9" s="20">
        <f>SUMPRODUCT(Oxides_typical!$C9:$AW9,Factors!$C$34:$AW$34)</f>
        <v>0</v>
      </c>
      <c r="AB9" s="20">
        <f>SUMPRODUCT(Oxides_typical!$C9:$AW9,Factors!$C$35:$AW$35)</f>
        <v>0</v>
      </c>
      <c r="AC9" s="20">
        <f>SUMPRODUCT(Oxides_typical!$C9:$AW9,Factors!$C$36:$AW$36)</f>
        <v>0</v>
      </c>
      <c r="AD9" s="20">
        <f>SUMPRODUCT(Oxides_typical!$C9:$AW9,Factors!$C$37:$AW$37)</f>
        <v>0</v>
      </c>
      <c r="AE9" s="20">
        <f>SUMPRODUCT(Oxides_typical!$C9:$AW9,Factors!$C$38:$AW$38)</f>
        <v>0</v>
      </c>
      <c r="AF9" s="20">
        <f>SUMPRODUCT(Oxides_typical!$C9:$AW9,Factors!$C$39:$AW$39)</f>
        <v>0</v>
      </c>
      <c r="AG9" s="20">
        <f>SUMPRODUCT(Oxides_typical!$C9:$AW9,Factors!$C$40:$AW$40)</f>
        <v>7.4012897267021787</v>
      </c>
      <c r="AH9" s="20">
        <f>SUMPRODUCT(Oxides_typical!$C9:$AW9,Factors!$C$41:$AW$41)</f>
        <v>15.188564325516634</v>
      </c>
      <c r="AI9" s="20">
        <f>SUMPRODUCT(Oxides_typical!$C9:$AW9,Factors!$C$42:$AW$42)</f>
        <v>0</v>
      </c>
      <c r="AJ9" s="20">
        <f>SUMPRODUCT(Oxides_typical!$C9:$AW9,Factors!$C$43:$AW$43)</f>
        <v>3.2408056324131227</v>
      </c>
      <c r="AK9" s="20">
        <f>SUMPRODUCT(Oxides_typical!$C9:$AW9,Factors!$C$44:$AW$44)</f>
        <v>1.2762945310954155</v>
      </c>
      <c r="AL9" s="20">
        <f>SUMPRODUCT(Oxides_typical!$C9:$AW9,Factors!$C$45:$AW$45)</f>
        <v>0</v>
      </c>
      <c r="AM9" s="20">
        <f>SUMPRODUCT(Oxides_typical!$C9:$AW9,Factors!$C$46:$AW$46)</f>
        <v>0</v>
      </c>
      <c r="AN9" s="20">
        <f>SUMPRODUCT(Oxides_typical!$C9:$AW9,Factors!$C$47:$AW$47)</f>
        <v>0</v>
      </c>
      <c r="AO9" s="20">
        <f>SUMPRODUCT(Oxides_typical!$C9:$AW9,Factors!$C$48:$AW$48)</f>
        <v>0</v>
      </c>
      <c r="AP9" s="20">
        <f>SUMPRODUCT(Oxides_typical!$C9:$AW9,Factors!$C$49:$AW$49)</f>
        <v>0</v>
      </c>
      <c r="AQ9" s="20">
        <f>SUMPRODUCT(Oxides_typical!$C9:$AW9,Factors!$C$50:$AW$50)</f>
        <v>0</v>
      </c>
      <c r="AR9" s="20">
        <f>SUMPRODUCT(Oxides_typical!$C9:$AW9,Factors!$C$51:$AW$51)</f>
        <v>0</v>
      </c>
      <c r="AS9" s="20">
        <f>SUMPRODUCT(Oxides_typical!$C9:$AW9,Factors!$C$52:$AW$52)</f>
        <v>0</v>
      </c>
      <c r="AT9" s="20">
        <f>SUMPRODUCT(Oxides_typical!$C9:$AW9,Factors!$C$53:$AW$53)</f>
        <v>0</v>
      </c>
      <c r="AU9" s="20">
        <f>SUMPRODUCT(Oxides_typical!$C9:$AW9,Factors!$C$54:$AW$54)</f>
        <v>0</v>
      </c>
      <c r="AV9" s="18">
        <f t="shared" si="0"/>
        <v>99.660000000000011</v>
      </c>
    </row>
    <row r="10" spans="1:48" x14ac:dyDescent="0.25">
      <c r="A10" s="13" t="s">
        <v>142</v>
      </c>
      <c r="B10" s="20">
        <f>SUMPRODUCT(Oxides_typical!$C10:$AW10,Factors!$C$9:$AW$9)</f>
        <v>18.722815357714069</v>
      </c>
      <c r="C10" s="20">
        <f>SUMPRODUCT(Oxides_typical!$C10:$AW10,Factors!$C$10:$AW$10)</f>
        <v>0.14023101376429273</v>
      </c>
      <c r="D10" s="20">
        <f>SUMPRODUCT(Oxides_typical!$C10:$AW10,Factors!$C$11:$AW$11)</f>
        <v>0</v>
      </c>
      <c r="E10" s="20">
        <f>SUMPRODUCT(Oxides_typical!$C10:$AW10,Factors!$C$12:$AW$12)</f>
        <v>0</v>
      </c>
      <c r="F10" s="20">
        <f>SUMPRODUCT(Oxides_typical!$C10:$AW10,Factors!$C$13:$AW$13)</f>
        <v>0</v>
      </c>
      <c r="G10" s="20">
        <f>SUMPRODUCT(Oxides_typical!$C10:$AW10,Factors!$C$14:$AW$14)</f>
        <v>0</v>
      </c>
      <c r="H10" s="20">
        <f>SUMPRODUCT(Oxides_typical!$C10:$AW10,Factors!$C$15:$AW$15)</f>
        <v>0</v>
      </c>
      <c r="I10" s="20">
        <f>SUMPRODUCT(Oxides_typical!$C10:$AW10,Factors!$C$16:$AW$16)</f>
        <v>0.31092366794721898</v>
      </c>
      <c r="J10" s="20">
        <f>SUMPRODUCT(Oxides_typical!$C10:$AW10,Factors!$C$17:$AW$17)</f>
        <v>0</v>
      </c>
      <c r="K10" s="20">
        <f>SUMPRODUCT(Oxides_typical!$C10:$AW10,Factors!$C$18:$AW$18)</f>
        <v>0</v>
      </c>
      <c r="L10" s="20">
        <f>SUMPRODUCT(Oxides_typical!$C10:$AW10,Factors!$C$19:$AW$19)</f>
        <v>0.57175669169178089</v>
      </c>
      <c r="M10" s="20">
        <f>SUMPRODUCT(Oxides_typical!$C10:$AW10,Factors!$C$20:$AW$20)</f>
        <v>0</v>
      </c>
      <c r="N10" s="20">
        <f>SUMPRODUCT(Oxides_typical!$C10:$AW10,Factors!$C$21:$AW$21)</f>
        <v>0</v>
      </c>
      <c r="O10" s="20">
        <f>SUMPRODUCT(Oxides_typical!$C10:$AW10,Factors!$C$22:$AW$22)</f>
        <v>0</v>
      </c>
      <c r="P10" s="20">
        <f>SUMPRODUCT(Oxides_typical!$C10:$AW10,Factors!$C$23:$AW$23)</f>
        <v>0</v>
      </c>
      <c r="Q10" s="20">
        <f>SUMPRODUCT(Oxides_typical!$C10:$AW10,Factors!$C$24:$AW$24)</f>
        <v>0</v>
      </c>
      <c r="R10" s="20">
        <f>SUMPRODUCT(Oxides_typical!$C10:$AW10,Factors!$C$25:$AW$25)</f>
        <v>0</v>
      </c>
      <c r="S10" s="20">
        <f>SUMPRODUCT(Oxides_typical!$C10:$AW10,Factors!$C$26:$AW$26)</f>
        <v>0</v>
      </c>
      <c r="T10" s="20">
        <f>SUMPRODUCT(Oxides_typical!$C10:$AW10,Factors!$C$27:$AW$27)</f>
        <v>0</v>
      </c>
      <c r="U10" s="20">
        <f>SUMPRODUCT(Oxides_typical!$C10:$AW10,Factors!$C$28:$AW$28)</f>
        <v>0</v>
      </c>
      <c r="V10" s="20">
        <f>SUMPRODUCT(Oxides_typical!$C10:$AW10,Factors!$C$29:$AW$29)</f>
        <v>0</v>
      </c>
      <c r="W10" s="20">
        <f>SUMPRODUCT(Oxides_typical!$C10:$AW10,Factors!$C$30:$AW$30)</f>
        <v>0</v>
      </c>
      <c r="X10" s="20">
        <f>SUMPRODUCT(Oxides_typical!$C10:$AW10,Factors!$C$31:$AW$31)</f>
        <v>0</v>
      </c>
      <c r="Y10" s="20">
        <f>SUMPRODUCT(Oxides_typical!$C10:$AW10,Factors!$C$32:$AW$32)</f>
        <v>0</v>
      </c>
      <c r="Z10" s="20">
        <f>SUMPRODUCT(Oxides_typical!$C10:$AW10,Factors!$C$33:$AW$33)</f>
        <v>5.5953372189841796E-2</v>
      </c>
      <c r="AA10" s="20">
        <f>SUMPRODUCT(Oxides_typical!$C10:$AW10,Factors!$C$34:$AW$34)</f>
        <v>0</v>
      </c>
      <c r="AB10" s="20">
        <f>SUMPRODUCT(Oxides_typical!$C10:$AW10,Factors!$C$35:$AW$35)</f>
        <v>0</v>
      </c>
      <c r="AC10" s="20">
        <f>SUMPRODUCT(Oxides_typical!$C10:$AW10,Factors!$C$36:$AW$36)</f>
        <v>3.5152473699579261</v>
      </c>
      <c r="AD10" s="20">
        <f>SUMPRODUCT(Oxides_typical!$C10:$AW10,Factors!$C$37:$AW$37)</f>
        <v>0</v>
      </c>
      <c r="AE10" s="20">
        <f>SUMPRODUCT(Oxides_typical!$C10:$AW10,Factors!$C$38:$AW$38)</f>
        <v>0</v>
      </c>
      <c r="AF10" s="20">
        <f>SUMPRODUCT(Oxides_typical!$C10:$AW10,Factors!$C$39:$AW$39)</f>
        <v>0.39372197738368608</v>
      </c>
      <c r="AG10" s="20">
        <f>SUMPRODUCT(Oxides_typical!$C10:$AW10,Factors!$C$40:$AW$40)</f>
        <v>1.2790247223563673</v>
      </c>
      <c r="AH10" s="20">
        <f>SUMPRODUCT(Oxides_typical!$C10:$AW10,Factors!$C$41:$AW$41)</f>
        <v>73.267950312002512</v>
      </c>
      <c r="AI10" s="20">
        <f>SUMPRODUCT(Oxides_typical!$C10:$AW10,Factors!$C$42:$AW$42)</f>
        <v>0.25634153387599345</v>
      </c>
      <c r="AJ10" s="20">
        <f>SUMPRODUCT(Oxides_typical!$C10:$AW10,Factors!$C$43:$AW$43)</f>
        <v>1.2860339811163186</v>
      </c>
      <c r="AK10" s="20">
        <f>SUMPRODUCT(Oxides_typical!$C10:$AW10,Factors!$C$44:$AW$44)</f>
        <v>0</v>
      </c>
      <c r="AL10" s="20">
        <f>SUMPRODUCT(Oxides_typical!$C10:$AW10,Factors!$C$45:$AW$45)</f>
        <v>0</v>
      </c>
      <c r="AM10" s="20">
        <f>SUMPRODUCT(Oxides_typical!$C10:$AW10,Factors!$C$46:$AW$46)</f>
        <v>0</v>
      </c>
      <c r="AN10" s="20">
        <f>SUMPRODUCT(Oxides_typical!$C10:$AW10,Factors!$C$47:$AW$47)</f>
        <v>0</v>
      </c>
      <c r="AO10" s="20">
        <f>SUMPRODUCT(Oxides_typical!$C10:$AW10,Factors!$C$48:$AW$48)</f>
        <v>0</v>
      </c>
      <c r="AP10" s="20">
        <f>SUMPRODUCT(Oxides_typical!$C10:$AW10,Factors!$C$49:$AW$49)</f>
        <v>0</v>
      </c>
      <c r="AQ10" s="20">
        <f>SUMPRODUCT(Oxides_typical!$C10:$AW10,Factors!$C$50:$AW$50)</f>
        <v>0</v>
      </c>
      <c r="AR10" s="20">
        <f>SUMPRODUCT(Oxides_typical!$C10:$AW10,Factors!$C$51:$AW$51)</f>
        <v>0</v>
      </c>
      <c r="AS10" s="20">
        <f>SUMPRODUCT(Oxides_typical!$C10:$AW10,Factors!$C$52:$AW$52)</f>
        <v>0</v>
      </c>
      <c r="AT10" s="20">
        <f>SUMPRODUCT(Oxides_typical!$C10:$AW10,Factors!$C$53:$AW$53)</f>
        <v>0</v>
      </c>
      <c r="AU10" s="20">
        <f>SUMPRODUCT(Oxides_typical!$C10:$AW10,Factors!$C$54:$AW$54)</f>
        <v>0</v>
      </c>
      <c r="AV10" s="18">
        <f t="shared" si="0"/>
        <v>99.800000000000011</v>
      </c>
    </row>
    <row r="11" spans="1:48" x14ac:dyDescent="0.25">
      <c r="A11" s="13" t="s">
        <v>144</v>
      </c>
      <c r="B11" s="20">
        <f>SUMPRODUCT(Oxides_typical!$C11:$AW11,Factors!$C$9:$AW$9)</f>
        <v>26.077946468545978</v>
      </c>
      <c r="C11" s="20">
        <f>SUMPRODUCT(Oxides_typical!$C11:$AW11,Factors!$C$10:$AW$10)</f>
        <v>0</v>
      </c>
      <c r="D11" s="20">
        <f>SUMPRODUCT(Oxides_typical!$C11:$AW11,Factors!$C$11:$AW$11)</f>
        <v>2.1756365116133476</v>
      </c>
      <c r="E11" s="20">
        <f>SUMPRODUCT(Oxides_typical!$C11:$AW11,Factors!$C$12:$AW$12)</f>
        <v>2.3986443979159566</v>
      </c>
      <c r="F11" s="20">
        <f>SUMPRODUCT(Oxides_typical!$C11:$AW11,Factors!$C$13:$AW$13)</f>
        <v>0</v>
      </c>
      <c r="G11" s="20">
        <f>SUMPRODUCT(Oxides_typical!$C11:$AW11,Factors!$C$14:$AW$14)</f>
        <v>0</v>
      </c>
      <c r="H11" s="20">
        <f>SUMPRODUCT(Oxides_typical!$C11:$AW11,Factors!$C$15:$AW$15)</f>
        <v>0</v>
      </c>
      <c r="I11" s="20">
        <f>SUMPRODUCT(Oxides_typical!$C11:$AW11,Factors!$C$16:$AW$16)</f>
        <v>0.88613245364957405</v>
      </c>
      <c r="J11" s="20">
        <f>SUMPRODUCT(Oxides_typical!$C11:$AW11,Factors!$C$17:$AW$17)</f>
        <v>6.9701578768915154E-2</v>
      </c>
      <c r="K11" s="20">
        <f>SUMPRODUCT(Oxides_typical!$C11:$AW11,Factors!$C$18:$AW$18)</f>
        <v>6.0304188169908691E-3</v>
      </c>
      <c r="L11" s="20">
        <f>SUMPRODUCT(Oxides_typical!$C11:$AW11,Factors!$C$19:$AW$19)</f>
        <v>11.935420939065926</v>
      </c>
      <c r="M11" s="20">
        <f>SUMPRODUCT(Oxides_typical!$C11:$AW11,Factors!$C$20:$AW$20)</f>
        <v>0.28750325712465868</v>
      </c>
      <c r="N11" s="20">
        <f>SUMPRODUCT(Oxides_typical!$C11:$AW11,Factors!$C$21:$AW$21)</f>
        <v>0</v>
      </c>
      <c r="O11" s="20">
        <f>SUMPRODUCT(Oxides_typical!$C11:$AW11,Factors!$C$22:$AW$22)</f>
        <v>0.2227966971178186</v>
      </c>
      <c r="P11" s="20">
        <f>SUMPRODUCT(Oxides_typical!$C11:$AW11,Factors!$C$23:$AW$23)</f>
        <v>3.8725209864516037</v>
      </c>
      <c r="Q11" s="20">
        <f>SUMPRODUCT(Oxides_typical!$C11:$AW11,Factors!$C$24:$AW$24)</f>
        <v>0</v>
      </c>
      <c r="R11" s="20">
        <f>SUMPRODUCT(Oxides_typical!$C11:$AW11,Factors!$C$25:$AW$25)</f>
        <v>0</v>
      </c>
      <c r="S11" s="20">
        <f>SUMPRODUCT(Oxides_typical!$C11:$AW11,Factors!$C$26:$AW$26)</f>
        <v>42.362393375001048</v>
      </c>
      <c r="T11" s="20">
        <f>SUMPRODUCT(Oxides_typical!$C11:$AW11,Factors!$C$27:$AW$27)</f>
        <v>4.9138265755998153E-2</v>
      </c>
      <c r="U11" s="20">
        <f>SUMPRODUCT(Oxides_typical!$C11:$AW11,Factors!$C$28:$AW$28)</f>
        <v>0</v>
      </c>
      <c r="V11" s="20">
        <f>SUMPRODUCT(Oxides_typical!$C11:$AW11,Factors!$C$29:$AW$29)</f>
        <v>0</v>
      </c>
      <c r="W11" s="20">
        <f>SUMPRODUCT(Oxides_typical!$C11:$AW11,Factors!$C$30:$AW$30)</f>
        <v>0</v>
      </c>
      <c r="X11" s="20">
        <f>SUMPRODUCT(Oxides_typical!$C11:$AW11,Factors!$C$31:$AW$31)</f>
        <v>0</v>
      </c>
      <c r="Y11" s="20">
        <f>SUMPRODUCT(Oxides_typical!$C11:$AW11,Factors!$C$32:$AW$32)</f>
        <v>0</v>
      </c>
      <c r="Z11" s="20">
        <f>SUMPRODUCT(Oxides_typical!$C11:$AW11,Factors!$C$33:$AW$33)</f>
        <v>0</v>
      </c>
      <c r="AA11" s="20">
        <f>SUMPRODUCT(Oxides_typical!$C11:$AW11,Factors!$C$34:$AW$34)</f>
        <v>3.8</v>
      </c>
      <c r="AB11" s="20">
        <f>SUMPRODUCT(Oxides_typical!$C11:$AW11,Factors!$C$35:$AW$35)</f>
        <v>0</v>
      </c>
      <c r="AC11" s="20">
        <f>SUMPRODUCT(Oxides_typical!$C11:$AW11,Factors!$C$36:$AW$36)</f>
        <v>0.94911678988864012</v>
      </c>
      <c r="AD11" s="20">
        <f>SUMPRODUCT(Oxides_typical!$C11:$AW11,Factors!$C$37:$AW$37)</f>
        <v>8.8150069931919012E-2</v>
      </c>
      <c r="AE11" s="20">
        <f>SUMPRODUCT(Oxides_typical!$C11:$AW11,Factors!$C$38:$AW$38)</f>
        <v>0</v>
      </c>
      <c r="AF11" s="20">
        <f>SUMPRODUCT(Oxides_typical!$C11:$AW11,Factors!$C$39:$AW$39)</f>
        <v>0.18898654914416932</v>
      </c>
      <c r="AG11" s="20">
        <f>SUMPRODUCT(Oxides_typical!$C11:$AW11,Factors!$C$40:$AW$40)</f>
        <v>0.51160988894254689</v>
      </c>
      <c r="AH11" s="20">
        <f>SUMPRODUCT(Oxides_typical!$C11:$AW11,Factors!$C$41:$AW$41)</f>
        <v>1.5794740866894759</v>
      </c>
      <c r="AI11" s="20">
        <f>SUMPRODUCT(Oxides_typical!$C11:$AW11,Factors!$C$42:$AW$42)</f>
        <v>0.14526020252972965</v>
      </c>
      <c r="AJ11" s="20">
        <f>SUMPRODUCT(Oxides_typical!$C11:$AW11,Factors!$C$43:$AW$43)</f>
        <v>0.49726647269830981</v>
      </c>
      <c r="AK11" s="20">
        <f>SUMPRODUCT(Oxides_typical!$C11:$AW11,Factors!$C$44:$AW$44)</f>
        <v>8.6236116965906454E-2</v>
      </c>
      <c r="AL11" s="20">
        <f>SUMPRODUCT(Oxides_typical!$C11:$AW11,Factors!$C$45:$AW$45)</f>
        <v>0</v>
      </c>
      <c r="AM11" s="20">
        <f>SUMPRODUCT(Oxides_typical!$C11:$AW11,Factors!$C$46:$AW$46)</f>
        <v>0</v>
      </c>
      <c r="AN11" s="20">
        <f>SUMPRODUCT(Oxides_typical!$C11:$AW11,Factors!$C$47:$AW$47)</f>
        <v>0</v>
      </c>
      <c r="AO11" s="20">
        <f>SUMPRODUCT(Oxides_typical!$C11:$AW11,Factors!$C$48:$AW$48)</f>
        <v>0</v>
      </c>
      <c r="AP11" s="20">
        <f>SUMPRODUCT(Oxides_typical!$C11:$AW11,Factors!$C$49:$AW$49)</f>
        <v>0</v>
      </c>
      <c r="AQ11" s="20">
        <f>SUMPRODUCT(Oxides_typical!$C11:$AW11,Factors!$C$50:$AW$50)</f>
        <v>0</v>
      </c>
      <c r="AR11" s="20">
        <f>SUMPRODUCT(Oxides_typical!$C11:$AW11,Factors!$C$51:$AW$51)</f>
        <v>0</v>
      </c>
      <c r="AS11" s="20">
        <f>SUMPRODUCT(Oxides_typical!$C11:$AW11,Factors!$C$52:$AW$52)</f>
        <v>0</v>
      </c>
      <c r="AT11" s="20">
        <f>SUMPRODUCT(Oxides_typical!$C11:$AW11,Factors!$C$53:$AW$53)</f>
        <v>0</v>
      </c>
      <c r="AU11" s="20">
        <f>SUMPRODUCT(Oxides_typical!$C11:$AW11,Factors!$C$54:$AW$54)</f>
        <v>0</v>
      </c>
      <c r="AV11" s="18">
        <f t="shared" si="0"/>
        <v>98.189965526618508</v>
      </c>
    </row>
    <row r="12" spans="1:48" x14ac:dyDescent="0.25">
      <c r="A12" s="13" t="s">
        <v>146</v>
      </c>
      <c r="B12" s="20">
        <f>SUMPRODUCT(Oxides_typical!$C12:$AW12,Factors!$C$9:$AW$9)</f>
        <v>33.957995633374402</v>
      </c>
      <c r="C12" s="20">
        <f>SUMPRODUCT(Oxides_typical!$C12:$AW12,Factors!$C$10:$AW$10)</f>
        <v>0</v>
      </c>
      <c r="D12" s="20">
        <f>SUMPRODUCT(Oxides_typical!$C12:$AW12,Factors!$C$11:$AW$11)</f>
        <v>0</v>
      </c>
      <c r="E12" s="20">
        <f>SUMPRODUCT(Oxides_typical!$C12:$AW12,Factors!$C$12:$AW$12)</f>
        <v>0</v>
      </c>
      <c r="F12" s="20">
        <f>SUMPRODUCT(Oxides_typical!$C12:$AW12,Factors!$C$13:$AW$13)</f>
        <v>0</v>
      </c>
      <c r="G12" s="20">
        <f>SUMPRODUCT(Oxides_typical!$C12:$AW12,Factors!$C$14:$AW$14)</f>
        <v>0</v>
      </c>
      <c r="H12" s="20">
        <f>SUMPRODUCT(Oxides_typical!$C12:$AW12,Factors!$C$15:$AW$15)</f>
        <v>0</v>
      </c>
      <c r="I12" s="20">
        <f>SUMPRODUCT(Oxides_typical!$C12:$AW12,Factors!$C$16:$AW$16)</f>
        <v>0.14768874227492901</v>
      </c>
      <c r="J12" s="20">
        <f>SUMPRODUCT(Oxides_typical!$C12:$AW12,Factors!$C$17:$AW$17)</f>
        <v>0</v>
      </c>
      <c r="K12" s="20">
        <f>SUMPRODUCT(Oxides_typical!$C12:$AW12,Factors!$C$18:$AW$18)</f>
        <v>0</v>
      </c>
      <c r="L12" s="20">
        <f>SUMPRODUCT(Oxides_typical!$C12:$AW12,Factors!$C$19:$AW$19)</f>
        <v>0.96483941722988031</v>
      </c>
      <c r="M12" s="20">
        <f>SUMPRODUCT(Oxides_typical!$C12:$AW12,Factors!$C$20:$AW$20)</f>
        <v>20.268979627288434</v>
      </c>
      <c r="N12" s="20">
        <f>SUMPRODUCT(Oxides_typical!$C12:$AW12,Factors!$C$21:$AW$21)</f>
        <v>0</v>
      </c>
      <c r="O12" s="20">
        <f>SUMPRODUCT(Oxides_typical!$C12:$AW12,Factors!$C$22:$AW$22)</f>
        <v>0</v>
      </c>
      <c r="P12" s="20">
        <f>SUMPRODUCT(Oxides_typical!$C12:$AW12,Factors!$C$23:$AW$23)</f>
        <v>0</v>
      </c>
      <c r="Q12" s="20">
        <f>SUMPRODUCT(Oxides_typical!$C12:$AW12,Factors!$C$24:$AW$24)</f>
        <v>0</v>
      </c>
      <c r="R12" s="20">
        <f>SUMPRODUCT(Oxides_typical!$C12:$AW12,Factors!$C$25:$AW$25)</f>
        <v>0</v>
      </c>
      <c r="S12" s="20">
        <f>SUMPRODUCT(Oxides_typical!$C12:$AW12,Factors!$C$26:$AW$26)</f>
        <v>0</v>
      </c>
      <c r="T12" s="20">
        <f>SUMPRODUCT(Oxides_typical!$C12:$AW12,Factors!$C$27:$AW$27)</f>
        <v>0</v>
      </c>
      <c r="U12" s="20">
        <f>SUMPRODUCT(Oxides_typical!$C12:$AW12,Factors!$C$28:$AW$28)</f>
        <v>0</v>
      </c>
      <c r="V12" s="20">
        <f>SUMPRODUCT(Oxides_typical!$C12:$AW12,Factors!$C$29:$AW$29)</f>
        <v>0</v>
      </c>
      <c r="W12" s="20">
        <f>SUMPRODUCT(Oxides_typical!$C12:$AW12,Factors!$C$30:$AW$30)</f>
        <v>0</v>
      </c>
      <c r="X12" s="20">
        <f>SUMPRODUCT(Oxides_typical!$C12:$AW12,Factors!$C$31:$AW$31)</f>
        <v>0</v>
      </c>
      <c r="Y12" s="20">
        <f>SUMPRODUCT(Oxides_typical!$C12:$AW12,Factors!$C$32:$AW$32)</f>
        <v>6.3972787384398648</v>
      </c>
      <c r="Z12" s="20">
        <f>SUMPRODUCT(Oxides_typical!$C12:$AW12,Factors!$C$33:$AW$33)</f>
        <v>0.79006161532056607</v>
      </c>
      <c r="AA12" s="20">
        <f>SUMPRODUCT(Oxides_typical!$C12:$AW12,Factors!$C$34:$AW$34)</f>
        <v>0</v>
      </c>
      <c r="AB12" s="20">
        <f>SUMPRODUCT(Oxides_typical!$C12:$AW12,Factors!$C$35:$AW$35)</f>
        <v>0</v>
      </c>
      <c r="AC12" s="20">
        <f>SUMPRODUCT(Oxides_typical!$C12:$AW12,Factors!$C$36:$AW$36)</f>
        <v>0.46577027651942521</v>
      </c>
      <c r="AD12" s="20">
        <f>SUMPRODUCT(Oxides_typical!$C12:$AW12,Factors!$C$37:$AW$37)</f>
        <v>0</v>
      </c>
      <c r="AE12" s="20">
        <f>SUMPRODUCT(Oxides_typical!$C12:$AW12,Factors!$C$38:$AW$38)</f>
        <v>0</v>
      </c>
      <c r="AF12" s="20">
        <f>SUMPRODUCT(Oxides_typical!$C12:$AW12,Factors!$C$39:$AW$39)</f>
        <v>0</v>
      </c>
      <c r="AG12" s="20">
        <f>SUMPRODUCT(Oxides_typical!$C12:$AW12,Factors!$C$40:$AW$40)</f>
        <v>11.153095578947523</v>
      </c>
      <c r="AH12" s="20">
        <f>SUMPRODUCT(Oxides_typical!$C12:$AW12,Factors!$C$41:$AW$41)</f>
        <v>19.978212772180395</v>
      </c>
      <c r="AI12" s="20">
        <f>SUMPRODUCT(Oxides_typical!$C12:$AW12,Factors!$C$42:$AW$42)</f>
        <v>1.6576752523980911</v>
      </c>
      <c r="AJ12" s="20">
        <f>SUMPRODUCT(Oxides_typical!$C12:$AW12,Factors!$C$43:$AW$43)</f>
        <v>4.5868545326482026</v>
      </c>
      <c r="AK12" s="20">
        <f>SUMPRODUCT(Oxides_typical!$C12:$AW12,Factors!$C$44:$AW$44)</f>
        <v>0.25008473920112867</v>
      </c>
      <c r="AL12" s="20">
        <f>SUMPRODUCT(Oxides_typical!$C12:$AW12,Factors!$C$45:$AW$45)</f>
        <v>0</v>
      </c>
      <c r="AM12" s="20">
        <f>SUMPRODUCT(Oxides_typical!$C12:$AW12,Factors!$C$46:$AW$46)</f>
        <v>0.12146307417716562</v>
      </c>
      <c r="AN12" s="20">
        <f>SUMPRODUCT(Oxides_typical!$C12:$AW12,Factors!$C$47:$AW$47)</f>
        <v>0</v>
      </c>
      <c r="AO12" s="20">
        <f>SUMPRODUCT(Oxides_typical!$C12:$AW12,Factors!$C$48:$AW$48)</f>
        <v>0</v>
      </c>
      <c r="AP12" s="20">
        <f>SUMPRODUCT(Oxides_typical!$C12:$AW12,Factors!$C$49:$AW$49)</f>
        <v>0</v>
      </c>
      <c r="AQ12" s="20">
        <f>SUMPRODUCT(Oxides_typical!$C12:$AW12,Factors!$C$50:$AW$50)</f>
        <v>0</v>
      </c>
      <c r="AR12" s="20">
        <f>SUMPRODUCT(Oxides_typical!$C12:$AW12,Factors!$C$51:$AW$51)</f>
        <v>0</v>
      </c>
      <c r="AS12" s="20">
        <f>SUMPRODUCT(Oxides_typical!$C12:$AW12,Factors!$C$52:$AW$52)</f>
        <v>0</v>
      </c>
      <c r="AT12" s="20">
        <f>SUMPRODUCT(Oxides_typical!$C12:$AW12,Factors!$C$53:$AW$53)</f>
        <v>0</v>
      </c>
      <c r="AU12" s="20">
        <f>SUMPRODUCT(Oxides_typical!$C12:$AW12,Factors!$C$54:$AW$54)</f>
        <v>0</v>
      </c>
      <c r="AV12" s="18">
        <f t="shared" si="0"/>
        <v>100.74000000000002</v>
      </c>
    </row>
    <row r="13" spans="1:48" x14ac:dyDescent="0.25">
      <c r="A13" s="13" t="s">
        <v>148</v>
      </c>
      <c r="B13" s="20">
        <f>SUMPRODUCT(Oxides_typical!$C13:$AW13,Factors!$C$9:$AW$9)</f>
        <v>51.853947246292933</v>
      </c>
      <c r="C13" s="20">
        <f>SUMPRODUCT(Oxides_typical!$C13:$AW13,Factors!$C$10:$AW$10)</f>
        <v>28.42015212289666</v>
      </c>
      <c r="D13" s="20">
        <f>SUMPRODUCT(Oxides_typical!$C13:$AW13,Factors!$C$11:$AW$11)</f>
        <v>3.5960934076253677E-2</v>
      </c>
      <c r="E13" s="20">
        <f>SUMPRODUCT(Oxides_typical!$C13:$AW13,Factors!$C$12:$AW$12)</f>
        <v>0</v>
      </c>
      <c r="F13" s="20">
        <f>SUMPRODUCT(Oxides_typical!$C13:$AW13,Factors!$C$13:$AW$13)</f>
        <v>0</v>
      </c>
      <c r="G13" s="20">
        <f>SUMPRODUCT(Oxides_typical!$C13:$AW13,Factors!$C$14:$AW$14)</f>
        <v>0</v>
      </c>
      <c r="H13" s="20">
        <f>SUMPRODUCT(Oxides_typical!$C13:$AW13,Factors!$C$15:$AW$15)</f>
        <v>12.860943319020837</v>
      </c>
      <c r="I13" s="20">
        <f>SUMPRODUCT(Oxides_typical!$C13:$AW13,Factors!$C$16:$AW$16)</f>
        <v>0.53156737868455162</v>
      </c>
      <c r="J13" s="20">
        <f>SUMPRODUCT(Oxides_typical!$C13:$AW13,Factors!$C$17:$AW$17)</f>
        <v>9.2935438358553529E-2</v>
      </c>
      <c r="K13" s="20">
        <f>SUMPRODUCT(Oxides_typical!$C13:$AW13,Factors!$C$18:$AW$18)</f>
        <v>3.0152094084954346E-2</v>
      </c>
      <c r="L13" s="20">
        <f>SUMPRODUCT(Oxides_typical!$C13:$AW13,Factors!$C$19:$AW$19)</f>
        <v>4.2881751876883568E-2</v>
      </c>
      <c r="M13" s="20">
        <f>SUMPRODUCT(Oxides_typical!$C13:$AW13,Factors!$C$20:$AW$20)</f>
        <v>0</v>
      </c>
      <c r="N13" s="20">
        <f>SUMPRODUCT(Oxides_typical!$C13:$AW13,Factors!$C$21:$AW$21)</f>
        <v>0</v>
      </c>
      <c r="O13" s="20">
        <f>SUMPRODUCT(Oxides_typical!$C13:$AW13,Factors!$C$22:$AW$22)</f>
        <v>0</v>
      </c>
      <c r="P13" s="20">
        <f>SUMPRODUCT(Oxides_typical!$C13:$AW13,Factors!$C$23:$AW$23)</f>
        <v>0.10386071611172885</v>
      </c>
      <c r="Q13" s="20">
        <f>SUMPRODUCT(Oxides_typical!$C13:$AW13,Factors!$C$24:$AW$24)</f>
        <v>4.8314805787106829</v>
      </c>
      <c r="R13" s="20">
        <f>SUMPRODUCT(Oxides_typical!$C13:$AW13,Factors!$C$25:$AW$25)</f>
        <v>0</v>
      </c>
      <c r="S13" s="20">
        <f>SUMPRODUCT(Oxides_typical!$C13:$AW13,Factors!$C$26:$AW$26)</f>
        <v>0</v>
      </c>
      <c r="T13" s="20">
        <f>SUMPRODUCT(Oxides_typical!$C13:$AW13,Factors!$C$27:$AW$27)</f>
        <v>0</v>
      </c>
      <c r="U13" s="20">
        <f>SUMPRODUCT(Oxides_typical!$C13:$AW13,Factors!$C$28:$AW$28)</f>
        <v>0</v>
      </c>
      <c r="V13" s="20">
        <f>SUMPRODUCT(Oxides_typical!$C13:$AW13,Factors!$C$29:$AW$29)</f>
        <v>4.3642681736267919E-3</v>
      </c>
      <c r="W13" s="20">
        <f>SUMPRODUCT(Oxides_typical!$C13:$AW13,Factors!$C$30:$AW$30)</f>
        <v>0</v>
      </c>
      <c r="X13" s="20">
        <f>SUMPRODUCT(Oxides_typical!$C13:$AW13,Factors!$C$31:$AW$31)</f>
        <v>0</v>
      </c>
      <c r="Y13" s="20">
        <f>SUMPRODUCT(Oxides_typical!$C13:$AW13,Factors!$C$32:$AW$32)</f>
        <v>0</v>
      </c>
      <c r="Z13" s="20">
        <f>SUMPRODUCT(Oxides_typical!$C13:$AW13,Factors!$C$33:$AW$33)</f>
        <v>0.83930058284762699</v>
      </c>
      <c r="AA13" s="20">
        <f>SUMPRODUCT(Oxides_typical!$C13:$AW13,Factors!$C$34:$AW$34)</f>
        <v>0</v>
      </c>
      <c r="AB13" s="20">
        <f>SUMPRODUCT(Oxides_typical!$C13:$AW13,Factors!$C$35:$AW$35)</f>
        <v>0</v>
      </c>
      <c r="AC13" s="20">
        <f>SUMPRODUCT(Oxides_typical!$C13:$AW13,Factors!$C$36:$AW$36)</f>
        <v>0</v>
      </c>
      <c r="AD13" s="20">
        <f>SUMPRODUCT(Oxides_typical!$C13:$AW13,Factors!$C$37:$AW$37)</f>
        <v>0</v>
      </c>
      <c r="AE13" s="20">
        <f>SUMPRODUCT(Oxides_typical!$C13:$AW13,Factors!$C$38:$AW$38)</f>
        <v>0</v>
      </c>
      <c r="AF13" s="20">
        <f>SUMPRODUCT(Oxides_typical!$C13:$AW13,Factors!$C$39:$AW$39)</f>
        <v>7.7169507567202478E-2</v>
      </c>
      <c r="AG13" s="20">
        <f>SUMPRODUCT(Oxides_typical!$C13:$AW13,Factors!$C$40:$AW$40)</f>
        <v>2.3022445002414613E-3</v>
      </c>
      <c r="AH13" s="20">
        <f>SUMPRODUCT(Oxides_typical!$C13:$AW13,Factors!$C$41:$AW$41)</f>
        <v>5.122618659533435E-4</v>
      </c>
      <c r="AI13" s="20">
        <f>SUMPRODUCT(Oxides_typical!$C13:$AW13,Factors!$C$42:$AW$42)</f>
        <v>8.544717795866449E-4</v>
      </c>
      <c r="AJ13" s="20">
        <f>SUMPRODUCT(Oxides_typical!$C13:$AW13,Factors!$C$43:$AW$43)</f>
        <v>3.8581019433489554E-3</v>
      </c>
      <c r="AK13" s="20">
        <f>SUMPRODUCT(Oxides_typical!$C13:$AW13,Factors!$C$44:$AW$44)</f>
        <v>3.6219169125680708E-3</v>
      </c>
      <c r="AL13" s="20">
        <f>SUMPRODUCT(Oxides_typical!$C13:$AW13,Factors!$C$45:$AW$45)</f>
        <v>1.2954237408538749E-4</v>
      </c>
      <c r="AM13" s="20">
        <f>SUMPRODUCT(Oxides_typical!$C13:$AW13,Factors!$C$46:$AW$46)</f>
        <v>9.0229712245894437E-3</v>
      </c>
      <c r="AN13" s="20">
        <f>SUMPRODUCT(Oxides_typical!$C13:$AW13,Factors!$C$47:$AW$47)</f>
        <v>1.7376121265761681E-3</v>
      </c>
      <c r="AO13" s="20">
        <f>SUMPRODUCT(Oxides_typical!$C13:$AW13,Factors!$C$48:$AW$48)</f>
        <v>8.8003388767201873E-3</v>
      </c>
      <c r="AP13" s="20">
        <f>SUMPRODUCT(Oxides_typical!$C13:$AW13,Factors!$C$49:$AW$49)</f>
        <v>2.0951423454006464E-3</v>
      </c>
      <c r="AQ13" s="20">
        <f>SUMPRODUCT(Oxides_typical!$C13:$AW13,Factors!$C$50:$AW$50)</f>
        <v>6.4714670012940671E-3</v>
      </c>
      <c r="AR13" s="20">
        <f>SUMPRODUCT(Oxides_typical!$C13:$AW13,Factors!$C$51:$AW$51)</f>
        <v>9.6317328652185074E-4</v>
      </c>
      <c r="AS13" s="20">
        <f>SUMPRODUCT(Oxides_typical!$C13:$AW13,Factors!$C$52:$AW$52)</f>
        <v>3.3371869663297699E-3</v>
      </c>
      <c r="AT13" s="20">
        <f>SUMPRODUCT(Oxides_typical!$C13:$AW13,Factors!$C$53:$AW$53)</f>
        <v>5.2763009429282384E-4</v>
      </c>
      <c r="AU13" s="20">
        <f>SUMPRODUCT(Oxides_typical!$C13:$AW13,Factors!$C$54:$AW$54)</f>
        <v>0</v>
      </c>
      <c r="AV13" s="18">
        <f t="shared" si="0"/>
        <v>99.768950000000018</v>
      </c>
    </row>
    <row r="14" spans="1:48" x14ac:dyDescent="0.25">
      <c r="A14" s="13" t="s">
        <v>150</v>
      </c>
      <c r="B14" s="20">
        <f>SUMPRODUCT(Oxides_typical!$C14:$AW14,Factors!$C$9:$AW$9)</f>
        <v>25.504393798226342</v>
      </c>
      <c r="C14" s="20">
        <f>SUMPRODUCT(Oxides_typical!$C14:$AW14,Factors!$C$10:$AW$10)</f>
        <v>8.9280412096599715</v>
      </c>
      <c r="D14" s="20">
        <f>SUMPRODUCT(Oxides_typical!$C14:$AW14,Factors!$C$11:$AW$11)</f>
        <v>0</v>
      </c>
      <c r="E14" s="20">
        <f>SUMPRODUCT(Oxides_typical!$C14:$AW14,Factors!$C$12:$AW$12)</f>
        <v>0</v>
      </c>
      <c r="F14" s="20">
        <f>SUMPRODUCT(Oxides_typical!$C14:$AW14,Factors!$C$13:$AW$13)</f>
        <v>0</v>
      </c>
      <c r="G14" s="20">
        <f>SUMPRODUCT(Oxides_typical!$C14:$AW14,Factors!$C$14:$AW$14)</f>
        <v>0</v>
      </c>
      <c r="H14" s="20">
        <f>SUMPRODUCT(Oxides_typical!$C14:$AW14,Factors!$C$15:$AW$15)</f>
        <v>0</v>
      </c>
      <c r="I14" s="20">
        <f>SUMPRODUCT(Oxides_typical!$C14:$AW14,Factors!$C$16:$AW$16)</f>
        <v>0.13991565057624852</v>
      </c>
      <c r="J14" s="20">
        <f>SUMPRODUCT(Oxides_typical!$C14:$AW14,Factors!$C$17:$AW$17)</f>
        <v>0</v>
      </c>
      <c r="K14" s="20">
        <f>SUMPRODUCT(Oxides_typical!$C14:$AW14,Factors!$C$18:$AW$18)</f>
        <v>0</v>
      </c>
      <c r="L14" s="20">
        <f>SUMPRODUCT(Oxides_typical!$C14:$AW14,Factors!$C$19:$AW$19)</f>
        <v>10.448853540667296</v>
      </c>
      <c r="M14" s="20">
        <f>SUMPRODUCT(Oxides_typical!$C14:$AW14,Factors!$C$20:$AW$20)</f>
        <v>0.33823912602901018</v>
      </c>
      <c r="N14" s="20">
        <f>SUMPRODUCT(Oxides_typical!$C14:$AW14,Factors!$C$21:$AW$21)</f>
        <v>0</v>
      </c>
      <c r="O14" s="20">
        <f>SUMPRODUCT(Oxides_typical!$C14:$AW14,Factors!$C$22:$AW$22)</f>
        <v>0</v>
      </c>
      <c r="P14" s="20">
        <f>SUMPRODUCT(Oxides_typical!$C14:$AW14,Factors!$C$23:$AW$23)</f>
        <v>0.14837245158818407</v>
      </c>
      <c r="Q14" s="20">
        <f>SUMPRODUCT(Oxides_typical!$C14:$AW14,Factors!$C$24:$AW$24)</f>
        <v>0</v>
      </c>
      <c r="R14" s="20">
        <f>SUMPRODUCT(Oxides_typical!$C14:$AW14,Factors!$C$25:$AW$25)</f>
        <v>0</v>
      </c>
      <c r="S14" s="20">
        <f>SUMPRODUCT(Oxides_typical!$C14:$AW14,Factors!$C$26:$AW$26)</f>
        <v>0</v>
      </c>
      <c r="T14" s="20">
        <f>SUMPRODUCT(Oxides_typical!$C14:$AW14,Factors!$C$27:$AW$27)</f>
        <v>0</v>
      </c>
      <c r="U14" s="20">
        <f>SUMPRODUCT(Oxides_typical!$C14:$AW14,Factors!$C$28:$AW$28)</f>
        <v>0</v>
      </c>
      <c r="V14" s="20">
        <f>SUMPRODUCT(Oxides_typical!$C14:$AW14,Factors!$C$29:$AW$29)</f>
        <v>1.9682849463056831</v>
      </c>
      <c r="W14" s="20">
        <f>SUMPRODUCT(Oxides_typical!$C14:$AW14,Factors!$C$30:$AW$30)</f>
        <v>0</v>
      </c>
      <c r="X14" s="20">
        <f>SUMPRODUCT(Oxides_typical!$C14:$AW14,Factors!$C$31:$AW$31)</f>
        <v>0</v>
      </c>
      <c r="Y14" s="20">
        <f>SUMPRODUCT(Oxides_typical!$C14:$AW14,Factors!$C$32:$AW$32)</f>
        <v>0</v>
      </c>
      <c r="Z14" s="20">
        <f>SUMPRODUCT(Oxides_typical!$C14:$AW14,Factors!$C$33:$AW$33)</f>
        <v>5.1477102414654453E-2</v>
      </c>
      <c r="AA14" s="20">
        <f>SUMPRODUCT(Oxides_typical!$C14:$AW14,Factors!$C$34:$AW$34)</f>
        <v>1.45</v>
      </c>
      <c r="AB14" s="20">
        <f>SUMPRODUCT(Oxides_typical!$C14:$AW14,Factors!$C$35:$AW$35)</f>
        <v>0</v>
      </c>
      <c r="AC14" s="20">
        <f>SUMPRODUCT(Oxides_typical!$C14:$AW14,Factors!$C$36:$AW$36)</f>
        <v>2.9528077907646577</v>
      </c>
      <c r="AD14" s="20">
        <f>SUMPRODUCT(Oxides_typical!$C14:$AW14,Factors!$C$37:$AW$37)</f>
        <v>0.14985511888426231</v>
      </c>
      <c r="AE14" s="20">
        <f>SUMPRODUCT(Oxides_typical!$C14:$AW14,Factors!$C$38:$AW$38)</f>
        <v>0</v>
      </c>
      <c r="AF14" s="20">
        <f>SUMPRODUCT(Oxides_typical!$C14:$AW14,Factors!$C$39:$AW$39)</f>
        <v>0.90556054798247787</v>
      </c>
      <c r="AG14" s="20">
        <f>SUMPRODUCT(Oxides_typical!$C14:$AW14,Factors!$C$40:$AW$40)</f>
        <v>10.948451623370504</v>
      </c>
      <c r="AH14" s="20">
        <f>SUMPRODUCT(Oxides_typical!$C14:$AW14,Factors!$C$41:$AW$41)</f>
        <v>23.521357345024356</v>
      </c>
      <c r="AI14" s="20">
        <f>SUMPRODUCT(Oxides_typical!$C14:$AW14,Factors!$C$42:$AW$42)</f>
        <v>2.153268884558345</v>
      </c>
      <c r="AJ14" s="20">
        <f>SUMPRODUCT(Oxides_typical!$C14:$AW14,Factors!$C$43:$AW$43)</f>
        <v>8.2563381587667664</v>
      </c>
      <c r="AK14" s="20">
        <f>SUMPRODUCT(Oxides_typical!$C14:$AW14,Factors!$C$44:$AW$44)</f>
        <v>1.1469403556465558</v>
      </c>
      <c r="AL14" s="20">
        <f>SUMPRODUCT(Oxides_typical!$C14:$AW14,Factors!$C$45:$AW$45)</f>
        <v>0</v>
      </c>
      <c r="AM14" s="20">
        <f>SUMPRODUCT(Oxides_typical!$C14:$AW14,Factors!$C$46:$AW$46)</f>
        <v>0.79818591602137401</v>
      </c>
      <c r="AN14" s="20">
        <f>SUMPRODUCT(Oxides_typical!$C14:$AW14,Factors!$C$47:$AW$47)</f>
        <v>0</v>
      </c>
      <c r="AO14" s="20">
        <f>SUMPRODUCT(Oxides_typical!$C14:$AW14,Factors!$C$48:$AW$48)</f>
        <v>0.20911696340721236</v>
      </c>
      <c r="AP14" s="20">
        <f>SUMPRODUCT(Oxides_typical!$C14:$AW14,Factors!$C$49:$AW$49)</f>
        <v>0</v>
      </c>
      <c r="AQ14" s="20">
        <f>SUMPRODUCT(Oxides_typical!$C14:$AW14,Factors!$C$50:$AW$50)</f>
        <v>0</v>
      </c>
      <c r="AR14" s="20">
        <f>SUMPRODUCT(Oxides_typical!$C14:$AW14,Factors!$C$51:$AW$51)</f>
        <v>0</v>
      </c>
      <c r="AS14" s="20">
        <f>SUMPRODUCT(Oxides_typical!$C14:$AW14,Factors!$C$52:$AW$52)</f>
        <v>0</v>
      </c>
      <c r="AT14" s="20">
        <f>SUMPRODUCT(Oxides_typical!$C14:$AW14,Factors!$C$53:$AW$53)</f>
        <v>0</v>
      </c>
      <c r="AU14" s="20">
        <f>SUMPRODUCT(Oxides_typical!$C14:$AW14,Factors!$C$54:$AW$54)</f>
        <v>0</v>
      </c>
      <c r="AV14" s="18">
        <f t="shared" si="0"/>
        <v>100.01946052989388</v>
      </c>
    </row>
    <row r="15" spans="1:48" x14ac:dyDescent="0.25">
      <c r="A15" s="13" t="s">
        <v>152</v>
      </c>
      <c r="B15" s="20">
        <f>SUMPRODUCT(Oxides_typical!$C15:$AW15,Factors!$C$9:$AW$9)</f>
        <v>41.293915531862737</v>
      </c>
      <c r="C15" s="20">
        <f>SUMPRODUCT(Oxides_typical!$C15:$AW15,Factors!$C$10:$AW$10)</f>
        <v>0</v>
      </c>
      <c r="D15" s="20">
        <f>SUMPRODUCT(Oxides_typical!$C15:$AW15,Factors!$C$11:$AW$11)</f>
        <v>0</v>
      </c>
      <c r="E15" s="20">
        <f>SUMPRODUCT(Oxides_typical!$C15:$AW15,Factors!$C$12:$AW$12)</f>
        <v>0</v>
      </c>
      <c r="F15" s="20">
        <f>SUMPRODUCT(Oxides_typical!$C15:$AW15,Factors!$C$13:$AW$13)</f>
        <v>0</v>
      </c>
      <c r="G15" s="20">
        <f>SUMPRODUCT(Oxides_typical!$C15:$AW15,Factors!$C$14:$AW$14)</f>
        <v>0</v>
      </c>
      <c r="H15" s="20">
        <f>SUMPRODUCT(Oxides_typical!$C15:$AW15,Factors!$C$15:$AW$15)</f>
        <v>0</v>
      </c>
      <c r="I15" s="20">
        <f>SUMPRODUCT(Oxides_typical!$C15:$AW15,Factors!$C$16:$AW$16)</f>
        <v>0</v>
      </c>
      <c r="J15" s="20">
        <f>SUMPRODUCT(Oxides_typical!$C15:$AW15,Factors!$C$17:$AW$17)</f>
        <v>0</v>
      </c>
      <c r="K15" s="20">
        <f>SUMPRODUCT(Oxides_typical!$C15:$AW15,Factors!$C$18:$AW$18)</f>
        <v>0</v>
      </c>
      <c r="L15" s="20">
        <f>SUMPRODUCT(Oxides_typical!$C15:$AW15,Factors!$C$19:$AW$19)</f>
        <v>0.52172798116875008</v>
      </c>
      <c r="M15" s="20">
        <f>SUMPRODUCT(Oxides_typical!$C15:$AW15,Factors!$C$20:$AW$20)</f>
        <v>0</v>
      </c>
      <c r="N15" s="20">
        <f>SUMPRODUCT(Oxides_typical!$C15:$AW15,Factors!$C$21:$AW$21)</f>
        <v>0</v>
      </c>
      <c r="O15" s="20">
        <f>SUMPRODUCT(Oxides_typical!$C15:$AW15,Factors!$C$22:$AW$22)</f>
        <v>0</v>
      </c>
      <c r="P15" s="20">
        <f>SUMPRODUCT(Oxides_typical!$C15:$AW15,Factors!$C$23:$AW$23)</f>
        <v>0</v>
      </c>
      <c r="Q15" s="20">
        <f>SUMPRODUCT(Oxides_typical!$C15:$AW15,Factors!$C$24:$AW$24)</f>
        <v>0</v>
      </c>
      <c r="R15" s="20">
        <f>SUMPRODUCT(Oxides_typical!$C15:$AW15,Factors!$C$25:$AW$25)</f>
        <v>0</v>
      </c>
      <c r="S15" s="20">
        <f>SUMPRODUCT(Oxides_typical!$C15:$AW15,Factors!$C$26:$AW$26)</f>
        <v>0</v>
      </c>
      <c r="T15" s="20">
        <f>SUMPRODUCT(Oxides_typical!$C15:$AW15,Factors!$C$27:$AW$27)</f>
        <v>0</v>
      </c>
      <c r="U15" s="20">
        <f>SUMPRODUCT(Oxides_typical!$C15:$AW15,Factors!$C$28:$AW$28)</f>
        <v>0</v>
      </c>
      <c r="V15" s="20">
        <f>SUMPRODUCT(Oxides_typical!$C15:$AW15,Factors!$C$29:$AW$29)</f>
        <v>13.350296343124356</v>
      </c>
      <c r="W15" s="20">
        <f>SUMPRODUCT(Oxides_typical!$C15:$AW15,Factors!$C$30:$AW$30)</f>
        <v>0</v>
      </c>
      <c r="X15" s="20">
        <f>SUMPRODUCT(Oxides_typical!$C15:$AW15,Factors!$C$31:$AW$31)</f>
        <v>0</v>
      </c>
      <c r="Y15" s="20">
        <f>SUMPRODUCT(Oxides_typical!$C15:$AW15,Factors!$C$32:$AW$32)</f>
        <v>0</v>
      </c>
      <c r="Z15" s="20">
        <f>SUMPRODUCT(Oxides_typical!$C15:$AW15,Factors!$C$33:$AW$33)</f>
        <v>1.7379117402164861</v>
      </c>
      <c r="AA15" s="20">
        <f>SUMPRODUCT(Oxides_typical!$C15:$AW15,Factors!$C$34:$AW$34)</f>
        <v>0</v>
      </c>
      <c r="AB15" s="20">
        <f>SUMPRODUCT(Oxides_typical!$C15:$AW15,Factors!$C$35:$AW$35)</f>
        <v>0</v>
      </c>
      <c r="AC15" s="20">
        <f>SUMPRODUCT(Oxides_typical!$C15:$AW15,Factors!$C$36:$AW$36)</f>
        <v>0</v>
      </c>
      <c r="AD15" s="20">
        <f>SUMPRODUCT(Oxides_typical!$C15:$AW15,Factors!$C$37:$AW$37)</f>
        <v>0</v>
      </c>
      <c r="AE15" s="20">
        <f>SUMPRODUCT(Oxides_typical!$C15:$AW15,Factors!$C$38:$AW$38)</f>
        <v>0</v>
      </c>
      <c r="AF15" s="20">
        <f>SUMPRODUCT(Oxides_typical!$C15:$AW15,Factors!$C$39:$AW$39)</f>
        <v>29.891372522969448</v>
      </c>
      <c r="AG15" s="20">
        <f>SUMPRODUCT(Oxides_typical!$C15:$AW15,Factors!$C$40:$AW$40)</f>
        <v>0.29843910188315237</v>
      </c>
      <c r="AH15" s="20">
        <f>SUMPRODUCT(Oxides_typical!$C15:$AW15,Factors!$C$41:$AW$41)</f>
        <v>0.60617654137812316</v>
      </c>
      <c r="AI15" s="20">
        <f>SUMPRODUCT(Oxides_typical!$C15:$AW15,Factors!$C$42:$AW$42)</f>
        <v>0</v>
      </c>
      <c r="AJ15" s="20">
        <f>SUMPRODUCT(Oxides_typical!$C15:$AW15,Factors!$C$43:$AW$43)</f>
        <v>1.2431661817457746</v>
      </c>
      <c r="AK15" s="20">
        <f>SUMPRODUCT(Oxides_typical!$C15:$AW15,Factors!$C$44:$AW$44)</f>
        <v>0.64677087724429838</v>
      </c>
      <c r="AL15" s="20">
        <f>SUMPRODUCT(Oxides_typical!$C15:$AW15,Factors!$C$45:$AW$45)</f>
        <v>0.12954237408538749</v>
      </c>
      <c r="AM15" s="20">
        <f>SUMPRODUCT(Oxides_typical!$C15:$AW15,Factors!$C$46:$AW$46)</f>
        <v>2.0301685255326247</v>
      </c>
      <c r="AN15" s="20">
        <f>SUMPRODUCT(Oxides_typical!$C15:$AW15,Factors!$C$47:$AW$47)</f>
        <v>0.33883436468235278</v>
      </c>
      <c r="AO15" s="20">
        <f>SUMPRODUCT(Oxides_typical!$C15:$AW15,Factors!$C$48:$AW$48)</f>
        <v>2.8056525923800995</v>
      </c>
      <c r="AP15" s="20">
        <f>SUMPRODUCT(Oxides_typical!$C15:$AW15,Factors!$C$49:$AW$49)</f>
        <v>0.70711054157271824</v>
      </c>
      <c r="AQ15" s="20">
        <f>SUMPRODUCT(Oxides_typical!$C15:$AW15,Factors!$C$50:$AW$50)</f>
        <v>2.1600707423238306</v>
      </c>
      <c r="AR15" s="20">
        <f>SUMPRODUCT(Oxides_typical!$C15:$AW15,Factors!$C$51:$AW$51)</f>
        <v>0.36775707303561572</v>
      </c>
      <c r="AS15" s="20">
        <f>SUMPRODUCT(Oxides_typical!$C15:$AW15,Factors!$C$52:$AW$52)</f>
        <v>1.4929520638843707</v>
      </c>
      <c r="AT15" s="20">
        <f>SUMPRODUCT(Oxides_typical!$C15:$AW15,Factors!$C$53:$AW$53)</f>
        <v>0.37813490090985713</v>
      </c>
      <c r="AU15" s="20">
        <f>SUMPRODUCT(Oxides_typical!$C15:$AW15,Factors!$C$54:$AW$54)</f>
        <v>0</v>
      </c>
      <c r="AV15" s="18">
        <f t="shared" si="0"/>
        <v>99.999999999999986</v>
      </c>
    </row>
    <row r="16" spans="1:48" x14ac:dyDescent="0.25">
      <c r="A16" s="13" t="s">
        <v>154</v>
      </c>
      <c r="B16" s="20">
        <f>SUMPRODUCT(Oxides_typical!$C16:$AW16,Factors!$C$9:$AW$9)</f>
        <v>31.611301223867898</v>
      </c>
      <c r="C16" s="20">
        <f>SUMPRODUCT(Oxides_typical!$C16:$AW16,Factors!$C$10:$AW$10)</f>
        <v>0</v>
      </c>
      <c r="D16" s="20">
        <f>SUMPRODUCT(Oxides_typical!$C16:$AW16,Factors!$C$11:$AW$11)</f>
        <v>0</v>
      </c>
      <c r="E16" s="20">
        <f>SUMPRODUCT(Oxides_typical!$C16:$AW16,Factors!$C$12:$AW$12)</f>
        <v>0</v>
      </c>
      <c r="F16" s="20">
        <f>SUMPRODUCT(Oxides_typical!$C16:$AW16,Factors!$C$13:$AW$13)</f>
        <v>0</v>
      </c>
      <c r="G16" s="20">
        <f>SUMPRODUCT(Oxides_typical!$C16:$AW16,Factors!$C$14:$AW$14)</f>
        <v>0</v>
      </c>
      <c r="H16" s="20">
        <f>SUMPRODUCT(Oxides_typical!$C16:$AW16,Factors!$C$15:$AW$15)</f>
        <v>0</v>
      </c>
      <c r="I16" s="20">
        <f>SUMPRODUCT(Oxides_typical!$C16:$AW16,Factors!$C$16:$AW$16)</f>
        <v>0</v>
      </c>
      <c r="J16" s="20">
        <f>SUMPRODUCT(Oxides_typical!$C16:$AW16,Factors!$C$17:$AW$17)</f>
        <v>0</v>
      </c>
      <c r="K16" s="20">
        <f>SUMPRODUCT(Oxides_typical!$C16:$AW16,Factors!$C$18:$AW$18)</f>
        <v>0</v>
      </c>
      <c r="L16" s="20">
        <f>SUMPRODUCT(Oxides_typical!$C16:$AW16,Factors!$C$19:$AW$19)</f>
        <v>0.55746277439948644</v>
      </c>
      <c r="M16" s="20">
        <f>SUMPRODUCT(Oxides_typical!$C16:$AW16,Factors!$C$20:$AW$20)</f>
        <v>0</v>
      </c>
      <c r="N16" s="20">
        <f>SUMPRODUCT(Oxides_typical!$C16:$AW16,Factors!$C$21:$AW$21)</f>
        <v>0</v>
      </c>
      <c r="O16" s="20">
        <f>SUMPRODUCT(Oxides_typical!$C16:$AW16,Factors!$C$22:$AW$22)</f>
        <v>0</v>
      </c>
      <c r="P16" s="20">
        <f>SUMPRODUCT(Oxides_typical!$C16:$AW16,Factors!$C$23:$AW$23)</f>
        <v>0</v>
      </c>
      <c r="Q16" s="20">
        <f>SUMPRODUCT(Oxides_typical!$C16:$AW16,Factors!$C$24:$AW$24)</f>
        <v>0</v>
      </c>
      <c r="R16" s="20">
        <f>SUMPRODUCT(Oxides_typical!$C16:$AW16,Factors!$C$25:$AW$25)</f>
        <v>0</v>
      </c>
      <c r="S16" s="20">
        <f>SUMPRODUCT(Oxides_typical!$C16:$AW16,Factors!$C$26:$AW$26)</f>
        <v>0</v>
      </c>
      <c r="T16" s="20">
        <f>SUMPRODUCT(Oxides_typical!$C16:$AW16,Factors!$C$27:$AW$27)</f>
        <v>0</v>
      </c>
      <c r="U16" s="20">
        <f>SUMPRODUCT(Oxides_typical!$C16:$AW16,Factors!$C$28:$AW$28)</f>
        <v>0</v>
      </c>
      <c r="V16" s="20">
        <f>SUMPRODUCT(Oxides_typical!$C16:$AW16,Factors!$C$29:$AW$29)</f>
        <v>12.237407958849523</v>
      </c>
      <c r="W16" s="20">
        <f>SUMPRODUCT(Oxides_typical!$C16:$AW16,Factors!$C$30:$AW$30)</f>
        <v>0</v>
      </c>
      <c r="X16" s="20">
        <f>SUMPRODUCT(Oxides_typical!$C16:$AW16,Factors!$C$31:$AW$31)</f>
        <v>0</v>
      </c>
      <c r="Y16" s="20">
        <f>SUMPRODUCT(Oxides_typical!$C16:$AW16,Factors!$C$32:$AW$32)</f>
        <v>0</v>
      </c>
      <c r="Z16" s="20">
        <f>SUMPRODUCT(Oxides_typical!$C16:$AW16,Factors!$C$33:$AW$33)</f>
        <v>0.79677601998334724</v>
      </c>
      <c r="AA16" s="20">
        <f>SUMPRODUCT(Oxides_typical!$C16:$AW16,Factors!$C$34:$AW$34)</f>
        <v>0</v>
      </c>
      <c r="AB16" s="20">
        <f>SUMPRODUCT(Oxides_typical!$C16:$AW16,Factors!$C$35:$AW$35)</f>
        <v>0</v>
      </c>
      <c r="AC16" s="20">
        <f>SUMPRODUCT(Oxides_typical!$C16:$AW16,Factors!$C$36:$AW$36)</f>
        <v>3.2076632250866073</v>
      </c>
      <c r="AD16" s="20">
        <f>SUMPRODUCT(Oxides_typical!$C16:$AW16,Factors!$C$37:$AW$37)</f>
        <v>0</v>
      </c>
      <c r="AE16" s="20">
        <f>SUMPRODUCT(Oxides_typical!$C16:$AW16,Factors!$C$38:$AW$38)</f>
        <v>0</v>
      </c>
      <c r="AF16" s="20">
        <f>SUMPRODUCT(Oxides_typical!$C16:$AW16,Factors!$C$39:$AW$39)</f>
        <v>0.3543497796453175</v>
      </c>
      <c r="AG16" s="20">
        <f>SUMPRODUCT(Oxides_typical!$C16:$AW16,Factors!$C$40:$AW$40)</f>
        <v>12.073993379044108</v>
      </c>
      <c r="AH16" s="20">
        <f>SUMPRODUCT(Oxides_typical!$C16:$AW16,Factors!$C$41:$AW$41)</f>
        <v>26.02290279042985</v>
      </c>
      <c r="AI16" s="20">
        <f>SUMPRODUCT(Oxides_typical!$C16:$AW16,Factors!$C$42:$AW$42)</f>
        <v>2.7855780014524623</v>
      </c>
      <c r="AJ16" s="20">
        <f>SUMPRODUCT(Oxides_typical!$C16:$AW16,Factors!$C$43:$AW$43)</f>
        <v>8.547839194486464</v>
      </c>
      <c r="AK16" s="20">
        <f>SUMPRODUCT(Oxides_typical!$C16:$AW16,Factors!$C$44:$AW$44)</f>
        <v>1.190058414129509</v>
      </c>
      <c r="AL16" s="20">
        <f>SUMPRODUCT(Oxides_typical!$C16:$AW16,Factors!$C$45:$AW$45)</f>
        <v>0</v>
      </c>
      <c r="AM16" s="20">
        <f>SUMPRODUCT(Oxides_typical!$C16:$AW16,Factors!$C$46:$AW$46)</f>
        <v>0.62466723862542306</v>
      </c>
      <c r="AN16" s="20">
        <f>SUMPRODUCT(Oxides_typical!$C16:$AW16,Factors!$C$47:$AW$47)</f>
        <v>0</v>
      </c>
      <c r="AO16" s="20">
        <f>SUMPRODUCT(Oxides_typical!$C16:$AW16,Factors!$C$48:$AW$48)</f>
        <v>0</v>
      </c>
      <c r="AP16" s="20">
        <f>SUMPRODUCT(Oxides_typical!$C16:$AW16,Factors!$C$49:$AW$49)</f>
        <v>0</v>
      </c>
      <c r="AQ16" s="20">
        <f>SUMPRODUCT(Oxides_typical!$C16:$AW16,Factors!$C$50:$AW$50)</f>
        <v>0</v>
      </c>
      <c r="AR16" s="20">
        <f>SUMPRODUCT(Oxides_typical!$C16:$AW16,Factors!$C$51:$AW$51)</f>
        <v>0</v>
      </c>
      <c r="AS16" s="20">
        <f>SUMPRODUCT(Oxides_typical!$C16:$AW16,Factors!$C$52:$AW$52)</f>
        <v>0</v>
      </c>
      <c r="AT16" s="20">
        <f>SUMPRODUCT(Oxides_typical!$C16:$AW16,Factors!$C$53:$AW$53)</f>
        <v>0</v>
      </c>
      <c r="AU16" s="20">
        <f>SUMPRODUCT(Oxides_typical!$C16:$AW16,Factors!$C$54:$AW$54)</f>
        <v>0</v>
      </c>
      <c r="AV16" s="18">
        <f t="shared" si="0"/>
        <v>100.00999999999999</v>
      </c>
    </row>
    <row r="17" spans="1:48" x14ac:dyDescent="0.25">
      <c r="A17" s="13" t="s">
        <v>156</v>
      </c>
      <c r="B17" s="20">
        <f>SUMPRODUCT(Oxides_typical!$C17:$AW17,Factors!$C$9:$AW$9)</f>
        <v>-2.4583592313773571E-2</v>
      </c>
      <c r="C17" s="20">
        <f>SUMPRODUCT(Oxides_typical!$C17:$AW17,Factors!$C$10:$AW$10)</f>
        <v>0</v>
      </c>
      <c r="D17" s="20">
        <f>SUMPRODUCT(Oxides_typical!$C17:$AW17,Factors!$C$11:$AW$11)</f>
        <v>0</v>
      </c>
      <c r="E17" s="20">
        <f>SUMPRODUCT(Oxides_typical!$C17:$AW17,Factors!$C$12:$AW$12)</f>
        <v>0</v>
      </c>
      <c r="F17" s="20">
        <f>SUMPRODUCT(Oxides_typical!$C17:$AW17,Factors!$C$13:$AW$13)</f>
        <v>0</v>
      </c>
      <c r="G17" s="20">
        <f>SUMPRODUCT(Oxides_typical!$C17:$AW17,Factors!$C$14:$AW$14)</f>
        <v>0</v>
      </c>
      <c r="H17" s="20">
        <f>SUMPRODUCT(Oxides_typical!$C17:$AW17,Factors!$C$15:$AW$15)</f>
        <v>0</v>
      </c>
      <c r="I17" s="20">
        <f>SUMPRODUCT(Oxides_typical!$C17:$AW17,Factors!$C$16:$AW$16)</f>
        <v>0</v>
      </c>
      <c r="J17" s="20">
        <f>SUMPRODUCT(Oxides_typical!$C17:$AW17,Factors!$C$17:$AW$17)</f>
        <v>0</v>
      </c>
      <c r="K17" s="20">
        <f>SUMPRODUCT(Oxides_typical!$C17:$AW17,Factors!$C$18:$AW$18)</f>
        <v>0</v>
      </c>
      <c r="L17" s="20">
        <f>SUMPRODUCT(Oxides_typical!$C17:$AW17,Factors!$C$19:$AW$19)</f>
        <v>0</v>
      </c>
      <c r="M17" s="20">
        <f>SUMPRODUCT(Oxides_typical!$C17:$AW17,Factors!$C$20:$AW$20)</f>
        <v>0</v>
      </c>
      <c r="N17" s="20">
        <f>SUMPRODUCT(Oxides_typical!$C17:$AW17,Factors!$C$21:$AW$21)</f>
        <v>0</v>
      </c>
      <c r="O17" s="20">
        <f>SUMPRODUCT(Oxides_typical!$C17:$AW17,Factors!$C$22:$AW$22)</f>
        <v>0</v>
      </c>
      <c r="P17" s="20">
        <f>SUMPRODUCT(Oxides_typical!$C17:$AW17,Factors!$C$23:$AW$23)</f>
        <v>0</v>
      </c>
      <c r="Q17" s="20">
        <f>SUMPRODUCT(Oxides_typical!$C17:$AW17,Factors!$C$24:$AW$24)</f>
        <v>0</v>
      </c>
      <c r="R17" s="20">
        <f>SUMPRODUCT(Oxides_typical!$C17:$AW17,Factors!$C$25:$AW$25)</f>
        <v>0</v>
      </c>
      <c r="S17" s="20">
        <f>SUMPRODUCT(Oxides_typical!$C17:$AW17,Factors!$C$26:$AW$26)</f>
        <v>0</v>
      </c>
      <c r="T17" s="20">
        <f>SUMPRODUCT(Oxides_typical!$C17:$AW17,Factors!$C$27:$AW$27)</f>
        <v>0</v>
      </c>
      <c r="U17" s="20">
        <f>SUMPRODUCT(Oxides_typical!$C17:$AW17,Factors!$C$28:$AW$28)</f>
        <v>0</v>
      </c>
      <c r="V17" s="20">
        <f>SUMPRODUCT(Oxides_typical!$C17:$AW17,Factors!$C$29:$AW$29)</f>
        <v>0</v>
      </c>
      <c r="W17" s="20">
        <f>SUMPRODUCT(Oxides_typical!$C17:$AW17,Factors!$C$30:$AW$30)</f>
        <v>0</v>
      </c>
      <c r="X17" s="20">
        <f>SUMPRODUCT(Oxides_typical!$C17:$AW17,Factors!$C$31:$AW$31)</f>
        <v>0</v>
      </c>
      <c r="Y17" s="20">
        <f>SUMPRODUCT(Oxides_typical!$C17:$AW17,Factors!$C$32:$AW$32)</f>
        <v>0</v>
      </c>
      <c r="Z17" s="20">
        <f>SUMPRODUCT(Oxides_typical!$C17:$AW17,Factors!$C$33:$AW$33)</f>
        <v>0</v>
      </c>
      <c r="AA17" s="20">
        <f>SUMPRODUCT(Oxides_typical!$C17:$AW17,Factors!$C$34:$AW$34)</f>
        <v>28.92</v>
      </c>
      <c r="AB17" s="20">
        <f>SUMPRODUCT(Oxides_typical!$C17:$AW17,Factors!$C$35:$AW$35)</f>
        <v>0</v>
      </c>
      <c r="AC17" s="20">
        <f>SUMPRODUCT(Oxides_typical!$C17:$AW17,Factors!$C$36:$AW$36)</f>
        <v>0</v>
      </c>
      <c r="AD17" s="20">
        <f>SUMPRODUCT(Oxides_typical!$C17:$AW17,Factors!$C$37:$AW$37)</f>
        <v>0</v>
      </c>
      <c r="AE17" s="20">
        <f>SUMPRODUCT(Oxides_typical!$C17:$AW17,Factors!$C$38:$AW$38)</f>
        <v>0</v>
      </c>
      <c r="AF17" s="20">
        <f>SUMPRODUCT(Oxides_typical!$C17:$AW17,Factors!$C$39:$AW$39)</f>
        <v>0</v>
      </c>
      <c r="AG17" s="20">
        <f>SUMPRODUCT(Oxides_typical!$C17:$AW17,Factors!$C$40:$AW$40)</f>
        <v>19.731088050217558</v>
      </c>
      <c r="AH17" s="20">
        <f>SUMPRODUCT(Oxides_typical!$C17:$AW17,Factors!$C$41:$AW$41)</f>
        <v>39.102655767771886</v>
      </c>
      <c r="AI17" s="20">
        <f>SUMPRODUCT(Oxides_typical!$C17:$AW17,Factors!$C$42:$AW$42)</f>
        <v>3.2213586090416513</v>
      </c>
      <c r="AJ17" s="20">
        <f>SUMPRODUCT(Oxides_typical!$C17:$AW17,Factors!$C$43:$AW$43)</f>
        <v>8.0505727217881553</v>
      </c>
      <c r="AK17" s="20">
        <f>SUMPRODUCT(Oxides_typical!$C17:$AW17,Factors!$C$44:$AW$44)</f>
        <v>0.75887782929997682</v>
      </c>
      <c r="AL17" s="20">
        <f>SUMPRODUCT(Oxides_typical!$C17:$AW17,Factors!$C$45:$AW$45)</f>
        <v>0</v>
      </c>
      <c r="AM17" s="20">
        <f>SUMPRODUCT(Oxides_typical!$C17:$AW17,Factors!$C$46:$AW$46)</f>
        <v>0.24292614835433124</v>
      </c>
      <c r="AN17" s="20">
        <f>SUMPRODUCT(Oxides_typical!$C17:$AW17,Factors!$C$47:$AW$47)</f>
        <v>0</v>
      </c>
      <c r="AO17" s="20">
        <f>SUMPRODUCT(Oxides_typical!$C17:$AW17,Factors!$C$48:$AW$48)</f>
        <v>0</v>
      </c>
      <c r="AP17" s="20">
        <f>SUMPRODUCT(Oxides_typical!$C17:$AW17,Factors!$C$49:$AW$49)</f>
        <v>0</v>
      </c>
      <c r="AQ17" s="20">
        <f>SUMPRODUCT(Oxides_typical!$C17:$AW17,Factors!$C$50:$AW$50)</f>
        <v>0</v>
      </c>
      <c r="AR17" s="20">
        <f>SUMPRODUCT(Oxides_typical!$C17:$AW17,Factors!$C$51:$AW$51)</f>
        <v>0</v>
      </c>
      <c r="AS17" s="20">
        <f>SUMPRODUCT(Oxides_typical!$C17:$AW17,Factors!$C$52:$AW$52)</f>
        <v>0</v>
      </c>
      <c r="AT17" s="20">
        <f>SUMPRODUCT(Oxides_typical!$C17:$AW17,Factors!$C$53:$AW$53)</f>
        <v>0</v>
      </c>
      <c r="AU17" s="20">
        <f>SUMPRODUCT(Oxides_typical!$C17:$AW17,Factors!$C$54:$AW$54)</f>
        <v>0</v>
      </c>
      <c r="AV17" s="18">
        <f t="shared" si="0"/>
        <v>100.00289553415978</v>
      </c>
    </row>
    <row r="18" spans="1:48" x14ac:dyDescent="0.25">
      <c r="A18" s="13" t="s">
        <v>158</v>
      </c>
      <c r="B18" s="20">
        <f>SUMPRODUCT(Oxides_typical!$C18:$AW18,Factors!$C$9:$AW$9)</f>
        <v>27.033748961352813</v>
      </c>
      <c r="C18" s="20">
        <f>SUMPRODUCT(Oxides_typical!$C18:$AW18,Factors!$C$10:$AW$10)</f>
        <v>10.395792487059568</v>
      </c>
      <c r="D18" s="20">
        <f>SUMPRODUCT(Oxides_typical!$C18:$AW18,Factors!$C$11:$AW$11)</f>
        <v>4.7947912101671576E-2</v>
      </c>
      <c r="E18" s="20">
        <f>SUMPRODUCT(Oxides_typical!$C18:$AW18,Factors!$C$12:$AW$12)</f>
        <v>0</v>
      </c>
      <c r="F18" s="20">
        <f>SUMPRODUCT(Oxides_typical!$C18:$AW18,Factors!$C$13:$AW$13)</f>
        <v>0</v>
      </c>
      <c r="G18" s="20">
        <f>SUMPRODUCT(Oxides_typical!$C18:$AW18,Factors!$C$14:$AW$14)</f>
        <v>0</v>
      </c>
      <c r="H18" s="20">
        <f>SUMPRODUCT(Oxides_typical!$C18:$AW18,Factors!$C$15:$AW$15)</f>
        <v>0.60335289644789103</v>
      </c>
      <c r="I18" s="20">
        <f>SUMPRODUCT(Oxides_typical!$C18:$AW18,Factors!$C$16:$AW$16)</f>
        <v>0.6434763005128783</v>
      </c>
      <c r="J18" s="20">
        <f>SUMPRODUCT(Oxides_typical!$C18:$AW18,Factors!$C$17:$AW$17)</f>
        <v>0.15489239726425591</v>
      </c>
      <c r="K18" s="20">
        <f>SUMPRODUCT(Oxides_typical!$C18:$AW18,Factors!$C$18:$AW$18)</f>
        <v>1.1457795752282651</v>
      </c>
      <c r="L18" s="20">
        <f>SUMPRODUCT(Oxides_typical!$C18:$AW18,Factors!$C$19:$AW$19)</f>
        <v>3.2018374734739732</v>
      </c>
      <c r="M18" s="20">
        <f>SUMPRODUCT(Oxides_typical!$C18:$AW18,Factors!$C$20:$AW$20)</f>
        <v>0</v>
      </c>
      <c r="N18" s="20">
        <f>SUMPRODUCT(Oxides_typical!$C18:$AW18,Factors!$C$21:$AW$21)</f>
        <v>0.40304416732974185</v>
      </c>
      <c r="O18" s="20">
        <f>SUMPRODUCT(Oxides_typical!$C18:$AW18,Factors!$C$22:$AW$22)</f>
        <v>0</v>
      </c>
      <c r="P18" s="20">
        <f>SUMPRODUCT(Oxides_typical!$C18:$AW18,Factors!$C$23:$AW$23)</f>
        <v>0.17804694190582088</v>
      </c>
      <c r="Q18" s="20">
        <f>SUMPRODUCT(Oxides_typical!$C18:$AW18,Factors!$C$24:$AW$24)</f>
        <v>0.13282420834943459</v>
      </c>
      <c r="R18" s="20">
        <f>SUMPRODUCT(Oxides_typical!$C18:$AW18,Factors!$C$25:$AW$25)</f>
        <v>0</v>
      </c>
      <c r="S18" s="20">
        <f>SUMPRODUCT(Oxides_typical!$C18:$AW18,Factors!$C$26:$AW$26)</f>
        <v>0</v>
      </c>
      <c r="T18" s="20">
        <f>SUMPRODUCT(Oxides_typical!$C18:$AW18,Factors!$C$27:$AW$27)</f>
        <v>0</v>
      </c>
      <c r="U18" s="20">
        <f>SUMPRODUCT(Oxides_typical!$C18:$AW18,Factors!$C$28:$AW$28)</f>
        <v>0</v>
      </c>
      <c r="V18" s="20">
        <f>SUMPRODUCT(Oxides_typical!$C18:$AW18,Factors!$C$29:$AW$29)</f>
        <v>0</v>
      </c>
      <c r="W18" s="20">
        <f>SUMPRODUCT(Oxides_typical!$C18:$AW18,Factors!$C$30:$AW$30)</f>
        <v>0</v>
      </c>
      <c r="X18" s="20">
        <f>SUMPRODUCT(Oxides_typical!$C18:$AW18,Factors!$C$31:$AW$31)</f>
        <v>5.6065053649274901E-2</v>
      </c>
      <c r="Y18" s="20">
        <f>SUMPRODUCT(Oxides_typical!$C18:$AW18,Factors!$C$32:$AW$32)</f>
        <v>0</v>
      </c>
      <c r="Z18" s="20">
        <f>SUMPRODUCT(Oxides_typical!$C18:$AW18,Factors!$C$33:$AW$33)</f>
        <v>0.3234104912572856</v>
      </c>
      <c r="AA18" s="20">
        <f>SUMPRODUCT(Oxides_typical!$C18:$AW18,Factors!$C$34:$AW$34)</f>
        <v>7.0000000000000007E-2</v>
      </c>
      <c r="AB18" s="20">
        <f>SUMPRODUCT(Oxides_typical!$C18:$AW18,Factors!$C$35:$AW$35)</f>
        <v>0</v>
      </c>
      <c r="AC18" s="20">
        <f>SUMPRODUCT(Oxides_typical!$C18:$AW18,Factors!$C$36:$AW$36)</f>
        <v>0</v>
      </c>
      <c r="AD18" s="20">
        <f>SUMPRODUCT(Oxides_typical!$C18:$AW18,Factors!$C$37:$AW$37)</f>
        <v>0</v>
      </c>
      <c r="AE18" s="20">
        <f>SUMPRODUCT(Oxides_typical!$C18:$AW18,Factors!$C$38:$AW$38)</f>
        <v>0</v>
      </c>
      <c r="AF18" s="20">
        <f>SUMPRODUCT(Oxides_typical!$C18:$AW18,Factors!$C$39:$AW$39)</f>
        <v>0</v>
      </c>
      <c r="AG18" s="20">
        <f>SUMPRODUCT(Oxides_typical!$C18:$AW18,Factors!$C$40:$AW$40)</f>
        <v>17.317994740705213</v>
      </c>
      <c r="AH18" s="20">
        <f>SUMPRODUCT(Oxides_typical!$C18:$AW18,Factors!$C$41:$AW$41)</f>
        <v>29.924630669441147</v>
      </c>
      <c r="AI18" s="20">
        <f>SUMPRODUCT(Oxides_typical!$C18:$AW18,Factors!$C$42:$AW$42)</f>
        <v>2.1020005777831465</v>
      </c>
      <c r="AJ18" s="20">
        <f>SUMPRODUCT(Oxides_typical!$C18:$AW18,Factors!$C$43:$AW$43)</f>
        <v>5.7700057952752166</v>
      </c>
      <c r="AK18" s="20">
        <f>SUMPRODUCT(Oxides_typical!$C18:$AW18,Factors!$C$44:$AW$44)</f>
        <v>0.46567503161589485</v>
      </c>
      <c r="AL18" s="20">
        <f>SUMPRODUCT(Oxides_typical!$C18:$AW18,Factors!$C$45:$AW$45)</f>
        <v>0</v>
      </c>
      <c r="AM18" s="20">
        <f>SUMPRODUCT(Oxides_typical!$C18:$AW18,Factors!$C$46:$AW$46)</f>
        <v>0</v>
      </c>
      <c r="AN18" s="20">
        <f>SUMPRODUCT(Oxides_typical!$C18:$AW18,Factors!$C$47:$AW$47)</f>
        <v>0</v>
      </c>
      <c r="AO18" s="20">
        <f>SUMPRODUCT(Oxides_typical!$C18:$AW18,Factors!$C$48:$AW$48)</f>
        <v>0</v>
      </c>
      <c r="AP18" s="20">
        <f>SUMPRODUCT(Oxides_typical!$C18:$AW18,Factors!$C$49:$AW$49)</f>
        <v>0</v>
      </c>
      <c r="AQ18" s="20">
        <f>SUMPRODUCT(Oxides_typical!$C18:$AW18,Factors!$C$50:$AW$50)</f>
        <v>0</v>
      </c>
      <c r="AR18" s="20">
        <f>SUMPRODUCT(Oxides_typical!$C18:$AW18,Factors!$C$51:$AW$51)</f>
        <v>0</v>
      </c>
      <c r="AS18" s="20">
        <f>SUMPRODUCT(Oxides_typical!$C18:$AW18,Factors!$C$52:$AW$52)</f>
        <v>0</v>
      </c>
      <c r="AT18" s="20">
        <f>SUMPRODUCT(Oxides_typical!$C18:$AW18,Factors!$C$53:$AW$53)</f>
        <v>0</v>
      </c>
      <c r="AU18" s="20">
        <f>SUMPRODUCT(Oxides_typical!$C18:$AW18,Factors!$C$54:$AW$54)</f>
        <v>0</v>
      </c>
      <c r="AV18" s="18">
        <f t="shared" si="0"/>
        <v>99.970525680753468</v>
      </c>
    </row>
    <row r="19" spans="1:48" x14ac:dyDescent="0.25">
      <c r="A19" s="13" t="s">
        <v>160</v>
      </c>
      <c r="B19" s="20">
        <f>SUMPRODUCT(Oxides_typical!$C19:$AW19,Factors!$C$9:$AW$9)</f>
        <v>39.6139067058458</v>
      </c>
      <c r="C19" s="20">
        <f>SUMPRODUCT(Oxides_typical!$C19:$AW19,Factors!$C$10:$AW$10)</f>
        <v>23.348463791754742</v>
      </c>
      <c r="D19" s="20">
        <f>SUMPRODUCT(Oxides_typical!$C19:$AW19,Factors!$C$11:$AW$11)</f>
        <v>0.35960934076253681</v>
      </c>
      <c r="E19" s="20">
        <f>SUMPRODUCT(Oxides_typical!$C19:$AW19,Factors!$C$12:$AW$12)</f>
        <v>10.016561328334227</v>
      </c>
      <c r="F19" s="20">
        <f>SUMPRODUCT(Oxides_typical!$C19:$AW19,Factors!$C$13:$AW$13)</f>
        <v>0.24591473148112958</v>
      </c>
      <c r="G19" s="20">
        <f>SUMPRODUCT(Oxides_typical!$C19:$AW19,Factors!$C$14:$AW$14)</f>
        <v>0</v>
      </c>
      <c r="H19" s="20">
        <f>SUMPRODUCT(Oxides_typical!$C19:$AW19,Factors!$C$15:$AW$15)</f>
        <v>0</v>
      </c>
      <c r="I19" s="20">
        <f>SUMPRODUCT(Oxides_typical!$C19:$AW19,Factors!$C$16:$AW$16)</f>
        <v>3.0237326707867047</v>
      </c>
      <c r="J19" s="20">
        <f>SUMPRODUCT(Oxides_typical!$C19:$AW19,Factors!$C$17:$AW$17)</f>
        <v>1.5411793527793463</v>
      </c>
      <c r="K19" s="20">
        <f>SUMPRODUCT(Oxides_typical!$C19:$AW19,Factors!$C$18:$AW$18)</f>
        <v>0</v>
      </c>
      <c r="L19" s="20">
        <f>SUMPRODUCT(Oxides_typical!$C19:$AW19,Factors!$C$19:$AW$19)</f>
        <v>5.2172798116875008</v>
      </c>
      <c r="M19" s="20">
        <f>SUMPRODUCT(Oxides_typical!$C19:$AW19,Factors!$C$20:$AW$20)</f>
        <v>1.1415570503479093</v>
      </c>
      <c r="N19" s="20">
        <f>SUMPRODUCT(Oxides_typical!$C19:$AW19,Factors!$C$21:$AW$21)</f>
        <v>9.8521907569492459E-2</v>
      </c>
      <c r="O19" s="20">
        <f>SUMPRODUCT(Oxides_typical!$C19:$AW19,Factors!$C$22:$AW$22)</f>
        <v>0</v>
      </c>
      <c r="P19" s="20">
        <f>SUMPRODUCT(Oxides_typical!$C19:$AW19,Factors!$C$23:$AW$23)</f>
        <v>12.003331333484091</v>
      </c>
      <c r="Q19" s="20">
        <f>SUMPRODUCT(Oxides_typical!$C19:$AW19,Factors!$C$24:$AW$24)</f>
        <v>0.31545749482990715</v>
      </c>
      <c r="R19" s="20">
        <f>SUMPRODUCT(Oxides_typical!$C19:$AW19,Factors!$C$25:$AW$25)</f>
        <v>0</v>
      </c>
      <c r="S19" s="20">
        <f>SUMPRODUCT(Oxides_typical!$C19:$AW19,Factors!$C$26:$AW$26)</f>
        <v>0.52428704672031001</v>
      </c>
      <c r="T19" s="20">
        <f>SUMPRODUCT(Oxides_typical!$C19:$AW19,Factors!$C$27:$AW$27)</f>
        <v>0</v>
      </c>
      <c r="U19" s="20">
        <f>SUMPRODUCT(Oxides_typical!$C19:$AW19,Factors!$C$28:$AW$28)</f>
        <v>0</v>
      </c>
      <c r="V19" s="20">
        <f>SUMPRODUCT(Oxides_typical!$C19:$AW19,Factors!$C$29:$AW$29)</f>
        <v>0</v>
      </c>
      <c r="W19" s="20">
        <f>SUMPRODUCT(Oxides_typical!$C19:$AW19,Factors!$C$30:$AW$30)</f>
        <v>0</v>
      </c>
      <c r="X19" s="20">
        <f>SUMPRODUCT(Oxides_typical!$C19:$AW19,Factors!$C$31:$AW$31)</f>
        <v>0.10412081392008195</v>
      </c>
      <c r="Y19" s="20">
        <f>SUMPRODUCT(Oxides_typical!$C19:$AW19,Factors!$C$32:$AW$32)</f>
        <v>0</v>
      </c>
      <c r="Z19" s="20">
        <f>SUMPRODUCT(Oxides_typical!$C19:$AW19,Factors!$C$33:$AW$33)</f>
        <v>0.11190674437968359</v>
      </c>
      <c r="AA19" s="20">
        <f>SUMPRODUCT(Oxides_typical!$C19:$AW19,Factors!$C$34:$AW$34)</f>
        <v>0</v>
      </c>
      <c r="AB19" s="20">
        <f>SUMPRODUCT(Oxides_typical!$C19:$AW19,Factors!$C$35:$AW$35)</f>
        <v>1.4</v>
      </c>
      <c r="AC19" s="20">
        <f>SUMPRODUCT(Oxides_typical!$C19:$AW19,Factors!$C$36:$AW$36)</f>
        <v>0</v>
      </c>
      <c r="AD19" s="20">
        <f>SUMPRODUCT(Oxides_typical!$C19:$AW19,Factors!$C$37:$AW$37)</f>
        <v>0</v>
      </c>
      <c r="AE19" s="20">
        <f>SUMPRODUCT(Oxides_typical!$C19:$AW19,Factors!$C$38:$AW$38)</f>
        <v>0</v>
      </c>
      <c r="AF19" s="20">
        <f>SUMPRODUCT(Oxides_typical!$C19:$AW19,Factors!$C$39:$AW$39)</f>
        <v>0.49608969150344445</v>
      </c>
      <c r="AG19" s="20">
        <f>SUMPRODUCT(Oxides_typical!$C19:$AW19,Factors!$C$40:$AW$40)</f>
        <v>0.28991227040077661</v>
      </c>
      <c r="AH19" s="20">
        <f>SUMPRODUCT(Oxides_typical!$C19:$AW19,Factors!$C$41:$AW$41)</f>
        <v>0.4866487726556763</v>
      </c>
      <c r="AI19" s="20">
        <f>SUMPRODUCT(Oxides_typical!$C19:$AW19,Factors!$C$42:$AW$42)</f>
        <v>0.12817076693799673</v>
      </c>
      <c r="AJ19" s="20">
        <f>SUMPRODUCT(Oxides_typical!$C19:$AW19,Factors!$C$43:$AW$43)</f>
        <v>0.31722171534202526</v>
      </c>
      <c r="AK19" s="20">
        <f>SUMPRODUCT(Oxides_typical!$C19:$AW19,Factors!$C$44:$AW$44)</f>
        <v>7.9337227608633931E-2</v>
      </c>
      <c r="AL19" s="20">
        <f>SUMPRODUCT(Oxides_typical!$C19:$AW19,Factors!$C$45:$AW$45)</f>
        <v>2.2454011508133833E-2</v>
      </c>
      <c r="AM19" s="20">
        <f>SUMPRODUCT(Oxides_typical!$C19:$AW19,Factors!$C$46:$AW$46)</f>
        <v>6.7672284184420839E-2</v>
      </c>
      <c r="AN19" s="20">
        <f>SUMPRODUCT(Oxides_typical!$C19:$AW19,Factors!$C$47:$AW$47)</f>
        <v>1.7376121265761681E-2</v>
      </c>
      <c r="AO19" s="20">
        <f>SUMPRODUCT(Oxides_typical!$C19:$AW19,Factors!$C$48:$AW$48)</f>
        <v>8.9746030128928636E-2</v>
      </c>
      <c r="AP19" s="20">
        <f>SUMPRODUCT(Oxides_typical!$C19:$AW19,Factors!$C$49:$AW$49)</f>
        <v>1.8332495522255656E-2</v>
      </c>
      <c r="AQ19" s="20">
        <f>SUMPRODUCT(Oxides_typical!$C19:$AW19,Factors!$C$50:$AW$50)</f>
        <v>4.8098741225834275E-2</v>
      </c>
      <c r="AR19" s="20">
        <f>SUMPRODUCT(Oxides_typical!$C19:$AW19,Factors!$C$51:$AW$51)</f>
        <v>7.0048966292498233E-3</v>
      </c>
      <c r="AS19" s="20">
        <f>SUMPRODUCT(Oxides_typical!$C19:$AW19,Factors!$C$52:$AW$52)</f>
        <v>4.3910354820128554E-2</v>
      </c>
      <c r="AT19" s="20">
        <f>SUMPRODUCT(Oxides_typical!$C19:$AW19,Factors!$C$53:$AW$53)</f>
        <v>5.2763009429282392E-3</v>
      </c>
      <c r="AU19" s="20">
        <f>SUMPRODUCT(Oxides_typical!$C19:$AW19,Factors!$C$54:$AW$54)</f>
        <v>0</v>
      </c>
      <c r="AV19" s="18">
        <f t="shared" si="0"/>
        <v>101.18308180535966</v>
      </c>
    </row>
    <row r="20" spans="1:48" x14ac:dyDescent="0.25">
      <c r="A20" s="13" t="s">
        <v>162</v>
      </c>
      <c r="B20" s="20">
        <f>SUMPRODUCT(Oxides_typical!$C20:$AW20,Factors!$C$9:$AW$9)</f>
        <v>31.118534356888748</v>
      </c>
      <c r="C20" s="20">
        <f>SUMPRODUCT(Oxides_typical!$C20:$AW20,Factors!$C$10:$AW$10)</f>
        <v>10.919321605112927</v>
      </c>
      <c r="D20" s="20">
        <f>SUMPRODUCT(Oxides_typical!$C20:$AW20,Factors!$C$11:$AW$11)</f>
        <v>0</v>
      </c>
      <c r="E20" s="20">
        <f>SUMPRODUCT(Oxides_typical!$C20:$AW20,Factors!$C$12:$AW$12)</f>
        <v>0</v>
      </c>
      <c r="F20" s="20">
        <f>SUMPRODUCT(Oxides_typical!$C20:$AW20,Factors!$C$13:$AW$13)</f>
        <v>0</v>
      </c>
      <c r="G20" s="20">
        <f>SUMPRODUCT(Oxides_typical!$C20:$AW20,Factors!$C$14:$AW$14)</f>
        <v>0</v>
      </c>
      <c r="H20" s="20">
        <f>SUMPRODUCT(Oxides_typical!$C20:$AW20,Factors!$C$15:$AW$15)</f>
        <v>0</v>
      </c>
      <c r="I20" s="20">
        <f>SUMPRODUCT(Oxides_typical!$C20:$AW20,Factors!$C$16:$AW$16)</f>
        <v>9.3898947720060129</v>
      </c>
      <c r="J20" s="20">
        <f>SUMPRODUCT(Oxides_typical!$C20:$AW20,Factors!$C$17:$AW$17)</f>
        <v>0</v>
      </c>
      <c r="K20" s="20">
        <f>SUMPRODUCT(Oxides_typical!$C20:$AW20,Factors!$C$18:$AW$18)</f>
        <v>0</v>
      </c>
      <c r="L20" s="20">
        <f>SUMPRODUCT(Oxides_typical!$C20:$AW20,Factors!$C$19:$AW$19)</f>
        <v>2.1440875938441784E-2</v>
      </c>
      <c r="M20" s="20">
        <f>SUMPRODUCT(Oxides_typical!$C20:$AW20,Factors!$C$20:$AW$20)</f>
        <v>0</v>
      </c>
      <c r="N20" s="20">
        <f>SUMPRODUCT(Oxides_typical!$C20:$AW20,Factors!$C$21:$AW$21)</f>
        <v>0</v>
      </c>
      <c r="O20" s="20">
        <f>SUMPRODUCT(Oxides_typical!$C20:$AW20,Factors!$C$22:$AW$22)</f>
        <v>0</v>
      </c>
      <c r="P20" s="20">
        <f>SUMPRODUCT(Oxides_typical!$C20:$AW20,Factors!$C$23:$AW$23)</f>
        <v>0</v>
      </c>
      <c r="Q20" s="20">
        <f>SUMPRODUCT(Oxides_typical!$C20:$AW20,Factors!$C$24:$AW$24)</f>
        <v>0</v>
      </c>
      <c r="R20" s="20">
        <f>SUMPRODUCT(Oxides_typical!$C20:$AW20,Factors!$C$25:$AW$25)</f>
        <v>3.4987668336648978</v>
      </c>
      <c r="S20" s="20">
        <f>SUMPRODUCT(Oxides_typical!$C20:$AW20,Factors!$C$26:$AW$26)</f>
        <v>0</v>
      </c>
      <c r="T20" s="20">
        <f>SUMPRODUCT(Oxides_typical!$C20:$AW20,Factors!$C$27:$AW$27)</f>
        <v>0</v>
      </c>
      <c r="U20" s="20">
        <f>SUMPRODUCT(Oxides_typical!$C20:$AW20,Factors!$C$28:$AW$28)</f>
        <v>0</v>
      </c>
      <c r="V20" s="20">
        <f>SUMPRODUCT(Oxides_typical!$C20:$AW20,Factors!$C$29:$AW$29)</f>
        <v>0</v>
      </c>
      <c r="W20" s="20">
        <f>SUMPRODUCT(Oxides_typical!$C20:$AW20,Factors!$C$30:$AW$30)</f>
        <v>0</v>
      </c>
      <c r="X20" s="20">
        <f>SUMPRODUCT(Oxides_typical!$C20:$AW20,Factors!$C$31:$AW$31)</f>
        <v>0</v>
      </c>
      <c r="Y20" s="20">
        <f>SUMPRODUCT(Oxides_typical!$C20:$AW20,Factors!$C$32:$AW$32)</f>
        <v>0</v>
      </c>
      <c r="Z20" s="20">
        <f>SUMPRODUCT(Oxides_typical!$C20:$AW20,Factors!$C$33:$AW$33)</f>
        <v>5.1477102414654453E-2</v>
      </c>
      <c r="AA20" s="20">
        <f>SUMPRODUCT(Oxides_typical!$C20:$AW20,Factors!$C$34:$AW$34)</f>
        <v>0</v>
      </c>
      <c r="AB20" s="20">
        <f>SUMPRODUCT(Oxides_typical!$C20:$AW20,Factors!$C$35:$AW$35)</f>
        <v>0</v>
      </c>
      <c r="AC20" s="20">
        <f>SUMPRODUCT(Oxides_typical!$C20:$AW20,Factors!$C$36:$AW$36)</f>
        <v>0</v>
      </c>
      <c r="AD20" s="20">
        <f>SUMPRODUCT(Oxides_typical!$C20:$AW20,Factors!$C$37:$AW$37)</f>
        <v>0</v>
      </c>
      <c r="AE20" s="20">
        <f>SUMPRODUCT(Oxides_typical!$C20:$AW20,Factors!$C$38:$AW$38)</f>
        <v>0</v>
      </c>
      <c r="AF20" s="20">
        <f>SUMPRODUCT(Oxides_typical!$C20:$AW20,Factors!$C$39:$AW$39)</f>
        <v>22.481524908608478</v>
      </c>
      <c r="AG20" s="20">
        <f>SUMPRODUCT(Oxides_typical!$C20:$AW20,Factors!$C$40:$AW$40)</f>
        <v>0.17906346112989141</v>
      </c>
      <c r="AH20" s="20">
        <f>SUMPRODUCT(Oxides_typical!$C20:$AW20,Factors!$C$41:$AW$41)</f>
        <v>2.168575232535821</v>
      </c>
      <c r="AI20" s="20">
        <f>SUMPRODUCT(Oxides_typical!$C20:$AW20,Factors!$C$42:$AW$42)</f>
        <v>1.0253661355039738</v>
      </c>
      <c r="AJ20" s="20">
        <f>SUMPRODUCT(Oxides_typical!$C20:$AW20,Factors!$C$43:$AW$43)</f>
        <v>3.9009697427194996</v>
      </c>
      <c r="AK20" s="20">
        <f>SUMPRODUCT(Oxides_typical!$C20:$AW20,Factors!$C$44:$AW$44)</f>
        <v>2.4318584984385616</v>
      </c>
      <c r="AL20" s="20">
        <f>SUMPRODUCT(Oxides_typical!$C20:$AW20,Factors!$C$45:$AW$45)</f>
        <v>0.51816949634154996</v>
      </c>
      <c r="AM20" s="20">
        <f>SUMPRODUCT(Oxides_typical!$C20:$AW20,Factors!$C$46:$AW$46)</f>
        <v>2.5420486238506803</v>
      </c>
      <c r="AN20" s="20">
        <f>SUMPRODUCT(Oxides_typical!$C20:$AW20,Factors!$C$47:$AW$47)</f>
        <v>0.95568666961689253</v>
      </c>
      <c r="AO20" s="20">
        <f>SUMPRODUCT(Oxides_typical!$C20:$AW20,Factors!$C$48:$AW$48)</f>
        <v>3.5375619643053424</v>
      </c>
      <c r="AP20" s="20">
        <f>SUMPRODUCT(Oxides_typical!$C20:$AW20,Factors!$C$49:$AW$49)</f>
        <v>1.7284924349555333</v>
      </c>
      <c r="AQ20" s="20">
        <f>SUMPRODUCT(Oxides_typical!$C20:$AW20,Factors!$C$50:$AW$50)</f>
        <v>1.3467647543233598</v>
      </c>
      <c r="AR20" s="20">
        <f>SUMPRODUCT(Oxides_typical!$C20:$AW20,Factors!$C$51:$AW$51)</f>
        <v>0.1751224157312456</v>
      </c>
      <c r="AS20" s="20">
        <f>SUMPRODUCT(Oxides_typical!$C20:$AW20,Factors!$C$52:$AW$52)</f>
        <v>0.50936011591349117</v>
      </c>
      <c r="AT20" s="20">
        <f>SUMPRODUCT(Oxides_typical!$C20:$AW20,Factors!$C$53:$AW$53)</f>
        <v>0</v>
      </c>
      <c r="AU20" s="20">
        <f>SUMPRODUCT(Oxides_typical!$C20:$AW20,Factors!$C$54:$AW$54)</f>
        <v>0</v>
      </c>
      <c r="AV20" s="18">
        <f t="shared" si="0"/>
        <v>98.499999999999986</v>
      </c>
    </row>
    <row r="21" spans="1:48" x14ac:dyDescent="0.25">
      <c r="A21" s="13" t="s">
        <v>164</v>
      </c>
      <c r="B21" s="20">
        <f>SUMPRODUCT(Oxides_typical!$C21:$AW21,Factors!$C$9:$AW$9)</f>
        <v>32.717887361152627</v>
      </c>
      <c r="C21" s="20">
        <f>SUMPRODUCT(Oxides_typical!$C21:$AW21,Factors!$C$10:$AW$10)</f>
        <v>12.382398515387049</v>
      </c>
      <c r="D21" s="20">
        <f>SUMPRODUCT(Oxides_typical!$C21:$AW21,Factors!$C$11:$AW$11)</f>
        <v>0</v>
      </c>
      <c r="E21" s="20">
        <f>SUMPRODUCT(Oxides_typical!$C21:$AW21,Factors!$C$12:$AW$12)</f>
        <v>36.875456006232653</v>
      </c>
      <c r="F21" s="20">
        <f>SUMPRODUCT(Oxides_typical!$C21:$AW21,Factors!$C$13:$AW$13)</f>
        <v>1.5518067538291971</v>
      </c>
      <c r="G21" s="20">
        <f>SUMPRODUCT(Oxides_typical!$C21:$AW21,Factors!$C$14:$AW$14)</f>
        <v>0</v>
      </c>
      <c r="H21" s="20">
        <f>SUMPRODUCT(Oxides_typical!$C21:$AW21,Factors!$C$15:$AW$15)</f>
        <v>5.8218261937954409E-2</v>
      </c>
      <c r="I21" s="20">
        <f>SUMPRODUCT(Oxides_typical!$C21:$AW21,Factors!$C$16:$AW$16)</f>
        <v>7.7730916986804748E-3</v>
      </c>
      <c r="J21" s="20">
        <f>SUMPRODUCT(Oxides_typical!$C21:$AW21,Factors!$C$17:$AW$17)</f>
        <v>2.3233859589638382E-2</v>
      </c>
      <c r="K21" s="20">
        <f>SUMPRODUCT(Oxides_typical!$C21:$AW21,Factors!$C$18:$AW$18)</f>
        <v>0</v>
      </c>
      <c r="L21" s="20">
        <f>SUMPRODUCT(Oxides_typical!$C21:$AW21,Factors!$C$19:$AW$19)</f>
        <v>0.28587834584589045</v>
      </c>
      <c r="M21" s="20">
        <f>SUMPRODUCT(Oxides_typical!$C21:$AW21,Factors!$C$20:$AW$20)</f>
        <v>0</v>
      </c>
      <c r="N21" s="20">
        <f>SUMPRODUCT(Oxides_typical!$C21:$AW21,Factors!$C$21:$AW$21)</f>
        <v>0</v>
      </c>
      <c r="O21" s="20">
        <f>SUMPRODUCT(Oxides_typical!$C21:$AW21,Factors!$C$22:$AW$22)</f>
        <v>0.80763802705209253</v>
      </c>
      <c r="P21" s="20">
        <f>SUMPRODUCT(Oxides_typical!$C21:$AW21,Factors!$C$23:$AW$23)</f>
        <v>0</v>
      </c>
      <c r="Q21" s="20">
        <f>SUMPRODUCT(Oxides_typical!$C21:$AW21,Factors!$C$24:$AW$24)</f>
        <v>0</v>
      </c>
      <c r="R21" s="20">
        <f>SUMPRODUCT(Oxides_typical!$C21:$AW21,Factors!$C$25:$AW$25)</f>
        <v>0</v>
      </c>
      <c r="S21" s="20">
        <f>SUMPRODUCT(Oxides_typical!$C21:$AW21,Factors!$C$26:$AW$26)</f>
        <v>0</v>
      </c>
      <c r="T21" s="20">
        <f>SUMPRODUCT(Oxides_typical!$C21:$AW21,Factors!$C$27:$AW$27)</f>
        <v>0</v>
      </c>
      <c r="U21" s="20">
        <f>SUMPRODUCT(Oxides_typical!$C21:$AW21,Factors!$C$28:$AW$28)</f>
        <v>0</v>
      </c>
      <c r="V21" s="20">
        <f>SUMPRODUCT(Oxides_typical!$C21:$AW21,Factors!$C$29:$AW$29)</f>
        <v>2.3828904228002283</v>
      </c>
      <c r="W21" s="20">
        <f>SUMPRODUCT(Oxides_typical!$C21:$AW21,Factors!$C$30:$AW$30)</f>
        <v>3.2597539599489536E-2</v>
      </c>
      <c r="X21" s="20">
        <f>SUMPRODUCT(Oxides_typical!$C21:$AW21,Factors!$C$31:$AW$31)</f>
        <v>0</v>
      </c>
      <c r="Y21" s="20">
        <f>SUMPRODUCT(Oxides_typical!$C21:$AW21,Factors!$C$32:$AW$32)</f>
        <v>0</v>
      </c>
      <c r="Z21" s="20">
        <f>SUMPRODUCT(Oxides_typical!$C21:$AW21,Factors!$C$33:$AW$33)</f>
        <v>0</v>
      </c>
      <c r="AA21" s="20">
        <f>SUMPRODUCT(Oxides_typical!$C21:$AW21,Factors!$C$34:$AW$34)</f>
        <v>0.28000000000000003</v>
      </c>
      <c r="AB21" s="20">
        <f>SUMPRODUCT(Oxides_typical!$C21:$AW21,Factors!$C$35:$AW$35)</f>
        <v>0</v>
      </c>
      <c r="AC21" s="20">
        <f>SUMPRODUCT(Oxides_typical!$C21:$AW21,Factors!$C$36:$AW$36)</f>
        <v>0.80850689509032303</v>
      </c>
      <c r="AD21" s="20">
        <f>SUMPRODUCT(Oxides_typical!$C21:$AW21,Factors!$C$37:$AW$37)</f>
        <v>2.7238371608962972</v>
      </c>
      <c r="AE21" s="20">
        <f>SUMPRODUCT(Oxides_typical!$C21:$AW21,Factors!$C$38:$AW$38)</f>
        <v>0.27382558864112067</v>
      </c>
      <c r="AF21" s="20">
        <f>SUMPRODUCT(Oxides_typical!$C21:$AW21,Factors!$C$39:$AW$39)</f>
        <v>4.3073184325775253</v>
      </c>
      <c r="AG21" s="20">
        <f>SUMPRODUCT(Oxides_typical!$C21:$AW21,Factors!$C$40:$AW$40)</f>
        <v>1.7053662964751564E-2</v>
      </c>
      <c r="AH21" s="20">
        <f>SUMPRODUCT(Oxides_typical!$C21:$AW21,Factors!$C$41:$AW$41)</f>
        <v>0.30735711957200612</v>
      </c>
      <c r="AI21" s="20">
        <f>SUMPRODUCT(Oxides_typical!$C21:$AW21,Factors!$C$42:$AW$42)</f>
        <v>1.7089435591732899E-2</v>
      </c>
      <c r="AJ21" s="20">
        <f>SUMPRODUCT(Oxides_typical!$C21:$AW21,Factors!$C$43:$AW$43)</f>
        <v>1.7147119748217581E-2</v>
      </c>
      <c r="AK21" s="20">
        <f>SUMPRODUCT(Oxides_typical!$C21:$AW21,Factors!$C$44:$AW$44)</f>
        <v>9.4859728662497103E-2</v>
      </c>
      <c r="AL21" s="20">
        <f>SUMPRODUCT(Oxides_typical!$C21:$AW21,Factors!$C$45:$AW$45)</f>
        <v>0</v>
      </c>
      <c r="AM21" s="20">
        <f>SUMPRODUCT(Oxides_typical!$C21:$AW21,Factors!$C$46:$AW$46)</f>
        <v>0.30365768544291399</v>
      </c>
      <c r="AN21" s="20">
        <f>SUMPRODUCT(Oxides_typical!$C21:$AW21,Factors!$C$47:$AW$47)</f>
        <v>0</v>
      </c>
      <c r="AO21" s="20">
        <f>SUMPRODUCT(Oxides_typical!$C21:$AW21,Factors!$C$48:$AW$48)</f>
        <v>0.70576975149934185</v>
      </c>
      <c r="AP21" s="20">
        <f>SUMPRODUCT(Oxides_typical!$C21:$AW21,Factors!$C$49:$AW$49)</f>
        <v>0</v>
      </c>
      <c r="AQ21" s="20">
        <f>SUMPRODUCT(Oxides_typical!$C21:$AW21,Factors!$C$50:$AW$50)</f>
        <v>0.43726128387122071</v>
      </c>
      <c r="AR21" s="20">
        <f>SUMPRODUCT(Oxides_typical!$C21:$AW21,Factors!$C$51:$AW$51)</f>
        <v>0</v>
      </c>
      <c r="AS21" s="20">
        <f>SUMPRODUCT(Oxides_typical!$C21:$AW21,Factors!$C$52:$AW$52)</f>
        <v>0.68500153519400542</v>
      </c>
      <c r="AT21" s="20">
        <f>SUMPRODUCT(Oxides_typical!$C21:$AW21,Factors!$C$53:$AW$53)</f>
        <v>0</v>
      </c>
      <c r="AU21" s="20">
        <f>SUMPRODUCT(Oxides_typical!$C21:$AW21,Factors!$C$54:$AW$54)</f>
        <v>0.10763913813654369</v>
      </c>
      <c r="AV21" s="18">
        <f t="shared" si="0"/>
        <v>98.212102723013999</v>
      </c>
    </row>
    <row r="22" spans="1:48" x14ac:dyDescent="0.25">
      <c r="A22" s="13" t="s">
        <v>166</v>
      </c>
      <c r="B22" s="20">
        <f>SUMPRODUCT(Oxides_typical!$C22:$AW22,Factors!$C$9:$AW$9)</f>
        <v>27.646074347983859</v>
      </c>
      <c r="C22" s="20">
        <f>SUMPRODUCT(Oxides_typical!$C22:$AW22,Factors!$C$10:$AW$10)</f>
        <v>6.5441139756669944E-2</v>
      </c>
      <c r="D22" s="20">
        <f>SUMPRODUCT(Oxides_typical!$C22:$AW22,Factors!$C$11:$AW$11)</f>
        <v>19.502813247354911</v>
      </c>
      <c r="E22" s="20">
        <f>SUMPRODUCT(Oxides_typical!$C22:$AW22,Factors!$C$12:$AW$12)</f>
        <v>1.4066124555679993</v>
      </c>
      <c r="F22" s="20">
        <f>SUMPRODUCT(Oxides_typical!$C22:$AW22,Factors!$C$13:$AW$13)</f>
        <v>0</v>
      </c>
      <c r="G22" s="20">
        <f>SUMPRODUCT(Oxides_typical!$C22:$AW22,Factors!$C$14:$AW$14)</f>
        <v>0</v>
      </c>
      <c r="H22" s="20">
        <f>SUMPRODUCT(Oxides_typical!$C22:$AW22,Factors!$C$15:$AW$15)</f>
        <v>0</v>
      </c>
      <c r="I22" s="20">
        <f>SUMPRODUCT(Oxides_typical!$C22:$AW22,Factors!$C$16:$AW$16)</f>
        <v>4.3504593360761987</v>
      </c>
      <c r="J22" s="20">
        <f>SUMPRODUCT(Oxides_typical!$C22:$AW22,Factors!$C$17:$AW$17)</f>
        <v>0</v>
      </c>
      <c r="K22" s="20">
        <f>SUMPRODUCT(Oxides_typical!$C22:$AW22,Factors!$C$18:$AW$18)</f>
        <v>0</v>
      </c>
      <c r="L22" s="20">
        <f>SUMPRODUCT(Oxides_typical!$C22:$AW22,Factors!$C$19:$AW$19)</f>
        <v>1.1077785901528254</v>
      </c>
      <c r="M22" s="20">
        <f>SUMPRODUCT(Oxides_typical!$C22:$AW22,Factors!$C$20:$AW$20)</f>
        <v>0</v>
      </c>
      <c r="N22" s="20">
        <f>SUMPRODUCT(Oxides_typical!$C22:$AW22,Factors!$C$21:$AW$21)</f>
        <v>0</v>
      </c>
      <c r="O22" s="20">
        <f>SUMPRODUCT(Oxides_typical!$C22:$AW22,Factors!$C$22:$AW$22)</f>
        <v>0</v>
      </c>
      <c r="P22" s="20">
        <f>SUMPRODUCT(Oxides_typical!$C22:$AW22,Factors!$C$23:$AW$23)</f>
        <v>0</v>
      </c>
      <c r="Q22" s="20">
        <f>SUMPRODUCT(Oxides_typical!$C22:$AW22,Factors!$C$24:$AW$24)</f>
        <v>0</v>
      </c>
      <c r="R22" s="20">
        <f>SUMPRODUCT(Oxides_typical!$C22:$AW22,Factors!$C$25:$AW$25)</f>
        <v>0</v>
      </c>
      <c r="S22" s="20">
        <f>SUMPRODUCT(Oxides_typical!$C22:$AW22,Factors!$C$26:$AW$26)</f>
        <v>7.5846859425538176</v>
      </c>
      <c r="T22" s="20">
        <f>SUMPRODUCT(Oxides_typical!$C22:$AW22,Factors!$C$27:$AW$27)</f>
        <v>6.5517687674664218E-2</v>
      </c>
      <c r="U22" s="20">
        <f>SUMPRODUCT(Oxides_typical!$C22:$AW22,Factors!$C$28:$AW$28)</f>
        <v>0</v>
      </c>
      <c r="V22" s="20">
        <f>SUMPRODUCT(Oxides_typical!$C22:$AW22,Factors!$C$29:$AW$29)</f>
        <v>0</v>
      </c>
      <c r="W22" s="20">
        <f>SUMPRODUCT(Oxides_typical!$C22:$AW22,Factors!$C$30:$AW$30)</f>
        <v>0</v>
      </c>
      <c r="X22" s="20">
        <f>SUMPRODUCT(Oxides_typical!$C22:$AW22,Factors!$C$31:$AW$31)</f>
        <v>0</v>
      </c>
      <c r="Y22" s="20">
        <f>SUMPRODUCT(Oxides_typical!$C22:$AW22,Factors!$C$32:$AW$32)</f>
        <v>0</v>
      </c>
      <c r="Z22" s="20">
        <f>SUMPRODUCT(Oxides_typical!$C22:$AW22,Factors!$C$33:$AW$33)</f>
        <v>0.29543380516236467</v>
      </c>
      <c r="AA22" s="20">
        <f>SUMPRODUCT(Oxides_typical!$C22:$AW22,Factors!$C$34:$AW$34)</f>
        <v>0.34</v>
      </c>
      <c r="AB22" s="20">
        <f>SUMPRODUCT(Oxides_typical!$C22:$AW22,Factors!$C$35:$AW$35)</f>
        <v>0</v>
      </c>
      <c r="AC22" s="20">
        <f>SUMPRODUCT(Oxides_typical!$C22:$AW22,Factors!$C$36:$AW$36)</f>
        <v>0</v>
      </c>
      <c r="AD22" s="20">
        <f>SUMPRODUCT(Oxides_typical!$C22:$AW22,Factors!$C$37:$AW$37)</f>
        <v>0</v>
      </c>
      <c r="AE22" s="20">
        <f>SUMPRODUCT(Oxides_typical!$C22:$AW22,Factors!$C$38:$AW$38)</f>
        <v>0</v>
      </c>
      <c r="AF22" s="20">
        <f>SUMPRODUCT(Oxides_typical!$C22:$AW22,Factors!$C$39:$AW$39)</f>
        <v>2.2835874688253792</v>
      </c>
      <c r="AG22" s="20">
        <f>SUMPRODUCT(Oxides_typical!$C22:$AW22,Factors!$C$40:$AW$40)</f>
        <v>4.6044890004829222</v>
      </c>
      <c r="AH22" s="20">
        <f>SUMPRODUCT(Oxides_typical!$C22:$AW22,Factors!$C$41:$AW$41)</f>
        <v>14.462860015416066</v>
      </c>
      <c r="AI22" s="20">
        <f>SUMPRODUCT(Oxides_typical!$C22:$AW22,Factors!$C$42:$AW$42)</f>
        <v>1.9396509396616839</v>
      </c>
      <c r="AJ22" s="20">
        <f>SUMPRODUCT(Oxides_typical!$C22:$AW22,Factors!$C$43:$AW$43)</f>
        <v>7.570453368838062</v>
      </c>
      <c r="AK22" s="20">
        <f>SUMPRODUCT(Oxides_typical!$C22:$AW22,Factors!$C$44:$AW$44)</f>
        <v>1.6039917755658601</v>
      </c>
      <c r="AL22" s="20">
        <f>SUMPRODUCT(Oxides_typical!$C22:$AW22,Factors!$C$45:$AW$45)</f>
        <v>1.0967921005896142</v>
      </c>
      <c r="AM22" s="20">
        <f>SUMPRODUCT(Oxides_typical!$C22:$AW22,Factors!$C$46:$AW$46)</f>
        <v>1.51828842721457</v>
      </c>
      <c r="AN22" s="20">
        <f>SUMPRODUCT(Oxides_typical!$C22:$AW22,Factors!$C$47:$AW$47)</f>
        <v>0</v>
      </c>
      <c r="AO22" s="20">
        <f>SUMPRODUCT(Oxides_typical!$C22:$AW22,Factors!$C$48:$AW$48)</f>
        <v>0.7319093719252433</v>
      </c>
      <c r="AP22" s="20">
        <f>SUMPRODUCT(Oxides_typical!$C22:$AW22,Factors!$C$49:$AW$49)</f>
        <v>0</v>
      </c>
      <c r="AQ22" s="20">
        <f>SUMPRODUCT(Oxides_typical!$C22:$AW22,Factors!$C$50:$AW$50)</f>
        <v>0</v>
      </c>
      <c r="AR22" s="20">
        <f>SUMPRODUCT(Oxides_typical!$C22:$AW22,Factors!$C$51:$AW$51)</f>
        <v>0</v>
      </c>
      <c r="AS22" s="20">
        <f>SUMPRODUCT(Oxides_typical!$C22:$AW22,Factors!$C$52:$AW$52)</f>
        <v>0</v>
      </c>
      <c r="AT22" s="20">
        <f>SUMPRODUCT(Oxides_typical!$C22:$AW22,Factors!$C$53:$AW$53)</f>
        <v>0</v>
      </c>
      <c r="AU22" s="20">
        <f>SUMPRODUCT(Oxides_typical!$C22:$AW22,Factors!$C$54:$AW$54)</f>
        <v>0</v>
      </c>
      <c r="AV22" s="18">
        <f t="shared" si="0"/>
        <v>98.176839020802717</v>
      </c>
    </row>
    <row r="23" spans="1:48" x14ac:dyDescent="0.25">
      <c r="A23" s="13" t="s">
        <v>168</v>
      </c>
      <c r="B23" s="20">
        <f>SUMPRODUCT(Oxides_typical!$C23:$AW23,Factors!$C$9:$AW$9)</f>
        <v>26.27374743300814</v>
      </c>
      <c r="C23" s="20">
        <f>SUMPRODUCT(Oxides_typical!$C23:$AW23,Factors!$C$10:$AW$10)</f>
        <v>0</v>
      </c>
      <c r="D23" s="20">
        <f>SUMPRODUCT(Oxides_typical!$C23:$AW23,Factors!$C$11:$AW$11)</f>
        <v>12.40652225630752</v>
      </c>
      <c r="E23" s="20">
        <f>SUMPRODUCT(Oxides_typical!$C23:$AW23,Factors!$C$12:$AW$12)</f>
        <v>0</v>
      </c>
      <c r="F23" s="20">
        <f>SUMPRODUCT(Oxides_typical!$C23:$AW23,Factors!$C$13:$AW$13)</f>
        <v>0</v>
      </c>
      <c r="G23" s="20">
        <f>SUMPRODUCT(Oxides_typical!$C23:$AW23,Factors!$C$14:$AW$14)</f>
        <v>0.11027549964169123</v>
      </c>
      <c r="H23" s="20">
        <f>SUMPRODUCT(Oxides_typical!$C23:$AW23,Factors!$C$15:$AW$15)</f>
        <v>0</v>
      </c>
      <c r="I23" s="20">
        <f>SUMPRODUCT(Oxides_typical!$C23:$AW23,Factors!$C$16:$AW$16)</f>
        <v>0.17878110906965092</v>
      </c>
      <c r="J23" s="20">
        <f>SUMPRODUCT(Oxides_typical!$C23:$AW23,Factors!$C$17:$AW$17)</f>
        <v>0.1781262568538943</v>
      </c>
      <c r="K23" s="20">
        <f>SUMPRODUCT(Oxides_typical!$C23:$AW23,Factors!$C$18:$AW$18)</f>
        <v>0</v>
      </c>
      <c r="L23" s="20">
        <f>SUMPRODUCT(Oxides_typical!$C23:$AW23,Factors!$C$19:$AW$19)</f>
        <v>0.7790184924300515</v>
      </c>
      <c r="M23" s="20">
        <f>SUMPRODUCT(Oxides_typical!$C23:$AW23,Factors!$C$20:$AW$20)</f>
        <v>0</v>
      </c>
      <c r="N23" s="20">
        <f>SUMPRODUCT(Oxides_typical!$C23:$AW23,Factors!$C$21:$AW$21)</f>
        <v>0</v>
      </c>
      <c r="O23" s="20">
        <f>SUMPRODUCT(Oxides_typical!$C23:$AW23,Factors!$C$22:$AW$22)</f>
        <v>0</v>
      </c>
      <c r="P23" s="20">
        <f>SUMPRODUCT(Oxides_typical!$C23:$AW23,Factors!$C$23:$AW$23)</f>
        <v>0</v>
      </c>
      <c r="Q23" s="20">
        <f>SUMPRODUCT(Oxides_typical!$C23:$AW23,Factors!$C$24:$AW$24)</f>
        <v>0</v>
      </c>
      <c r="R23" s="20">
        <f>SUMPRODUCT(Oxides_typical!$C23:$AW23,Factors!$C$25:$AW$25)</f>
        <v>0</v>
      </c>
      <c r="S23" s="20">
        <f>SUMPRODUCT(Oxides_typical!$C23:$AW23,Factors!$C$26:$AW$26)</f>
        <v>22.432495105672999</v>
      </c>
      <c r="T23" s="20">
        <f>SUMPRODUCT(Oxides_typical!$C23:$AW23,Factors!$C$27:$AW$27)</f>
        <v>8.2306595141296928</v>
      </c>
      <c r="U23" s="20">
        <f>SUMPRODUCT(Oxides_typical!$C23:$AW23,Factors!$C$28:$AW$28)</f>
        <v>7.9297092353679544E-2</v>
      </c>
      <c r="V23" s="20">
        <f>SUMPRODUCT(Oxides_typical!$C23:$AW23,Factors!$C$29:$AW$29)</f>
        <v>0</v>
      </c>
      <c r="W23" s="20">
        <f>SUMPRODUCT(Oxides_typical!$C23:$AW23,Factors!$C$30:$AW$30)</f>
        <v>0</v>
      </c>
      <c r="X23" s="20">
        <f>SUMPRODUCT(Oxides_typical!$C23:$AW23,Factors!$C$31:$AW$31)</f>
        <v>0</v>
      </c>
      <c r="Y23" s="20">
        <f>SUMPRODUCT(Oxides_typical!$C23:$AW23,Factors!$C$32:$AW$32)</f>
        <v>0</v>
      </c>
      <c r="Z23" s="20">
        <f>SUMPRODUCT(Oxides_typical!$C23:$AW23,Factors!$C$33:$AW$33)</f>
        <v>0</v>
      </c>
      <c r="AA23" s="20">
        <f>SUMPRODUCT(Oxides_typical!$C23:$AW23,Factors!$C$34:$AW$34)</f>
        <v>0</v>
      </c>
      <c r="AB23" s="20">
        <f>SUMPRODUCT(Oxides_typical!$C23:$AW23,Factors!$C$35:$AW$35)</f>
        <v>0</v>
      </c>
      <c r="AC23" s="20">
        <f>SUMPRODUCT(Oxides_typical!$C23:$AW23,Factors!$C$36:$AW$36)</f>
        <v>0.57122769761816306</v>
      </c>
      <c r="AD23" s="20">
        <f>SUMPRODUCT(Oxides_typical!$C23:$AW23,Factors!$C$37:$AW$37)</f>
        <v>3.9403081259567792</v>
      </c>
      <c r="AE23" s="20">
        <f>SUMPRODUCT(Oxides_typical!$C23:$AW23,Factors!$C$38:$AW$38)</f>
        <v>3.2598284362038175E-2</v>
      </c>
      <c r="AF23" s="20">
        <f>SUMPRODUCT(Oxides_typical!$C23:$AW23,Factors!$C$39:$AW$39)</f>
        <v>15.662260260323032</v>
      </c>
      <c r="AG23" s="20">
        <f>SUMPRODUCT(Oxides_typical!$C23:$AW23,Factors!$C$40:$AW$40)</f>
        <v>0</v>
      </c>
      <c r="AH23" s="20">
        <f>SUMPRODUCT(Oxides_typical!$C23:$AW23,Factors!$C$41:$AW$41)</f>
        <v>0.1024523731906687</v>
      </c>
      <c r="AI23" s="20">
        <f>SUMPRODUCT(Oxides_typical!$C23:$AW23,Factors!$C$42:$AW$42)</f>
        <v>0</v>
      </c>
      <c r="AJ23" s="20">
        <f>SUMPRODUCT(Oxides_typical!$C23:$AW23,Factors!$C$43:$AW$43)</f>
        <v>0.40295731408311314</v>
      </c>
      <c r="AK23" s="20">
        <f>SUMPRODUCT(Oxides_typical!$C23:$AW23,Factors!$C$44:$AW$44)</f>
        <v>0.87960839305224581</v>
      </c>
      <c r="AL23" s="20">
        <f>SUMPRODUCT(Oxides_typical!$C23:$AW23,Factors!$C$45:$AW$45)</f>
        <v>0.40589943880088081</v>
      </c>
      <c r="AM23" s="20">
        <f>SUMPRODUCT(Oxides_typical!$C23:$AW23,Factors!$C$46:$AW$46)</f>
        <v>1.4575568901259872</v>
      </c>
      <c r="AN23" s="20">
        <f>SUMPRODUCT(Oxides_typical!$C23:$AW23,Factors!$C$47:$AW$47)</f>
        <v>0.31277018278371027</v>
      </c>
      <c r="AO23" s="20">
        <f>SUMPRODUCT(Oxides_typical!$C23:$AW23,Factors!$C$48:$AW$48)</f>
        <v>1.6816489140663327</v>
      </c>
      <c r="AP23" s="20">
        <f>SUMPRODUCT(Oxides_typical!$C23:$AW23,Factors!$C$49:$AW$49)</f>
        <v>0.36664991044511308</v>
      </c>
      <c r="AQ23" s="20">
        <f>SUMPRODUCT(Oxides_typical!$C23:$AW23,Factors!$C$50:$AW$50)</f>
        <v>0.88326779341986583</v>
      </c>
      <c r="AR23" s="20">
        <f>SUMPRODUCT(Oxides_typical!$C23:$AW23,Factors!$C$51:$AW$51)</f>
        <v>0.3414887106759289</v>
      </c>
      <c r="AS23" s="20">
        <f>SUMPRODUCT(Oxides_typical!$C23:$AW23,Factors!$C$52:$AW$52)</f>
        <v>0.93968159315075106</v>
      </c>
      <c r="AT23" s="20">
        <f>SUMPRODUCT(Oxides_typical!$C23:$AW23,Factors!$C$53:$AW$53)</f>
        <v>0.14070135847808637</v>
      </c>
      <c r="AU23" s="20">
        <f>SUMPRODUCT(Oxides_typical!$C23:$AW23,Factors!$C$54:$AW$54)</f>
        <v>0</v>
      </c>
      <c r="AV23" s="18">
        <f t="shared" si="0"/>
        <v>98.790000000000035</v>
      </c>
    </row>
    <row r="24" spans="1:48" x14ac:dyDescent="0.25">
      <c r="A24" s="13" t="s">
        <v>170</v>
      </c>
      <c r="B24" s="20">
        <f>SUMPRODUCT(Oxides_typical!$C24:$AW24,Factors!$C$9:$AW$9)</f>
        <v>23.212581180747165</v>
      </c>
      <c r="C24" s="20">
        <f>SUMPRODUCT(Oxides_typical!$C24:$AW24,Factors!$C$10:$AW$10)</f>
        <v>0</v>
      </c>
      <c r="D24" s="20">
        <f>SUMPRODUCT(Oxides_typical!$C24:$AW24,Factors!$C$11:$AW$11)</f>
        <v>0.58136843423276785</v>
      </c>
      <c r="E24" s="20">
        <f>SUMPRODUCT(Oxides_typical!$C24:$AW24,Factors!$C$12:$AW$12)</f>
        <v>0</v>
      </c>
      <c r="F24" s="20">
        <f>SUMPRODUCT(Oxides_typical!$C24:$AW24,Factors!$C$13:$AW$13)</f>
        <v>0</v>
      </c>
      <c r="G24" s="20">
        <f>SUMPRODUCT(Oxides_typical!$C24:$AW24,Factors!$C$14:$AW$14)</f>
        <v>0</v>
      </c>
      <c r="H24" s="20">
        <f>SUMPRODUCT(Oxides_typical!$C24:$AW24,Factors!$C$15:$AW$15)</f>
        <v>0</v>
      </c>
      <c r="I24" s="20">
        <f>SUMPRODUCT(Oxides_typical!$C24:$AW24,Factors!$C$16:$AW$16)</f>
        <v>0</v>
      </c>
      <c r="J24" s="20">
        <f>SUMPRODUCT(Oxides_typical!$C24:$AW24,Factors!$C$17:$AW$17)</f>
        <v>0</v>
      </c>
      <c r="K24" s="20">
        <f>SUMPRODUCT(Oxides_typical!$C24:$AW24,Factors!$C$18:$AW$18)</f>
        <v>0</v>
      </c>
      <c r="L24" s="20">
        <f>SUMPRODUCT(Oxides_typical!$C24:$AW24,Factors!$C$19:$AW$19)</f>
        <v>0.58605060898407535</v>
      </c>
      <c r="M24" s="20">
        <f>SUMPRODUCT(Oxides_typical!$C24:$AW24,Factors!$C$20:$AW$20)</f>
        <v>0</v>
      </c>
      <c r="N24" s="20">
        <f>SUMPRODUCT(Oxides_typical!$C24:$AW24,Factors!$C$21:$AW$21)</f>
        <v>0</v>
      </c>
      <c r="O24" s="20">
        <f>SUMPRODUCT(Oxides_typical!$C24:$AW24,Factors!$C$22:$AW$22)</f>
        <v>0</v>
      </c>
      <c r="P24" s="20">
        <f>SUMPRODUCT(Oxides_typical!$C24:$AW24,Factors!$C$23:$AW$23)</f>
        <v>0</v>
      </c>
      <c r="Q24" s="20">
        <f>SUMPRODUCT(Oxides_typical!$C24:$AW24,Factors!$C$24:$AW$24)</f>
        <v>0</v>
      </c>
      <c r="R24" s="20">
        <f>SUMPRODUCT(Oxides_typical!$C24:$AW24,Factors!$C$25:$AW$25)</f>
        <v>0</v>
      </c>
      <c r="S24" s="20">
        <f>SUMPRODUCT(Oxides_typical!$C24:$AW24,Factors!$C$26:$AW$26)</f>
        <v>31.051774153754895</v>
      </c>
      <c r="T24" s="20">
        <f>SUMPRODUCT(Oxides_typical!$C24:$AW24,Factors!$C$27:$AW$27)</f>
        <v>0</v>
      </c>
      <c r="U24" s="20">
        <f>SUMPRODUCT(Oxides_typical!$C24:$AW24,Factors!$C$28:$AW$28)</f>
        <v>0</v>
      </c>
      <c r="V24" s="20">
        <f>SUMPRODUCT(Oxides_typical!$C24:$AW24,Factors!$C$29:$AW$29)</f>
        <v>0</v>
      </c>
      <c r="W24" s="20">
        <f>SUMPRODUCT(Oxides_typical!$C24:$AW24,Factors!$C$30:$AW$30)</f>
        <v>0</v>
      </c>
      <c r="X24" s="20">
        <f>SUMPRODUCT(Oxides_typical!$C24:$AW24,Factors!$C$31:$AW$31)</f>
        <v>0</v>
      </c>
      <c r="Y24" s="20">
        <f>SUMPRODUCT(Oxides_typical!$C24:$AW24,Factors!$C$32:$AW$32)</f>
        <v>0</v>
      </c>
      <c r="Z24" s="20">
        <f>SUMPRODUCT(Oxides_typical!$C24:$AW24,Factors!$C$33:$AW$33)</f>
        <v>0</v>
      </c>
      <c r="AA24" s="20">
        <f>SUMPRODUCT(Oxides_typical!$C24:$AW24,Factors!$C$34:$AW$34)</f>
        <v>0</v>
      </c>
      <c r="AB24" s="20">
        <f>SUMPRODUCT(Oxides_typical!$C24:$AW24,Factors!$C$35:$AW$35)</f>
        <v>0</v>
      </c>
      <c r="AC24" s="20">
        <f>SUMPRODUCT(Oxides_typical!$C24:$AW24,Factors!$C$36:$AW$36)</f>
        <v>3.5679760805072944</v>
      </c>
      <c r="AD24" s="20">
        <f>SUMPRODUCT(Oxides_typical!$C24:$AW24,Factors!$C$37:$AW$37)</f>
        <v>2.1067866713728645</v>
      </c>
      <c r="AE24" s="20">
        <f>SUMPRODUCT(Oxides_typical!$C24:$AW24,Factors!$C$38:$AW$38)</f>
        <v>0</v>
      </c>
      <c r="AF24" s="20">
        <f>SUMPRODUCT(Oxides_typical!$C24:$AW24,Factors!$C$39:$AW$39)</f>
        <v>21.646834316555061</v>
      </c>
      <c r="AG24" s="20">
        <f>SUMPRODUCT(Oxides_typical!$C24:$AW24,Factors!$C$40:$AW$40)</f>
        <v>9.37951463061336E-2</v>
      </c>
      <c r="AH24" s="20">
        <f>SUMPRODUCT(Oxides_typical!$C24:$AW24,Factors!$C$41:$AW$41)</f>
        <v>0.80254358999357145</v>
      </c>
      <c r="AI24" s="20">
        <f>SUMPRODUCT(Oxides_typical!$C24:$AW24,Factors!$C$42:$AW$42)</f>
        <v>0.12817076693799673</v>
      </c>
      <c r="AJ24" s="20">
        <f>SUMPRODUCT(Oxides_typical!$C24:$AW24,Factors!$C$43:$AW$43)</f>
        <v>1.5603878970878</v>
      </c>
      <c r="AK24" s="20">
        <f>SUMPRODUCT(Oxides_typical!$C24:$AW24,Factors!$C$44:$AW$44)</f>
        <v>1.0089625685011054</v>
      </c>
      <c r="AL24" s="20">
        <f>SUMPRODUCT(Oxides_typical!$C24:$AW24,Factors!$C$45:$AW$45)</f>
        <v>2.59084748170775E-2</v>
      </c>
      <c r="AM24" s="20">
        <f>SUMPRODUCT(Oxides_typical!$C24:$AW24,Factors!$C$46:$AW$46)</f>
        <v>1.917381385225257</v>
      </c>
      <c r="AN24" s="20">
        <f>SUMPRODUCT(Oxides_typical!$C24:$AW24,Factors!$C$47:$AW$47)</f>
        <v>0.47784333480844626</v>
      </c>
      <c r="AO24" s="20">
        <f>SUMPRODUCT(Oxides_typical!$C24:$AW24,Factors!$C$48:$AW$48)</f>
        <v>3.9993619251629364</v>
      </c>
      <c r="AP24" s="20">
        <f>SUMPRODUCT(Oxides_typical!$C24:$AW24,Factors!$C$49:$AW$49)</f>
        <v>0.89043549679527467</v>
      </c>
      <c r="AQ24" s="20">
        <f>SUMPRODUCT(Oxides_typical!$C24:$AW24,Factors!$C$50:$AW$50)</f>
        <v>2.8072174424532368</v>
      </c>
      <c r="AR24" s="20">
        <f>SUMPRODUCT(Oxides_typical!$C24:$AW24,Factors!$C$51:$AW$51)</f>
        <v>0.51661112640717444</v>
      </c>
      <c r="AS24" s="20">
        <f>SUMPRODUCT(Oxides_typical!$C24:$AW24,Factors!$C$52:$AW$52)</f>
        <v>3.1000710503010755</v>
      </c>
      <c r="AT24" s="20">
        <f>SUMPRODUCT(Oxides_typical!$C24:$AW24,Factors!$C$53:$AW$53)</f>
        <v>8.7938349048803988E-2</v>
      </c>
      <c r="AU24" s="20">
        <f>SUMPRODUCT(Oxides_typical!$C24:$AW24,Factors!$C$54:$AW$54)</f>
        <v>0</v>
      </c>
      <c r="AV24" s="18">
        <f t="shared" si="0"/>
        <v>100.16999999999999</v>
      </c>
    </row>
    <row r="25" spans="1:48" x14ac:dyDescent="0.25">
      <c r="A25" s="13" t="s">
        <v>172</v>
      </c>
      <c r="B25" s="20">
        <f>SUMPRODUCT(Oxides_typical!$C25:$AW25,Factors!$C$9:$AW$9)</f>
        <v>27.462509098632896</v>
      </c>
      <c r="C25" s="20">
        <f>SUMPRODUCT(Oxides_typical!$C25:$AW25,Factors!$C$10:$AW$10)</f>
        <v>0</v>
      </c>
      <c r="D25" s="20">
        <f>SUMPRODUCT(Oxides_typical!$C25:$AW25,Factors!$C$11:$AW$11)</f>
        <v>23.656301133162213</v>
      </c>
      <c r="E25" s="20">
        <f>SUMPRODUCT(Oxides_typical!$C25:$AW25,Factors!$C$12:$AW$12)</f>
        <v>0</v>
      </c>
      <c r="F25" s="20">
        <f>SUMPRODUCT(Oxides_typical!$C25:$AW25,Factors!$C$13:$AW$13)</f>
        <v>0</v>
      </c>
      <c r="G25" s="20">
        <f>SUMPRODUCT(Oxides_typical!$C25:$AW25,Factors!$C$14:$AW$14)</f>
        <v>0</v>
      </c>
      <c r="H25" s="20">
        <f>SUMPRODUCT(Oxides_typical!$C25:$AW25,Factors!$C$15:$AW$15)</f>
        <v>0</v>
      </c>
      <c r="I25" s="20">
        <f>SUMPRODUCT(Oxides_typical!$C25:$AW25,Factors!$C$16:$AW$16)</f>
        <v>0.13991565057624852</v>
      </c>
      <c r="J25" s="20">
        <f>SUMPRODUCT(Oxides_typical!$C25:$AW25,Factors!$C$17:$AW$17)</f>
        <v>0</v>
      </c>
      <c r="K25" s="20">
        <f>SUMPRODUCT(Oxides_typical!$C25:$AW25,Factors!$C$18:$AW$18)</f>
        <v>0</v>
      </c>
      <c r="L25" s="20">
        <f>SUMPRODUCT(Oxides_typical!$C25:$AW25,Factors!$C$19:$AW$19)</f>
        <v>3.1946905148278257</v>
      </c>
      <c r="M25" s="20">
        <f>SUMPRODUCT(Oxides_typical!$C25:$AW25,Factors!$C$20:$AW$20)</f>
        <v>2.8750325712465865</v>
      </c>
      <c r="N25" s="20">
        <f>SUMPRODUCT(Oxides_typical!$C25:$AW25,Factors!$C$21:$AW$21)</f>
        <v>0</v>
      </c>
      <c r="O25" s="20">
        <f>SUMPRODUCT(Oxides_typical!$C25:$AW25,Factors!$C$22:$AW$22)</f>
        <v>0</v>
      </c>
      <c r="P25" s="20">
        <f>SUMPRODUCT(Oxides_typical!$C25:$AW25,Factors!$C$23:$AW$23)</f>
        <v>5.5268738216598567</v>
      </c>
      <c r="Q25" s="20">
        <f>SUMPRODUCT(Oxides_typical!$C25:$AW25,Factors!$C$24:$AW$24)</f>
        <v>0</v>
      </c>
      <c r="R25" s="20">
        <f>SUMPRODUCT(Oxides_typical!$C25:$AW25,Factors!$C$25:$AW$25)</f>
        <v>0</v>
      </c>
      <c r="S25" s="20">
        <f>SUMPRODUCT(Oxides_typical!$C25:$AW25,Factors!$C$26:$AW$26)</f>
        <v>6.6130072826321777</v>
      </c>
      <c r="T25" s="20">
        <f>SUMPRODUCT(Oxides_typical!$C25:$AW25,Factors!$C$27:$AW$27)</f>
        <v>0.51595179043798067</v>
      </c>
      <c r="U25" s="20">
        <f>SUMPRODUCT(Oxides_typical!$C25:$AW25,Factors!$C$28:$AW$28)</f>
        <v>0</v>
      </c>
      <c r="V25" s="20">
        <f>SUMPRODUCT(Oxides_typical!$C25:$AW25,Factors!$C$29:$AW$29)</f>
        <v>0</v>
      </c>
      <c r="W25" s="20">
        <f>SUMPRODUCT(Oxides_typical!$C25:$AW25,Factors!$C$30:$AW$30)</f>
        <v>0</v>
      </c>
      <c r="X25" s="20">
        <f>SUMPRODUCT(Oxides_typical!$C25:$AW25,Factors!$C$31:$AW$31)</f>
        <v>0</v>
      </c>
      <c r="Y25" s="20">
        <f>SUMPRODUCT(Oxides_typical!$C25:$AW25,Factors!$C$32:$AW$32)</f>
        <v>0</v>
      </c>
      <c r="Z25" s="20">
        <f>SUMPRODUCT(Oxides_typical!$C25:$AW25,Factors!$C$33:$AW$33)</f>
        <v>0</v>
      </c>
      <c r="AA25" s="20">
        <f>SUMPRODUCT(Oxides_typical!$C25:$AW25,Factors!$C$34:$AW$34)</f>
        <v>0</v>
      </c>
      <c r="AB25" s="20">
        <f>SUMPRODUCT(Oxides_typical!$C25:$AW25,Factors!$C$35:$AW$35)</f>
        <v>0</v>
      </c>
      <c r="AC25" s="20">
        <f>SUMPRODUCT(Oxides_typical!$C25:$AW25,Factors!$C$36:$AW$36)</f>
        <v>0.71183759241648004</v>
      </c>
      <c r="AD25" s="20">
        <f>SUMPRODUCT(Oxides_typical!$C25:$AW25,Factors!$C$37:$AW$37)</f>
        <v>0</v>
      </c>
      <c r="AE25" s="20">
        <f>SUMPRODUCT(Oxides_typical!$C25:$AW25,Factors!$C$38:$AW$38)</f>
        <v>0</v>
      </c>
      <c r="AF25" s="20">
        <f>SUMPRODUCT(Oxides_typical!$C25:$AW25,Factors!$C$39:$AW$39)</f>
        <v>0</v>
      </c>
      <c r="AG25" s="20">
        <f>SUMPRODUCT(Oxides_typical!$C25:$AW25,Factors!$C$40:$AW$40)</f>
        <v>7.4865580415259361</v>
      </c>
      <c r="AH25" s="20">
        <f>SUMPRODUCT(Oxides_typical!$C25:$AW25,Factors!$C$41:$AW$41)</f>
        <v>15.034885765730632</v>
      </c>
      <c r="AI25" s="20">
        <f>SUMPRODUCT(Oxides_typical!$C25:$AW25,Factors!$C$42:$AW$42)</f>
        <v>1.3927890007262311</v>
      </c>
      <c r="AJ25" s="20">
        <f>SUMPRODUCT(Oxides_typical!$C25:$AW25,Factors!$C$43:$AW$43)</f>
        <v>4.3296477364249393</v>
      </c>
      <c r="AK25" s="20">
        <f>SUMPRODUCT(Oxides_typical!$C25:$AW25,Factors!$C$44:$AW$44)</f>
        <v>0</v>
      </c>
      <c r="AL25" s="20">
        <f>SUMPRODUCT(Oxides_typical!$C25:$AW25,Factors!$C$45:$AW$45)</f>
        <v>0</v>
      </c>
      <c r="AM25" s="20">
        <f>SUMPRODUCT(Oxides_typical!$C25:$AW25,Factors!$C$46:$AW$46)</f>
        <v>0</v>
      </c>
      <c r="AN25" s="20">
        <f>SUMPRODUCT(Oxides_typical!$C25:$AW25,Factors!$C$47:$AW$47)</f>
        <v>0</v>
      </c>
      <c r="AO25" s="20">
        <f>SUMPRODUCT(Oxides_typical!$C25:$AW25,Factors!$C$48:$AW$48)</f>
        <v>0</v>
      </c>
      <c r="AP25" s="20">
        <f>SUMPRODUCT(Oxides_typical!$C25:$AW25,Factors!$C$49:$AW$49)</f>
        <v>0</v>
      </c>
      <c r="AQ25" s="20">
        <f>SUMPRODUCT(Oxides_typical!$C25:$AW25,Factors!$C$50:$AW$50)</f>
        <v>0</v>
      </c>
      <c r="AR25" s="20">
        <f>SUMPRODUCT(Oxides_typical!$C25:$AW25,Factors!$C$51:$AW$51)</f>
        <v>0</v>
      </c>
      <c r="AS25" s="20">
        <f>SUMPRODUCT(Oxides_typical!$C25:$AW25,Factors!$C$52:$AW$52)</f>
        <v>0</v>
      </c>
      <c r="AT25" s="20">
        <f>SUMPRODUCT(Oxides_typical!$C25:$AW25,Factors!$C$53:$AW$53)</f>
        <v>0</v>
      </c>
      <c r="AU25" s="20">
        <f>SUMPRODUCT(Oxides_typical!$C25:$AW25,Factors!$C$54:$AW$54)</f>
        <v>0</v>
      </c>
      <c r="AV25" s="18">
        <f t="shared" si="0"/>
        <v>98.940000000000012</v>
      </c>
    </row>
    <row r="26" spans="1:48" x14ac:dyDescent="0.25">
      <c r="A26" s="13" t="s">
        <v>174</v>
      </c>
      <c r="B26" s="20">
        <f>SUMPRODUCT(Oxides_typical!$C26:$AW26,Factors!$C$9:$AW$9)</f>
        <v>23.334269702287536</v>
      </c>
      <c r="C26" s="20">
        <f>SUMPRODUCT(Oxides_typical!$C26:$AW26,Factors!$C$10:$AW$10)</f>
        <v>0</v>
      </c>
      <c r="D26" s="20">
        <f>SUMPRODUCT(Oxides_typical!$C26:$AW26,Factors!$C$11:$AW$11)</f>
        <v>2.4273630501471235</v>
      </c>
      <c r="E26" s="20">
        <f>SUMPRODUCT(Oxides_typical!$C26:$AW26,Factors!$C$12:$AW$12)</f>
        <v>0</v>
      </c>
      <c r="F26" s="20">
        <f>SUMPRODUCT(Oxides_typical!$C26:$AW26,Factors!$C$13:$AW$13)</f>
        <v>0</v>
      </c>
      <c r="G26" s="20">
        <f>SUMPRODUCT(Oxides_typical!$C26:$AW26,Factors!$C$14:$AW$14)</f>
        <v>0.82706624731268408</v>
      </c>
      <c r="H26" s="20">
        <f>SUMPRODUCT(Oxides_typical!$C26:$AW26,Factors!$C$15:$AW$15)</f>
        <v>0</v>
      </c>
      <c r="I26" s="20">
        <f>SUMPRODUCT(Oxides_typical!$C26:$AW26,Factors!$C$16:$AW$16)</f>
        <v>7.2389638099385341</v>
      </c>
      <c r="J26" s="20">
        <f>SUMPRODUCT(Oxides_typical!$C26:$AW26,Factors!$C$17:$AW$17)</f>
        <v>0.89063128426947136</v>
      </c>
      <c r="K26" s="20">
        <f>SUMPRODUCT(Oxides_typical!$C26:$AW26,Factors!$C$18:$AW$18)</f>
        <v>6.0304188169908693E-2</v>
      </c>
      <c r="L26" s="20">
        <f>SUMPRODUCT(Oxides_typical!$C26:$AW26,Factors!$C$19:$AW$19)</f>
        <v>0.20011484209212332</v>
      </c>
      <c r="M26" s="20">
        <f>SUMPRODUCT(Oxides_typical!$C26:$AW26,Factors!$C$20:$AW$20)</f>
        <v>0</v>
      </c>
      <c r="N26" s="20">
        <f>SUMPRODUCT(Oxides_typical!$C26:$AW26,Factors!$C$21:$AW$21)</f>
        <v>0</v>
      </c>
      <c r="O26" s="20">
        <f>SUMPRODUCT(Oxides_typical!$C26:$AW26,Factors!$C$22:$AW$22)</f>
        <v>0</v>
      </c>
      <c r="P26" s="20">
        <f>SUMPRODUCT(Oxides_typical!$C26:$AW26,Factors!$C$23:$AW$23)</f>
        <v>0</v>
      </c>
      <c r="Q26" s="20">
        <f>SUMPRODUCT(Oxides_typical!$C26:$AW26,Factors!$C$24:$AW$24)</f>
        <v>0</v>
      </c>
      <c r="R26" s="20">
        <f>SUMPRODUCT(Oxides_typical!$C26:$AW26,Factors!$C$25:$AW$25)</f>
        <v>0</v>
      </c>
      <c r="S26" s="20">
        <f>SUMPRODUCT(Oxides_typical!$C26:$AW26,Factors!$C$26:$AW$26)</f>
        <v>25.186749724443693</v>
      </c>
      <c r="T26" s="20">
        <f>SUMPRODUCT(Oxides_typical!$C26:$AW26,Factors!$C$27:$AW$27)</f>
        <v>10.753090489604265</v>
      </c>
      <c r="U26" s="20">
        <f>SUMPRODUCT(Oxides_typical!$C26:$AW26,Factors!$C$28:$AW$28)</f>
        <v>1.4352773716015996</v>
      </c>
      <c r="V26" s="20">
        <f>SUMPRODUCT(Oxides_typical!$C26:$AW26,Factors!$C$29:$AW$29)</f>
        <v>0</v>
      </c>
      <c r="W26" s="20">
        <f>SUMPRODUCT(Oxides_typical!$C26:$AW26,Factors!$C$30:$AW$30)</f>
        <v>0</v>
      </c>
      <c r="X26" s="20">
        <f>SUMPRODUCT(Oxides_typical!$C26:$AW26,Factors!$C$31:$AW$31)</f>
        <v>0</v>
      </c>
      <c r="Y26" s="20">
        <f>SUMPRODUCT(Oxides_typical!$C26:$AW26,Factors!$C$32:$AW$32)</f>
        <v>0</v>
      </c>
      <c r="Z26" s="20">
        <f>SUMPRODUCT(Oxides_typical!$C26:$AW26,Factors!$C$33:$AW$33)</f>
        <v>0</v>
      </c>
      <c r="AA26" s="20">
        <f>SUMPRODUCT(Oxides_typical!$C26:$AW26,Factors!$C$34:$AW$34)</f>
        <v>0</v>
      </c>
      <c r="AB26" s="20">
        <f>SUMPRODUCT(Oxides_typical!$C26:$AW26,Factors!$C$35:$AW$35)</f>
        <v>0</v>
      </c>
      <c r="AC26" s="20">
        <f>SUMPRODUCT(Oxides_typical!$C26:$AW26,Factors!$C$36:$AW$36)</f>
        <v>1.3973108295582757</v>
      </c>
      <c r="AD26" s="20">
        <f>SUMPRODUCT(Oxides_typical!$C26:$AW26,Factors!$C$37:$AW$37)</f>
        <v>13.936526056236396</v>
      </c>
      <c r="AE26" s="20">
        <f>SUMPRODUCT(Oxides_typical!$C26:$AW26,Factors!$C$38:$AW$38)</f>
        <v>0.43029735357890397</v>
      </c>
      <c r="AF26" s="20">
        <f>SUMPRODUCT(Oxides_typical!$C26:$AW26,Factors!$C$39:$AW$39)</f>
        <v>7.0476233951679808</v>
      </c>
      <c r="AG26" s="20">
        <f>SUMPRODUCT(Oxides_typical!$C26:$AW26,Factors!$C$40:$AW$40)</f>
        <v>0</v>
      </c>
      <c r="AH26" s="20">
        <f>SUMPRODUCT(Oxides_typical!$C26:$AW26,Factors!$C$41:$AW$41)</f>
        <v>0</v>
      </c>
      <c r="AI26" s="20">
        <f>SUMPRODUCT(Oxides_typical!$C26:$AW26,Factors!$C$42:$AW$42)</f>
        <v>0</v>
      </c>
      <c r="AJ26" s="20">
        <f>SUMPRODUCT(Oxides_typical!$C26:$AW26,Factors!$C$43:$AW$43)</f>
        <v>0.96023870590018456</v>
      </c>
      <c r="AK26" s="20">
        <f>SUMPRODUCT(Oxides_typical!$C26:$AW26,Factors!$C$44:$AW$44)</f>
        <v>0.5777819836715733</v>
      </c>
      <c r="AL26" s="20">
        <f>SUMPRODUCT(Oxides_typical!$C26:$AW26,Factors!$C$45:$AW$45)</f>
        <v>0</v>
      </c>
      <c r="AM26" s="20">
        <f>SUMPRODUCT(Oxides_typical!$C26:$AW26,Factors!$C$46:$AW$46)</f>
        <v>0.85024151924015923</v>
      </c>
      <c r="AN26" s="20">
        <f>SUMPRODUCT(Oxides_typical!$C26:$AW26,Factors!$C$47:$AW$47)</f>
        <v>0</v>
      </c>
      <c r="AO26" s="20">
        <f>SUMPRODUCT(Oxides_typical!$C26:$AW26,Factors!$C$48:$AW$48)</f>
        <v>0.83646785362884946</v>
      </c>
      <c r="AP26" s="20">
        <f>SUMPRODUCT(Oxides_typical!$C26:$AW26,Factors!$C$49:$AW$49)</f>
        <v>0</v>
      </c>
      <c r="AQ26" s="20">
        <f>SUMPRODUCT(Oxides_typical!$C26:$AW26,Factors!$C$50:$AW$50)</f>
        <v>0</v>
      </c>
      <c r="AR26" s="20">
        <f>SUMPRODUCT(Oxides_typical!$C26:$AW26,Factors!$C$51:$AW$51)</f>
        <v>0</v>
      </c>
      <c r="AS26" s="20">
        <f>SUMPRODUCT(Oxides_typical!$C26:$AW26,Factors!$C$52:$AW$52)</f>
        <v>0.93968159315075106</v>
      </c>
      <c r="AT26" s="20">
        <f>SUMPRODUCT(Oxides_typical!$C26:$AW26,Factors!$C$53:$AW$53)</f>
        <v>0</v>
      </c>
      <c r="AU26" s="20">
        <f>SUMPRODUCT(Oxides_typical!$C26:$AW26,Factors!$C$54:$AW$54)</f>
        <v>0</v>
      </c>
      <c r="AV26" s="18">
        <f t="shared" si="0"/>
        <v>99.330000000000013</v>
      </c>
    </row>
  </sheetData>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26"/>
  <sheetViews>
    <sheetView workbookViewId="0">
      <pane xSplit="1" ySplit="1" topLeftCell="B2" activePane="bottomRight" state="frozen"/>
      <selection pane="topRight"/>
      <selection pane="bottomLeft"/>
      <selection pane="bottomRight"/>
    </sheetView>
  </sheetViews>
  <sheetFormatPr defaultRowHeight="15" x14ac:dyDescent="0.25"/>
  <cols>
    <col min="1" max="1" width="26" customWidth="1"/>
    <col min="2" max="2" width="14" customWidth="1"/>
    <col min="3" max="3" width="30" customWidth="1"/>
    <col min="4" max="4" width="50" customWidth="1"/>
    <col min="5" max="5" width="60" customWidth="1"/>
    <col min="6" max="6" width="12" customWidth="1"/>
    <col min="7" max="7" width="60" customWidth="1"/>
  </cols>
  <sheetData>
    <row r="1" spans="1:7" ht="38.25" x14ac:dyDescent="0.25">
      <c r="A1" s="4" t="s">
        <v>121</v>
      </c>
      <c r="B1" s="4" t="s">
        <v>182</v>
      </c>
      <c r="C1" s="4" t="s">
        <v>122</v>
      </c>
      <c r="D1" s="4" t="s">
        <v>183</v>
      </c>
      <c r="E1" s="4" t="s">
        <v>184</v>
      </c>
      <c r="F1" s="4" t="s">
        <v>185</v>
      </c>
      <c r="G1" s="4" t="s">
        <v>186</v>
      </c>
    </row>
    <row r="2" spans="1:7" ht="63.75" x14ac:dyDescent="0.25">
      <c r="A2" s="2" t="s">
        <v>126</v>
      </c>
      <c r="B2" s="2" t="s">
        <v>187</v>
      </c>
      <c r="C2" s="2" t="s">
        <v>127</v>
      </c>
      <c r="D2" s="2" t="s">
        <v>188</v>
      </c>
      <c r="E2" s="2" t="s">
        <v>189</v>
      </c>
      <c r="F2" s="2">
        <v>100.08</v>
      </c>
      <c r="G2" s="2" t="s">
        <v>190</v>
      </c>
    </row>
    <row r="3" spans="1:7" ht="63.75" x14ac:dyDescent="0.25">
      <c r="A3" s="2" t="s">
        <v>128</v>
      </c>
      <c r="B3" s="2" t="s">
        <v>191</v>
      </c>
      <c r="C3" s="2" t="s">
        <v>129</v>
      </c>
      <c r="D3" s="2" t="s">
        <v>192</v>
      </c>
      <c r="E3" s="2" t="s">
        <v>193</v>
      </c>
      <c r="F3" s="2">
        <v>100.44</v>
      </c>
      <c r="G3" s="2" t="s">
        <v>194</v>
      </c>
    </row>
    <row r="4" spans="1:7" ht="51" x14ac:dyDescent="0.25">
      <c r="A4" s="2" t="s">
        <v>130</v>
      </c>
      <c r="B4" s="2" t="s">
        <v>187</v>
      </c>
      <c r="C4" s="2" t="s">
        <v>131</v>
      </c>
      <c r="D4" s="2" t="s">
        <v>195</v>
      </c>
      <c r="E4" s="2" t="s">
        <v>196</v>
      </c>
      <c r="F4" s="2">
        <v>99.11</v>
      </c>
      <c r="G4" s="2" t="s">
        <v>197</v>
      </c>
    </row>
    <row r="5" spans="1:7" ht="38.25" x14ac:dyDescent="0.25">
      <c r="A5" s="2" t="s">
        <v>132</v>
      </c>
      <c r="B5" s="2" t="s">
        <v>191</v>
      </c>
      <c r="C5" s="2" t="s">
        <v>133</v>
      </c>
      <c r="D5" s="2" t="s">
        <v>198</v>
      </c>
      <c r="E5" s="2" t="s">
        <v>199</v>
      </c>
      <c r="F5" s="2">
        <v>98.66</v>
      </c>
      <c r="G5" s="2" t="s">
        <v>200</v>
      </c>
    </row>
    <row r="6" spans="1:7" ht="38.25" x14ac:dyDescent="0.25">
      <c r="A6" s="2" t="s">
        <v>134</v>
      </c>
      <c r="B6" s="2" t="s">
        <v>191</v>
      </c>
      <c r="C6" s="2" t="s">
        <v>135</v>
      </c>
      <c r="D6" s="2" t="s">
        <v>201</v>
      </c>
      <c r="E6" s="2" t="s">
        <v>202</v>
      </c>
      <c r="F6" s="2">
        <v>100.36</v>
      </c>
      <c r="G6" s="2" t="s">
        <v>203</v>
      </c>
    </row>
    <row r="7" spans="1:7" ht="51" x14ac:dyDescent="0.25">
      <c r="A7" s="2" t="s">
        <v>136</v>
      </c>
      <c r="B7" s="2" t="s">
        <v>204</v>
      </c>
      <c r="C7" s="2" t="s">
        <v>137</v>
      </c>
      <c r="D7" s="2" t="s">
        <v>205</v>
      </c>
      <c r="E7" s="2" t="s">
        <v>206</v>
      </c>
      <c r="F7" s="2">
        <v>100.37</v>
      </c>
      <c r="G7" s="2" t="s">
        <v>207</v>
      </c>
    </row>
    <row r="8" spans="1:7" ht="63.75" x14ac:dyDescent="0.25">
      <c r="A8" s="2" t="s">
        <v>138</v>
      </c>
      <c r="B8" s="2" t="s">
        <v>187</v>
      </c>
      <c r="C8" s="2" t="s">
        <v>139</v>
      </c>
      <c r="D8" s="2" t="s">
        <v>208</v>
      </c>
      <c r="E8" s="2" t="s">
        <v>209</v>
      </c>
      <c r="F8" s="2">
        <v>100</v>
      </c>
      <c r="G8" s="2" t="s">
        <v>210</v>
      </c>
    </row>
    <row r="9" spans="1:7" ht="51" x14ac:dyDescent="0.25">
      <c r="A9" s="2" t="s">
        <v>140</v>
      </c>
      <c r="B9" s="2" t="s">
        <v>187</v>
      </c>
      <c r="C9" s="2" t="s">
        <v>141</v>
      </c>
      <c r="D9" s="2" t="s">
        <v>211</v>
      </c>
      <c r="E9" s="2" t="s">
        <v>212</v>
      </c>
      <c r="F9" s="2">
        <v>99.66</v>
      </c>
      <c r="G9" s="2" t="s">
        <v>213</v>
      </c>
    </row>
    <row r="10" spans="1:7" ht="51" x14ac:dyDescent="0.25">
      <c r="A10" s="2" t="s">
        <v>142</v>
      </c>
      <c r="B10" s="2" t="s">
        <v>191</v>
      </c>
      <c r="C10" s="2" t="s">
        <v>143</v>
      </c>
      <c r="D10" s="2" t="s">
        <v>214</v>
      </c>
      <c r="E10" s="2" t="s">
        <v>215</v>
      </c>
      <c r="F10" s="2">
        <v>99.8</v>
      </c>
      <c r="G10" s="2" t="s">
        <v>216</v>
      </c>
    </row>
    <row r="11" spans="1:7" ht="63.75" x14ac:dyDescent="0.25">
      <c r="A11" s="2" t="s">
        <v>144</v>
      </c>
      <c r="B11" s="2" t="s">
        <v>217</v>
      </c>
      <c r="C11" s="2" t="s">
        <v>145</v>
      </c>
      <c r="D11" s="2" t="s">
        <v>218</v>
      </c>
      <c r="E11" s="2" t="s">
        <v>219</v>
      </c>
      <c r="F11" s="2">
        <v>98.19</v>
      </c>
      <c r="G11" s="2" t="s">
        <v>220</v>
      </c>
    </row>
    <row r="12" spans="1:7" ht="51" x14ac:dyDescent="0.25">
      <c r="A12" s="2" t="s">
        <v>146</v>
      </c>
      <c r="B12" s="2" t="s">
        <v>191</v>
      </c>
      <c r="C12" s="2" t="s">
        <v>147</v>
      </c>
      <c r="D12" s="2" t="s">
        <v>221</v>
      </c>
      <c r="E12" s="2" t="s">
        <v>222</v>
      </c>
      <c r="F12" s="2">
        <v>100.74</v>
      </c>
      <c r="G12" s="2" t="s">
        <v>223</v>
      </c>
    </row>
    <row r="13" spans="1:7" ht="76.5" x14ac:dyDescent="0.25">
      <c r="A13" s="2" t="s">
        <v>148</v>
      </c>
      <c r="B13" s="2" t="s">
        <v>204</v>
      </c>
      <c r="C13" s="2" t="s">
        <v>149</v>
      </c>
      <c r="D13" s="2" t="s">
        <v>224</v>
      </c>
      <c r="E13" s="2" t="s">
        <v>225</v>
      </c>
      <c r="F13" s="2">
        <v>99.77</v>
      </c>
      <c r="G13" s="2" t="s">
        <v>226</v>
      </c>
    </row>
    <row r="14" spans="1:7" ht="63.75" x14ac:dyDescent="0.25">
      <c r="A14" s="2" t="s">
        <v>150</v>
      </c>
      <c r="B14" s="2" t="s">
        <v>227</v>
      </c>
      <c r="C14" s="2" t="s">
        <v>151</v>
      </c>
      <c r="D14" s="2" t="s">
        <v>228</v>
      </c>
      <c r="E14" s="2" t="s">
        <v>229</v>
      </c>
      <c r="F14" s="2">
        <v>100</v>
      </c>
      <c r="G14" s="2" t="s">
        <v>230</v>
      </c>
    </row>
    <row r="15" spans="1:7" ht="63.75" x14ac:dyDescent="0.25">
      <c r="A15" s="2" t="s">
        <v>152</v>
      </c>
      <c r="B15" s="2" t="s">
        <v>227</v>
      </c>
      <c r="C15" s="2" t="s">
        <v>153</v>
      </c>
      <c r="D15" s="2" t="s">
        <v>231</v>
      </c>
      <c r="E15" s="2" t="s">
        <v>232</v>
      </c>
      <c r="F15" s="2">
        <v>100</v>
      </c>
      <c r="G15" s="2" t="s">
        <v>233</v>
      </c>
    </row>
    <row r="16" spans="1:7" ht="63.75" x14ac:dyDescent="0.25">
      <c r="A16" s="2" t="s">
        <v>154</v>
      </c>
      <c r="B16" s="2" t="s">
        <v>227</v>
      </c>
      <c r="C16" s="2" t="s">
        <v>155</v>
      </c>
      <c r="D16" s="2" t="s">
        <v>234</v>
      </c>
      <c r="E16" s="2" t="s">
        <v>235</v>
      </c>
      <c r="F16" s="2">
        <v>100</v>
      </c>
      <c r="G16" s="2" t="s">
        <v>236</v>
      </c>
    </row>
    <row r="17" spans="1:7" ht="63.75" x14ac:dyDescent="0.25">
      <c r="A17" s="2" t="s">
        <v>156</v>
      </c>
      <c r="B17" s="2" t="s">
        <v>237</v>
      </c>
      <c r="C17" s="2" t="s">
        <v>157</v>
      </c>
      <c r="D17" s="2" t="s">
        <v>238</v>
      </c>
      <c r="E17" s="2" t="s">
        <v>239</v>
      </c>
      <c r="F17" s="2">
        <v>100</v>
      </c>
      <c r="G17" s="2" t="s">
        <v>240</v>
      </c>
    </row>
    <row r="18" spans="1:7" ht="76.5" x14ac:dyDescent="0.25">
      <c r="A18" s="2" t="s">
        <v>158</v>
      </c>
      <c r="B18" s="2" t="s">
        <v>241</v>
      </c>
      <c r="C18" s="2" t="s">
        <v>159</v>
      </c>
      <c r="D18" s="2" t="s">
        <v>242</v>
      </c>
      <c r="E18" s="2" t="s">
        <v>243</v>
      </c>
      <c r="F18" s="2">
        <v>99.97</v>
      </c>
      <c r="G18" s="2" t="s">
        <v>244</v>
      </c>
    </row>
    <row r="19" spans="1:7" ht="76.5" x14ac:dyDescent="0.25">
      <c r="A19" s="2" t="s">
        <v>160</v>
      </c>
      <c r="B19" s="2" t="s">
        <v>241</v>
      </c>
      <c r="C19" s="2" t="s">
        <v>161</v>
      </c>
      <c r="D19" s="2" t="s">
        <v>245</v>
      </c>
      <c r="E19" s="2" t="s">
        <v>246</v>
      </c>
      <c r="F19" s="2">
        <v>101.18</v>
      </c>
      <c r="G19" s="2" t="s">
        <v>247</v>
      </c>
    </row>
    <row r="20" spans="1:7" ht="63.75" x14ac:dyDescent="0.25">
      <c r="A20" s="2" t="s">
        <v>162</v>
      </c>
      <c r="B20" s="2" t="s">
        <v>241</v>
      </c>
      <c r="C20" s="2" t="s">
        <v>163</v>
      </c>
      <c r="D20" s="2" t="s">
        <v>248</v>
      </c>
      <c r="E20" s="2" t="s">
        <v>249</v>
      </c>
      <c r="F20" s="2">
        <v>98.5</v>
      </c>
      <c r="G20" s="2" t="s">
        <v>250</v>
      </c>
    </row>
    <row r="21" spans="1:7" ht="51" x14ac:dyDescent="0.25">
      <c r="A21" s="2" t="s">
        <v>164</v>
      </c>
      <c r="B21" s="2" t="s">
        <v>241</v>
      </c>
      <c r="C21" s="2" t="s">
        <v>165</v>
      </c>
      <c r="D21" s="2" t="s">
        <v>251</v>
      </c>
      <c r="E21" s="2" t="s">
        <v>252</v>
      </c>
      <c r="F21" s="2">
        <v>98.21</v>
      </c>
      <c r="G21" s="2" t="s">
        <v>253</v>
      </c>
    </row>
    <row r="22" spans="1:7" ht="63.75" x14ac:dyDescent="0.25">
      <c r="A22" s="2" t="s">
        <v>166</v>
      </c>
      <c r="B22" s="2" t="s">
        <v>254</v>
      </c>
      <c r="C22" s="2" t="s">
        <v>167</v>
      </c>
      <c r="D22" s="2" t="s">
        <v>255</v>
      </c>
      <c r="E22" s="2" t="s">
        <v>256</v>
      </c>
      <c r="F22" s="2">
        <v>98.18</v>
      </c>
      <c r="G22" s="2" t="s">
        <v>257</v>
      </c>
    </row>
    <row r="23" spans="1:7" ht="63.75" x14ac:dyDescent="0.25">
      <c r="A23" s="2" t="s">
        <v>168</v>
      </c>
      <c r="B23" s="2" t="s">
        <v>254</v>
      </c>
      <c r="C23" s="2" t="s">
        <v>169</v>
      </c>
      <c r="D23" s="2" t="s">
        <v>258</v>
      </c>
      <c r="E23" s="2" t="s">
        <v>259</v>
      </c>
      <c r="F23" s="2">
        <v>98.82</v>
      </c>
      <c r="G23" s="2" t="s">
        <v>260</v>
      </c>
    </row>
    <row r="24" spans="1:7" ht="63.75" x14ac:dyDescent="0.25">
      <c r="A24" s="2" t="s">
        <v>170</v>
      </c>
      <c r="B24" s="2" t="s">
        <v>254</v>
      </c>
      <c r="C24" s="2" t="s">
        <v>171</v>
      </c>
      <c r="D24" s="2" t="s">
        <v>261</v>
      </c>
      <c r="E24" s="2" t="s">
        <v>262</v>
      </c>
      <c r="F24" s="2">
        <v>100.18</v>
      </c>
      <c r="G24" s="2" t="s">
        <v>263</v>
      </c>
    </row>
    <row r="25" spans="1:7" ht="51" x14ac:dyDescent="0.25">
      <c r="A25" s="2" t="s">
        <v>172</v>
      </c>
      <c r="B25" s="2" t="s">
        <v>254</v>
      </c>
      <c r="C25" s="2" t="s">
        <v>173</v>
      </c>
      <c r="D25" s="2" t="s">
        <v>264</v>
      </c>
      <c r="E25" s="2" t="s">
        <v>265</v>
      </c>
      <c r="F25" s="2">
        <v>98.95</v>
      </c>
      <c r="G25" s="2" t="s">
        <v>266</v>
      </c>
    </row>
    <row r="26" spans="1:7" ht="63.75" x14ac:dyDescent="0.25">
      <c r="A26" s="2" t="s">
        <v>174</v>
      </c>
      <c r="B26" s="2" t="s">
        <v>254</v>
      </c>
      <c r="C26" s="2" t="s">
        <v>175</v>
      </c>
      <c r="D26" s="2" t="s">
        <v>267</v>
      </c>
      <c r="E26" s="2" t="s">
        <v>268</v>
      </c>
      <c r="F26" s="2">
        <v>99.33</v>
      </c>
      <c r="G26" s="2" t="s">
        <v>269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
  <sheetViews>
    <sheetView workbookViewId="0"/>
  </sheetViews>
  <sheetFormatPr defaultRowHeight="15" x14ac:dyDescent="0.25"/>
  <cols>
    <col min="1" max="5" width="32" customWidth="1"/>
  </cols>
  <sheetData>
    <row r="1" spans="1:5" x14ac:dyDescent="0.25">
      <c r="A1" s="4" t="s">
        <v>121</v>
      </c>
      <c r="B1" s="4" t="s">
        <v>270</v>
      </c>
      <c r="C1" s="4" t="s">
        <v>271</v>
      </c>
      <c r="D1" s="4" t="s">
        <v>272</v>
      </c>
      <c r="E1" s="4" t="s">
        <v>273</v>
      </c>
    </row>
    <row r="2" spans="1:5" ht="38.25" x14ac:dyDescent="0.25">
      <c r="A2" s="2" t="s">
        <v>274</v>
      </c>
      <c r="B2" s="2" t="s">
        <v>127</v>
      </c>
      <c r="C2" s="2" t="s">
        <v>275</v>
      </c>
      <c r="D2" s="2" t="s">
        <v>276</v>
      </c>
      <c r="E2" s="2" t="s">
        <v>277</v>
      </c>
    </row>
    <row r="3" spans="1:5" ht="25.5" x14ac:dyDescent="0.25">
      <c r="A3" s="2" t="s">
        <v>278</v>
      </c>
      <c r="B3" s="2" t="s">
        <v>129</v>
      </c>
      <c r="C3" s="2" t="s">
        <v>279</v>
      </c>
      <c r="D3" s="2" t="s">
        <v>280</v>
      </c>
      <c r="E3" s="2" t="s">
        <v>281</v>
      </c>
    </row>
    <row r="4" spans="1:5" ht="25.5" x14ac:dyDescent="0.25">
      <c r="A4" s="2" t="s">
        <v>282</v>
      </c>
      <c r="B4" s="2" t="s">
        <v>131</v>
      </c>
      <c r="C4" s="2" t="s">
        <v>283</v>
      </c>
      <c r="D4" s="2" t="s">
        <v>284</v>
      </c>
      <c r="E4" s="2" t="s">
        <v>285</v>
      </c>
    </row>
    <row r="5" spans="1:5" ht="25.5" x14ac:dyDescent="0.25">
      <c r="A5" s="2" t="s">
        <v>286</v>
      </c>
      <c r="B5" s="2" t="s">
        <v>287</v>
      </c>
      <c r="C5" s="2" t="s">
        <v>288</v>
      </c>
      <c r="D5" s="2" t="s">
        <v>289</v>
      </c>
      <c r="E5" s="2" t="s">
        <v>290</v>
      </c>
    </row>
    <row r="6" spans="1:5" ht="25.5" x14ac:dyDescent="0.25">
      <c r="A6" s="2" t="s">
        <v>291</v>
      </c>
      <c r="B6" s="2" t="s">
        <v>292</v>
      </c>
      <c r="C6" s="2" t="s">
        <v>288</v>
      </c>
      <c r="D6" s="2" t="s">
        <v>293</v>
      </c>
      <c r="E6" s="2" t="s">
        <v>294</v>
      </c>
    </row>
    <row r="7" spans="1:5" ht="25.5" x14ac:dyDescent="0.25">
      <c r="A7" s="2" t="s">
        <v>295</v>
      </c>
      <c r="B7" s="2" t="s">
        <v>296</v>
      </c>
      <c r="C7" s="2" t="s">
        <v>297</v>
      </c>
      <c r="D7" s="2" t="s">
        <v>298</v>
      </c>
      <c r="E7" s="2" t="s">
        <v>299</v>
      </c>
    </row>
    <row r="8" spans="1:5" ht="25.5" x14ac:dyDescent="0.25">
      <c r="A8" s="2" t="s">
        <v>300</v>
      </c>
      <c r="B8" s="2" t="s">
        <v>301</v>
      </c>
      <c r="C8" s="2" t="s">
        <v>302</v>
      </c>
      <c r="D8" s="2" t="s">
        <v>303</v>
      </c>
      <c r="E8" s="2" t="s">
        <v>304</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6"/>
  <sheetViews>
    <sheetView workbookViewId="0"/>
  </sheetViews>
  <sheetFormatPr defaultRowHeight="15" x14ac:dyDescent="0.25"/>
  <cols>
    <col min="1" max="5" width="32" customWidth="1"/>
  </cols>
  <sheetData>
    <row r="1" spans="1:4" x14ac:dyDescent="0.25">
      <c r="A1" s="4" t="s">
        <v>121</v>
      </c>
      <c r="B1" s="4" t="s">
        <v>270</v>
      </c>
      <c r="C1" s="4" t="s">
        <v>305</v>
      </c>
      <c r="D1" s="4" t="s">
        <v>186</v>
      </c>
    </row>
    <row r="2" spans="1:4" x14ac:dyDescent="0.25">
      <c r="A2" s="2" t="s">
        <v>306</v>
      </c>
      <c r="B2" s="2" t="s">
        <v>307</v>
      </c>
      <c r="C2" s="2" t="s">
        <v>308</v>
      </c>
      <c r="D2" s="2" t="s">
        <v>309</v>
      </c>
    </row>
    <row r="3" spans="1:4" x14ac:dyDescent="0.25">
      <c r="A3" s="2" t="s">
        <v>310</v>
      </c>
      <c r="B3" s="2" t="s">
        <v>101</v>
      </c>
      <c r="C3" s="2" t="s">
        <v>311</v>
      </c>
      <c r="D3" s="2" t="s">
        <v>312</v>
      </c>
    </row>
    <row r="4" spans="1:4" x14ac:dyDescent="0.25">
      <c r="A4" s="2" t="s">
        <v>313</v>
      </c>
      <c r="B4" s="2" t="s">
        <v>145</v>
      </c>
      <c r="C4" s="2" t="s">
        <v>314</v>
      </c>
      <c r="D4" s="2" t="s">
        <v>315</v>
      </c>
    </row>
    <row r="5" spans="1:4" x14ac:dyDescent="0.25">
      <c r="A5" s="2" t="s">
        <v>316</v>
      </c>
      <c r="B5" s="2" t="s">
        <v>317</v>
      </c>
      <c r="C5" s="2" t="s">
        <v>308</v>
      </c>
      <c r="D5" s="2" t="s">
        <v>318</v>
      </c>
    </row>
    <row r="6" spans="1:4" x14ac:dyDescent="0.25">
      <c r="A6" s="2" t="s">
        <v>319</v>
      </c>
      <c r="B6" s="2" t="s">
        <v>320</v>
      </c>
      <c r="C6" s="2" t="s">
        <v>321</v>
      </c>
      <c r="D6" s="2" t="s">
        <v>322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AtomicWeights</vt:lpstr>
      <vt:lpstr>Factors</vt:lpstr>
      <vt:lpstr>Oxides_typical</vt:lpstr>
      <vt:lpstr>Oxides_min</vt:lpstr>
      <vt:lpstr>Oxides_max</vt:lpstr>
      <vt:lpstr>Concentrations</vt:lpstr>
      <vt:lpstr>Uncertainties</vt:lpstr>
      <vt:lpstr>Elements_typical</vt:lpstr>
      <vt:lpstr>Sources</vt:lpstr>
      <vt:lpstr>Orig_Main REE Minerals</vt:lpstr>
      <vt:lpstr>Orig_Additional Minerals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Prochazka David (53466)</cp:lastModifiedBy>
  <dcterms:created xsi:type="dcterms:W3CDTF">2026-09-23T14:58:10Z</dcterms:created>
  <dcterms:modified xsi:type="dcterms:W3CDTF">2026-09-23T14:58:13Z</dcterms:modified>
</cp:coreProperties>
</file>