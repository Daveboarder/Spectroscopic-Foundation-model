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P:\Running_projects\24_0010_Minerals_classification\Methods\Spectroscopic-Foundation-model\external_data\Source\"/>
    </mc:Choice>
  </mc:AlternateContent>
  <xr:revisionPtr revIDLastSave="0" documentId="13_ncr:1_{C5F45D95-39C0-4B85-A29B-0B1B4FA41DB7}" xr6:coauthVersionLast="47" xr6:coauthVersionMax="47" xr10:uidLastSave="{00000000-0000-0000-0000-000000000000}"/>
  <bookViews>
    <workbookView xWindow="3200" yWindow="7230" windowWidth="34840" windowHeight="11200" activeTab="7" xr2:uid="{00000000-000D-0000-FFFF-FFFF00000000}"/>
  </bookViews>
  <sheets>
    <sheet name="README" sheetId="1" r:id="rId1"/>
    <sheet name="AtomicWeights" sheetId="2" r:id="rId2"/>
    <sheet name="Factors" sheetId="3" r:id="rId3"/>
    <sheet name="Oxides_typical" sheetId="4" r:id="rId4"/>
    <sheet name="Oxides_min" sheetId="5" r:id="rId5"/>
    <sheet name="Oxides_max" sheetId="6" r:id="rId6"/>
    <sheet name="Concentrations" sheetId="7" r:id="rId7"/>
    <sheet name="Uncertainties" sheetId="8" r:id="rId8"/>
    <sheet name="Elements_typical" sheetId="9" r:id="rId9"/>
    <sheet name="Sources" sheetId="10" r:id="rId10"/>
    <sheet name="Orig_Main REE Minerals" sheetId="11" r:id="rId11"/>
    <sheet name="Orig_Additional Minerals" sheetId="12" r:id="rId1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63" i="9" l="1"/>
  <c r="AX63" i="9"/>
  <c r="AW63" i="9"/>
  <c r="AV63" i="9"/>
  <c r="AU63" i="9"/>
  <c r="AT63" i="9"/>
  <c r="AS63" i="9"/>
  <c r="AR63" i="9"/>
  <c r="AQ63" i="9"/>
  <c r="AP63" i="9"/>
  <c r="AO63" i="9"/>
  <c r="AN63" i="9"/>
  <c r="AM63" i="9"/>
  <c r="AL63" i="9"/>
  <c r="AK63" i="9"/>
  <c r="AJ63" i="9"/>
  <c r="AI63" i="9"/>
  <c r="AH63" i="9"/>
  <c r="AG63" i="9"/>
  <c r="AF63" i="9"/>
  <c r="AE63" i="9"/>
  <c r="AD63" i="9"/>
  <c r="AC63" i="9"/>
  <c r="AB63" i="9"/>
  <c r="AA63" i="9"/>
  <c r="Z63" i="9"/>
  <c r="Y63" i="9"/>
  <c r="X63" i="9"/>
  <c r="W63" i="9"/>
  <c r="V63" i="9"/>
  <c r="U63" i="9"/>
  <c r="T63" i="9"/>
  <c r="S63" i="9"/>
  <c r="R63" i="9"/>
  <c r="Q63" i="9"/>
  <c r="P63" i="9"/>
  <c r="O63" i="9"/>
  <c r="N63" i="9"/>
  <c r="M63" i="9"/>
  <c r="L63" i="9"/>
  <c r="K63" i="9"/>
  <c r="J63" i="9"/>
  <c r="I63" i="9"/>
  <c r="H63" i="9"/>
  <c r="G63" i="9"/>
  <c r="F63" i="9"/>
  <c r="E63" i="9"/>
  <c r="D63" i="9"/>
  <c r="C63" i="9"/>
  <c r="B63" i="9"/>
  <c r="AZ63" i="9" s="1"/>
  <c r="AY62" i="9"/>
  <c r="AX62" i="9"/>
  <c r="AW62" i="9"/>
  <c r="AV62" i="9"/>
  <c r="AU62" i="9"/>
  <c r="AT62" i="9"/>
  <c r="AS62" i="9"/>
  <c r="AR62" i="9"/>
  <c r="AQ62" i="9"/>
  <c r="AP62" i="9"/>
  <c r="AO62" i="9"/>
  <c r="AN62" i="9"/>
  <c r="AM62" i="9"/>
  <c r="AL62" i="9"/>
  <c r="AK62" i="9"/>
  <c r="AJ62" i="9"/>
  <c r="AI62" i="9"/>
  <c r="AH62" i="9"/>
  <c r="AG62" i="9"/>
  <c r="AF62" i="9"/>
  <c r="AE62" i="9"/>
  <c r="AD62" i="9"/>
  <c r="AC62" i="9"/>
  <c r="AB62" i="9"/>
  <c r="AA62" i="9"/>
  <c r="Z62" i="9"/>
  <c r="Y62" i="9"/>
  <c r="X62" i="9"/>
  <c r="W62" i="9"/>
  <c r="V62" i="9"/>
  <c r="U62" i="9"/>
  <c r="T62" i="9"/>
  <c r="S62" i="9"/>
  <c r="R62" i="9"/>
  <c r="Q62" i="9"/>
  <c r="P62" i="9"/>
  <c r="O62" i="9"/>
  <c r="N62" i="9"/>
  <c r="M62" i="9"/>
  <c r="L62" i="9"/>
  <c r="K62" i="9"/>
  <c r="J62" i="9"/>
  <c r="I62" i="9"/>
  <c r="H62" i="9"/>
  <c r="G62" i="9"/>
  <c r="F62" i="9"/>
  <c r="E62" i="9"/>
  <c r="D62" i="9"/>
  <c r="C62" i="9"/>
  <c r="B62" i="9"/>
  <c r="AZ62" i="9" s="1"/>
  <c r="AY63" i="8"/>
  <c r="AX63" i="8"/>
  <c r="AW63" i="8"/>
  <c r="AV63" i="8"/>
  <c r="AU63" i="8"/>
  <c r="AT63" i="8"/>
  <c r="AS63" i="8"/>
  <c r="AR63" i="8"/>
  <c r="AQ63" i="8"/>
  <c r="AP63" i="8"/>
  <c r="AO63" i="8"/>
  <c r="AN63" i="8"/>
  <c r="AM63" i="8"/>
  <c r="AL63" i="8"/>
  <c r="AK63" i="8"/>
  <c r="AJ63" i="8"/>
  <c r="AI63" i="8"/>
  <c r="AH63" i="8"/>
  <c r="AG63" i="8"/>
  <c r="AF63" i="8"/>
  <c r="AE63" i="8"/>
  <c r="AD63" i="8"/>
  <c r="AC63" i="8"/>
  <c r="AB63" i="8"/>
  <c r="AA63" i="8"/>
  <c r="Z63" i="8"/>
  <c r="Y63" i="8"/>
  <c r="X63" i="8"/>
  <c r="W63" i="8"/>
  <c r="V63" i="8"/>
  <c r="U63" i="8"/>
  <c r="T63" i="8"/>
  <c r="S63" i="8"/>
  <c r="R63" i="8"/>
  <c r="Q63" i="8"/>
  <c r="P63" i="8"/>
  <c r="O63" i="8"/>
  <c r="N63" i="8"/>
  <c r="M63" i="8"/>
  <c r="L63" i="8"/>
  <c r="K63" i="8"/>
  <c r="J63" i="8"/>
  <c r="I63" i="8"/>
  <c r="H63" i="8"/>
  <c r="G63" i="8"/>
  <c r="F63" i="8"/>
  <c r="E63" i="8"/>
  <c r="D63" i="8"/>
  <c r="C63" i="8"/>
  <c r="B63" i="8"/>
  <c r="AZ63" i="8" s="1"/>
  <c r="AY62" i="8"/>
  <c r="AX62" i="8"/>
  <c r="AW62" i="8"/>
  <c r="AV62" i="8"/>
  <c r="AU62" i="8"/>
  <c r="AT62" i="8"/>
  <c r="AS62" i="8"/>
  <c r="AR62" i="8"/>
  <c r="AQ62" i="8"/>
  <c r="AP62" i="8"/>
  <c r="AO62" i="8"/>
  <c r="AN62" i="8"/>
  <c r="AM62" i="8"/>
  <c r="AL62" i="8"/>
  <c r="AK62" i="8"/>
  <c r="AJ62" i="8"/>
  <c r="AI62" i="8"/>
  <c r="AH62" i="8"/>
  <c r="AG62" i="8"/>
  <c r="AF62" i="8"/>
  <c r="AE62" i="8"/>
  <c r="AD62" i="8"/>
  <c r="AC62" i="8"/>
  <c r="AB62" i="8"/>
  <c r="AA62" i="8"/>
  <c r="Z62" i="8"/>
  <c r="Y62" i="8"/>
  <c r="X62" i="8"/>
  <c r="W62" i="8"/>
  <c r="V62" i="8"/>
  <c r="U62" i="8"/>
  <c r="T62" i="8"/>
  <c r="S62" i="8"/>
  <c r="R62" i="8"/>
  <c r="Q62" i="8"/>
  <c r="P62" i="8"/>
  <c r="O62" i="8"/>
  <c r="N62" i="8"/>
  <c r="M62" i="8"/>
  <c r="L62" i="8"/>
  <c r="K62" i="8"/>
  <c r="J62" i="8"/>
  <c r="I62" i="8"/>
  <c r="H62" i="8"/>
  <c r="G62" i="8"/>
  <c r="F62" i="8"/>
  <c r="E62" i="8"/>
  <c r="D62" i="8"/>
  <c r="C62" i="8"/>
  <c r="B62" i="8"/>
  <c r="AZ62" i="8" s="1"/>
  <c r="AY63" i="7"/>
  <c r="AX63" i="7"/>
  <c r="AW63" i="7"/>
  <c r="AV63" i="7"/>
  <c r="AU63" i="7"/>
  <c r="AT63" i="7"/>
  <c r="AS63" i="7"/>
  <c r="AR63" i="7"/>
  <c r="AQ63" i="7"/>
  <c r="AP63" i="7"/>
  <c r="AO63" i="7"/>
  <c r="AN63" i="7"/>
  <c r="AM63" i="7"/>
  <c r="AL63" i="7"/>
  <c r="AK63" i="7"/>
  <c r="AJ63" i="7"/>
  <c r="AI63" i="7"/>
  <c r="AH63" i="7"/>
  <c r="AG63" i="7"/>
  <c r="AF63" i="7"/>
  <c r="AE63" i="7"/>
  <c r="AD63" i="7"/>
  <c r="AC63" i="7"/>
  <c r="AB63" i="7"/>
  <c r="AA63" i="7"/>
  <c r="Z63" i="7"/>
  <c r="Y63" i="7"/>
  <c r="X63" i="7"/>
  <c r="W63" i="7"/>
  <c r="V63" i="7"/>
  <c r="U63" i="7"/>
  <c r="T63" i="7"/>
  <c r="S63" i="7"/>
  <c r="R63" i="7"/>
  <c r="Q63" i="7"/>
  <c r="P63" i="7"/>
  <c r="O63" i="7"/>
  <c r="N63" i="7"/>
  <c r="M63" i="7"/>
  <c r="L63" i="7"/>
  <c r="K63" i="7"/>
  <c r="J63" i="7"/>
  <c r="I63" i="7"/>
  <c r="H63" i="7"/>
  <c r="G63" i="7"/>
  <c r="F63" i="7"/>
  <c r="E63" i="7"/>
  <c r="D63" i="7"/>
  <c r="C63" i="7"/>
  <c r="B63" i="7"/>
  <c r="AZ63" i="7" s="1"/>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D62" i="7"/>
  <c r="AZ62" i="7" s="1"/>
  <c r="C62" i="7"/>
  <c r="B62" i="7"/>
  <c r="BD63" i="6"/>
  <c r="BC63" i="6"/>
  <c r="BD62" i="6"/>
  <c r="BC62" i="6"/>
  <c r="BE62" i="6" s="1"/>
  <c r="BD63" i="5"/>
  <c r="BC63" i="5"/>
  <c r="BE63" i="5" s="1"/>
  <c r="BD62" i="5"/>
  <c r="BC62" i="5"/>
  <c r="BD63" i="4"/>
  <c r="BC63" i="4"/>
  <c r="BD62" i="4"/>
  <c r="BC62" i="4"/>
  <c r="BE62" i="4" s="1"/>
  <c r="AY61" i="9"/>
  <c r="AX61" i="9"/>
  <c r="AW61" i="9"/>
  <c r="AV61" i="9"/>
  <c r="AU61" i="9"/>
  <c r="AT61" i="9"/>
  <c r="AS61" i="9"/>
  <c r="AR61" i="9"/>
  <c r="AQ61" i="9"/>
  <c r="AP61" i="9"/>
  <c r="AO61" i="9"/>
  <c r="AN61" i="9"/>
  <c r="AM61" i="9"/>
  <c r="AL61" i="9"/>
  <c r="AK61" i="9"/>
  <c r="AJ61" i="9"/>
  <c r="AI61" i="9"/>
  <c r="AH61" i="9"/>
  <c r="AG61" i="9"/>
  <c r="AF61" i="9"/>
  <c r="AE61" i="9"/>
  <c r="AD61" i="9"/>
  <c r="AC61" i="9"/>
  <c r="AB61" i="9"/>
  <c r="AA61" i="9"/>
  <c r="Z61" i="9"/>
  <c r="Y61" i="9"/>
  <c r="X61" i="9"/>
  <c r="W61" i="9"/>
  <c r="V61" i="9"/>
  <c r="U61" i="9"/>
  <c r="T61" i="9"/>
  <c r="S61" i="9"/>
  <c r="R61" i="9"/>
  <c r="Q61" i="9"/>
  <c r="P61" i="9"/>
  <c r="O61" i="9"/>
  <c r="N61" i="9"/>
  <c r="M61" i="9"/>
  <c r="L61" i="9"/>
  <c r="K61" i="9"/>
  <c r="J61" i="9"/>
  <c r="I61" i="9"/>
  <c r="H61" i="9"/>
  <c r="G61" i="9"/>
  <c r="F61" i="9"/>
  <c r="E61" i="9"/>
  <c r="D61" i="9"/>
  <c r="C61" i="9"/>
  <c r="B61" i="9"/>
  <c r="AY60" i="9"/>
  <c r="AX60" i="9"/>
  <c r="AW60" i="9"/>
  <c r="AV60" i="9"/>
  <c r="AU60" i="9"/>
  <c r="AT60" i="9"/>
  <c r="AS60" i="9"/>
  <c r="AR60" i="9"/>
  <c r="AQ60" i="9"/>
  <c r="AP60" i="9"/>
  <c r="AO60" i="9"/>
  <c r="AN60" i="9"/>
  <c r="AM60" i="9"/>
  <c r="AL60" i="9"/>
  <c r="AK60" i="9"/>
  <c r="AJ60" i="9"/>
  <c r="AI60" i="9"/>
  <c r="AH60" i="9"/>
  <c r="AG60" i="9"/>
  <c r="AF60" i="9"/>
  <c r="AE60" i="9"/>
  <c r="AD60" i="9"/>
  <c r="AC60" i="9"/>
  <c r="AB60" i="9"/>
  <c r="AA60" i="9"/>
  <c r="Z60" i="9"/>
  <c r="Y60" i="9"/>
  <c r="X60" i="9"/>
  <c r="W60" i="9"/>
  <c r="V60" i="9"/>
  <c r="U60" i="9"/>
  <c r="T60" i="9"/>
  <c r="S60" i="9"/>
  <c r="R60" i="9"/>
  <c r="Q60" i="9"/>
  <c r="P60" i="9"/>
  <c r="O60" i="9"/>
  <c r="N60" i="9"/>
  <c r="M60" i="9"/>
  <c r="L60" i="9"/>
  <c r="K60" i="9"/>
  <c r="J60" i="9"/>
  <c r="I60" i="9"/>
  <c r="H60" i="9"/>
  <c r="G60" i="9"/>
  <c r="F60" i="9"/>
  <c r="E60" i="9"/>
  <c r="D60" i="9"/>
  <c r="C60" i="9"/>
  <c r="B60" i="9"/>
  <c r="AY61" i="8"/>
  <c r="AX61" i="8"/>
  <c r="AW61" i="8"/>
  <c r="AV61" i="8"/>
  <c r="AU61" i="8"/>
  <c r="AT61" i="8"/>
  <c r="AS61" i="8"/>
  <c r="AR61" i="8"/>
  <c r="AQ61" i="8"/>
  <c r="AP61" i="8"/>
  <c r="AO61" i="8"/>
  <c r="AN61" i="8"/>
  <c r="AM61" i="8"/>
  <c r="AL61" i="8"/>
  <c r="AK61" i="8"/>
  <c r="AJ61" i="8"/>
  <c r="AI61" i="8"/>
  <c r="AH61" i="8"/>
  <c r="AG61" i="8"/>
  <c r="AF61" i="8"/>
  <c r="AE61" i="8"/>
  <c r="AD61" i="8"/>
  <c r="AC61" i="8"/>
  <c r="AB61" i="8"/>
  <c r="AA61" i="8"/>
  <c r="Z61" i="8"/>
  <c r="Y61" i="8"/>
  <c r="X61" i="8"/>
  <c r="W61" i="8"/>
  <c r="V61" i="8"/>
  <c r="U61" i="8"/>
  <c r="T61" i="8"/>
  <c r="S61" i="8"/>
  <c r="R61" i="8"/>
  <c r="Q61" i="8"/>
  <c r="P61" i="8"/>
  <c r="O61" i="8"/>
  <c r="N61" i="8"/>
  <c r="M61" i="8"/>
  <c r="L61" i="8"/>
  <c r="K61" i="8"/>
  <c r="J61" i="8"/>
  <c r="I61" i="8"/>
  <c r="H61" i="8"/>
  <c r="G61" i="8"/>
  <c r="F61" i="8"/>
  <c r="E61" i="8"/>
  <c r="D61" i="8"/>
  <c r="C61" i="8"/>
  <c r="B61" i="8"/>
  <c r="AY60" i="8"/>
  <c r="AX60" i="8"/>
  <c r="AW60" i="8"/>
  <c r="AV60" i="8"/>
  <c r="AU60" i="8"/>
  <c r="AT60" i="8"/>
  <c r="AS60" i="8"/>
  <c r="AR60" i="8"/>
  <c r="AQ60" i="8"/>
  <c r="AP60" i="8"/>
  <c r="AO60" i="8"/>
  <c r="AN60" i="8"/>
  <c r="AM60" i="8"/>
  <c r="AL60" i="8"/>
  <c r="AK60" i="8"/>
  <c r="AJ60" i="8"/>
  <c r="AI60" i="8"/>
  <c r="AH60" i="8"/>
  <c r="AG60" i="8"/>
  <c r="AF60" i="8"/>
  <c r="AE60" i="8"/>
  <c r="AD60" i="8"/>
  <c r="AC60" i="8"/>
  <c r="AB60" i="8"/>
  <c r="AA60" i="8"/>
  <c r="Z60" i="8"/>
  <c r="Y60" i="8"/>
  <c r="X60" i="8"/>
  <c r="W60" i="8"/>
  <c r="V60" i="8"/>
  <c r="U60" i="8"/>
  <c r="T60" i="8"/>
  <c r="S60" i="8"/>
  <c r="R60" i="8"/>
  <c r="Q60" i="8"/>
  <c r="P60" i="8"/>
  <c r="O60" i="8"/>
  <c r="N60" i="8"/>
  <c r="M60" i="8"/>
  <c r="L60" i="8"/>
  <c r="K60" i="8"/>
  <c r="J60" i="8"/>
  <c r="I60" i="8"/>
  <c r="H60" i="8"/>
  <c r="G60" i="8"/>
  <c r="F60" i="8"/>
  <c r="E60" i="8"/>
  <c r="D60" i="8"/>
  <c r="C60" i="8"/>
  <c r="B60" i="8"/>
  <c r="AY61" i="7"/>
  <c r="AX61" i="7"/>
  <c r="AW61" i="7"/>
  <c r="AV61" i="7"/>
  <c r="AU61" i="7"/>
  <c r="AT61" i="7"/>
  <c r="AS61" i="7"/>
  <c r="AR61" i="7"/>
  <c r="AQ61" i="7"/>
  <c r="AP61" i="7"/>
  <c r="AO61" i="7"/>
  <c r="AN61" i="7"/>
  <c r="AM61" i="7"/>
  <c r="AL61" i="7"/>
  <c r="AK61" i="7"/>
  <c r="AJ61" i="7"/>
  <c r="AI61" i="7"/>
  <c r="AH61" i="7"/>
  <c r="AG61" i="7"/>
  <c r="AF61" i="7"/>
  <c r="AE61" i="7"/>
  <c r="AD61" i="7"/>
  <c r="AC61" i="7"/>
  <c r="AB61" i="7"/>
  <c r="AA61" i="7"/>
  <c r="Z61" i="7"/>
  <c r="Y61" i="7"/>
  <c r="X61" i="7"/>
  <c r="W61" i="7"/>
  <c r="V61" i="7"/>
  <c r="U61" i="7"/>
  <c r="T61" i="7"/>
  <c r="S61" i="7"/>
  <c r="R61" i="7"/>
  <c r="Q61" i="7"/>
  <c r="P61" i="7"/>
  <c r="O61" i="7"/>
  <c r="N61" i="7"/>
  <c r="M61" i="7"/>
  <c r="L61" i="7"/>
  <c r="K61" i="7"/>
  <c r="J61" i="7"/>
  <c r="I61" i="7"/>
  <c r="H61" i="7"/>
  <c r="G61" i="7"/>
  <c r="F61" i="7"/>
  <c r="E61" i="7"/>
  <c r="D61" i="7"/>
  <c r="C61" i="7"/>
  <c r="B61" i="7"/>
  <c r="AY60" i="7"/>
  <c r="AX60" i="7"/>
  <c r="AW60" i="7"/>
  <c r="AV60" i="7"/>
  <c r="AU60" i="7"/>
  <c r="AT60" i="7"/>
  <c r="AS60" i="7"/>
  <c r="AR60" i="7"/>
  <c r="AQ60" i="7"/>
  <c r="AP60" i="7"/>
  <c r="AO60" i="7"/>
  <c r="AN60" i="7"/>
  <c r="AM60" i="7"/>
  <c r="AL60" i="7"/>
  <c r="AK60" i="7"/>
  <c r="AJ60" i="7"/>
  <c r="AI60" i="7"/>
  <c r="AH60" i="7"/>
  <c r="AG60" i="7"/>
  <c r="AF60" i="7"/>
  <c r="AE60" i="7"/>
  <c r="AD60" i="7"/>
  <c r="AC60" i="7"/>
  <c r="AB60" i="7"/>
  <c r="AA60" i="7"/>
  <c r="Z60" i="7"/>
  <c r="Y60" i="7"/>
  <c r="X60" i="7"/>
  <c r="W60" i="7"/>
  <c r="V60" i="7"/>
  <c r="U60" i="7"/>
  <c r="T60" i="7"/>
  <c r="S60" i="7"/>
  <c r="R60" i="7"/>
  <c r="Q60" i="7"/>
  <c r="P60" i="7"/>
  <c r="O60" i="7"/>
  <c r="N60" i="7"/>
  <c r="M60" i="7"/>
  <c r="L60" i="7"/>
  <c r="K60" i="7"/>
  <c r="J60" i="7"/>
  <c r="I60" i="7"/>
  <c r="H60" i="7"/>
  <c r="G60" i="7"/>
  <c r="F60" i="7"/>
  <c r="E60" i="7"/>
  <c r="D60" i="7"/>
  <c r="C60" i="7"/>
  <c r="B60" i="7"/>
  <c r="BD61" i="6"/>
  <c r="BE61" i="6" s="1"/>
  <c r="BC61" i="6"/>
  <c r="BD60" i="6"/>
  <c r="BC60" i="6"/>
  <c r="BE60" i="6" s="1"/>
  <c r="BD61" i="5"/>
  <c r="BC61" i="5"/>
  <c r="BD60" i="5"/>
  <c r="BC60" i="5"/>
  <c r="BE60" i="5" s="1"/>
  <c r="BD61" i="4"/>
  <c r="BC61" i="4"/>
  <c r="BD60" i="4"/>
  <c r="BE60" i="4" s="1"/>
  <c r="BC60" i="4"/>
  <c r="L33" i="9"/>
  <c r="L49" i="9"/>
  <c r="L23" i="8"/>
  <c r="L39" i="8"/>
  <c r="L55" i="8"/>
  <c r="L13" i="7"/>
  <c r="L45" i="7"/>
  <c r="B19" i="3"/>
  <c r="C19" i="3"/>
  <c r="D19" i="3"/>
  <c r="E19" i="3"/>
  <c r="F19" i="3"/>
  <c r="G19" i="3"/>
  <c r="H19" i="3"/>
  <c r="I19" i="3"/>
  <c r="J19" i="3"/>
  <c r="K19" i="3"/>
  <c r="L19" i="3"/>
  <c r="N19" i="3"/>
  <c r="O19" i="3"/>
  <c r="P19" i="3"/>
  <c r="Q19" i="3"/>
  <c r="R19" i="3"/>
  <c r="S19" i="3"/>
  <c r="T19" i="3"/>
  <c r="U19" i="3"/>
  <c r="V19" i="3"/>
  <c r="W19" i="3"/>
  <c r="X19" i="3"/>
  <c r="Y19" i="3"/>
  <c r="Z19" i="3"/>
  <c r="AA19" i="3"/>
  <c r="AB19" i="3"/>
  <c r="AC19" i="3"/>
  <c r="AD19" i="3"/>
  <c r="AE19" i="3"/>
  <c r="AF19" i="3"/>
  <c r="AG19" i="3"/>
  <c r="AH19" i="3"/>
  <c r="AI19" i="3"/>
  <c r="AJ19" i="3"/>
  <c r="AK19" i="3"/>
  <c r="AL19" i="3"/>
  <c r="AM19" i="3"/>
  <c r="AN19" i="3"/>
  <c r="AO19" i="3"/>
  <c r="AP19" i="3"/>
  <c r="AQ19" i="3"/>
  <c r="AR19" i="3"/>
  <c r="AS19" i="3"/>
  <c r="AT19" i="3"/>
  <c r="AU19" i="3"/>
  <c r="AV19" i="3"/>
  <c r="AW19" i="3"/>
  <c r="AX19" i="3"/>
  <c r="AY19" i="3"/>
  <c r="AZ19" i="3"/>
  <c r="BA19" i="3"/>
  <c r="BB19" i="3"/>
  <c r="M5" i="3"/>
  <c r="M19" i="3" s="1"/>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8" i="3"/>
  <c r="M17" i="3"/>
  <c r="M16" i="3"/>
  <c r="M15" i="3"/>
  <c r="M14" i="3"/>
  <c r="M13" i="3"/>
  <c r="M12" i="3"/>
  <c r="M11" i="3"/>
  <c r="M10" i="3"/>
  <c r="M6" i="3"/>
  <c r="M9" i="3" s="1"/>
  <c r="N58" i="9"/>
  <c r="AV56" i="9"/>
  <c r="AK56" i="9"/>
  <c r="AG59" i="8"/>
  <c r="V59" i="8"/>
  <c r="R58" i="8"/>
  <c r="F58" i="8"/>
  <c r="AO56" i="8"/>
  <c r="AK59" i="7"/>
  <c r="Z59" i="7"/>
  <c r="V58" i="7"/>
  <c r="J58" i="7"/>
  <c r="AA57" i="7"/>
  <c r="AR56" i="7"/>
  <c r="AK56" i="7"/>
  <c r="K56" i="7"/>
  <c r="D56" i="7"/>
  <c r="BC59" i="6"/>
  <c r="BC58" i="6"/>
  <c r="BD57" i="6"/>
  <c r="BC57" i="6"/>
  <c r="BE57" i="6" s="1"/>
  <c r="BC56" i="6"/>
  <c r="BC59" i="5"/>
  <c r="BC58" i="5"/>
  <c r="BD57" i="5"/>
  <c r="BC57" i="5"/>
  <c r="BC56" i="5"/>
  <c r="BC59" i="4"/>
  <c r="BC58" i="4"/>
  <c r="BD57" i="4"/>
  <c r="BC57" i="4"/>
  <c r="BC56" i="4"/>
  <c r="AH5" i="3"/>
  <c r="AH35" i="3" s="1"/>
  <c r="AH6" i="3"/>
  <c r="AH58" i="3"/>
  <c r="AH57" i="3"/>
  <c r="AH56" i="3"/>
  <c r="AH55" i="3"/>
  <c r="AH54" i="3"/>
  <c r="AH53" i="3"/>
  <c r="AH52" i="3"/>
  <c r="AH51" i="3"/>
  <c r="AH50" i="3"/>
  <c r="AH49" i="3"/>
  <c r="AH48" i="3"/>
  <c r="AH47" i="3"/>
  <c r="AH46" i="3"/>
  <c r="AH45" i="3"/>
  <c r="AH44" i="3"/>
  <c r="AH43" i="3"/>
  <c r="AH42" i="3"/>
  <c r="AH41" i="3"/>
  <c r="AH40" i="3"/>
  <c r="AH39" i="3"/>
  <c r="AH38" i="3"/>
  <c r="AH37" i="3"/>
  <c r="AH36" i="3"/>
  <c r="AH34" i="3"/>
  <c r="AH33" i="3"/>
  <c r="AH32" i="3"/>
  <c r="AH31" i="3"/>
  <c r="AH30" i="3"/>
  <c r="AH29" i="3"/>
  <c r="AH28" i="3"/>
  <c r="AH27" i="3"/>
  <c r="AH26" i="3"/>
  <c r="AH25" i="3"/>
  <c r="AH24" i="3"/>
  <c r="AH23" i="3"/>
  <c r="AH22" i="3"/>
  <c r="AH21" i="3"/>
  <c r="AH20" i="3"/>
  <c r="AH18" i="3"/>
  <c r="AH17" i="3"/>
  <c r="AH16" i="3"/>
  <c r="AH15" i="3"/>
  <c r="AH14" i="3"/>
  <c r="AH13" i="3"/>
  <c r="AH12" i="3"/>
  <c r="AH11" i="3"/>
  <c r="AH10" i="3"/>
  <c r="AH9" i="3"/>
  <c r="BC55" i="6"/>
  <c r="BC54" i="6"/>
  <c r="BC53" i="6"/>
  <c r="BC52" i="6"/>
  <c r="BC51" i="6"/>
  <c r="BC50" i="6"/>
  <c r="BC49" i="6"/>
  <c r="BC48" i="6"/>
  <c r="BC47" i="6"/>
  <c r="BC46" i="6"/>
  <c r="BC45" i="6"/>
  <c r="BC55" i="5"/>
  <c r="BC54" i="5"/>
  <c r="BC53" i="5"/>
  <c r="BC52" i="5"/>
  <c r="BC51" i="5"/>
  <c r="BC50" i="5"/>
  <c r="BC49" i="5"/>
  <c r="BC48" i="5"/>
  <c r="BC47" i="5"/>
  <c r="BC46" i="5"/>
  <c r="BC45" i="5"/>
  <c r="BC55" i="4"/>
  <c r="BC54" i="4"/>
  <c r="BC53" i="4"/>
  <c r="BC52" i="4"/>
  <c r="BC51" i="4"/>
  <c r="BC50" i="4"/>
  <c r="BC49" i="4"/>
  <c r="BC48" i="4"/>
  <c r="BC47" i="4"/>
  <c r="BC46" i="4"/>
  <c r="BC45" i="4"/>
  <c r="U5" i="3"/>
  <c r="V5" i="3"/>
  <c r="V28" i="3" s="1"/>
  <c r="V58" i="3"/>
  <c r="U58" i="3"/>
  <c r="V57" i="3"/>
  <c r="U57" i="3"/>
  <c r="V56" i="3"/>
  <c r="U56" i="3"/>
  <c r="V55" i="3"/>
  <c r="U55" i="3"/>
  <c r="V54" i="3"/>
  <c r="U54" i="3"/>
  <c r="V53" i="3"/>
  <c r="U53" i="3"/>
  <c r="V52" i="3"/>
  <c r="U52" i="3"/>
  <c r="V51" i="3"/>
  <c r="U51" i="3"/>
  <c r="V50" i="3"/>
  <c r="U50" i="3"/>
  <c r="V49" i="3"/>
  <c r="U49" i="3"/>
  <c r="V48" i="3"/>
  <c r="U48" i="3"/>
  <c r="V47" i="3"/>
  <c r="U47" i="3"/>
  <c r="V46" i="3"/>
  <c r="U46" i="3"/>
  <c r="V45" i="3"/>
  <c r="U45" i="3"/>
  <c r="V44" i="3"/>
  <c r="U44" i="3"/>
  <c r="V43" i="3"/>
  <c r="U43" i="3"/>
  <c r="V42" i="3"/>
  <c r="U42" i="3"/>
  <c r="V41" i="3"/>
  <c r="U41" i="3"/>
  <c r="V40" i="3"/>
  <c r="U40" i="3"/>
  <c r="V39" i="3"/>
  <c r="U39" i="3"/>
  <c r="V38" i="3"/>
  <c r="U38" i="3"/>
  <c r="V37" i="3"/>
  <c r="U37" i="3"/>
  <c r="V36" i="3"/>
  <c r="U36" i="3"/>
  <c r="V35" i="3"/>
  <c r="U35" i="3"/>
  <c r="V34" i="3"/>
  <c r="U34" i="3"/>
  <c r="V33" i="3"/>
  <c r="U33" i="3"/>
  <c r="V32" i="3"/>
  <c r="U32" i="3"/>
  <c r="V31" i="3"/>
  <c r="U31" i="3"/>
  <c r="V30" i="3"/>
  <c r="U30" i="3"/>
  <c r="V29" i="3"/>
  <c r="U29" i="3"/>
  <c r="U28" i="3"/>
  <c r="V27" i="3"/>
  <c r="V26" i="3"/>
  <c r="U26" i="3"/>
  <c r="V25" i="3"/>
  <c r="U25" i="3"/>
  <c r="V24" i="3"/>
  <c r="U24" i="3"/>
  <c r="V23" i="3"/>
  <c r="U23" i="3"/>
  <c r="V22" i="3"/>
  <c r="U22" i="3"/>
  <c r="V21" i="3"/>
  <c r="U21" i="3"/>
  <c r="V20" i="3"/>
  <c r="U20" i="3"/>
  <c r="V18" i="3"/>
  <c r="U18" i="3"/>
  <c r="V17" i="3"/>
  <c r="U17" i="3"/>
  <c r="V16" i="3"/>
  <c r="U16" i="3"/>
  <c r="V15" i="3"/>
  <c r="U15" i="3"/>
  <c r="V14" i="3"/>
  <c r="U14" i="3"/>
  <c r="V13" i="3"/>
  <c r="U13" i="3"/>
  <c r="V12" i="3"/>
  <c r="U12" i="3"/>
  <c r="V11" i="3"/>
  <c r="U11" i="3"/>
  <c r="V10" i="3"/>
  <c r="U10" i="3"/>
  <c r="V6" i="3"/>
  <c r="V9" i="3" s="1"/>
  <c r="B27" i="3"/>
  <c r="C27" i="3"/>
  <c r="D27" i="3"/>
  <c r="E27" i="3"/>
  <c r="F27" i="3"/>
  <c r="G27" i="3"/>
  <c r="H27" i="3"/>
  <c r="I27" i="3"/>
  <c r="J27" i="3"/>
  <c r="K27" i="3"/>
  <c r="L27" i="3"/>
  <c r="N27" i="3"/>
  <c r="O27" i="3"/>
  <c r="P27" i="3"/>
  <c r="Q27" i="3"/>
  <c r="R27" i="3"/>
  <c r="S27" i="3"/>
  <c r="T27" i="3"/>
  <c r="W27" i="3"/>
  <c r="X27" i="3"/>
  <c r="Y27" i="3"/>
  <c r="Z27" i="3"/>
  <c r="AA27" i="3"/>
  <c r="AB27" i="3"/>
  <c r="AC27" i="3"/>
  <c r="AD27" i="3"/>
  <c r="AE27" i="3"/>
  <c r="AF27" i="3"/>
  <c r="AG27" i="3"/>
  <c r="AI27" i="3"/>
  <c r="AJ27" i="3"/>
  <c r="AK27" i="3"/>
  <c r="AL27" i="3"/>
  <c r="AM27" i="3"/>
  <c r="AN27" i="3"/>
  <c r="AO27" i="3"/>
  <c r="AP27" i="3"/>
  <c r="AQ27" i="3"/>
  <c r="AR27" i="3"/>
  <c r="AS27" i="3"/>
  <c r="AT27" i="3"/>
  <c r="AU27" i="3"/>
  <c r="AV27" i="3"/>
  <c r="AW27" i="3"/>
  <c r="AX27" i="3"/>
  <c r="AY27" i="3"/>
  <c r="AZ27" i="3"/>
  <c r="BA27" i="3"/>
  <c r="BB27" i="3"/>
  <c r="B28" i="3"/>
  <c r="C28" i="3"/>
  <c r="D28" i="3"/>
  <c r="E28" i="3"/>
  <c r="F28" i="3"/>
  <c r="G28" i="3"/>
  <c r="U59" i="7" s="1"/>
  <c r="H28" i="3"/>
  <c r="I28" i="3"/>
  <c r="J28" i="3"/>
  <c r="K28" i="3"/>
  <c r="L28" i="3"/>
  <c r="N28" i="3"/>
  <c r="O28" i="3"/>
  <c r="P28" i="3"/>
  <c r="Q28" i="3"/>
  <c r="R28" i="3"/>
  <c r="S28" i="3"/>
  <c r="T28" i="3"/>
  <c r="W28" i="3"/>
  <c r="X28" i="3"/>
  <c r="Y28" i="3"/>
  <c r="Z28" i="3"/>
  <c r="AA28" i="3"/>
  <c r="AB28" i="3"/>
  <c r="AC28" i="3"/>
  <c r="AD28" i="3"/>
  <c r="AE28" i="3"/>
  <c r="AF28" i="3"/>
  <c r="AG28" i="3"/>
  <c r="AI28" i="3"/>
  <c r="AJ28" i="3"/>
  <c r="AK28" i="3"/>
  <c r="AL28" i="3"/>
  <c r="AM28" i="3"/>
  <c r="AN28" i="3"/>
  <c r="AO28" i="3"/>
  <c r="AP28" i="3"/>
  <c r="AQ28" i="3"/>
  <c r="AR28" i="3"/>
  <c r="AS28" i="3"/>
  <c r="AT28" i="3"/>
  <c r="AU28" i="3"/>
  <c r="AV28" i="3"/>
  <c r="AW28" i="3"/>
  <c r="AX28" i="3"/>
  <c r="AY28" i="3"/>
  <c r="AZ28" i="3"/>
  <c r="BA28" i="3"/>
  <c r="BB28" i="3"/>
  <c r="BC44" i="6"/>
  <c r="BC43" i="6"/>
  <c r="BC42" i="6"/>
  <c r="BC41" i="6"/>
  <c r="BC40" i="6"/>
  <c r="BC39" i="6"/>
  <c r="BC38" i="6"/>
  <c r="BC37" i="6"/>
  <c r="BC36" i="6"/>
  <c r="BC35" i="6"/>
  <c r="BC34" i="6"/>
  <c r="BC33" i="6"/>
  <c r="BC32" i="6"/>
  <c r="BC31" i="6"/>
  <c r="BC30" i="6"/>
  <c r="BC29" i="6"/>
  <c r="BC28" i="6"/>
  <c r="BC44" i="5"/>
  <c r="BC43" i="5"/>
  <c r="BC42" i="5"/>
  <c r="BC41" i="5"/>
  <c r="BC40" i="5"/>
  <c r="BC39" i="5"/>
  <c r="BC38" i="5"/>
  <c r="BC37" i="5"/>
  <c r="BC36" i="5"/>
  <c r="BC35" i="5"/>
  <c r="BC34" i="5"/>
  <c r="BC33" i="5"/>
  <c r="BC32" i="5"/>
  <c r="BC31" i="5"/>
  <c r="BC30" i="5"/>
  <c r="BC29" i="5"/>
  <c r="BC28" i="5"/>
  <c r="BC44" i="4"/>
  <c r="BC43" i="4"/>
  <c r="BC42" i="4"/>
  <c r="BC41" i="4"/>
  <c r="BC40" i="4"/>
  <c r="BC39" i="4"/>
  <c r="BC38" i="4"/>
  <c r="BC37" i="4"/>
  <c r="BC36" i="4"/>
  <c r="BC35" i="4"/>
  <c r="BC34" i="4"/>
  <c r="BC33" i="4"/>
  <c r="BC32" i="4"/>
  <c r="BC31" i="4"/>
  <c r="BC30" i="4"/>
  <c r="BC29" i="4"/>
  <c r="BC28" i="4"/>
  <c r="D18" i="3"/>
  <c r="E18" i="3"/>
  <c r="K57" i="7" s="1"/>
  <c r="F18" i="3"/>
  <c r="G18" i="3"/>
  <c r="H18" i="3"/>
  <c r="I18" i="3"/>
  <c r="J18" i="3"/>
  <c r="K18" i="3"/>
  <c r="N18" i="3"/>
  <c r="O18" i="3"/>
  <c r="P18" i="3"/>
  <c r="Q18" i="3"/>
  <c r="R18" i="3"/>
  <c r="S18" i="3"/>
  <c r="T18" i="3"/>
  <c r="W18" i="3"/>
  <c r="X18" i="3"/>
  <c r="Y18" i="3"/>
  <c r="Z18" i="3"/>
  <c r="AA18" i="3"/>
  <c r="AB18" i="3"/>
  <c r="AC18" i="3"/>
  <c r="AD18" i="3"/>
  <c r="AE18" i="3"/>
  <c r="AF18" i="3"/>
  <c r="AG18" i="3"/>
  <c r="AI18" i="3"/>
  <c r="AJ18" i="3"/>
  <c r="AK18" i="3"/>
  <c r="AL18" i="3"/>
  <c r="AM18" i="3"/>
  <c r="AN18" i="3"/>
  <c r="AO18" i="3"/>
  <c r="AP18" i="3"/>
  <c r="AQ18" i="3"/>
  <c r="AR18" i="3"/>
  <c r="AS18" i="3"/>
  <c r="AT18" i="3"/>
  <c r="AU18" i="3"/>
  <c r="AV18" i="3"/>
  <c r="AW18" i="3"/>
  <c r="AX18" i="3"/>
  <c r="AY18" i="3"/>
  <c r="AZ18" i="3"/>
  <c r="BA18" i="3"/>
  <c r="BB18" i="3"/>
  <c r="B18" i="3"/>
  <c r="C18" i="3"/>
  <c r="L5" i="3"/>
  <c r="L18" i="3" s="1"/>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6" i="3"/>
  <c r="L25" i="3"/>
  <c r="L24" i="3"/>
  <c r="L23" i="3"/>
  <c r="L22" i="3"/>
  <c r="L21" i="3"/>
  <c r="L20" i="3"/>
  <c r="L17" i="3"/>
  <c r="L16" i="3"/>
  <c r="L15" i="3"/>
  <c r="L14" i="3"/>
  <c r="L13" i="3"/>
  <c r="L12" i="3"/>
  <c r="L11" i="3"/>
  <c r="L10" i="3"/>
  <c r="BC27" i="6"/>
  <c r="BC27" i="5"/>
  <c r="BC27" i="4"/>
  <c r="BC26" i="6"/>
  <c r="BC25" i="6"/>
  <c r="BC24" i="6"/>
  <c r="BC23" i="6"/>
  <c r="BC22" i="6"/>
  <c r="BC21" i="6"/>
  <c r="BC20" i="6"/>
  <c r="BC19" i="6"/>
  <c r="BC18" i="6"/>
  <c r="BC17" i="6"/>
  <c r="BC16" i="6"/>
  <c r="BC15" i="6"/>
  <c r="BC14" i="6"/>
  <c r="BC13" i="6"/>
  <c r="BC12" i="6"/>
  <c r="BC11" i="6"/>
  <c r="BC10" i="6"/>
  <c r="BC9" i="6"/>
  <c r="BC8" i="6"/>
  <c r="BC7" i="6"/>
  <c r="BC6" i="6"/>
  <c r="BC5" i="6"/>
  <c r="BC4" i="6"/>
  <c r="BC3" i="6"/>
  <c r="BC2" i="6"/>
  <c r="BC26" i="5"/>
  <c r="BC25" i="5"/>
  <c r="BC24" i="5"/>
  <c r="BC23" i="5"/>
  <c r="BC22" i="5"/>
  <c r="BC21" i="5"/>
  <c r="BC20" i="5"/>
  <c r="BC19" i="5"/>
  <c r="BC18" i="5"/>
  <c r="BC17" i="5"/>
  <c r="BC16" i="5"/>
  <c r="BC15" i="5"/>
  <c r="BC14" i="5"/>
  <c r="BC13" i="5"/>
  <c r="BC12" i="5"/>
  <c r="BC11" i="5"/>
  <c r="BC10" i="5"/>
  <c r="BC9" i="5"/>
  <c r="BC8" i="5"/>
  <c r="BC7" i="5"/>
  <c r="BC6" i="5"/>
  <c r="BC5" i="5"/>
  <c r="BC4" i="5"/>
  <c r="BC3" i="5"/>
  <c r="BC2" i="5"/>
  <c r="BC26" i="4"/>
  <c r="BC25" i="4"/>
  <c r="BC24" i="4"/>
  <c r="BC23" i="4"/>
  <c r="BC22" i="4"/>
  <c r="BC21" i="4"/>
  <c r="BC20" i="4"/>
  <c r="BC19" i="4"/>
  <c r="BC18" i="4"/>
  <c r="BC17" i="4"/>
  <c r="BC16" i="4"/>
  <c r="BC15" i="4"/>
  <c r="BC14" i="4"/>
  <c r="BC13" i="4"/>
  <c r="BC12" i="4"/>
  <c r="BC11" i="4"/>
  <c r="BC10" i="4"/>
  <c r="BC9" i="4"/>
  <c r="BC8" i="4"/>
  <c r="BC7" i="4"/>
  <c r="BC6" i="4"/>
  <c r="BC5" i="4"/>
  <c r="BC4" i="4"/>
  <c r="BC3" i="4"/>
  <c r="BC2" i="4"/>
  <c r="BA58" i="3"/>
  <c r="AZ58" i="3"/>
  <c r="AY58" i="3"/>
  <c r="AX58" i="3"/>
  <c r="AW58" i="3"/>
  <c r="AV58" i="3"/>
  <c r="AU58" i="3"/>
  <c r="AT58" i="3"/>
  <c r="AS58" i="3"/>
  <c r="AR58" i="3"/>
  <c r="AQ58" i="3"/>
  <c r="AP58" i="3"/>
  <c r="AO58" i="3"/>
  <c r="AN58" i="3"/>
  <c r="AM58" i="3"/>
  <c r="AL58" i="3"/>
  <c r="AK58" i="3"/>
  <c r="AJ58" i="3"/>
  <c r="AI58" i="3"/>
  <c r="AG58" i="3"/>
  <c r="AF58" i="3"/>
  <c r="AE58" i="3"/>
  <c r="AD58" i="3"/>
  <c r="AC58" i="3"/>
  <c r="AB58" i="3"/>
  <c r="AA58" i="3"/>
  <c r="Z58" i="3"/>
  <c r="Y58" i="3"/>
  <c r="X58" i="3"/>
  <c r="W58" i="3"/>
  <c r="T58" i="3"/>
  <c r="S58" i="3"/>
  <c r="R58" i="3"/>
  <c r="Q58" i="3"/>
  <c r="P58" i="3"/>
  <c r="O58" i="3"/>
  <c r="N58" i="3"/>
  <c r="K58" i="3"/>
  <c r="J58" i="3"/>
  <c r="I58" i="3"/>
  <c r="H58" i="3"/>
  <c r="G58" i="3"/>
  <c r="F58" i="3"/>
  <c r="E58" i="3"/>
  <c r="D58" i="3"/>
  <c r="C58" i="3"/>
  <c r="B58" i="3"/>
  <c r="BB57" i="3"/>
  <c r="AZ57" i="3"/>
  <c r="AY57" i="3"/>
  <c r="AX57" i="3"/>
  <c r="AW57" i="3"/>
  <c r="AV57" i="3"/>
  <c r="AU57" i="3"/>
  <c r="AT57" i="3"/>
  <c r="AS57" i="3"/>
  <c r="AR57" i="3"/>
  <c r="AQ57" i="3"/>
  <c r="AP57" i="3"/>
  <c r="AO57" i="3"/>
  <c r="AN57" i="3"/>
  <c r="AM57" i="3"/>
  <c r="AL57" i="3"/>
  <c r="AK57" i="3"/>
  <c r="AJ57" i="3"/>
  <c r="AI57" i="3"/>
  <c r="AG57" i="3"/>
  <c r="AF57" i="3"/>
  <c r="AE57" i="3"/>
  <c r="AD57" i="3"/>
  <c r="AC57" i="3"/>
  <c r="AB57" i="3"/>
  <c r="AA57" i="3"/>
  <c r="Z57" i="3"/>
  <c r="Y57" i="3"/>
  <c r="X57" i="3"/>
  <c r="W57" i="3"/>
  <c r="T57" i="3"/>
  <c r="S57" i="3"/>
  <c r="R57" i="3"/>
  <c r="Q57" i="3"/>
  <c r="P57" i="3"/>
  <c r="O57" i="3"/>
  <c r="N57" i="3"/>
  <c r="K57" i="3"/>
  <c r="J57" i="3"/>
  <c r="I57" i="3"/>
  <c r="AX59" i="9" s="1"/>
  <c r="H57" i="3"/>
  <c r="G57" i="3"/>
  <c r="F57" i="3"/>
  <c r="E57" i="3"/>
  <c r="D57" i="3"/>
  <c r="C57" i="3"/>
  <c r="B57" i="3"/>
  <c r="BB56" i="3"/>
  <c r="BA56" i="3"/>
  <c r="AY56" i="3"/>
  <c r="AX56" i="3"/>
  <c r="AW56" i="3"/>
  <c r="AV56" i="3"/>
  <c r="AU56" i="3"/>
  <c r="AT56" i="3"/>
  <c r="AS56" i="3"/>
  <c r="AR56" i="3"/>
  <c r="AQ56" i="3"/>
  <c r="AP56" i="3"/>
  <c r="AO56" i="3"/>
  <c r="AN56" i="3"/>
  <c r="AM56" i="3"/>
  <c r="AL56" i="3"/>
  <c r="AK56" i="3"/>
  <c r="AJ56" i="3"/>
  <c r="AI56" i="3"/>
  <c r="AG56" i="3"/>
  <c r="AF56" i="3"/>
  <c r="AE56" i="3"/>
  <c r="AD56" i="3"/>
  <c r="AC56" i="3"/>
  <c r="AB56" i="3"/>
  <c r="AA56" i="3"/>
  <c r="Z56" i="3"/>
  <c r="Y56" i="3"/>
  <c r="X56" i="3"/>
  <c r="W56" i="3"/>
  <c r="T56" i="3"/>
  <c r="S56" i="3"/>
  <c r="R56" i="3"/>
  <c r="Q56" i="3"/>
  <c r="P56" i="3"/>
  <c r="O56" i="3"/>
  <c r="N56" i="3"/>
  <c r="K56" i="3"/>
  <c r="J56" i="3"/>
  <c r="I56" i="3"/>
  <c r="H56" i="3"/>
  <c r="AW59" i="8" s="1"/>
  <c r="G56" i="3"/>
  <c r="F56" i="3"/>
  <c r="E56" i="3"/>
  <c r="D56" i="3"/>
  <c r="C56" i="3"/>
  <c r="B56" i="3"/>
  <c r="BB55" i="3"/>
  <c r="BA55" i="3"/>
  <c r="AZ55" i="3"/>
  <c r="AX55" i="3"/>
  <c r="AW55" i="3"/>
  <c r="AV55" i="3"/>
  <c r="AU55" i="3"/>
  <c r="AT55" i="3"/>
  <c r="AS55" i="3"/>
  <c r="AR55" i="3"/>
  <c r="AQ55" i="3"/>
  <c r="AP55" i="3"/>
  <c r="AO55" i="3"/>
  <c r="AN55" i="3"/>
  <c r="AM55" i="3"/>
  <c r="AL55" i="3"/>
  <c r="AK55" i="3"/>
  <c r="AJ55" i="3"/>
  <c r="AI55" i="3"/>
  <c r="AG55" i="3"/>
  <c r="AF55" i="3"/>
  <c r="AE55" i="3"/>
  <c r="AD55" i="3"/>
  <c r="AC55" i="3"/>
  <c r="AB55" i="3"/>
  <c r="AA55" i="3"/>
  <c r="Z55" i="3"/>
  <c r="Y55" i="3"/>
  <c r="X55" i="3"/>
  <c r="W55" i="3"/>
  <c r="T55" i="3"/>
  <c r="S55" i="3"/>
  <c r="R55" i="3"/>
  <c r="Q55" i="3"/>
  <c r="P55" i="3"/>
  <c r="O55" i="3"/>
  <c r="N55" i="3"/>
  <c r="K55" i="3"/>
  <c r="J55" i="3"/>
  <c r="I55" i="3"/>
  <c r="H55" i="3"/>
  <c r="G55" i="3"/>
  <c r="F55" i="3"/>
  <c r="E55" i="3"/>
  <c r="D55" i="3"/>
  <c r="C55" i="3"/>
  <c r="B55" i="3"/>
  <c r="BB54" i="3"/>
  <c r="BA54" i="3"/>
  <c r="AZ54" i="3"/>
  <c r="AY54" i="3"/>
  <c r="AW54" i="3"/>
  <c r="AV54" i="3"/>
  <c r="AU54" i="3"/>
  <c r="AT54" i="3"/>
  <c r="AS54" i="3"/>
  <c r="AR54" i="3"/>
  <c r="AQ54" i="3"/>
  <c r="AP54" i="3"/>
  <c r="AO54" i="3"/>
  <c r="AN54" i="3"/>
  <c r="AM54" i="3"/>
  <c r="AL54" i="3"/>
  <c r="AK54" i="3"/>
  <c r="AJ54" i="3"/>
  <c r="AI54" i="3"/>
  <c r="AG54" i="3"/>
  <c r="AF54" i="3"/>
  <c r="AE54" i="3"/>
  <c r="AD54" i="3"/>
  <c r="AC54" i="3"/>
  <c r="AB54" i="3"/>
  <c r="AA54" i="3"/>
  <c r="Z54" i="3"/>
  <c r="Y54" i="3"/>
  <c r="X54" i="3"/>
  <c r="W54" i="3"/>
  <c r="T54" i="3"/>
  <c r="S54" i="3"/>
  <c r="R54" i="3"/>
  <c r="Q54" i="3"/>
  <c r="P54" i="3"/>
  <c r="O54" i="3"/>
  <c r="N54" i="3"/>
  <c r="K54" i="3"/>
  <c r="J54" i="3"/>
  <c r="I54" i="3"/>
  <c r="H54" i="3"/>
  <c r="G54" i="3"/>
  <c r="F54" i="3"/>
  <c r="AU57" i="9" s="1"/>
  <c r="E54" i="3"/>
  <c r="D54" i="3"/>
  <c r="C54" i="3"/>
  <c r="B54" i="3"/>
  <c r="BB53" i="3"/>
  <c r="BA53" i="3"/>
  <c r="AZ53" i="3"/>
  <c r="AY53" i="3"/>
  <c r="AX53" i="3"/>
  <c r="AV53" i="3"/>
  <c r="AU53" i="3"/>
  <c r="AT53" i="3"/>
  <c r="AS53" i="3"/>
  <c r="AR53" i="3"/>
  <c r="AQ53" i="3"/>
  <c r="AP53" i="3"/>
  <c r="AO53" i="3"/>
  <c r="AN53" i="3"/>
  <c r="AM53" i="3"/>
  <c r="AL53" i="3"/>
  <c r="AK53" i="3"/>
  <c r="AJ53" i="3"/>
  <c r="AI53" i="3"/>
  <c r="AG53" i="3"/>
  <c r="AF53" i="3"/>
  <c r="AE53" i="3"/>
  <c r="AD53" i="3"/>
  <c r="AC53" i="3"/>
  <c r="AB53" i="3"/>
  <c r="AA53" i="3"/>
  <c r="Z53" i="3"/>
  <c r="Y53" i="3"/>
  <c r="X53" i="3"/>
  <c r="W53" i="3"/>
  <c r="T53" i="3"/>
  <c r="S53" i="3"/>
  <c r="R53" i="3"/>
  <c r="Q53" i="3"/>
  <c r="P53" i="3"/>
  <c r="O53" i="3"/>
  <c r="N53" i="3"/>
  <c r="K53" i="3"/>
  <c r="J53" i="3"/>
  <c r="I53" i="3"/>
  <c r="H53" i="3"/>
  <c r="G53" i="3"/>
  <c r="F53" i="3"/>
  <c r="E53" i="3"/>
  <c r="D53" i="3"/>
  <c r="C53" i="3"/>
  <c r="AT59" i="8" s="1"/>
  <c r="B53" i="3"/>
  <c r="BB52" i="3"/>
  <c r="BA52" i="3"/>
  <c r="AZ52" i="3"/>
  <c r="AY52" i="3"/>
  <c r="AX52" i="3"/>
  <c r="AW52" i="3"/>
  <c r="AU52" i="3"/>
  <c r="AT52" i="3"/>
  <c r="AS52" i="3"/>
  <c r="AR52" i="3"/>
  <c r="AQ52" i="3"/>
  <c r="AP52" i="3"/>
  <c r="AO52" i="3"/>
  <c r="AN52" i="3"/>
  <c r="AM52" i="3"/>
  <c r="AL52" i="3"/>
  <c r="AK52" i="3"/>
  <c r="AJ52" i="3"/>
  <c r="AI52" i="3"/>
  <c r="AG52" i="3"/>
  <c r="AF52" i="3"/>
  <c r="AE52" i="3"/>
  <c r="AD52" i="3"/>
  <c r="AC52" i="3"/>
  <c r="AB52" i="3"/>
  <c r="AA52" i="3"/>
  <c r="Z52" i="3"/>
  <c r="Y52" i="3"/>
  <c r="X52" i="3"/>
  <c r="W52" i="3"/>
  <c r="T52" i="3"/>
  <c r="S52" i="3"/>
  <c r="R52" i="3"/>
  <c r="Q52" i="3"/>
  <c r="P52" i="3"/>
  <c r="O52" i="3"/>
  <c r="N52" i="3"/>
  <c r="K52" i="3"/>
  <c r="J52" i="3"/>
  <c r="I52" i="3"/>
  <c r="H52" i="3"/>
  <c r="G52" i="3"/>
  <c r="F52" i="3"/>
  <c r="E52" i="3"/>
  <c r="D52" i="3"/>
  <c r="AS57" i="7" s="1"/>
  <c r="C52" i="3"/>
  <c r="AS57" i="9" s="1"/>
  <c r="B52" i="3"/>
  <c r="BB51" i="3"/>
  <c r="BA51" i="3"/>
  <c r="AZ51" i="3"/>
  <c r="AY51" i="3"/>
  <c r="AX51" i="3"/>
  <c r="AW51" i="3"/>
  <c r="AV51" i="3"/>
  <c r="AT51" i="3"/>
  <c r="AS51" i="3"/>
  <c r="AR51" i="3"/>
  <c r="AQ51" i="3"/>
  <c r="AP51" i="3"/>
  <c r="AO51" i="3"/>
  <c r="AN51" i="3"/>
  <c r="AM51" i="3"/>
  <c r="AL51" i="3"/>
  <c r="AK51" i="3"/>
  <c r="AJ51" i="3"/>
  <c r="AI51" i="3"/>
  <c r="AG51" i="3"/>
  <c r="AF51" i="3"/>
  <c r="AE51" i="3"/>
  <c r="AD51" i="3"/>
  <c r="AC51" i="3"/>
  <c r="AB51" i="3"/>
  <c r="AA51" i="3"/>
  <c r="Z51" i="3"/>
  <c r="Y51" i="3"/>
  <c r="X51" i="3"/>
  <c r="W51" i="3"/>
  <c r="T51" i="3"/>
  <c r="S51" i="3"/>
  <c r="R51" i="3"/>
  <c r="Q51" i="3"/>
  <c r="P51" i="3"/>
  <c r="O51" i="3"/>
  <c r="N51" i="3"/>
  <c r="K51" i="3"/>
  <c r="J51" i="3"/>
  <c r="I51" i="3"/>
  <c r="H51" i="3"/>
  <c r="G51" i="3"/>
  <c r="F51" i="3"/>
  <c r="E51" i="3"/>
  <c r="D51" i="3"/>
  <c r="C51" i="3"/>
  <c r="B51" i="3"/>
  <c r="BB50" i="3"/>
  <c r="BA50" i="3"/>
  <c r="AZ50" i="3"/>
  <c r="AY50" i="3"/>
  <c r="AX50" i="3"/>
  <c r="AW50" i="3"/>
  <c r="AV50" i="3"/>
  <c r="AU50" i="3"/>
  <c r="AS50" i="3"/>
  <c r="AR50" i="3"/>
  <c r="AQ50" i="3"/>
  <c r="AP50" i="3"/>
  <c r="AO50" i="3"/>
  <c r="AN50" i="3"/>
  <c r="AM50" i="3"/>
  <c r="AL50" i="3"/>
  <c r="AK50" i="3"/>
  <c r="AJ50" i="3"/>
  <c r="AI50" i="3"/>
  <c r="AG50" i="3"/>
  <c r="AF50" i="3"/>
  <c r="AE50" i="3"/>
  <c r="AD50" i="3"/>
  <c r="AC50" i="3"/>
  <c r="AB50" i="3"/>
  <c r="AA50" i="3"/>
  <c r="Z50" i="3"/>
  <c r="Y50" i="3"/>
  <c r="X50" i="3"/>
  <c r="W50" i="3"/>
  <c r="T50" i="3"/>
  <c r="S50" i="3"/>
  <c r="R50" i="3"/>
  <c r="Q50" i="3"/>
  <c r="P50" i="3"/>
  <c r="O50" i="3"/>
  <c r="N50" i="3"/>
  <c r="K50" i="3"/>
  <c r="J50" i="3"/>
  <c r="I50" i="3"/>
  <c r="H50" i="3"/>
  <c r="G50" i="3"/>
  <c r="F50" i="3"/>
  <c r="E50" i="3"/>
  <c r="D50" i="3"/>
  <c r="C50" i="3"/>
  <c r="B50" i="3"/>
  <c r="BB49" i="3"/>
  <c r="BA49" i="3"/>
  <c r="AZ49" i="3"/>
  <c r="AY49" i="3"/>
  <c r="AX49" i="3"/>
  <c r="AW49" i="3"/>
  <c r="AV49" i="3"/>
  <c r="AU49" i="3"/>
  <c r="AT49" i="3"/>
  <c r="AR49" i="3"/>
  <c r="AQ49" i="3"/>
  <c r="AP49" i="3"/>
  <c r="AO49" i="3"/>
  <c r="AN49" i="3"/>
  <c r="AM49" i="3"/>
  <c r="AL49" i="3"/>
  <c r="AK49" i="3"/>
  <c r="AJ49" i="3"/>
  <c r="AI49" i="3"/>
  <c r="AG49" i="3"/>
  <c r="AF49" i="3"/>
  <c r="AE49" i="3"/>
  <c r="AD49" i="3"/>
  <c r="AC49" i="3"/>
  <c r="AB49" i="3"/>
  <c r="AA49" i="3"/>
  <c r="Z49" i="3"/>
  <c r="Y49" i="3"/>
  <c r="X49" i="3"/>
  <c r="W49" i="3"/>
  <c r="T49" i="3"/>
  <c r="S49" i="3"/>
  <c r="R49" i="3"/>
  <c r="Q49" i="3"/>
  <c r="P49" i="3"/>
  <c r="O49" i="3"/>
  <c r="N49" i="3"/>
  <c r="K49" i="3"/>
  <c r="J49" i="3"/>
  <c r="I49" i="3"/>
  <c r="AP59" i="7" s="1"/>
  <c r="H49" i="3"/>
  <c r="G49" i="3"/>
  <c r="F49" i="3"/>
  <c r="E49" i="3"/>
  <c r="D49" i="3"/>
  <c r="C49" i="3"/>
  <c r="B49" i="3"/>
  <c r="BB48" i="3"/>
  <c r="BA48" i="3"/>
  <c r="AZ48" i="3"/>
  <c r="AY48" i="3"/>
  <c r="AX48" i="3"/>
  <c r="AW48" i="3"/>
  <c r="AV48" i="3"/>
  <c r="AU48" i="3"/>
  <c r="AT48" i="3"/>
  <c r="AS48" i="3"/>
  <c r="AQ48" i="3"/>
  <c r="AP48" i="3"/>
  <c r="AO48" i="3"/>
  <c r="AN48" i="3"/>
  <c r="AM48" i="3"/>
  <c r="AL48" i="3"/>
  <c r="AK48" i="3"/>
  <c r="AJ48" i="3"/>
  <c r="AI48" i="3"/>
  <c r="AG48" i="3"/>
  <c r="AF48" i="3"/>
  <c r="AE48" i="3"/>
  <c r="AD48" i="3"/>
  <c r="AC48" i="3"/>
  <c r="AB48" i="3"/>
  <c r="AA48" i="3"/>
  <c r="Z48" i="3"/>
  <c r="Y48" i="3"/>
  <c r="X48" i="3"/>
  <c r="W48" i="3"/>
  <c r="T48" i="3"/>
  <c r="S48" i="3"/>
  <c r="R48" i="3"/>
  <c r="Q48" i="3"/>
  <c r="P48" i="3"/>
  <c r="O48" i="3"/>
  <c r="N48" i="3"/>
  <c r="K48" i="3"/>
  <c r="J48" i="3"/>
  <c r="I48" i="3"/>
  <c r="H48" i="3"/>
  <c r="G48" i="3"/>
  <c r="F48" i="3"/>
  <c r="E48" i="3"/>
  <c r="D48" i="3"/>
  <c r="C48" i="3"/>
  <c r="B48" i="3"/>
  <c r="BB47" i="3"/>
  <c r="BA47" i="3"/>
  <c r="AZ47" i="3"/>
  <c r="AY47" i="3"/>
  <c r="AX47" i="3"/>
  <c r="AW47" i="3"/>
  <c r="AV47" i="3"/>
  <c r="AU47" i="3"/>
  <c r="AT47" i="3"/>
  <c r="AS47" i="3"/>
  <c r="AR47" i="3"/>
  <c r="AP47" i="3"/>
  <c r="AO47" i="3"/>
  <c r="AN47" i="3"/>
  <c r="AM47" i="3"/>
  <c r="AL47" i="3"/>
  <c r="AK47" i="3"/>
  <c r="AJ47" i="3"/>
  <c r="AI47" i="3"/>
  <c r="AG47" i="3"/>
  <c r="AF47" i="3"/>
  <c r="AE47" i="3"/>
  <c r="AD47" i="3"/>
  <c r="AC47" i="3"/>
  <c r="AB47" i="3"/>
  <c r="AA47" i="3"/>
  <c r="Z47" i="3"/>
  <c r="Y47" i="3"/>
  <c r="X47" i="3"/>
  <c r="W47" i="3"/>
  <c r="T47" i="3"/>
  <c r="S47" i="3"/>
  <c r="R47" i="3"/>
  <c r="Q47" i="3"/>
  <c r="P47" i="3"/>
  <c r="O47" i="3"/>
  <c r="N47" i="3"/>
  <c r="K47" i="3"/>
  <c r="J47" i="3"/>
  <c r="I47" i="3"/>
  <c r="H47" i="3"/>
  <c r="G47" i="3"/>
  <c r="AN58" i="8" s="1"/>
  <c r="F47" i="3"/>
  <c r="E47" i="3"/>
  <c r="D47" i="3"/>
  <c r="C47" i="3"/>
  <c r="B47" i="3"/>
  <c r="BB46" i="3"/>
  <c r="BA46" i="3"/>
  <c r="AZ46" i="3"/>
  <c r="AY46" i="3"/>
  <c r="AX46" i="3"/>
  <c r="AW46" i="3"/>
  <c r="AV46" i="3"/>
  <c r="AU46" i="3"/>
  <c r="AT46" i="3"/>
  <c r="AS46" i="3"/>
  <c r="AR46" i="3"/>
  <c r="AQ46" i="3"/>
  <c r="AO46" i="3"/>
  <c r="AN46" i="3"/>
  <c r="AM46" i="3"/>
  <c r="AL46" i="3"/>
  <c r="AK46" i="3"/>
  <c r="AJ46" i="3"/>
  <c r="AI46" i="3"/>
  <c r="AG46" i="3"/>
  <c r="AF46" i="3"/>
  <c r="AE46" i="3"/>
  <c r="AD46" i="3"/>
  <c r="AC46" i="3"/>
  <c r="AB46" i="3"/>
  <c r="AA46" i="3"/>
  <c r="Z46" i="3"/>
  <c r="Y46" i="3"/>
  <c r="X46" i="3"/>
  <c r="W46" i="3"/>
  <c r="T46" i="3"/>
  <c r="S46" i="3"/>
  <c r="R46" i="3"/>
  <c r="Q46" i="3"/>
  <c r="P46" i="3"/>
  <c r="O46" i="3"/>
  <c r="N46" i="3"/>
  <c r="K46" i="3"/>
  <c r="J46" i="3"/>
  <c r="I46" i="3"/>
  <c r="H46" i="3"/>
  <c r="G46" i="3"/>
  <c r="F46" i="3"/>
  <c r="AM59" i="8" s="1"/>
  <c r="E46" i="3"/>
  <c r="D46" i="3"/>
  <c r="C46" i="3"/>
  <c r="B46" i="3"/>
  <c r="BB45" i="3"/>
  <c r="BA45" i="3"/>
  <c r="AZ45" i="3"/>
  <c r="AY45" i="3"/>
  <c r="AX45" i="3"/>
  <c r="AW45" i="3"/>
  <c r="AV45" i="3"/>
  <c r="AU45" i="3"/>
  <c r="AT45" i="3"/>
  <c r="AS45" i="3"/>
  <c r="AR45" i="3"/>
  <c r="AQ45" i="3"/>
  <c r="AP45" i="3"/>
  <c r="AM45" i="3"/>
  <c r="AL45" i="3"/>
  <c r="AK45" i="3"/>
  <c r="AJ45" i="3"/>
  <c r="AI45" i="3"/>
  <c r="AG45" i="3"/>
  <c r="AF45" i="3"/>
  <c r="AE45" i="3"/>
  <c r="AD45" i="3"/>
  <c r="AC45" i="3"/>
  <c r="AB45" i="3"/>
  <c r="AA45" i="3"/>
  <c r="Z45" i="3"/>
  <c r="Y45" i="3"/>
  <c r="X45" i="3"/>
  <c r="W45" i="3"/>
  <c r="T45" i="3"/>
  <c r="S45" i="3"/>
  <c r="R45" i="3"/>
  <c r="Q45" i="3"/>
  <c r="P45" i="3"/>
  <c r="O45" i="3"/>
  <c r="N45" i="3"/>
  <c r="K45" i="3"/>
  <c r="J45" i="3"/>
  <c r="I45" i="3"/>
  <c r="H45" i="3"/>
  <c r="G45" i="3"/>
  <c r="F45" i="3"/>
  <c r="E45" i="3"/>
  <c r="D45" i="3"/>
  <c r="AL58" i="7" s="1"/>
  <c r="C45" i="3"/>
  <c r="AL58" i="9" s="1"/>
  <c r="B45" i="3"/>
  <c r="BB44" i="3"/>
  <c r="BA44" i="3"/>
  <c r="AZ44" i="3"/>
  <c r="AY44" i="3"/>
  <c r="AX44" i="3"/>
  <c r="AW44" i="3"/>
  <c r="AV44" i="3"/>
  <c r="AU44" i="3"/>
  <c r="AT44" i="3"/>
  <c r="AS44" i="3"/>
  <c r="AR44" i="3"/>
  <c r="AQ44" i="3"/>
  <c r="AP44" i="3"/>
  <c r="AO44" i="3"/>
  <c r="AN44" i="3"/>
  <c r="AL44" i="3"/>
  <c r="AK44" i="3"/>
  <c r="AJ44" i="3"/>
  <c r="AI44" i="3"/>
  <c r="AG44" i="3"/>
  <c r="AF44" i="3"/>
  <c r="AE44" i="3"/>
  <c r="AD44" i="3"/>
  <c r="AC44" i="3"/>
  <c r="AB44" i="3"/>
  <c r="AA44" i="3"/>
  <c r="Z44" i="3"/>
  <c r="Y44" i="3"/>
  <c r="X44" i="3"/>
  <c r="W44" i="3"/>
  <c r="T44" i="3"/>
  <c r="S44" i="3"/>
  <c r="R44" i="3"/>
  <c r="Q44" i="3"/>
  <c r="P44" i="3"/>
  <c r="O44" i="3"/>
  <c r="N44" i="3"/>
  <c r="K44" i="3"/>
  <c r="J44" i="3"/>
  <c r="I44" i="3"/>
  <c r="H44" i="3"/>
  <c r="G44" i="3"/>
  <c r="F44" i="3"/>
  <c r="E44" i="3"/>
  <c r="D44" i="3"/>
  <c r="C44" i="3"/>
  <c r="B44" i="3"/>
  <c r="BB43" i="3"/>
  <c r="BA43" i="3"/>
  <c r="AZ43" i="3"/>
  <c r="AY43" i="3"/>
  <c r="AX43" i="3"/>
  <c r="AW43" i="3"/>
  <c r="AV43" i="3"/>
  <c r="AU43" i="3"/>
  <c r="AT43" i="3"/>
  <c r="AS43" i="3"/>
  <c r="AR43" i="3"/>
  <c r="AQ43" i="3"/>
  <c r="AP43" i="3"/>
  <c r="AO43" i="3"/>
  <c r="AN43" i="3"/>
  <c r="AM43" i="3"/>
  <c r="AK43" i="3"/>
  <c r="AJ43" i="3"/>
  <c r="AI43" i="3"/>
  <c r="AG43" i="3"/>
  <c r="AF43" i="3"/>
  <c r="AE43" i="3"/>
  <c r="AD43" i="3"/>
  <c r="AC43" i="3"/>
  <c r="AB43" i="3"/>
  <c r="AA43" i="3"/>
  <c r="Z43" i="3"/>
  <c r="Y43" i="3"/>
  <c r="X43" i="3"/>
  <c r="W43" i="3"/>
  <c r="T43" i="3"/>
  <c r="S43" i="3"/>
  <c r="R43" i="3"/>
  <c r="Q43" i="3"/>
  <c r="P43" i="3"/>
  <c r="O43" i="3"/>
  <c r="N43" i="3"/>
  <c r="K43" i="3"/>
  <c r="J43" i="3"/>
  <c r="I43" i="3"/>
  <c r="H43" i="3"/>
  <c r="G43" i="3"/>
  <c r="F43" i="3"/>
  <c r="E43" i="3"/>
  <c r="D43" i="3"/>
  <c r="C43" i="3"/>
  <c r="AJ57" i="7" s="1"/>
  <c r="B43" i="3"/>
  <c r="BB42" i="3"/>
  <c r="BA42" i="3"/>
  <c r="AZ42" i="3"/>
  <c r="AY42" i="3"/>
  <c r="AX42" i="3"/>
  <c r="AW42" i="3"/>
  <c r="AV42" i="3"/>
  <c r="AU42" i="3"/>
  <c r="AT42" i="3"/>
  <c r="AS42" i="3"/>
  <c r="AR42" i="3"/>
  <c r="AQ42" i="3"/>
  <c r="AP42" i="3"/>
  <c r="AO42" i="3"/>
  <c r="AN42" i="3"/>
  <c r="AM42" i="3"/>
  <c r="AL42" i="3"/>
  <c r="AJ42" i="3"/>
  <c r="AI42" i="3"/>
  <c r="AG42" i="3"/>
  <c r="AF42" i="3"/>
  <c r="AE42" i="3"/>
  <c r="AD42" i="3"/>
  <c r="AC42" i="3"/>
  <c r="AB42" i="3"/>
  <c r="AA42" i="3"/>
  <c r="Z42" i="3"/>
  <c r="Y42" i="3"/>
  <c r="X42" i="3"/>
  <c r="W42" i="3"/>
  <c r="T42" i="3"/>
  <c r="S42" i="3"/>
  <c r="R42" i="3"/>
  <c r="Q42" i="3"/>
  <c r="P42" i="3"/>
  <c r="O42" i="3"/>
  <c r="N42" i="3"/>
  <c r="K42" i="3"/>
  <c r="J42" i="3"/>
  <c r="I42" i="3"/>
  <c r="AI58" i="9" s="1"/>
  <c r="H42" i="3"/>
  <c r="G42" i="3"/>
  <c r="F42" i="3"/>
  <c r="E42" i="3"/>
  <c r="D42" i="3"/>
  <c r="C42" i="3"/>
  <c r="B42" i="3"/>
  <c r="BB41" i="3"/>
  <c r="BA41" i="3"/>
  <c r="AZ41" i="3"/>
  <c r="AY41" i="3"/>
  <c r="AX41" i="3"/>
  <c r="AW41" i="3"/>
  <c r="AV41" i="3"/>
  <c r="AU41" i="3"/>
  <c r="AT41" i="3"/>
  <c r="AS41" i="3"/>
  <c r="AR41" i="3"/>
  <c r="AQ41" i="3"/>
  <c r="AP41" i="3"/>
  <c r="AO41" i="3"/>
  <c r="AN41" i="3"/>
  <c r="AM41" i="3"/>
  <c r="AL41" i="3"/>
  <c r="AK41" i="3"/>
  <c r="AI41" i="3"/>
  <c r="AG41" i="3"/>
  <c r="AF41" i="3"/>
  <c r="AE41" i="3"/>
  <c r="AD41" i="3"/>
  <c r="AC41" i="3"/>
  <c r="AB41" i="3"/>
  <c r="AA41" i="3"/>
  <c r="Z41" i="3"/>
  <c r="Y41" i="3"/>
  <c r="X41" i="3"/>
  <c r="W41" i="3"/>
  <c r="T41" i="3"/>
  <c r="S41" i="3"/>
  <c r="R41" i="3"/>
  <c r="Q41" i="3"/>
  <c r="P41" i="3"/>
  <c r="O41" i="3"/>
  <c r="N41" i="3"/>
  <c r="K41" i="3"/>
  <c r="J41" i="3"/>
  <c r="I41" i="3"/>
  <c r="H41" i="3"/>
  <c r="AH58" i="8" s="1"/>
  <c r="G41" i="3"/>
  <c r="F41" i="3"/>
  <c r="E41" i="3"/>
  <c r="D41" i="3"/>
  <c r="C41" i="3"/>
  <c r="B41" i="3"/>
  <c r="BB40" i="3"/>
  <c r="BA40" i="3"/>
  <c r="AZ40" i="3"/>
  <c r="AY40" i="3"/>
  <c r="AX40" i="3"/>
  <c r="AW40" i="3"/>
  <c r="AV40" i="3"/>
  <c r="AU40" i="3"/>
  <c r="AT40" i="3"/>
  <c r="AS40" i="3"/>
  <c r="AR40" i="3"/>
  <c r="AQ40" i="3"/>
  <c r="AP40" i="3"/>
  <c r="AO40" i="3"/>
  <c r="AN40" i="3"/>
  <c r="AM40" i="3"/>
  <c r="AL40" i="3"/>
  <c r="AK40" i="3"/>
  <c r="AJ40" i="3"/>
  <c r="AG40" i="3"/>
  <c r="AF40" i="3"/>
  <c r="AE40" i="3"/>
  <c r="AD40" i="3"/>
  <c r="AC40" i="3"/>
  <c r="AB40" i="3"/>
  <c r="AA40" i="3"/>
  <c r="Z40" i="3"/>
  <c r="Y40" i="3"/>
  <c r="X40" i="3"/>
  <c r="W40" i="3"/>
  <c r="T40" i="3"/>
  <c r="S40" i="3"/>
  <c r="R40" i="3"/>
  <c r="Q40" i="3"/>
  <c r="P40" i="3"/>
  <c r="O40" i="3"/>
  <c r="N40" i="3"/>
  <c r="K40" i="3"/>
  <c r="J40" i="3"/>
  <c r="I40" i="3"/>
  <c r="H40" i="3"/>
  <c r="G40" i="3"/>
  <c r="F40" i="3"/>
  <c r="E40" i="3"/>
  <c r="D40" i="3"/>
  <c r="C40" i="3"/>
  <c r="B40" i="3"/>
  <c r="BB39" i="3"/>
  <c r="BA39" i="3"/>
  <c r="AZ39" i="3"/>
  <c r="AY39" i="3"/>
  <c r="AX39" i="3"/>
  <c r="AW39" i="3"/>
  <c r="AV39" i="3"/>
  <c r="AU39" i="3"/>
  <c r="AT39" i="3"/>
  <c r="AS39" i="3"/>
  <c r="AR39" i="3"/>
  <c r="AQ39" i="3"/>
  <c r="AP39" i="3"/>
  <c r="AO39" i="3"/>
  <c r="AN39" i="3"/>
  <c r="AM39" i="3"/>
  <c r="AL39" i="3"/>
  <c r="AK39" i="3"/>
  <c r="AJ39" i="3"/>
  <c r="AI39" i="3"/>
  <c r="AF39" i="3"/>
  <c r="AE39" i="3"/>
  <c r="AD39" i="3"/>
  <c r="AC39" i="3"/>
  <c r="AB39" i="3"/>
  <c r="AA39" i="3"/>
  <c r="Z39" i="3"/>
  <c r="Y39" i="3"/>
  <c r="X39" i="3"/>
  <c r="W39" i="3"/>
  <c r="T39" i="3"/>
  <c r="S39" i="3"/>
  <c r="R39" i="3"/>
  <c r="Q39" i="3"/>
  <c r="P39" i="3"/>
  <c r="O39" i="3"/>
  <c r="N39" i="3"/>
  <c r="K39" i="3"/>
  <c r="J39" i="3"/>
  <c r="I39" i="3"/>
  <c r="H39" i="3"/>
  <c r="G39" i="3"/>
  <c r="F39" i="3"/>
  <c r="AF56" i="9" s="1"/>
  <c r="E39" i="3"/>
  <c r="D39" i="3"/>
  <c r="C39" i="3"/>
  <c r="B39" i="3"/>
  <c r="BB38" i="3"/>
  <c r="BA38" i="3"/>
  <c r="AZ38" i="3"/>
  <c r="AY38" i="3"/>
  <c r="AX38" i="3"/>
  <c r="AW38" i="3"/>
  <c r="AV38" i="3"/>
  <c r="AU38" i="3"/>
  <c r="AT38" i="3"/>
  <c r="AS38" i="3"/>
  <c r="AR38" i="3"/>
  <c r="AQ38" i="3"/>
  <c r="AP38" i="3"/>
  <c r="AO38" i="3"/>
  <c r="AN38" i="3"/>
  <c r="AM38" i="3"/>
  <c r="AL38" i="3"/>
  <c r="AK38" i="3"/>
  <c r="AJ38" i="3"/>
  <c r="AI38" i="3"/>
  <c r="AG38" i="3"/>
  <c r="AE38" i="3"/>
  <c r="AD38" i="3"/>
  <c r="AC38" i="3"/>
  <c r="AB38" i="3"/>
  <c r="AA38" i="3"/>
  <c r="Z38" i="3"/>
  <c r="Y38" i="3"/>
  <c r="X38" i="3"/>
  <c r="W38" i="3"/>
  <c r="T38" i="3"/>
  <c r="S38" i="3"/>
  <c r="R38" i="3"/>
  <c r="Q38" i="3"/>
  <c r="P38" i="3"/>
  <c r="O38" i="3"/>
  <c r="N38" i="3"/>
  <c r="K38" i="3"/>
  <c r="J38" i="3"/>
  <c r="I38" i="3"/>
  <c r="H38" i="3"/>
  <c r="G38" i="3"/>
  <c r="F38" i="3"/>
  <c r="E38" i="3"/>
  <c r="AE57" i="9" s="1"/>
  <c r="D38" i="3"/>
  <c r="C38" i="3"/>
  <c r="AE58" i="8" s="1"/>
  <c r="B38" i="3"/>
  <c r="BB37" i="3"/>
  <c r="BA37" i="3"/>
  <c r="AZ37" i="3"/>
  <c r="AY37" i="3"/>
  <c r="AX37" i="3"/>
  <c r="AW37" i="3"/>
  <c r="AV37" i="3"/>
  <c r="AU37" i="3"/>
  <c r="AT37" i="3"/>
  <c r="AS37" i="3"/>
  <c r="AR37" i="3"/>
  <c r="AQ37" i="3"/>
  <c r="AP37" i="3"/>
  <c r="AO37" i="3"/>
  <c r="AN37" i="3"/>
  <c r="AM37" i="3"/>
  <c r="AL37" i="3"/>
  <c r="AK37" i="3"/>
  <c r="AJ37" i="3"/>
  <c r="AI37" i="3"/>
  <c r="AG37" i="3"/>
  <c r="AF37" i="3"/>
  <c r="AD37" i="3"/>
  <c r="AC37" i="3"/>
  <c r="AB37" i="3"/>
  <c r="AA37" i="3"/>
  <c r="Z37" i="3"/>
  <c r="Y37" i="3"/>
  <c r="X37" i="3"/>
  <c r="W37" i="3"/>
  <c r="T37" i="3"/>
  <c r="S37" i="3"/>
  <c r="R37" i="3"/>
  <c r="Q37" i="3"/>
  <c r="P37" i="3"/>
  <c r="O37" i="3"/>
  <c r="N37" i="3"/>
  <c r="K37" i="3"/>
  <c r="J37" i="3"/>
  <c r="I37" i="3"/>
  <c r="H37" i="3"/>
  <c r="G37" i="3"/>
  <c r="F37" i="3"/>
  <c r="E37" i="3"/>
  <c r="D37" i="3"/>
  <c r="AD56" i="7" s="1"/>
  <c r="C37" i="3"/>
  <c r="AD56" i="9" s="1"/>
  <c r="B37" i="3"/>
  <c r="BB36" i="3"/>
  <c r="BA36" i="3"/>
  <c r="AZ36" i="3"/>
  <c r="AY36" i="3"/>
  <c r="AX36" i="3"/>
  <c r="AW36" i="3"/>
  <c r="AV36" i="3"/>
  <c r="AU36" i="3"/>
  <c r="AT36" i="3"/>
  <c r="AS36" i="3"/>
  <c r="AR36" i="3"/>
  <c r="AQ36" i="3"/>
  <c r="AP36" i="3"/>
  <c r="AO36" i="3"/>
  <c r="AN36" i="3"/>
  <c r="AM36" i="3"/>
  <c r="AL36" i="3"/>
  <c r="AK36" i="3"/>
  <c r="AJ36" i="3"/>
  <c r="AI36" i="3"/>
  <c r="AG36" i="3"/>
  <c r="AF36" i="3"/>
  <c r="AE36" i="3"/>
  <c r="AC36" i="3"/>
  <c r="AB36" i="3"/>
  <c r="AA36" i="3"/>
  <c r="Z36" i="3"/>
  <c r="Y36" i="3"/>
  <c r="X36" i="3"/>
  <c r="W36" i="3"/>
  <c r="T36" i="3"/>
  <c r="S36" i="3"/>
  <c r="R36" i="3"/>
  <c r="Q36" i="3"/>
  <c r="P36" i="3"/>
  <c r="O36" i="3"/>
  <c r="N36" i="3"/>
  <c r="K36" i="3"/>
  <c r="J36" i="3"/>
  <c r="I36" i="3"/>
  <c r="H36" i="3"/>
  <c r="G36" i="3"/>
  <c r="F36" i="3"/>
  <c r="E36" i="3"/>
  <c r="D36" i="3"/>
  <c r="C36" i="3"/>
  <c r="B36" i="3"/>
  <c r="BB35" i="3"/>
  <c r="BA35" i="3"/>
  <c r="AZ35" i="3"/>
  <c r="AY35" i="3"/>
  <c r="AX35" i="3"/>
  <c r="AW35" i="3"/>
  <c r="AV35" i="3"/>
  <c r="AU35" i="3"/>
  <c r="AT35" i="3"/>
  <c r="AS35" i="3"/>
  <c r="AR35" i="3"/>
  <c r="AQ35" i="3"/>
  <c r="AP35" i="3"/>
  <c r="AO35" i="3"/>
  <c r="AN35" i="3"/>
  <c r="AM35" i="3"/>
  <c r="AL35" i="3"/>
  <c r="AK35" i="3"/>
  <c r="AJ35" i="3"/>
  <c r="AI35" i="3"/>
  <c r="AG35" i="3"/>
  <c r="AF35" i="3"/>
  <c r="AE35" i="3"/>
  <c r="AD35" i="3"/>
  <c r="AB35" i="3"/>
  <c r="AA35" i="3"/>
  <c r="Z35" i="3"/>
  <c r="Y35" i="3"/>
  <c r="X35" i="3"/>
  <c r="W35" i="3"/>
  <c r="T35" i="3"/>
  <c r="S35" i="3"/>
  <c r="R35" i="3"/>
  <c r="Q35" i="3"/>
  <c r="P35" i="3"/>
  <c r="O35" i="3"/>
  <c r="N35" i="3"/>
  <c r="K35" i="3"/>
  <c r="J35" i="3"/>
  <c r="AB57" i="7" s="1"/>
  <c r="I35" i="3"/>
  <c r="H35" i="3"/>
  <c r="G35" i="3"/>
  <c r="F35" i="3"/>
  <c r="E35" i="3"/>
  <c r="D35" i="3"/>
  <c r="C35" i="3"/>
  <c r="AB56" i="7" s="1"/>
  <c r="B35" i="3"/>
  <c r="BB34" i="3"/>
  <c r="BA34" i="3"/>
  <c r="AZ34" i="3"/>
  <c r="AY34" i="3"/>
  <c r="AX34" i="3"/>
  <c r="AW34" i="3"/>
  <c r="AV34" i="3"/>
  <c r="AU34" i="3"/>
  <c r="AT34" i="3"/>
  <c r="AS34" i="3"/>
  <c r="AR34" i="3"/>
  <c r="AQ34" i="3"/>
  <c r="AP34" i="3"/>
  <c r="AO34" i="3"/>
  <c r="AN34" i="3"/>
  <c r="AM34" i="3"/>
  <c r="AL34" i="3"/>
  <c r="AK34" i="3"/>
  <c r="AJ34" i="3"/>
  <c r="AI34" i="3"/>
  <c r="AG34" i="3"/>
  <c r="AF34" i="3"/>
  <c r="AE34" i="3"/>
  <c r="AD34" i="3"/>
  <c r="AC34" i="3"/>
  <c r="AA34" i="3"/>
  <c r="Z34" i="3"/>
  <c r="Y34" i="3"/>
  <c r="X34" i="3"/>
  <c r="W34" i="3"/>
  <c r="T34" i="3"/>
  <c r="S34" i="3"/>
  <c r="R34" i="3"/>
  <c r="Q34" i="3"/>
  <c r="P34" i="3"/>
  <c r="O34" i="3"/>
  <c r="N34" i="3"/>
  <c r="K34" i="3"/>
  <c r="J34" i="3"/>
  <c r="I34" i="3"/>
  <c r="AA58" i="7" s="1"/>
  <c r="H34" i="3"/>
  <c r="G34" i="3"/>
  <c r="F34" i="3"/>
  <c r="E34" i="3"/>
  <c r="D34" i="3"/>
  <c r="C34" i="3"/>
  <c r="B34" i="3"/>
  <c r="BB33" i="3"/>
  <c r="BA33" i="3"/>
  <c r="AZ33" i="3"/>
  <c r="AY33" i="3"/>
  <c r="AX33" i="3"/>
  <c r="AW33" i="3"/>
  <c r="AV33" i="3"/>
  <c r="AU33" i="3"/>
  <c r="AT33" i="3"/>
  <c r="AS33" i="3"/>
  <c r="AR33" i="3"/>
  <c r="AQ33" i="3"/>
  <c r="AP33" i="3"/>
  <c r="AO33" i="3"/>
  <c r="AN33" i="3"/>
  <c r="AM33" i="3"/>
  <c r="AL33" i="3"/>
  <c r="AK33" i="3"/>
  <c r="AJ33" i="3"/>
  <c r="AI33" i="3"/>
  <c r="AG33" i="3"/>
  <c r="AF33" i="3"/>
  <c r="AE33" i="3"/>
  <c r="AD33" i="3"/>
  <c r="AC33" i="3"/>
  <c r="AB33" i="3"/>
  <c r="Z33" i="3"/>
  <c r="Y33" i="3"/>
  <c r="X33" i="3"/>
  <c r="W33" i="3"/>
  <c r="T33" i="3"/>
  <c r="S33" i="3"/>
  <c r="R33" i="3"/>
  <c r="Q33" i="3"/>
  <c r="P33" i="3"/>
  <c r="O33" i="3"/>
  <c r="N33" i="3"/>
  <c r="K33" i="3"/>
  <c r="J33" i="3"/>
  <c r="I33" i="3"/>
  <c r="H33" i="3"/>
  <c r="G33" i="3"/>
  <c r="F33" i="3"/>
  <c r="E33" i="3"/>
  <c r="D33" i="3"/>
  <c r="C33" i="3"/>
  <c r="B33" i="3"/>
  <c r="BB32" i="3"/>
  <c r="BA32" i="3"/>
  <c r="AZ32" i="3"/>
  <c r="AY32" i="3"/>
  <c r="AX32" i="3"/>
  <c r="AW32" i="3"/>
  <c r="AV32" i="3"/>
  <c r="AU32" i="3"/>
  <c r="AT32" i="3"/>
  <c r="AS32" i="3"/>
  <c r="AR32" i="3"/>
  <c r="AQ32" i="3"/>
  <c r="AP32" i="3"/>
  <c r="AO32" i="3"/>
  <c r="AN32" i="3"/>
  <c r="AM32" i="3"/>
  <c r="AL32" i="3"/>
  <c r="AK32" i="3"/>
  <c r="AJ32" i="3"/>
  <c r="AI32" i="3"/>
  <c r="AG32" i="3"/>
  <c r="AF32" i="3"/>
  <c r="AE32" i="3"/>
  <c r="AD32" i="3"/>
  <c r="AC32" i="3"/>
  <c r="AB32" i="3"/>
  <c r="AA32" i="3"/>
  <c r="Y32" i="3"/>
  <c r="X32" i="3"/>
  <c r="W32" i="3"/>
  <c r="T32" i="3"/>
  <c r="S32" i="3"/>
  <c r="R32" i="3"/>
  <c r="Q32" i="3"/>
  <c r="P32" i="3"/>
  <c r="O32" i="3"/>
  <c r="N32" i="3"/>
  <c r="K32" i="3"/>
  <c r="J32" i="3"/>
  <c r="I32" i="3"/>
  <c r="H32" i="3"/>
  <c r="G32" i="3"/>
  <c r="Y57" i="8" s="1"/>
  <c r="F32" i="3"/>
  <c r="E32" i="3"/>
  <c r="D32" i="3"/>
  <c r="C32" i="3"/>
  <c r="B32" i="3"/>
  <c r="BB31" i="3"/>
  <c r="BA31" i="3"/>
  <c r="AZ31" i="3"/>
  <c r="AY31" i="3"/>
  <c r="AX31" i="3"/>
  <c r="AW31" i="3"/>
  <c r="AV31" i="3"/>
  <c r="AU31" i="3"/>
  <c r="AT31" i="3"/>
  <c r="AS31" i="3"/>
  <c r="AR31" i="3"/>
  <c r="AQ31" i="3"/>
  <c r="AP31" i="3"/>
  <c r="AO31" i="3"/>
  <c r="AN31" i="3"/>
  <c r="AM31" i="3"/>
  <c r="AL31" i="3"/>
  <c r="AK31" i="3"/>
  <c r="AJ31" i="3"/>
  <c r="AI31" i="3"/>
  <c r="AG31" i="3"/>
  <c r="AF31" i="3"/>
  <c r="AE31" i="3"/>
  <c r="AD31" i="3"/>
  <c r="AC31" i="3"/>
  <c r="AB31" i="3"/>
  <c r="AA31" i="3"/>
  <c r="Z31" i="3"/>
  <c r="X31" i="3"/>
  <c r="W31" i="3"/>
  <c r="T31" i="3"/>
  <c r="S31" i="3"/>
  <c r="R31" i="3"/>
  <c r="Q31" i="3"/>
  <c r="P31" i="3"/>
  <c r="O31" i="3"/>
  <c r="N31" i="3"/>
  <c r="K31" i="3"/>
  <c r="J31" i="3"/>
  <c r="I31" i="3"/>
  <c r="H31" i="3"/>
  <c r="G31" i="3"/>
  <c r="F31" i="3"/>
  <c r="X58" i="8" s="1"/>
  <c r="E31" i="3"/>
  <c r="D31" i="3"/>
  <c r="C31" i="3"/>
  <c r="B31" i="3"/>
  <c r="BB30" i="3"/>
  <c r="BA30" i="3"/>
  <c r="AZ30" i="3"/>
  <c r="AY30" i="3"/>
  <c r="AX30" i="3"/>
  <c r="AW30" i="3"/>
  <c r="AV30" i="3"/>
  <c r="AU30" i="3"/>
  <c r="AT30" i="3"/>
  <c r="AS30" i="3"/>
  <c r="AR30" i="3"/>
  <c r="AQ30" i="3"/>
  <c r="AP30" i="3"/>
  <c r="AO30" i="3"/>
  <c r="AN30" i="3"/>
  <c r="AM30" i="3"/>
  <c r="AL30" i="3"/>
  <c r="AK30" i="3"/>
  <c r="AJ30" i="3"/>
  <c r="AI30" i="3"/>
  <c r="AG30" i="3"/>
  <c r="AF30" i="3"/>
  <c r="AE30" i="3"/>
  <c r="AD30" i="3"/>
  <c r="AC30" i="3"/>
  <c r="AB30" i="3"/>
  <c r="AA30" i="3"/>
  <c r="Z30" i="3"/>
  <c r="Y30" i="3"/>
  <c r="W30" i="3"/>
  <c r="T30" i="3"/>
  <c r="S30" i="3"/>
  <c r="R30" i="3"/>
  <c r="Q30" i="3"/>
  <c r="P30" i="3"/>
  <c r="O30" i="3"/>
  <c r="N30" i="3"/>
  <c r="K30" i="3"/>
  <c r="J30" i="3"/>
  <c r="I30" i="3"/>
  <c r="H30" i="3"/>
  <c r="G30" i="3"/>
  <c r="F30" i="3"/>
  <c r="E30" i="3"/>
  <c r="W59" i="8" s="1"/>
  <c r="D30" i="3"/>
  <c r="C30" i="3"/>
  <c r="W57" i="9" s="1"/>
  <c r="B30" i="3"/>
  <c r="BB29" i="3"/>
  <c r="BA29" i="3"/>
  <c r="AZ29" i="3"/>
  <c r="AY29" i="3"/>
  <c r="AX29" i="3"/>
  <c r="AW29" i="3"/>
  <c r="AV29" i="3"/>
  <c r="AU29" i="3"/>
  <c r="AT29" i="3"/>
  <c r="AS29" i="3"/>
  <c r="AR29" i="3"/>
  <c r="AQ29" i="3"/>
  <c r="AP29" i="3"/>
  <c r="AO29" i="3"/>
  <c r="AN29" i="3"/>
  <c r="AM29" i="3"/>
  <c r="AL29" i="3"/>
  <c r="AK29" i="3"/>
  <c r="AJ29" i="3"/>
  <c r="AI29" i="3"/>
  <c r="AG29" i="3"/>
  <c r="AF29" i="3"/>
  <c r="AE29" i="3"/>
  <c r="AD29" i="3"/>
  <c r="AC29" i="3"/>
  <c r="AB29" i="3"/>
  <c r="AA29" i="3"/>
  <c r="Z29" i="3"/>
  <c r="Y29" i="3"/>
  <c r="X29" i="3"/>
  <c r="T29" i="3"/>
  <c r="S29" i="3"/>
  <c r="R29" i="3"/>
  <c r="Q29" i="3"/>
  <c r="P29" i="3"/>
  <c r="O29" i="3"/>
  <c r="N29" i="3"/>
  <c r="K29" i="3"/>
  <c r="J29" i="3"/>
  <c r="I29" i="3"/>
  <c r="H29" i="3"/>
  <c r="G29" i="3"/>
  <c r="F29" i="3"/>
  <c r="E29" i="3"/>
  <c r="D29" i="3"/>
  <c r="C29" i="3"/>
  <c r="V58" i="9" s="1"/>
  <c r="B29" i="3"/>
  <c r="BB26" i="3"/>
  <c r="BA26" i="3"/>
  <c r="AZ26" i="3"/>
  <c r="AY26" i="3"/>
  <c r="AX26" i="3"/>
  <c r="AW26" i="3"/>
  <c r="AV26" i="3"/>
  <c r="AU26" i="3"/>
  <c r="AT26" i="3"/>
  <c r="AS26" i="3"/>
  <c r="AR26" i="3"/>
  <c r="AQ26" i="3"/>
  <c r="AP26" i="3"/>
  <c r="AO26" i="3"/>
  <c r="AN26" i="3"/>
  <c r="AM26" i="3"/>
  <c r="AL26" i="3"/>
  <c r="AK26" i="3"/>
  <c r="AJ26" i="3"/>
  <c r="AI26" i="3"/>
  <c r="AG26" i="3"/>
  <c r="AF26" i="3"/>
  <c r="AE26" i="3"/>
  <c r="AD26" i="3"/>
  <c r="AC26" i="3"/>
  <c r="AB26" i="3"/>
  <c r="AA26" i="3"/>
  <c r="Z26" i="3"/>
  <c r="Y26" i="3"/>
  <c r="X26" i="3"/>
  <c r="W26" i="3"/>
  <c r="S26" i="3"/>
  <c r="R26" i="3"/>
  <c r="Q26" i="3"/>
  <c r="P26" i="3"/>
  <c r="O26" i="3"/>
  <c r="N26" i="3"/>
  <c r="K26" i="3"/>
  <c r="J26" i="3"/>
  <c r="I26" i="3"/>
  <c r="H26" i="3"/>
  <c r="G26" i="3"/>
  <c r="F26" i="3"/>
  <c r="E26" i="3"/>
  <c r="D26" i="3"/>
  <c r="C26" i="3"/>
  <c r="B26" i="3"/>
  <c r="BB25" i="3"/>
  <c r="BA25" i="3"/>
  <c r="AZ25" i="3"/>
  <c r="AY25" i="3"/>
  <c r="AX25" i="3"/>
  <c r="AW25" i="3"/>
  <c r="AV25" i="3"/>
  <c r="AU25" i="3"/>
  <c r="AT25" i="3"/>
  <c r="AS25" i="3"/>
  <c r="AR25" i="3"/>
  <c r="AQ25" i="3"/>
  <c r="AP25" i="3"/>
  <c r="AO25" i="3"/>
  <c r="AN25" i="3"/>
  <c r="AM25" i="3"/>
  <c r="AL25" i="3"/>
  <c r="AK25" i="3"/>
  <c r="AJ25" i="3"/>
  <c r="AI25" i="3"/>
  <c r="AG25" i="3"/>
  <c r="AF25" i="3"/>
  <c r="AE25" i="3"/>
  <c r="AD25" i="3"/>
  <c r="AC25" i="3"/>
  <c r="AB25" i="3"/>
  <c r="AA25" i="3"/>
  <c r="Z25" i="3"/>
  <c r="Y25" i="3"/>
  <c r="X25" i="3"/>
  <c r="W25" i="3"/>
  <c r="T25" i="3"/>
  <c r="R25" i="3"/>
  <c r="Q25" i="3"/>
  <c r="P25" i="3"/>
  <c r="O25" i="3"/>
  <c r="N25" i="3"/>
  <c r="K25" i="3"/>
  <c r="J25" i="3"/>
  <c r="I25" i="3"/>
  <c r="H25" i="3"/>
  <c r="G25" i="3"/>
  <c r="F25" i="3"/>
  <c r="E25" i="3"/>
  <c r="D25" i="3"/>
  <c r="C25" i="3"/>
  <c r="B25" i="3"/>
  <c r="BB24" i="3"/>
  <c r="BA24" i="3"/>
  <c r="AZ24" i="3"/>
  <c r="AY24" i="3"/>
  <c r="AX24" i="3"/>
  <c r="AW24" i="3"/>
  <c r="AV24" i="3"/>
  <c r="AU24" i="3"/>
  <c r="AT24" i="3"/>
  <c r="AS24" i="3"/>
  <c r="AR24" i="3"/>
  <c r="AQ24" i="3"/>
  <c r="AP24" i="3"/>
  <c r="AO24" i="3"/>
  <c r="AN24" i="3"/>
  <c r="AM24" i="3"/>
  <c r="AL24" i="3"/>
  <c r="AK24" i="3"/>
  <c r="AJ24" i="3"/>
  <c r="AI24" i="3"/>
  <c r="AG24" i="3"/>
  <c r="AF24" i="3"/>
  <c r="AE24" i="3"/>
  <c r="AD24" i="3"/>
  <c r="AC24" i="3"/>
  <c r="AB24" i="3"/>
  <c r="AA24" i="3"/>
  <c r="Z24" i="3"/>
  <c r="Y24" i="3"/>
  <c r="X24" i="3"/>
  <c r="W24" i="3"/>
  <c r="T24" i="3"/>
  <c r="S24" i="3"/>
  <c r="Q24" i="3"/>
  <c r="P24" i="3"/>
  <c r="O24" i="3"/>
  <c r="N24" i="3"/>
  <c r="K24" i="3"/>
  <c r="J24" i="3"/>
  <c r="I24" i="3"/>
  <c r="Q59" i="8" s="1"/>
  <c r="H24" i="3"/>
  <c r="G24" i="3"/>
  <c r="F24" i="3"/>
  <c r="E24" i="3"/>
  <c r="D24" i="3"/>
  <c r="C24" i="3"/>
  <c r="B24" i="3"/>
  <c r="BB23" i="3"/>
  <c r="BA23" i="3"/>
  <c r="AZ23" i="3"/>
  <c r="AY23" i="3"/>
  <c r="AX23" i="3"/>
  <c r="AW23" i="3"/>
  <c r="AV23" i="3"/>
  <c r="AU23" i="3"/>
  <c r="AT23" i="3"/>
  <c r="AS23" i="3"/>
  <c r="AR23" i="3"/>
  <c r="AQ23" i="3"/>
  <c r="AP23" i="3"/>
  <c r="AO23" i="3"/>
  <c r="AN23" i="3"/>
  <c r="AM23" i="3"/>
  <c r="AL23" i="3"/>
  <c r="AK23" i="3"/>
  <c r="AJ23" i="3"/>
  <c r="AI23" i="3"/>
  <c r="AG23" i="3"/>
  <c r="AF23" i="3"/>
  <c r="AE23" i="3"/>
  <c r="AD23" i="3"/>
  <c r="AC23" i="3"/>
  <c r="AB23" i="3"/>
  <c r="AA23" i="3"/>
  <c r="Z23" i="3"/>
  <c r="Y23" i="3"/>
  <c r="X23" i="3"/>
  <c r="W23" i="3"/>
  <c r="T23" i="3"/>
  <c r="S23" i="3"/>
  <c r="R23" i="3"/>
  <c r="P23" i="3"/>
  <c r="O23" i="3"/>
  <c r="N23" i="3"/>
  <c r="K23" i="3"/>
  <c r="J23" i="3"/>
  <c r="I23" i="3"/>
  <c r="H23" i="3"/>
  <c r="P56" i="9" s="1"/>
  <c r="G23" i="3"/>
  <c r="F23" i="3"/>
  <c r="E23" i="3"/>
  <c r="D23" i="3"/>
  <c r="C23" i="3"/>
  <c r="B23" i="3"/>
  <c r="BB22" i="3"/>
  <c r="BA22" i="3"/>
  <c r="AZ22" i="3"/>
  <c r="AY22" i="3"/>
  <c r="AX22" i="3"/>
  <c r="AW22" i="3"/>
  <c r="AV22" i="3"/>
  <c r="AU22" i="3"/>
  <c r="AT22" i="3"/>
  <c r="AS22" i="3"/>
  <c r="AR22" i="3"/>
  <c r="AQ22" i="3"/>
  <c r="AP22" i="3"/>
  <c r="AO22" i="3"/>
  <c r="AN22" i="3"/>
  <c r="AM22" i="3"/>
  <c r="AL22" i="3"/>
  <c r="AK22" i="3"/>
  <c r="AJ22" i="3"/>
  <c r="AI22" i="3"/>
  <c r="AG22" i="3"/>
  <c r="AF22" i="3"/>
  <c r="AE22" i="3"/>
  <c r="AD22" i="3"/>
  <c r="AC22" i="3"/>
  <c r="AB22" i="3"/>
  <c r="AA22" i="3"/>
  <c r="Z22" i="3"/>
  <c r="Y22" i="3"/>
  <c r="X22" i="3"/>
  <c r="W22" i="3"/>
  <c r="T22" i="3"/>
  <c r="S22" i="3"/>
  <c r="R22" i="3"/>
  <c r="Q22" i="3"/>
  <c r="O22" i="3"/>
  <c r="N22" i="3"/>
  <c r="K22" i="3"/>
  <c r="J22" i="3"/>
  <c r="I22" i="3"/>
  <c r="H22" i="3"/>
  <c r="G22" i="3"/>
  <c r="O57" i="9" s="1"/>
  <c r="F22" i="3"/>
  <c r="E22" i="3"/>
  <c r="D22" i="3"/>
  <c r="C22" i="3"/>
  <c r="B22" i="3"/>
  <c r="BB21" i="3"/>
  <c r="BA21" i="3"/>
  <c r="AZ21" i="3"/>
  <c r="AY21" i="3"/>
  <c r="AX21" i="3"/>
  <c r="AW21" i="3"/>
  <c r="AV21" i="3"/>
  <c r="AU21" i="3"/>
  <c r="AT21" i="3"/>
  <c r="AS21" i="3"/>
  <c r="AR21" i="3"/>
  <c r="AQ21" i="3"/>
  <c r="AP21" i="3"/>
  <c r="AO21" i="3"/>
  <c r="AN21" i="3"/>
  <c r="AM21" i="3"/>
  <c r="AL21" i="3"/>
  <c r="AK21" i="3"/>
  <c r="AJ21" i="3"/>
  <c r="AI21" i="3"/>
  <c r="AG21" i="3"/>
  <c r="AF21" i="3"/>
  <c r="AE21" i="3"/>
  <c r="AD21" i="3"/>
  <c r="AC21" i="3"/>
  <c r="AB21" i="3"/>
  <c r="AA21" i="3"/>
  <c r="Z21" i="3"/>
  <c r="Y21" i="3"/>
  <c r="X21" i="3"/>
  <c r="W21" i="3"/>
  <c r="T21" i="3"/>
  <c r="S21" i="3"/>
  <c r="R21" i="3"/>
  <c r="Q21" i="3"/>
  <c r="P21" i="3"/>
  <c r="N21" i="3"/>
  <c r="K21" i="3"/>
  <c r="J21" i="3"/>
  <c r="I21" i="3"/>
  <c r="H21" i="3"/>
  <c r="G21" i="3"/>
  <c r="F21" i="3"/>
  <c r="N56" i="7" s="1"/>
  <c r="E21" i="3"/>
  <c r="D21" i="3"/>
  <c r="C21" i="3"/>
  <c r="B21" i="3"/>
  <c r="BB20" i="3"/>
  <c r="BA20" i="3"/>
  <c r="AZ20" i="3"/>
  <c r="AY20" i="3"/>
  <c r="AX20" i="3"/>
  <c r="AW20" i="3"/>
  <c r="AV20" i="3"/>
  <c r="AU20" i="3"/>
  <c r="AT20" i="3"/>
  <c r="AS20" i="3"/>
  <c r="AR20" i="3"/>
  <c r="AQ20" i="3"/>
  <c r="AP20" i="3"/>
  <c r="AO20" i="3"/>
  <c r="AN20" i="3"/>
  <c r="AM20" i="3"/>
  <c r="AL20" i="3"/>
  <c r="AK20" i="3"/>
  <c r="AJ20" i="3"/>
  <c r="AI20" i="3"/>
  <c r="AG20" i="3"/>
  <c r="AF20" i="3"/>
  <c r="AE20" i="3"/>
  <c r="AD20" i="3"/>
  <c r="AC20" i="3"/>
  <c r="AB20" i="3"/>
  <c r="AA20" i="3"/>
  <c r="Z20" i="3"/>
  <c r="Y20" i="3"/>
  <c r="X20" i="3"/>
  <c r="W20" i="3"/>
  <c r="T20" i="3"/>
  <c r="S20" i="3"/>
  <c r="R20" i="3"/>
  <c r="Q20" i="3"/>
  <c r="P20" i="3"/>
  <c r="O20" i="3"/>
  <c r="K20" i="3"/>
  <c r="J20" i="3"/>
  <c r="I20" i="3"/>
  <c r="H20" i="3"/>
  <c r="G20" i="3"/>
  <c r="F20" i="3"/>
  <c r="E20" i="3"/>
  <c r="M57" i="7" s="1"/>
  <c r="D20" i="3"/>
  <c r="C20" i="3"/>
  <c r="M56" i="9" s="1"/>
  <c r="B20" i="3"/>
  <c r="BB17" i="3"/>
  <c r="BA17" i="3"/>
  <c r="AZ17" i="3"/>
  <c r="AY17" i="3"/>
  <c r="AX17" i="3"/>
  <c r="AW17" i="3"/>
  <c r="AV17" i="3"/>
  <c r="AU17" i="3"/>
  <c r="AT17" i="3"/>
  <c r="AS17" i="3"/>
  <c r="AR17" i="3"/>
  <c r="AQ17" i="3"/>
  <c r="AP17" i="3"/>
  <c r="AO17" i="3"/>
  <c r="AN17" i="3"/>
  <c r="AM17" i="3"/>
  <c r="AL17" i="3"/>
  <c r="AK17" i="3"/>
  <c r="AJ17" i="3"/>
  <c r="AI17" i="3"/>
  <c r="AG17" i="3"/>
  <c r="AF17" i="3"/>
  <c r="AE17" i="3"/>
  <c r="AD17" i="3"/>
  <c r="AC17" i="3"/>
  <c r="AB17" i="3"/>
  <c r="AA17" i="3"/>
  <c r="Z17" i="3"/>
  <c r="Y17" i="3"/>
  <c r="X17" i="3"/>
  <c r="W17" i="3"/>
  <c r="T17" i="3"/>
  <c r="S17" i="3"/>
  <c r="R17" i="3"/>
  <c r="Q17" i="3"/>
  <c r="P17" i="3"/>
  <c r="O17" i="3"/>
  <c r="N17" i="3"/>
  <c r="J17" i="3"/>
  <c r="I17" i="3"/>
  <c r="H17" i="3"/>
  <c r="G17" i="3"/>
  <c r="F17" i="3"/>
  <c r="E17" i="3"/>
  <c r="D17" i="3"/>
  <c r="J59" i="7" s="1"/>
  <c r="C17" i="3"/>
  <c r="J59" i="9" s="1"/>
  <c r="B17" i="3"/>
  <c r="BB16" i="3"/>
  <c r="BA16" i="3"/>
  <c r="AZ16" i="3"/>
  <c r="AY16" i="3"/>
  <c r="AX16" i="3"/>
  <c r="AW16" i="3"/>
  <c r="AV16" i="3"/>
  <c r="AU16" i="3"/>
  <c r="AT16" i="3"/>
  <c r="AS16" i="3"/>
  <c r="AR16" i="3"/>
  <c r="AQ16" i="3"/>
  <c r="AP16" i="3"/>
  <c r="AO16" i="3"/>
  <c r="AN16" i="3"/>
  <c r="AM16" i="3"/>
  <c r="AL16" i="3"/>
  <c r="AK16" i="3"/>
  <c r="AJ16" i="3"/>
  <c r="AI16" i="3"/>
  <c r="AG16" i="3"/>
  <c r="AF16" i="3"/>
  <c r="AE16" i="3"/>
  <c r="AD16" i="3"/>
  <c r="AC16" i="3"/>
  <c r="AB16" i="3"/>
  <c r="AA16" i="3"/>
  <c r="Z16" i="3"/>
  <c r="Y16" i="3"/>
  <c r="X16" i="3"/>
  <c r="W16" i="3"/>
  <c r="T16" i="3"/>
  <c r="S16" i="3"/>
  <c r="R16" i="3"/>
  <c r="Q16" i="3"/>
  <c r="P16" i="3"/>
  <c r="O16" i="3"/>
  <c r="N16" i="3"/>
  <c r="K16" i="3"/>
  <c r="H16" i="3"/>
  <c r="G16" i="3"/>
  <c r="F16" i="3"/>
  <c r="E16" i="3"/>
  <c r="D16" i="3"/>
  <c r="C16" i="3"/>
  <c r="B16" i="3"/>
  <c r="BB15" i="3"/>
  <c r="BA15" i="3"/>
  <c r="AZ15" i="3"/>
  <c r="AY15" i="3"/>
  <c r="AX15" i="3"/>
  <c r="AW15" i="3"/>
  <c r="AV15" i="3"/>
  <c r="AU15" i="3"/>
  <c r="AT15" i="3"/>
  <c r="AS15" i="3"/>
  <c r="AR15" i="3"/>
  <c r="AQ15" i="3"/>
  <c r="AP15" i="3"/>
  <c r="AO15" i="3"/>
  <c r="AN15" i="3"/>
  <c r="AM15" i="3"/>
  <c r="AL15" i="3"/>
  <c r="AK15" i="3"/>
  <c r="AJ15" i="3"/>
  <c r="AI15" i="3"/>
  <c r="AG15" i="3"/>
  <c r="AF15" i="3"/>
  <c r="AE15" i="3"/>
  <c r="AD15" i="3"/>
  <c r="AC15" i="3"/>
  <c r="AB15" i="3"/>
  <c r="AA15" i="3"/>
  <c r="Z15" i="3"/>
  <c r="Y15" i="3"/>
  <c r="X15" i="3"/>
  <c r="W15" i="3"/>
  <c r="T15" i="3"/>
  <c r="S15" i="3"/>
  <c r="R15" i="3"/>
  <c r="Q15" i="3"/>
  <c r="P15" i="3"/>
  <c r="O15" i="3"/>
  <c r="N15" i="3"/>
  <c r="K15" i="3"/>
  <c r="J15" i="3"/>
  <c r="I15" i="3"/>
  <c r="G15" i="3"/>
  <c r="F15" i="3"/>
  <c r="E15" i="3"/>
  <c r="D15" i="3"/>
  <c r="C15" i="3"/>
  <c r="B15" i="3"/>
  <c r="BB14" i="3"/>
  <c r="BA14" i="3"/>
  <c r="AZ14" i="3"/>
  <c r="AY14" i="3"/>
  <c r="AX14" i="3"/>
  <c r="AW14" i="3"/>
  <c r="AV14" i="3"/>
  <c r="AU14" i="3"/>
  <c r="AT14" i="3"/>
  <c r="AS14" i="3"/>
  <c r="AR14" i="3"/>
  <c r="AQ14" i="3"/>
  <c r="AP14" i="3"/>
  <c r="AO14" i="3"/>
  <c r="AN14" i="3"/>
  <c r="AM14" i="3"/>
  <c r="AL14" i="3"/>
  <c r="AK14" i="3"/>
  <c r="AJ14" i="3"/>
  <c r="AI14" i="3"/>
  <c r="AG14" i="3"/>
  <c r="AF14" i="3"/>
  <c r="AE14" i="3"/>
  <c r="AD14" i="3"/>
  <c r="AC14" i="3"/>
  <c r="AB14" i="3"/>
  <c r="AA14" i="3"/>
  <c r="Z14" i="3"/>
  <c r="Y14" i="3"/>
  <c r="X14" i="3"/>
  <c r="W14" i="3"/>
  <c r="T14" i="3"/>
  <c r="S14" i="3"/>
  <c r="R14" i="3"/>
  <c r="Q14" i="3"/>
  <c r="P14" i="3"/>
  <c r="O14" i="3"/>
  <c r="N14" i="3"/>
  <c r="K14" i="3"/>
  <c r="J14" i="3"/>
  <c r="I14" i="3"/>
  <c r="H14" i="3"/>
  <c r="F14" i="3"/>
  <c r="E14" i="3"/>
  <c r="D14" i="3"/>
  <c r="C14" i="3"/>
  <c r="B14" i="3"/>
  <c r="BB13" i="3"/>
  <c r="BA13" i="3"/>
  <c r="AZ13" i="3"/>
  <c r="AY13" i="3"/>
  <c r="AX13" i="3"/>
  <c r="AW13" i="3"/>
  <c r="AV13" i="3"/>
  <c r="AU13" i="3"/>
  <c r="AT13" i="3"/>
  <c r="AS13" i="3"/>
  <c r="AR13" i="3"/>
  <c r="AQ13" i="3"/>
  <c r="AP13" i="3"/>
  <c r="AO13" i="3"/>
  <c r="AN13" i="3"/>
  <c r="AM13" i="3"/>
  <c r="AL13" i="3"/>
  <c r="AK13" i="3"/>
  <c r="AJ13" i="3"/>
  <c r="AI13" i="3"/>
  <c r="AG13" i="3"/>
  <c r="AF13" i="3"/>
  <c r="AE13" i="3"/>
  <c r="AD13" i="3"/>
  <c r="AC13" i="3"/>
  <c r="AB13" i="3"/>
  <c r="AA13" i="3"/>
  <c r="Z13" i="3"/>
  <c r="Y13" i="3"/>
  <c r="X13" i="3"/>
  <c r="W13" i="3"/>
  <c r="T13" i="3"/>
  <c r="S13" i="3"/>
  <c r="R13" i="3"/>
  <c r="Q13" i="3"/>
  <c r="P13" i="3"/>
  <c r="O13" i="3"/>
  <c r="N13" i="3"/>
  <c r="K13" i="3"/>
  <c r="J13" i="3"/>
  <c r="I13" i="3"/>
  <c r="H13" i="3"/>
  <c r="F59" i="8" s="1"/>
  <c r="G13" i="3"/>
  <c r="E13" i="3"/>
  <c r="D13" i="3"/>
  <c r="C13" i="3"/>
  <c r="B13" i="3"/>
  <c r="BB12" i="3"/>
  <c r="BA12" i="3"/>
  <c r="AZ12" i="3"/>
  <c r="AY12" i="3"/>
  <c r="AX12" i="3"/>
  <c r="AW12" i="3"/>
  <c r="AV12" i="3"/>
  <c r="AU12" i="3"/>
  <c r="AT12" i="3"/>
  <c r="AS12" i="3"/>
  <c r="AR12" i="3"/>
  <c r="AQ12" i="3"/>
  <c r="AP12" i="3"/>
  <c r="AO12" i="3"/>
  <c r="AN12" i="3"/>
  <c r="AM12" i="3"/>
  <c r="AL12" i="3"/>
  <c r="AK12" i="3"/>
  <c r="AJ12" i="3"/>
  <c r="AI12" i="3"/>
  <c r="AG12" i="3"/>
  <c r="AF12" i="3"/>
  <c r="AE12" i="3"/>
  <c r="AD12" i="3"/>
  <c r="AC12" i="3"/>
  <c r="AB12" i="3"/>
  <c r="AA12" i="3"/>
  <c r="Z12" i="3"/>
  <c r="Y12" i="3"/>
  <c r="X12" i="3"/>
  <c r="W12" i="3"/>
  <c r="T12" i="3"/>
  <c r="S12" i="3"/>
  <c r="R12" i="3"/>
  <c r="Q12" i="3"/>
  <c r="P12" i="3"/>
  <c r="O12" i="3"/>
  <c r="N12" i="3"/>
  <c r="K12" i="3"/>
  <c r="J12" i="3"/>
  <c r="I12" i="3"/>
  <c r="H12" i="3"/>
  <c r="G12" i="3"/>
  <c r="F12" i="3"/>
  <c r="D12" i="3"/>
  <c r="C12" i="3"/>
  <c r="B12" i="3"/>
  <c r="BB11" i="3"/>
  <c r="BA11" i="3"/>
  <c r="AZ11" i="3"/>
  <c r="AY11" i="3"/>
  <c r="AX11" i="3"/>
  <c r="AW11" i="3"/>
  <c r="AV11" i="3"/>
  <c r="AU11" i="3"/>
  <c r="AT11" i="3"/>
  <c r="AS11" i="3"/>
  <c r="AR11" i="3"/>
  <c r="AQ11" i="3"/>
  <c r="AP11" i="3"/>
  <c r="AO11" i="3"/>
  <c r="AN11" i="3"/>
  <c r="AM11" i="3"/>
  <c r="AL11" i="3"/>
  <c r="AK11" i="3"/>
  <c r="AJ11" i="3"/>
  <c r="AI11" i="3"/>
  <c r="AG11" i="3"/>
  <c r="AF11" i="3"/>
  <c r="AE11" i="3"/>
  <c r="AD11" i="3"/>
  <c r="AC11" i="3"/>
  <c r="AB11" i="3"/>
  <c r="AA11" i="3"/>
  <c r="Z11" i="3"/>
  <c r="Y11" i="3"/>
  <c r="X11" i="3"/>
  <c r="W11" i="3"/>
  <c r="T11" i="3"/>
  <c r="S11" i="3"/>
  <c r="R11" i="3"/>
  <c r="Q11" i="3"/>
  <c r="P11" i="3"/>
  <c r="O11" i="3"/>
  <c r="N11" i="3"/>
  <c r="K11" i="3"/>
  <c r="J11" i="3"/>
  <c r="I11" i="3"/>
  <c r="H11" i="3"/>
  <c r="G11" i="3"/>
  <c r="F11" i="3"/>
  <c r="D59" i="7" s="1"/>
  <c r="E11" i="3"/>
  <c r="C11" i="3"/>
  <c r="D59" i="9" s="1"/>
  <c r="B11" i="3"/>
  <c r="BB10" i="3"/>
  <c r="BA10" i="3"/>
  <c r="AZ10" i="3"/>
  <c r="AY10" i="3"/>
  <c r="AX10" i="3"/>
  <c r="AW10" i="3"/>
  <c r="AV10" i="3"/>
  <c r="AU10" i="3"/>
  <c r="AT10" i="3"/>
  <c r="AS10" i="3"/>
  <c r="AR10" i="3"/>
  <c r="AQ10" i="3"/>
  <c r="AP10" i="3"/>
  <c r="AO10" i="3"/>
  <c r="AN10" i="3"/>
  <c r="AM10" i="3"/>
  <c r="AL10" i="3"/>
  <c r="AK10" i="3"/>
  <c r="AJ10" i="3"/>
  <c r="AI10" i="3"/>
  <c r="AG10" i="3"/>
  <c r="AF10" i="3"/>
  <c r="AE10" i="3"/>
  <c r="AD10" i="3"/>
  <c r="AC10" i="3"/>
  <c r="AB10" i="3"/>
  <c r="AA10" i="3"/>
  <c r="Z10" i="3"/>
  <c r="Y10" i="3"/>
  <c r="X10" i="3"/>
  <c r="W10" i="3"/>
  <c r="T10" i="3"/>
  <c r="S10" i="3"/>
  <c r="R10" i="3"/>
  <c r="Q10" i="3"/>
  <c r="P10" i="3"/>
  <c r="O10" i="3"/>
  <c r="N10" i="3"/>
  <c r="K10" i="3"/>
  <c r="J10" i="3"/>
  <c r="I10" i="3"/>
  <c r="H10" i="3"/>
  <c r="G10" i="3"/>
  <c r="F10" i="3"/>
  <c r="E10" i="3"/>
  <c r="C58" i="9" s="1"/>
  <c r="D10" i="3"/>
  <c r="B10" i="3"/>
  <c r="B9" i="3"/>
  <c r="AG6" i="3"/>
  <c r="BD56" i="6" s="1"/>
  <c r="AF6" i="3"/>
  <c r="AF9" i="3" s="1"/>
  <c r="BB5" i="3"/>
  <c r="BB58" i="3" s="1"/>
  <c r="BA5" i="3"/>
  <c r="BA57" i="3" s="1"/>
  <c r="AZ5" i="3"/>
  <c r="AZ56" i="3" s="1"/>
  <c r="AY5" i="3"/>
  <c r="AY55" i="3" s="1"/>
  <c r="AX5" i="3"/>
  <c r="AX54" i="3" s="1"/>
  <c r="AW5" i="3"/>
  <c r="AW53" i="3" s="1"/>
  <c r="AV5" i="3"/>
  <c r="AV52" i="3" s="1"/>
  <c r="AU5" i="3"/>
  <c r="AU51" i="3" s="1"/>
  <c r="AT5" i="3"/>
  <c r="AT50" i="3" s="1"/>
  <c r="AS5" i="3"/>
  <c r="AS49" i="3" s="1"/>
  <c r="AR5" i="3"/>
  <c r="AR48" i="3" s="1"/>
  <c r="AQ5" i="3"/>
  <c r="AQ47" i="3" s="1"/>
  <c r="AP5" i="3"/>
  <c r="AP46" i="3" s="1"/>
  <c r="AO5" i="3"/>
  <c r="AO45" i="3" s="1"/>
  <c r="AN5" i="3"/>
  <c r="AN45" i="3" s="1"/>
  <c r="AM5" i="3"/>
  <c r="AM44" i="3" s="1"/>
  <c r="AL5" i="3"/>
  <c r="AL43" i="3" s="1"/>
  <c r="AK5" i="3"/>
  <c r="AK42" i="3" s="1"/>
  <c r="AJ5" i="3"/>
  <c r="AJ41" i="3" s="1"/>
  <c r="AI5" i="3"/>
  <c r="AI40" i="3" s="1"/>
  <c r="AG5" i="3"/>
  <c r="AG39" i="3" s="1"/>
  <c r="AF5" i="3"/>
  <c r="AF38" i="3" s="1"/>
  <c r="AE5" i="3"/>
  <c r="AE37" i="3" s="1"/>
  <c r="AD5" i="3"/>
  <c r="AD36" i="3" s="1"/>
  <c r="AC5" i="3"/>
  <c r="AC35" i="3" s="1"/>
  <c r="AB5" i="3"/>
  <c r="AB34" i="3" s="1"/>
  <c r="AA5" i="3"/>
  <c r="AA33" i="3" s="1"/>
  <c r="Z5" i="3"/>
  <c r="Z32" i="3" s="1"/>
  <c r="Y5" i="3"/>
  <c r="Y31" i="3" s="1"/>
  <c r="X5" i="3"/>
  <c r="X30" i="3" s="1"/>
  <c r="W5" i="3"/>
  <c r="W29" i="3" s="1"/>
  <c r="T5" i="3"/>
  <c r="T26" i="3" s="1"/>
  <c r="S5" i="3"/>
  <c r="S25" i="3" s="1"/>
  <c r="R5" i="3"/>
  <c r="R24" i="3" s="1"/>
  <c r="Q5" i="3"/>
  <c r="Q23" i="3" s="1"/>
  <c r="P5" i="3"/>
  <c r="P22" i="3" s="1"/>
  <c r="O5" i="3"/>
  <c r="O21" i="3" s="1"/>
  <c r="N5" i="3"/>
  <c r="N20" i="3" s="1"/>
  <c r="K5" i="3"/>
  <c r="K17" i="3" s="1"/>
  <c r="J5" i="3"/>
  <c r="J16" i="3" s="1"/>
  <c r="I5" i="3"/>
  <c r="I16" i="3" s="1"/>
  <c r="H5" i="3"/>
  <c r="H6" i="3" s="1"/>
  <c r="H9" i="3" s="1"/>
  <c r="G5" i="3"/>
  <c r="G14" i="3" s="1"/>
  <c r="G58" i="8" s="1"/>
  <c r="F5" i="3"/>
  <c r="F13" i="3" s="1"/>
  <c r="E5" i="3"/>
  <c r="E12" i="3" s="1"/>
  <c r="D5" i="3"/>
  <c r="D11" i="3" s="1"/>
  <c r="C5" i="3"/>
  <c r="C10" i="3" s="1"/>
  <c r="BE63" i="6" l="1"/>
  <c r="BE62" i="5"/>
  <c r="BE63" i="4"/>
  <c r="BE56" i="6"/>
  <c r="AZ60" i="8"/>
  <c r="AZ61" i="8"/>
  <c r="AZ60" i="7"/>
  <c r="AZ61" i="7"/>
  <c r="BE61" i="5"/>
  <c r="BE61" i="4"/>
  <c r="AZ60" i="9"/>
  <c r="AZ61" i="9"/>
  <c r="BE57" i="4"/>
  <c r="E56" i="7"/>
  <c r="E56" i="9"/>
  <c r="V56" i="9"/>
  <c r="V56" i="7"/>
  <c r="AR45" i="7"/>
  <c r="AR56" i="9"/>
  <c r="AR59" i="8"/>
  <c r="AR58" i="8"/>
  <c r="AR57" i="8"/>
  <c r="AR59" i="9"/>
  <c r="AR58" i="9"/>
  <c r="AR58" i="7"/>
  <c r="AR57" i="9"/>
  <c r="AR56" i="8"/>
  <c r="AR59" i="7"/>
  <c r="M56" i="7"/>
  <c r="W58" i="8"/>
  <c r="S46" i="7"/>
  <c r="S57" i="9"/>
  <c r="S56" i="9"/>
  <c r="S59" i="8"/>
  <c r="S58" i="8"/>
  <c r="S56" i="8"/>
  <c r="S56" i="7"/>
  <c r="S59" i="7"/>
  <c r="S58" i="7"/>
  <c r="S59" i="9"/>
  <c r="Z56" i="8"/>
  <c r="AT56" i="7"/>
  <c r="C57" i="9"/>
  <c r="AQ49" i="7"/>
  <c r="AQ57" i="9"/>
  <c r="AQ56" i="9"/>
  <c r="AQ59" i="8"/>
  <c r="AQ58" i="8"/>
  <c r="AQ56" i="7"/>
  <c r="AQ59" i="9"/>
  <c r="AQ58" i="9"/>
  <c r="AQ57" i="8"/>
  <c r="AQ59" i="7"/>
  <c r="AQ56" i="8"/>
  <c r="S57" i="8"/>
  <c r="AD58" i="9"/>
  <c r="Q57" i="8"/>
  <c r="AP57" i="8"/>
  <c r="K58" i="7"/>
  <c r="U57" i="7"/>
  <c r="U56" i="7"/>
  <c r="C57" i="7"/>
  <c r="AQ58" i="7"/>
  <c r="X57" i="8"/>
  <c r="AM58" i="8"/>
  <c r="D56" i="9"/>
  <c r="AT58" i="9"/>
  <c r="L2" i="9"/>
  <c r="L10" i="9"/>
  <c r="L18" i="9"/>
  <c r="L26" i="9"/>
  <c r="L34" i="9"/>
  <c r="L42" i="9"/>
  <c r="L50" i="9"/>
  <c r="L58" i="9"/>
  <c r="L8" i="8"/>
  <c r="L16" i="8"/>
  <c r="L24" i="8"/>
  <c r="L32" i="8"/>
  <c r="L40" i="8"/>
  <c r="L48" i="8"/>
  <c r="L56" i="8"/>
  <c r="L6" i="7"/>
  <c r="L14" i="7"/>
  <c r="L22" i="7"/>
  <c r="L30" i="7"/>
  <c r="L38" i="7"/>
  <c r="L46" i="7"/>
  <c r="L54" i="7"/>
  <c r="L3" i="9"/>
  <c r="L11" i="9"/>
  <c r="L19" i="9"/>
  <c r="L27" i="9"/>
  <c r="L35" i="9"/>
  <c r="L43" i="9"/>
  <c r="L51" i="9"/>
  <c r="L59" i="9"/>
  <c r="L9" i="8"/>
  <c r="L17" i="8"/>
  <c r="L25" i="8"/>
  <c r="L33" i="8"/>
  <c r="L41" i="8"/>
  <c r="L49" i="8"/>
  <c r="L57" i="8"/>
  <c r="L7" i="7"/>
  <c r="L15" i="7"/>
  <c r="L23" i="7"/>
  <c r="L31" i="7"/>
  <c r="L39" i="7"/>
  <c r="L47" i="7"/>
  <c r="L55" i="7"/>
  <c r="L4" i="9"/>
  <c r="L12" i="9"/>
  <c r="L20" i="9"/>
  <c r="L28" i="9"/>
  <c r="L36" i="9"/>
  <c r="L44" i="9"/>
  <c r="L52" i="9"/>
  <c r="L2" i="8"/>
  <c r="L10" i="8"/>
  <c r="L18" i="8"/>
  <c r="L26" i="8"/>
  <c r="L34" i="8"/>
  <c r="L42" i="8"/>
  <c r="L50" i="8"/>
  <c r="L58" i="8"/>
  <c r="L8" i="7"/>
  <c r="L16" i="7"/>
  <c r="L24" i="7"/>
  <c r="L32" i="7"/>
  <c r="L40" i="7"/>
  <c r="L48" i="7"/>
  <c r="L56" i="7"/>
  <c r="L5" i="9"/>
  <c r="L13" i="9"/>
  <c r="L21" i="9"/>
  <c r="L29" i="9"/>
  <c r="L37" i="9"/>
  <c r="L45" i="9"/>
  <c r="L53" i="9"/>
  <c r="L3" i="8"/>
  <c r="L11" i="8"/>
  <c r="L19" i="8"/>
  <c r="L27" i="8"/>
  <c r="L35" i="8"/>
  <c r="L43" i="8"/>
  <c r="L51" i="8"/>
  <c r="L59" i="8"/>
  <c r="L9" i="7"/>
  <c r="L17" i="7"/>
  <c r="L25" i="7"/>
  <c r="L33" i="7"/>
  <c r="L41" i="7"/>
  <c r="L49" i="7"/>
  <c r="L57" i="7"/>
  <c r="L6" i="9"/>
  <c r="L22" i="9"/>
  <c r="L38" i="9"/>
  <c r="L54" i="9"/>
  <c r="L12" i="8"/>
  <c r="L28" i="8"/>
  <c r="L44" i="8"/>
  <c r="L2" i="7"/>
  <c r="L18" i="7"/>
  <c r="L34" i="7"/>
  <c r="L50" i="7"/>
  <c r="L37" i="8"/>
  <c r="L48" i="9"/>
  <c r="L38" i="8"/>
  <c r="L7" i="9"/>
  <c r="L23" i="9"/>
  <c r="L39" i="9"/>
  <c r="L55" i="9"/>
  <c r="L13" i="8"/>
  <c r="L29" i="8"/>
  <c r="L45" i="8"/>
  <c r="L3" i="7"/>
  <c r="L19" i="7"/>
  <c r="L35" i="7"/>
  <c r="L51" i="7"/>
  <c r="L11" i="7"/>
  <c r="L32" i="9"/>
  <c r="L12" i="7"/>
  <c r="L8" i="9"/>
  <c r="L24" i="9"/>
  <c r="L40" i="9"/>
  <c r="L56" i="9"/>
  <c r="L14" i="8"/>
  <c r="L30" i="8"/>
  <c r="L46" i="8"/>
  <c r="L4" i="7"/>
  <c r="L20" i="7"/>
  <c r="L36" i="7"/>
  <c r="L52" i="7"/>
  <c r="L53" i="8"/>
  <c r="L6" i="8"/>
  <c r="L28" i="7"/>
  <c r="L9" i="9"/>
  <c r="L25" i="9"/>
  <c r="L41" i="9"/>
  <c r="L57" i="9"/>
  <c r="L15" i="8"/>
  <c r="L31" i="8"/>
  <c r="L47" i="8"/>
  <c r="L5" i="7"/>
  <c r="L21" i="7"/>
  <c r="L37" i="7"/>
  <c r="L53" i="7"/>
  <c r="L15" i="9"/>
  <c r="L5" i="8"/>
  <c r="L27" i="7"/>
  <c r="L59" i="7"/>
  <c r="L22" i="8"/>
  <c r="L44" i="7"/>
  <c r="L14" i="9"/>
  <c r="L30" i="9"/>
  <c r="L46" i="9"/>
  <c r="L4" i="8"/>
  <c r="L20" i="8"/>
  <c r="L36" i="8"/>
  <c r="L52" i="8"/>
  <c r="L10" i="7"/>
  <c r="L26" i="7"/>
  <c r="L42" i="7"/>
  <c r="L58" i="7"/>
  <c r="L31" i="9"/>
  <c r="L47" i="9"/>
  <c r="L21" i="8"/>
  <c r="L43" i="7"/>
  <c r="L16" i="9"/>
  <c r="L54" i="8"/>
  <c r="L7" i="8"/>
  <c r="AO57" i="8"/>
  <c r="R48" i="7"/>
  <c r="R58" i="9"/>
  <c r="R58" i="7"/>
  <c r="R57" i="9"/>
  <c r="R56" i="9"/>
  <c r="R59" i="8"/>
  <c r="R57" i="8"/>
  <c r="R57" i="7"/>
  <c r="R59" i="9"/>
  <c r="R56" i="8"/>
  <c r="R56" i="7"/>
  <c r="R59" i="7"/>
  <c r="AJ46" i="7"/>
  <c r="AJ56" i="9"/>
  <c r="AJ59" i="8"/>
  <c r="AJ58" i="8"/>
  <c r="AJ57" i="8"/>
  <c r="AJ59" i="7"/>
  <c r="AJ58" i="7"/>
  <c r="AJ59" i="9"/>
  <c r="AJ58" i="9"/>
  <c r="AY46" i="8"/>
  <c r="AY57" i="9"/>
  <c r="AY57" i="7"/>
  <c r="AY56" i="9"/>
  <c r="AY59" i="8"/>
  <c r="AY58" i="8"/>
  <c r="AY56" i="8"/>
  <c r="AY56" i="7"/>
  <c r="AY59" i="7"/>
  <c r="AY58" i="7"/>
  <c r="AY59" i="9"/>
  <c r="AY58" i="9"/>
  <c r="BE57" i="5"/>
  <c r="J57" i="7"/>
  <c r="AQ57" i="7"/>
  <c r="AI57" i="8"/>
  <c r="AX58" i="8"/>
  <c r="M59" i="9"/>
  <c r="AC47" i="7"/>
  <c r="AC59" i="8"/>
  <c r="AC58" i="8"/>
  <c r="AC57" i="8"/>
  <c r="AC56" i="8"/>
  <c r="AC58" i="9"/>
  <c r="AC57" i="9"/>
  <c r="AC57" i="7"/>
  <c r="AC56" i="9"/>
  <c r="AC59" i="7"/>
  <c r="AC58" i="7"/>
  <c r="AK47" i="7"/>
  <c r="AK59" i="8"/>
  <c r="AK58" i="8"/>
  <c r="AK57" i="8"/>
  <c r="AK56" i="8"/>
  <c r="AK58" i="7"/>
  <c r="AK57" i="9"/>
  <c r="AK59" i="9"/>
  <c r="AK58" i="9"/>
  <c r="AK57" i="7"/>
  <c r="AL56" i="7"/>
  <c r="AL56" i="9"/>
  <c r="G57" i="8"/>
  <c r="S58" i="9"/>
  <c r="I49" i="7"/>
  <c r="I58" i="9"/>
  <c r="I58" i="7"/>
  <c r="I57" i="9"/>
  <c r="I56" i="9"/>
  <c r="I59" i="8"/>
  <c r="I57" i="7"/>
  <c r="I56" i="7"/>
  <c r="I59" i="9"/>
  <c r="I56" i="8"/>
  <c r="I58" i="8"/>
  <c r="I57" i="8"/>
  <c r="AB45" i="8"/>
  <c r="AB56" i="9"/>
  <c r="AB59" i="8"/>
  <c r="AB58" i="8"/>
  <c r="AB57" i="8"/>
  <c r="AB59" i="9"/>
  <c r="AB58" i="9"/>
  <c r="AB57" i="9"/>
  <c r="AB58" i="7"/>
  <c r="AB56" i="8"/>
  <c r="AB59" i="7"/>
  <c r="AI57" i="7"/>
  <c r="C59" i="9"/>
  <c r="O56" i="7"/>
  <c r="AN59" i="8"/>
  <c r="AC56" i="7"/>
  <c r="AR57" i="7"/>
  <c r="I59" i="7"/>
  <c r="Y56" i="8"/>
  <c r="AN57" i="8"/>
  <c r="E59" i="8"/>
  <c r="U56" i="9"/>
  <c r="AJ57" i="9"/>
  <c r="AC59" i="9"/>
  <c r="D57" i="9"/>
  <c r="D57" i="7"/>
  <c r="AH59" i="9"/>
  <c r="AS56" i="7"/>
  <c r="AL59" i="8"/>
  <c r="C56" i="8"/>
  <c r="F56" i="9"/>
  <c r="Y58" i="8"/>
  <c r="E58" i="9"/>
  <c r="N58" i="7"/>
  <c r="X56" i="9"/>
  <c r="AF56" i="7"/>
  <c r="AM57" i="9"/>
  <c r="AU57" i="7"/>
  <c r="U59" i="9"/>
  <c r="C56" i="7"/>
  <c r="AJ56" i="7"/>
  <c r="S57" i="7"/>
  <c r="E58" i="7"/>
  <c r="AJ56" i="8"/>
  <c r="AY57" i="8"/>
  <c r="AS59" i="9"/>
  <c r="L29" i="7"/>
  <c r="L17" i="9"/>
  <c r="H59" i="7"/>
  <c r="AA48" i="7"/>
  <c r="AA57" i="9"/>
  <c r="AA56" i="9"/>
  <c r="AA59" i="8"/>
  <c r="AA58" i="8"/>
  <c r="AI46" i="7"/>
  <c r="AI57" i="9"/>
  <c r="AI56" i="9"/>
  <c r="AI59" i="8"/>
  <c r="AI58" i="8"/>
  <c r="AX47" i="7"/>
  <c r="AX58" i="9"/>
  <c r="AX58" i="7"/>
  <c r="AX57" i="9"/>
  <c r="AX57" i="7"/>
  <c r="AX56" i="9"/>
  <c r="AX59" i="8"/>
  <c r="AP56" i="8"/>
  <c r="U57" i="9"/>
  <c r="AI59" i="9"/>
  <c r="G50" i="7"/>
  <c r="G56" i="8"/>
  <c r="G59" i="9"/>
  <c r="G59" i="7"/>
  <c r="G58" i="9"/>
  <c r="G58" i="7"/>
  <c r="G57" i="9"/>
  <c r="P50" i="7"/>
  <c r="P56" i="8"/>
  <c r="P59" i="9"/>
  <c r="P59" i="7"/>
  <c r="P58" i="9"/>
  <c r="P58" i="7"/>
  <c r="P57" i="9"/>
  <c r="Z50" i="7"/>
  <c r="Z58" i="9"/>
  <c r="Z58" i="7"/>
  <c r="Z57" i="9"/>
  <c r="Z56" i="9"/>
  <c r="Z59" i="8"/>
  <c r="AH49" i="7"/>
  <c r="AH58" i="9"/>
  <c r="AH58" i="7"/>
  <c r="AH57" i="9"/>
  <c r="AH56" i="9"/>
  <c r="AH59" i="8"/>
  <c r="AO50" i="7"/>
  <c r="AO59" i="9"/>
  <c r="AO59" i="7"/>
  <c r="AO58" i="9"/>
  <c r="AO58" i="7"/>
  <c r="AO57" i="9"/>
  <c r="AO56" i="9"/>
  <c r="AW47" i="7"/>
  <c r="AW59" i="9"/>
  <c r="AW59" i="7"/>
  <c r="AW58" i="9"/>
  <c r="AW58" i="7"/>
  <c r="AW57" i="9"/>
  <c r="AW57" i="7"/>
  <c r="AW56" i="9"/>
  <c r="K47" i="8"/>
  <c r="K56" i="9"/>
  <c r="K59" i="8"/>
  <c r="K58" i="8"/>
  <c r="K57" i="8"/>
  <c r="BD58" i="4"/>
  <c r="BE58" i="4" s="1"/>
  <c r="BD58" i="5"/>
  <c r="F56" i="7"/>
  <c r="W56" i="7"/>
  <c r="AE56" i="7"/>
  <c r="AM56" i="7"/>
  <c r="AU56" i="7"/>
  <c r="E57" i="7"/>
  <c r="N57" i="7"/>
  <c r="V57" i="7"/>
  <c r="AD57" i="7"/>
  <c r="AL57" i="7"/>
  <c r="AT57" i="7"/>
  <c r="M58" i="7"/>
  <c r="AS58" i="7"/>
  <c r="K59" i="7"/>
  <c r="J56" i="8"/>
  <c r="AA56" i="8"/>
  <c r="Z57" i="8"/>
  <c r="AO58" i="8"/>
  <c r="G59" i="8"/>
  <c r="X59" i="8"/>
  <c r="W56" i="9"/>
  <c r="AM56" i="9"/>
  <c r="E57" i="9"/>
  <c r="V57" i="9"/>
  <c r="AL57" i="9"/>
  <c r="D58" i="9"/>
  <c r="U58" i="9"/>
  <c r="AP49" i="7"/>
  <c r="AP58" i="9"/>
  <c r="AP58" i="7"/>
  <c r="AP57" i="9"/>
  <c r="AP56" i="9"/>
  <c r="AP59" i="8"/>
  <c r="C47" i="7"/>
  <c r="C56" i="9"/>
  <c r="C59" i="8"/>
  <c r="C58" i="8"/>
  <c r="C57" i="8"/>
  <c r="F53" i="7"/>
  <c r="F57" i="8"/>
  <c r="F56" i="8"/>
  <c r="F59" i="9"/>
  <c r="F59" i="7"/>
  <c r="F58" i="9"/>
  <c r="F58" i="7"/>
  <c r="O46" i="7"/>
  <c r="O57" i="8"/>
  <c r="O56" i="8"/>
  <c r="O59" i="9"/>
  <c r="O59" i="7"/>
  <c r="O58" i="9"/>
  <c r="O58" i="7"/>
  <c r="R49" i="7"/>
  <c r="Y47" i="7"/>
  <c r="Y59" i="9"/>
  <c r="Y59" i="7"/>
  <c r="Y58" i="9"/>
  <c r="Y58" i="7"/>
  <c r="Y57" i="9"/>
  <c r="Y56" i="9"/>
  <c r="AG48" i="7"/>
  <c r="AG59" i="9"/>
  <c r="AG59" i="7"/>
  <c r="AG58" i="9"/>
  <c r="AG58" i="7"/>
  <c r="AG57" i="9"/>
  <c r="AG56" i="9"/>
  <c r="AL54" i="7"/>
  <c r="AN45" i="7"/>
  <c r="AN56" i="8"/>
  <c r="AN59" i="9"/>
  <c r="AN59" i="7"/>
  <c r="AN58" i="9"/>
  <c r="AN58" i="7"/>
  <c r="AN57" i="9"/>
  <c r="AV49" i="7"/>
  <c r="AV56" i="8"/>
  <c r="AV59" i="9"/>
  <c r="AV59" i="7"/>
  <c r="AV58" i="9"/>
  <c r="AV58" i="7"/>
  <c r="AV57" i="9"/>
  <c r="AV57" i="7"/>
  <c r="BD58" i="6"/>
  <c r="BE58" i="6" s="1"/>
  <c r="G56" i="7"/>
  <c r="P56" i="7"/>
  <c r="X56" i="7"/>
  <c r="AN56" i="7"/>
  <c r="AV56" i="7"/>
  <c r="F57" i="7"/>
  <c r="O57" i="7"/>
  <c r="W57" i="7"/>
  <c r="AE57" i="7"/>
  <c r="AM57" i="7"/>
  <c r="AD58" i="7"/>
  <c r="AT58" i="7"/>
  <c r="M59" i="7"/>
  <c r="AS59" i="7"/>
  <c r="K56" i="8"/>
  <c r="J57" i="8"/>
  <c r="AA57" i="8"/>
  <c r="Z58" i="8"/>
  <c r="AP58" i="8"/>
  <c r="Y59" i="8"/>
  <c r="AO59" i="8"/>
  <c r="G56" i="9"/>
  <c r="AN56" i="9"/>
  <c r="F57" i="9"/>
  <c r="BE58" i="5"/>
  <c r="E48" i="7"/>
  <c r="E58" i="8"/>
  <c r="E57" i="8"/>
  <c r="E56" i="8"/>
  <c r="E59" i="9"/>
  <c r="E59" i="7"/>
  <c r="I45" i="7"/>
  <c r="N54" i="7"/>
  <c r="N58" i="8"/>
  <c r="N57" i="8"/>
  <c r="N56" i="8"/>
  <c r="N59" i="9"/>
  <c r="N59" i="7"/>
  <c r="Q46" i="7"/>
  <c r="X47" i="8"/>
  <c r="X56" i="8"/>
  <c r="X59" i="9"/>
  <c r="X59" i="7"/>
  <c r="X58" i="9"/>
  <c r="X58" i="7"/>
  <c r="X57" i="9"/>
  <c r="Z45" i="7"/>
  <c r="AC49" i="7"/>
  <c r="AF56" i="8"/>
  <c r="AF59" i="9"/>
  <c r="AF59" i="7"/>
  <c r="AF58" i="9"/>
  <c r="AF58" i="7"/>
  <c r="AF57" i="9"/>
  <c r="AG50" i="7"/>
  <c r="AH45" i="7"/>
  <c r="AI48" i="7"/>
  <c r="AJ47" i="7"/>
  <c r="AM53" i="7"/>
  <c r="AM57" i="8"/>
  <c r="AM56" i="8"/>
  <c r="AM59" i="9"/>
  <c r="AM59" i="7"/>
  <c r="AM58" i="9"/>
  <c r="AM58" i="7"/>
  <c r="AN49" i="7"/>
  <c r="AO46" i="7"/>
  <c r="AP45" i="7"/>
  <c r="AS47" i="7"/>
  <c r="AT48" i="7"/>
  <c r="AU53" i="7"/>
  <c r="AU57" i="8"/>
  <c r="AU56" i="8"/>
  <c r="AU59" i="9"/>
  <c r="AU59" i="7"/>
  <c r="AU58" i="9"/>
  <c r="AU58" i="7"/>
  <c r="AW46" i="7"/>
  <c r="AX45" i="7"/>
  <c r="K50" i="7"/>
  <c r="U24" i="7"/>
  <c r="U59" i="8"/>
  <c r="U58" i="8"/>
  <c r="U57" i="8"/>
  <c r="U56" i="8"/>
  <c r="BD59" i="4"/>
  <c r="BE59" i="4" s="1"/>
  <c r="BD59" i="5"/>
  <c r="BE59" i="5" s="1"/>
  <c r="Q56" i="7"/>
  <c r="Y56" i="7"/>
  <c r="AG56" i="7"/>
  <c r="AO56" i="7"/>
  <c r="AW56" i="7"/>
  <c r="G57" i="7"/>
  <c r="P57" i="7"/>
  <c r="X57" i="7"/>
  <c r="AF57" i="7"/>
  <c r="AN57" i="7"/>
  <c r="AI58" i="7"/>
  <c r="AH59" i="7"/>
  <c r="AX59" i="7"/>
  <c r="Q56" i="8"/>
  <c r="AG56" i="8"/>
  <c r="AW56" i="8"/>
  <c r="P57" i="8"/>
  <c r="AF57" i="8"/>
  <c r="AV57" i="8"/>
  <c r="O58" i="8"/>
  <c r="AU58" i="8"/>
  <c r="N59" i="8"/>
  <c r="AD59" i="8"/>
  <c r="AS56" i="9"/>
  <c r="K57" i="9"/>
  <c r="J58" i="9"/>
  <c r="AA58" i="9"/>
  <c r="Z59" i="9"/>
  <c r="AP59" i="9"/>
  <c r="W50" i="7"/>
  <c r="O48" i="7"/>
  <c r="R47" i="7"/>
  <c r="Y48" i="7"/>
  <c r="AA47" i="7"/>
  <c r="D59" i="8"/>
  <c r="D58" i="8"/>
  <c r="D57" i="8"/>
  <c r="D56" i="8"/>
  <c r="M59" i="8"/>
  <c r="M58" i="8"/>
  <c r="M57" i="8"/>
  <c r="M56" i="8"/>
  <c r="W57" i="8"/>
  <c r="W56" i="8"/>
  <c r="W59" i="9"/>
  <c r="W59" i="7"/>
  <c r="W58" i="9"/>
  <c r="W58" i="7"/>
  <c r="AE57" i="8"/>
  <c r="AE56" i="8"/>
  <c r="AE59" i="9"/>
  <c r="AE59" i="7"/>
  <c r="AE58" i="9"/>
  <c r="AE58" i="7"/>
  <c r="AT58" i="8"/>
  <c r="AT57" i="8"/>
  <c r="AT56" i="8"/>
  <c r="AT59" i="9"/>
  <c r="AT59" i="7"/>
  <c r="BD56" i="4"/>
  <c r="BE56" i="4" s="1"/>
  <c r="BD59" i="6"/>
  <c r="BE59" i="6" s="1"/>
  <c r="Z56" i="7"/>
  <c r="AH56" i="7"/>
  <c r="AP56" i="7"/>
  <c r="AX56" i="7"/>
  <c r="Q57" i="7"/>
  <c r="Y57" i="7"/>
  <c r="AG57" i="7"/>
  <c r="AO57" i="7"/>
  <c r="C58" i="7"/>
  <c r="AI59" i="7"/>
  <c r="AH56" i="8"/>
  <c r="AX56" i="8"/>
  <c r="AG57" i="8"/>
  <c r="AW57" i="8"/>
  <c r="P58" i="8"/>
  <c r="AF58" i="8"/>
  <c r="AV58" i="8"/>
  <c r="O59" i="8"/>
  <c r="AE59" i="8"/>
  <c r="AU59" i="8"/>
  <c r="N56" i="9"/>
  <c r="AT56" i="9"/>
  <c r="M57" i="9"/>
  <c r="K58" i="9"/>
  <c r="AA59" i="9"/>
  <c r="Q50" i="7"/>
  <c r="Q59" i="9"/>
  <c r="Q59" i="7"/>
  <c r="Q58" i="9"/>
  <c r="Q58" i="7"/>
  <c r="Q57" i="9"/>
  <c r="Q56" i="9"/>
  <c r="AA59" i="7"/>
  <c r="J45" i="7"/>
  <c r="J57" i="9"/>
  <c r="J56" i="9"/>
  <c r="J59" i="8"/>
  <c r="J58" i="8"/>
  <c r="V46" i="8"/>
  <c r="V58" i="8"/>
  <c r="V57" i="8"/>
  <c r="V56" i="8"/>
  <c r="V59" i="9"/>
  <c r="V59" i="7"/>
  <c r="W53" i="7"/>
  <c r="AD53" i="8"/>
  <c r="AD58" i="8"/>
  <c r="AD57" i="8"/>
  <c r="AD56" i="8"/>
  <c r="AD59" i="9"/>
  <c r="AD59" i="7"/>
  <c r="AL58" i="8"/>
  <c r="AL57" i="8"/>
  <c r="AL56" i="8"/>
  <c r="AL59" i="9"/>
  <c r="AL59" i="7"/>
  <c r="AS59" i="8"/>
  <c r="AS58" i="8"/>
  <c r="AS57" i="8"/>
  <c r="AS56" i="8"/>
  <c r="AT45" i="7"/>
  <c r="BD56" i="5"/>
  <c r="BE56" i="5" s="1"/>
  <c r="J56" i="7"/>
  <c r="AA56" i="7"/>
  <c r="AI56" i="7"/>
  <c r="Z57" i="7"/>
  <c r="AH57" i="7"/>
  <c r="AP57" i="7"/>
  <c r="D58" i="7"/>
  <c r="U58" i="7"/>
  <c r="C59" i="7"/>
  <c r="AI56" i="8"/>
  <c r="AH57" i="8"/>
  <c r="AX57" i="8"/>
  <c r="Q58" i="8"/>
  <c r="AG58" i="8"/>
  <c r="AW58" i="8"/>
  <c r="P59" i="8"/>
  <c r="AF59" i="8"/>
  <c r="AV59" i="8"/>
  <c r="O56" i="9"/>
  <c r="AE56" i="9"/>
  <c r="AU56" i="9"/>
  <c r="N57" i="9"/>
  <c r="AD57" i="9"/>
  <c r="AT57" i="9"/>
  <c r="M58" i="9"/>
  <c r="AS58" i="9"/>
  <c r="K59" i="9"/>
  <c r="AG46" i="7"/>
  <c r="G49" i="7"/>
  <c r="AX49" i="7"/>
  <c r="AX50" i="7"/>
  <c r="G52" i="7"/>
  <c r="C45" i="8"/>
  <c r="F48" i="8"/>
  <c r="O52" i="8"/>
  <c r="D49" i="9"/>
  <c r="D48" i="9"/>
  <c r="D55" i="9"/>
  <c r="D47" i="9"/>
  <c r="D54" i="9"/>
  <c r="D53" i="9"/>
  <c r="D52" i="9"/>
  <c r="D51" i="9"/>
  <c r="D46" i="9"/>
  <c r="D53" i="8"/>
  <c r="D52" i="8"/>
  <c r="D51" i="8"/>
  <c r="D50" i="9"/>
  <c r="D50" i="8"/>
  <c r="D49" i="8"/>
  <c r="D45" i="9"/>
  <c r="D48" i="8"/>
  <c r="D55" i="8"/>
  <c r="D54" i="7"/>
  <c r="D53" i="7"/>
  <c r="D52" i="7"/>
  <c r="D51" i="7"/>
  <c r="D54" i="8"/>
  <c r="D47" i="8"/>
  <c r="D50" i="7"/>
  <c r="D46" i="8"/>
  <c r="D45" i="8"/>
  <c r="D48" i="7"/>
  <c r="M35" i="7"/>
  <c r="M49" i="9"/>
  <c r="M48" i="9"/>
  <c r="M55" i="9"/>
  <c r="M47" i="9"/>
  <c r="M54" i="9"/>
  <c r="M53" i="9"/>
  <c r="M52" i="9"/>
  <c r="M51" i="9"/>
  <c r="M53" i="8"/>
  <c r="M46" i="9"/>
  <c r="M52" i="8"/>
  <c r="M50" i="9"/>
  <c r="M51" i="8"/>
  <c r="M50" i="8"/>
  <c r="M49" i="8"/>
  <c r="M45" i="9"/>
  <c r="M48" i="8"/>
  <c r="M55" i="8"/>
  <c r="M54" i="7"/>
  <c r="M53" i="7"/>
  <c r="M52" i="7"/>
  <c r="M54" i="8"/>
  <c r="M51" i="7"/>
  <c r="M50" i="7"/>
  <c r="M47" i="8"/>
  <c r="M45" i="8"/>
  <c r="M48" i="7"/>
  <c r="W55" i="9"/>
  <c r="W47" i="9"/>
  <c r="W54" i="9"/>
  <c r="W53" i="9"/>
  <c r="W52" i="9"/>
  <c r="W51" i="9"/>
  <c r="W50" i="9"/>
  <c r="W49" i="9"/>
  <c r="W51" i="8"/>
  <c r="W50" i="8"/>
  <c r="W46" i="9"/>
  <c r="W49" i="8"/>
  <c r="W45" i="9"/>
  <c r="W55" i="8"/>
  <c r="W47" i="8"/>
  <c r="W54" i="8"/>
  <c r="W48" i="9"/>
  <c r="W53" i="8"/>
  <c r="W52" i="7"/>
  <c r="W51" i="7"/>
  <c r="W48" i="8"/>
  <c r="W45" i="8"/>
  <c r="W48" i="7"/>
  <c r="W55" i="7"/>
  <c r="W52" i="8"/>
  <c r="W46" i="8"/>
  <c r="W54" i="7"/>
  <c r="AE55" i="9"/>
  <c r="AE47" i="9"/>
  <c r="AE54" i="9"/>
  <c r="AE53" i="9"/>
  <c r="AE52" i="9"/>
  <c r="AE51" i="9"/>
  <c r="AE50" i="9"/>
  <c r="AE49" i="9"/>
  <c r="AE51" i="8"/>
  <c r="AE50" i="8"/>
  <c r="AE49" i="8"/>
  <c r="AE48" i="9"/>
  <c r="AE45" i="9"/>
  <c r="AE55" i="8"/>
  <c r="AE47" i="8"/>
  <c r="AE46" i="9"/>
  <c r="AE54" i="8"/>
  <c r="AE53" i="8"/>
  <c r="AE52" i="7"/>
  <c r="AE51" i="7"/>
  <c r="AE45" i="8"/>
  <c r="AE48" i="7"/>
  <c r="AE52" i="8"/>
  <c r="AE55" i="7"/>
  <c r="AE48" i="8"/>
  <c r="AE54" i="7"/>
  <c r="AT48" i="9"/>
  <c r="AT55" i="9"/>
  <c r="AT47" i="9"/>
  <c r="AT54" i="9"/>
  <c r="AT46" i="9"/>
  <c r="AT53" i="9"/>
  <c r="AT52" i="9"/>
  <c r="AT51" i="9"/>
  <c r="AT50" i="9"/>
  <c r="AT52" i="8"/>
  <c r="AT51" i="8"/>
  <c r="AT50" i="8"/>
  <c r="AT49" i="8"/>
  <c r="AT49" i="9"/>
  <c r="AT48" i="8"/>
  <c r="AT55" i="8"/>
  <c r="AT47" i="8"/>
  <c r="AT54" i="8"/>
  <c r="AT53" i="7"/>
  <c r="AT52" i="7"/>
  <c r="AT46" i="8"/>
  <c r="AT51" i="7"/>
  <c r="AT45" i="9"/>
  <c r="AT50" i="7"/>
  <c r="AT49" i="7"/>
  <c r="AT53" i="8"/>
  <c r="AT45" i="8"/>
  <c r="AT55" i="7"/>
  <c r="AT47" i="7"/>
  <c r="S45" i="7"/>
  <c r="AA45" i="7"/>
  <c r="AI45" i="7"/>
  <c r="AQ45" i="7"/>
  <c r="AY45" i="7"/>
  <c r="I46" i="7"/>
  <c r="R46" i="7"/>
  <c r="Z46" i="7"/>
  <c r="AH46" i="7"/>
  <c r="AP46" i="7"/>
  <c r="AX46" i="7"/>
  <c r="I47" i="7"/>
  <c r="S47" i="7"/>
  <c r="AB47" i="7"/>
  <c r="AU47" i="7"/>
  <c r="F48" i="7"/>
  <c r="P48" i="7"/>
  <c r="Z48" i="7"/>
  <c r="AJ48" i="7"/>
  <c r="AV48" i="7"/>
  <c r="S49" i="7"/>
  <c r="AE49" i="7"/>
  <c r="AO49" i="7"/>
  <c r="AY49" i="7"/>
  <c r="N50" i="7"/>
  <c r="X50" i="7"/>
  <c r="AH50" i="7"/>
  <c r="F51" i="7"/>
  <c r="P52" i="7"/>
  <c r="AE53" i="7"/>
  <c r="AT54" i="7"/>
  <c r="K45" i="8"/>
  <c r="AE46" i="8"/>
  <c r="Q48" i="8"/>
  <c r="AF28" i="7"/>
  <c r="AF54" i="9"/>
  <c r="AF46" i="9"/>
  <c r="AF53" i="9"/>
  <c r="AF52" i="9"/>
  <c r="AF51" i="9"/>
  <c r="AF50" i="9"/>
  <c r="AF49" i="9"/>
  <c r="AF48" i="9"/>
  <c r="AF50" i="8"/>
  <c r="AF55" i="9"/>
  <c r="AF45" i="9"/>
  <c r="AF55" i="8"/>
  <c r="AF54" i="8"/>
  <c r="AF46" i="8"/>
  <c r="AF53" i="8"/>
  <c r="AF47" i="9"/>
  <c r="AF52" i="8"/>
  <c r="AF51" i="7"/>
  <c r="AF47" i="8"/>
  <c r="AF51" i="8"/>
  <c r="AF49" i="8"/>
  <c r="AF45" i="8"/>
  <c r="AF55" i="7"/>
  <c r="AF48" i="8"/>
  <c r="AF54" i="7"/>
  <c r="AF53" i="7"/>
  <c r="R45" i="7"/>
  <c r="Y46" i="7"/>
  <c r="J51" i="9"/>
  <c r="J50" i="9"/>
  <c r="J49" i="9"/>
  <c r="J55" i="9"/>
  <c r="J54" i="9"/>
  <c r="J53" i="9"/>
  <c r="J55" i="8"/>
  <c r="J48" i="9"/>
  <c r="J54" i="8"/>
  <c r="J53" i="8"/>
  <c r="J47" i="9"/>
  <c r="J46" i="9"/>
  <c r="J52" i="8"/>
  <c r="J51" i="8"/>
  <c r="J50" i="8"/>
  <c r="J52" i="9"/>
  <c r="J47" i="8"/>
  <c r="J45" i="8"/>
  <c r="J46" i="8"/>
  <c r="J55" i="7"/>
  <c r="J54" i="7"/>
  <c r="J49" i="8"/>
  <c r="J48" i="8"/>
  <c r="J53" i="7"/>
  <c r="J52" i="7"/>
  <c r="J51" i="7"/>
  <c r="J50" i="7"/>
  <c r="V48" i="9"/>
  <c r="V55" i="9"/>
  <c r="V54" i="9"/>
  <c r="V46" i="9"/>
  <c r="V53" i="9"/>
  <c r="V52" i="9"/>
  <c r="V51" i="9"/>
  <c r="V50" i="9"/>
  <c r="V52" i="8"/>
  <c r="V51" i="8"/>
  <c r="V50" i="8"/>
  <c r="V49" i="8"/>
  <c r="V47" i="9"/>
  <c r="V45" i="9"/>
  <c r="V48" i="8"/>
  <c r="V55" i="8"/>
  <c r="V47" i="8"/>
  <c r="V54" i="8"/>
  <c r="V53" i="8"/>
  <c r="V53" i="7"/>
  <c r="V49" i="9"/>
  <c r="V52" i="7"/>
  <c r="V51" i="7"/>
  <c r="V49" i="7"/>
  <c r="V45" i="8"/>
  <c r="V55" i="7"/>
  <c r="V47" i="7"/>
  <c r="AD48" i="9"/>
  <c r="AD55" i="9"/>
  <c r="AD54" i="9"/>
  <c r="AD46" i="9"/>
  <c r="AD53" i="9"/>
  <c r="AD52" i="9"/>
  <c r="AD51" i="9"/>
  <c r="AD50" i="9"/>
  <c r="AD52" i="8"/>
  <c r="AD51" i="8"/>
  <c r="AD50" i="8"/>
  <c r="AD49" i="8"/>
  <c r="AD48" i="8"/>
  <c r="AD45" i="9"/>
  <c r="AD55" i="8"/>
  <c r="AD47" i="8"/>
  <c r="AD49" i="9"/>
  <c r="AD54" i="8"/>
  <c r="AD46" i="8"/>
  <c r="AD53" i="7"/>
  <c r="AD52" i="7"/>
  <c r="AD51" i="7"/>
  <c r="AD47" i="9"/>
  <c r="AD49" i="7"/>
  <c r="AD45" i="8"/>
  <c r="AD55" i="7"/>
  <c r="AD47" i="7"/>
  <c r="AL48" i="9"/>
  <c r="AL55" i="9"/>
  <c r="AL54" i="9"/>
  <c r="AL46" i="9"/>
  <c r="AL53" i="9"/>
  <c r="AL52" i="9"/>
  <c r="AL51" i="9"/>
  <c r="AL50" i="9"/>
  <c r="AL52" i="8"/>
  <c r="AL51" i="8"/>
  <c r="AL47" i="9"/>
  <c r="AL50" i="8"/>
  <c r="AL49" i="8"/>
  <c r="AL48" i="8"/>
  <c r="AL49" i="9"/>
  <c r="AL55" i="8"/>
  <c r="AL47" i="8"/>
  <c r="AL45" i="9"/>
  <c r="AL54" i="8"/>
  <c r="AL53" i="7"/>
  <c r="AL46" i="8"/>
  <c r="AL52" i="7"/>
  <c r="AL51" i="7"/>
  <c r="AL49" i="7"/>
  <c r="AL45" i="8"/>
  <c r="AL53" i="8"/>
  <c r="AL55" i="7"/>
  <c r="AL47" i="7"/>
  <c r="AS49" i="9"/>
  <c r="AS48" i="9"/>
  <c r="AS55" i="9"/>
  <c r="AS47" i="9"/>
  <c r="AS54" i="9"/>
  <c r="AS53" i="9"/>
  <c r="AS52" i="9"/>
  <c r="AS51" i="9"/>
  <c r="AS45" i="9"/>
  <c r="AS53" i="8"/>
  <c r="AS52" i="8"/>
  <c r="AS51" i="8"/>
  <c r="AS50" i="8"/>
  <c r="AS46" i="9"/>
  <c r="AS49" i="8"/>
  <c r="AS48" i="8"/>
  <c r="AS50" i="9"/>
  <c r="AS55" i="8"/>
  <c r="AS54" i="7"/>
  <c r="AS53" i="7"/>
  <c r="AS52" i="7"/>
  <c r="AS46" i="8"/>
  <c r="AS51" i="7"/>
  <c r="AS50" i="7"/>
  <c r="AS47" i="8"/>
  <c r="AS45" i="8"/>
  <c r="AS48" i="7"/>
  <c r="C45" i="7"/>
  <c r="K45" i="7"/>
  <c r="AB45" i="7"/>
  <c r="AJ45" i="7"/>
  <c r="J46" i="7"/>
  <c r="AA46" i="7"/>
  <c r="AQ46" i="7"/>
  <c r="AY46" i="7"/>
  <c r="J47" i="7"/>
  <c r="AM47" i="7"/>
  <c r="AV47" i="7"/>
  <c r="G48" i="7"/>
  <c r="Q48" i="7"/>
  <c r="AL48" i="7"/>
  <c r="AW48" i="7"/>
  <c r="U49" i="7"/>
  <c r="AF49" i="7"/>
  <c r="C50" i="7"/>
  <c r="O50" i="7"/>
  <c r="Y50" i="7"/>
  <c r="AJ50" i="7"/>
  <c r="X52" i="7"/>
  <c r="D55" i="7"/>
  <c r="AO46" i="8"/>
  <c r="AB48" i="8"/>
  <c r="AS54" i="8"/>
  <c r="E28" i="7"/>
  <c r="E48" i="9"/>
  <c r="E55" i="9"/>
  <c r="E54" i="9"/>
  <c r="E53" i="9"/>
  <c r="E52" i="9"/>
  <c r="E51" i="9"/>
  <c r="E50" i="9"/>
  <c r="E52" i="8"/>
  <c r="E49" i="9"/>
  <c r="E51" i="8"/>
  <c r="E50" i="8"/>
  <c r="E45" i="9"/>
  <c r="E48" i="8"/>
  <c r="E55" i="8"/>
  <c r="E47" i="8"/>
  <c r="E47" i="9"/>
  <c r="E54" i="8"/>
  <c r="E53" i="7"/>
  <c r="E52" i="7"/>
  <c r="E46" i="9"/>
  <c r="E53" i="8"/>
  <c r="E51" i="7"/>
  <c r="E49" i="7"/>
  <c r="E46" i="8"/>
  <c r="E45" i="8"/>
  <c r="E55" i="7"/>
  <c r="E47" i="7"/>
  <c r="S51" i="9"/>
  <c r="S50" i="9"/>
  <c r="S49" i="9"/>
  <c r="S55" i="9"/>
  <c r="S54" i="9"/>
  <c r="S53" i="9"/>
  <c r="S55" i="8"/>
  <c r="S54" i="8"/>
  <c r="S53" i="8"/>
  <c r="S52" i="8"/>
  <c r="S51" i="8"/>
  <c r="S52" i="9"/>
  <c r="S46" i="9"/>
  <c r="S50" i="8"/>
  <c r="S47" i="9"/>
  <c r="S45" i="8"/>
  <c r="S55" i="7"/>
  <c r="S48" i="9"/>
  <c r="S47" i="8"/>
  <c r="S46" i="8"/>
  <c r="S54" i="7"/>
  <c r="S53" i="7"/>
  <c r="S52" i="7"/>
  <c r="S48" i="8"/>
  <c r="S51" i="7"/>
  <c r="S45" i="9"/>
  <c r="S50" i="7"/>
  <c r="AC49" i="9"/>
  <c r="AC48" i="9"/>
  <c r="AC55" i="9"/>
  <c r="AC47" i="9"/>
  <c r="AC54" i="9"/>
  <c r="AC53" i="9"/>
  <c r="AC52" i="9"/>
  <c r="AC51" i="9"/>
  <c r="AC50" i="9"/>
  <c r="AC53" i="8"/>
  <c r="AC52" i="8"/>
  <c r="AC51" i="8"/>
  <c r="AC50" i="8"/>
  <c r="AC49" i="8"/>
  <c r="AC48" i="8"/>
  <c r="AC46" i="9"/>
  <c r="AC45" i="9"/>
  <c r="AC55" i="8"/>
  <c r="AC54" i="7"/>
  <c r="AC54" i="8"/>
  <c r="AC46" i="8"/>
  <c r="AC53" i="7"/>
  <c r="AC47" i="8"/>
  <c r="AC52" i="7"/>
  <c r="AC51" i="7"/>
  <c r="AC50" i="7"/>
  <c r="AC45" i="8"/>
  <c r="AC48" i="7"/>
  <c r="AK49" i="9"/>
  <c r="AK48" i="9"/>
  <c r="AK55" i="9"/>
  <c r="AK47" i="9"/>
  <c r="AK54" i="9"/>
  <c r="AK53" i="9"/>
  <c r="AK52" i="9"/>
  <c r="AK51" i="9"/>
  <c r="AK53" i="8"/>
  <c r="AK46" i="9"/>
  <c r="AK52" i="8"/>
  <c r="AK51" i="8"/>
  <c r="AK50" i="8"/>
  <c r="AK49" i="8"/>
  <c r="AK48" i="8"/>
  <c r="AK55" i="8"/>
  <c r="AK50" i="9"/>
  <c r="AK54" i="8"/>
  <c r="AK54" i="7"/>
  <c r="AK53" i="7"/>
  <c r="AK46" i="8"/>
  <c r="AK52" i="7"/>
  <c r="AK51" i="7"/>
  <c r="AK45" i="9"/>
  <c r="AK47" i="8"/>
  <c r="AK50" i="7"/>
  <c r="AK45" i="8"/>
  <c r="AK48" i="7"/>
  <c r="AR50" i="9"/>
  <c r="AR49" i="9"/>
  <c r="AR48" i="9"/>
  <c r="AR55" i="9"/>
  <c r="AR54" i="9"/>
  <c r="AR53" i="9"/>
  <c r="AR52" i="9"/>
  <c r="AR51" i="9"/>
  <c r="AR54" i="8"/>
  <c r="AR45" i="9"/>
  <c r="AR53" i="8"/>
  <c r="AR52" i="8"/>
  <c r="AR51" i="8"/>
  <c r="AR50" i="8"/>
  <c r="AR46" i="9"/>
  <c r="AR49" i="8"/>
  <c r="AR47" i="9"/>
  <c r="AR55" i="7"/>
  <c r="AR55" i="8"/>
  <c r="AR54" i="7"/>
  <c r="AR53" i="7"/>
  <c r="AR52" i="7"/>
  <c r="AR46" i="8"/>
  <c r="AR51" i="7"/>
  <c r="AR48" i="8"/>
  <c r="AR50" i="7"/>
  <c r="AR49" i="7"/>
  <c r="AS33" i="7"/>
  <c r="D45" i="7"/>
  <c r="M45" i="7"/>
  <c r="U45" i="7"/>
  <c r="AC45" i="7"/>
  <c r="AK45" i="7"/>
  <c r="AS45" i="7"/>
  <c r="C46" i="7"/>
  <c r="K46" i="7"/>
  <c r="AB46" i="7"/>
  <c r="AR46" i="7"/>
  <c r="K47" i="7"/>
  <c r="U47" i="7"/>
  <c r="AE47" i="7"/>
  <c r="AN47" i="7"/>
  <c r="AB48" i="7"/>
  <c r="AN48" i="7"/>
  <c r="AX48" i="7"/>
  <c r="J49" i="7"/>
  <c r="W49" i="7"/>
  <c r="AG49" i="7"/>
  <c r="E50" i="7"/>
  <c r="AL50" i="7"/>
  <c r="Q51" i="7"/>
  <c r="AF52" i="7"/>
  <c r="M55" i="7"/>
  <c r="AO48" i="8"/>
  <c r="J45" i="9"/>
  <c r="AU55" i="9"/>
  <c r="AU47" i="9"/>
  <c r="AU54" i="9"/>
  <c r="AU53" i="9"/>
  <c r="AU52" i="9"/>
  <c r="AU51" i="9"/>
  <c r="AU50" i="9"/>
  <c r="AU49" i="9"/>
  <c r="AU51" i="8"/>
  <c r="AU50" i="8"/>
  <c r="AU48" i="9"/>
  <c r="AU49" i="8"/>
  <c r="AU46" i="9"/>
  <c r="AU55" i="8"/>
  <c r="AU47" i="8"/>
  <c r="AU54" i="8"/>
  <c r="AU46" i="8"/>
  <c r="AU45" i="9"/>
  <c r="AU53" i="8"/>
  <c r="AU52" i="7"/>
  <c r="AU51" i="7"/>
  <c r="AU50" i="7"/>
  <c r="AU52" i="8"/>
  <c r="AU48" i="8"/>
  <c r="AU45" i="8"/>
  <c r="AU48" i="7"/>
  <c r="AU55" i="7"/>
  <c r="AU54" i="7"/>
  <c r="I28" i="7"/>
  <c r="I52" i="9"/>
  <c r="I51" i="9"/>
  <c r="I50" i="9"/>
  <c r="I49" i="9"/>
  <c r="I48" i="9"/>
  <c r="I55" i="9"/>
  <c r="I54" i="9"/>
  <c r="I46" i="9"/>
  <c r="I53" i="9"/>
  <c r="I45" i="9"/>
  <c r="I55" i="8"/>
  <c r="I54" i="8"/>
  <c r="I53" i="8"/>
  <c r="I47" i="9"/>
  <c r="I52" i="8"/>
  <c r="I51" i="8"/>
  <c r="I50" i="8"/>
  <c r="I47" i="8"/>
  <c r="I45" i="8"/>
  <c r="I46" i="8"/>
  <c r="I55" i="7"/>
  <c r="I54" i="7"/>
  <c r="I49" i="8"/>
  <c r="I48" i="8"/>
  <c r="I53" i="7"/>
  <c r="I52" i="7"/>
  <c r="I51" i="7"/>
  <c r="R32" i="7"/>
  <c r="R52" i="9"/>
  <c r="R51" i="9"/>
  <c r="R50" i="9"/>
  <c r="R49" i="9"/>
  <c r="R48" i="9"/>
  <c r="R55" i="9"/>
  <c r="R54" i="9"/>
  <c r="R46" i="9"/>
  <c r="R45" i="9"/>
  <c r="R55" i="8"/>
  <c r="R54" i="8"/>
  <c r="R53" i="8"/>
  <c r="R52" i="8"/>
  <c r="R51" i="8"/>
  <c r="R50" i="8"/>
  <c r="R49" i="8"/>
  <c r="R45" i="8"/>
  <c r="R55" i="7"/>
  <c r="R47" i="8"/>
  <c r="R46" i="8"/>
  <c r="R54" i="7"/>
  <c r="R53" i="7"/>
  <c r="R47" i="9"/>
  <c r="R52" i="7"/>
  <c r="R53" i="9"/>
  <c r="R48" i="8"/>
  <c r="R51" i="7"/>
  <c r="AB28" i="7"/>
  <c r="AB50" i="9"/>
  <c r="AB49" i="9"/>
  <c r="AB48" i="9"/>
  <c r="AB55" i="9"/>
  <c r="AB54" i="9"/>
  <c r="AB53" i="9"/>
  <c r="AB52" i="9"/>
  <c r="AB47" i="9"/>
  <c r="AB54" i="8"/>
  <c r="AB53" i="8"/>
  <c r="AB51" i="9"/>
  <c r="AB52" i="8"/>
  <c r="AB51" i="8"/>
  <c r="AB50" i="8"/>
  <c r="AB49" i="8"/>
  <c r="AB46" i="9"/>
  <c r="AB55" i="7"/>
  <c r="AB54" i="7"/>
  <c r="AB46" i="8"/>
  <c r="AB53" i="7"/>
  <c r="AB55" i="8"/>
  <c r="AB47" i="8"/>
  <c r="AB52" i="7"/>
  <c r="AB51" i="7"/>
  <c r="AB45" i="9"/>
  <c r="AB49" i="7"/>
  <c r="AJ28" i="7"/>
  <c r="AJ50" i="9"/>
  <c r="AJ49" i="9"/>
  <c r="AJ48" i="9"/>
  <c r="AJ55" i="9"/>
  <c r="AJ54" i="9"/>
  <c r="AJ53" i="9"/>
  <c r="AJ52" i="9"/>
  <c r="AJ45" i="9"/>
  <c r="AJ54" i="8"/>
  <c r="AJ51" i="9"/>
  <c r="AJ53" i="8"/>
  <c r="AJ46" i="9"/>
  <c r="AJ52" i="8"/>
  <c r="AJ47" i="9"/>
  <c r="AJ51" i="8"/>
  <c r="AJ50" i="8"/>
  <c r="AJ49" i="8"/>
  <c r="AJ55" i="7"/>
  <c r="AJ54" i="7"/>
  <c r="AJ55" i="8"/>
  <c r="AJ48" i="8"/>
  <c r="AJ53" i="7"/>
  <c r="AJ46" i="8"/>
  <c r="AJ52" i="7"/>
  <c r="AJ51" i="7"/>
  <c r="AJ47" i="8"/>
  <c r="AJ49" i="7"/>
  <c r="AQ51" i="9"/>
  <c r="AQ50" i="9"/>
  <c r="AQ49" i="9"/>
  <c r="AQ48" i="9"/>
  <c r="AQ55" i="9"/>
  <c r="AQ54" i="9"/>
  <c r="AQ53" i="9"/>
  <c r="AQ45" i="9"/>
  <c r="AQ55" i="8"/>
  <c r="AQ54" i="8"/>
  <c r="AQ52" i="9"/>
  <c r="AQ53" i="8"/>
  <c r="AQ52" i="8"/>
  <c r="AQ51" i="8"/>
  <c r="AQ50" i="8"/>
  <c r="AQ46" i="9"/>
  <c r="AQ47" i="8"/>
  <c r="AQ45" i="8"/>
  <c r="AQ55" i="7"/>
  <c r="AQ54" i="7"/>
  <c r="AQ47" i="9"/>
  <c r="AQ53" i="7"/>
  <c r="AQ52" i="7"/>
  <c r="AQ46" i="8"/>
  <c r="AQ51" i="7"/>
  <c r="AQ49" i="8"/>
  <c r="AQ48" i="8"/>
  <c r="AQ50" i="7"/>
  <c r="AY51" i="9"/>
  <c r="AY50" i="9"/>
  <c r="AY49" i="9"/>
  <c r="AY48" i="9"/>
  <c r="AY55" i="9"/>
  <c r="AY47" i="9"/>
  <c r="AY54" i="9"/>
  <c r="AY53" i="9"/>
  <c r="AY45" i="9"/>
  <c r="AY55" i="8"/>
  <c r="AY52" i="9"/>
  <c r="AY46" i="9"/>
  <c r="AY54" i="8"/>
  <c r="AY53" i="8"/>
  <c r="AY52" i="8"/>
  <c r="AY51" i="8"/>
  <c r="AY50" i="8"/>
  <c r="AY49" i="8"/>
  <c r="AY48" i="8"/>
  <c r="AY45" i="8"/>
  <c r="AY55" i="7"/>
  <c r="AY47" i="8"/>
  <c r="AY54" i="7"/>
  <c r="AY53" i="7"/>
  <c r="AY52" i="7"/>
  <c r="AY51" i="7"/>
  <c r="AY50" i="7"/>
  <c r="E45" i="7"/>
  <c r="N45" i="7"/>
  <c r="V45" i="7"/>
  <c r="AD45" i="7"/>
  <c r="AL45" i="7"/>
  <c r="D46" i="7"/>
  <c r="M46" i="7"/>
  <c r="U46" i="7"/>
  <c r="AC46" i="7"/>
  <c r="AK46" i="7"/>
  <c r="AS46" i="7"/>
  <c r="M47" i="7"/>
  <c r="W47" i="7"/>
  <c r="AF47" i="7"/>
  <c r="AO47" i="7"/>
  <c r="I48" i="7"/>
  <c r="S48" i="7"/>
  <c r="AD48" i="7"/>
  <c r="AO48" i="7"/>
  <c r="AY48" i="7"/>
  <c r="M49" i="7"/>
  <c r="X49" i="7"/>
  <c r="AS49" i="7"/>
  <c r="F50" i="7"/>
  <c r="AB50" i="7"/>
  <c r="AN50" i="7"/>
  <c r="Y51" i="7"/>
  <c r="AN52" i="7"/>
  <c r="E54" i="7"/>
  <c r="U55" i="7"/>
  <c r="AJ45" i="8"/>
  <c r="E49" i="8"/>
  <c r="AO46" i="9"/>
  <c r="AM55" i="9"/>
  <c r="AM47" i="9"/>
  <c r="AM54" i="9"/>
  <c r="AM53" i="9"/>
  <c r="AM52" i="9"/>
  <c r="AM51" i="9"/>
  <c r="AM50" i="9"/>
  <c r="AM49" i="9"/>
  <c r="AM46" i="9"/>
  <c r="AM51" i="8"/>
  <c r="AM50" i="8"/>
  <c r="AM49" i="8"/>
  <c r="AM48" i="9"/>
  <c r="AM55" i="8"/>
  <c r="AM47" i="8"/>
  <c r="AM45" i="9"/>
  <c r="AM54" i="8"/>
  <c r="AM53" i="8"/>
  <c r="AM46" i="8"/>
  <c r="AM52" i="7"/>
  <c r="AM48" i="8"/>
  <c r="AM51" i="7"/>
  <c r="AM50" i="7"/>
  <c r="AM52" i="8"/>
  <c r="AM45" i="8"/>
  <c r="AM48" i="7"/>
  <c r="AM55" i="7"/>
  <c r="AM54" i="7"/>
  <c r="Q31" i="7"/>
  <c r="Q53" i="9"/>
  <c r="Q52" i="9"/>
  <c r="Q51" i="9"/>
  <c r="Q50" i="9"/>
  <c r="Q49" i="9"/>
  <c r="Q48" i="9"/>
  <c r="Q55" i="9"/>
  <c r="Q47" i="9"/>
  <c r="Q49" i="8"/>
  <c r="Q54" i="9"/>
  <c r="Q45" i="9"/>
  <c r="Q55" i="8"/>
  <c r="Q54" i="8"/>
  <c r="Q53" i="8"/>
  <c r="Q52" i="8"/>
  <c r="Q46" i="9"/>
  <c r="Q51" i="8"/>
  <c r="Q45" i="8"/>
  <c r="Q50" i="8"/>
  <c r="Q55" i="7"/>
  <c r="Q47" i="8"/>
  <c r="Q46" i="8"/>
  <c r="Q54" i="7"/>
  <c r="Q53" i="7"/>
  <c r="Q52" i="7"/>
  <c r="AA38" i="7"/>
  <c r="AA51" i="9"/>
  <c r="AA50" i="9"/>
  <c r="AA49" i="9"/>
  <c r="AA55" i="9"/>
  <c r="AA54" i="9"/>
  <c r="AA53" i="9"/>
  <c r="AA45" i="9"/>
  <c r="AA46" i="9"/>
  <c r="AA55" i="8"/>
  <c r="AA47" i="9"/>
  <c r="AA54" i="8"/>
  <c r="AA53" i="8"/>
  <c r="AA52" i="8"/>
  <c r="AA52" i="9"/>
  <c r="AA51" i="8"/>
  <c r="AA48" i="9"/>
  <c r="AA50" i="8"/>
  <c r="AA48" i="8"/>
  <c r="AA45" i="8"/>
  <c r="AA55" i="7"/>
  <c r="AA54" i="7"/>
  <c r="AA46" i="8"/>
  <c r="AA53" i="7"/>
  <c r="AA49" i="8"/>
  <c r="AA47" i="8"/>
  <c r="AA52" i="7"/>
  <c r="AA51" i="7"/>
  <c r="AA50" i="7"/>
  <c r="AI31" i="7"/>
  <c r="AI51" i="9"/>
  <c r="AI50" i="9"/>
  <c r="AI49" i="9"/>
  <c r="AI48" i="9"/>
  <c r="AI55" i="9"/>
  <c r="AI54" i="9"/>
  <c r="AI53" i="9"/>
  <c r="AI45" i="9"/>
  <c r="AI55" i="8"/>
  <c r="AI54" i="8"/>
  <c r="AI53" i="8"/>
  <c r="AI52" i="9"/>
  <c r="AI46" i="9"/>
  <c r="AI52" i="8"/>
  <c r="AI47" i="9"/>
  <c r="AI51" i="8"/>
  <c r="AI50" i="8"/>
  <c r="AI45" i="8"/>
  <c r="AI49" i="8"/>
  <c r="AI55" i="7"/>
  <c r="AI54" i="7"/>
  <c r="AI48" i="8"/>
  <c r="AI53" i="7"/>
  <c r="AI46" i="8"/>
  <c r="AI52" i="7"/>
  <c r="AI51" i="7"/>
  <c r="AI47" i="8"/>
  <c r="AI50" i="7"/>
  <c r="AP52" i="9"/>
  <c r="AP51" i="9"/>
  <c r="AP50" i="9"/>
  <c r="AP49" i="9"/>
  <c r="AP48" i="9"/>
  <c r="AP55" i="9"/>
  <c r="AP54" i="9"/>
  <c r="AP46" i="9"/>
  <c r="AP47" i="9"/>
  <c r="AP48" i="8"/>
  <c r="AP55" i="8"/>
  <c r="AP45" i="9"/>
  <c r="AP54" i="8"/>
  <c r="AP53" i="8"/>
  <c r="AP53" i="9"/>
  <c r="AP52" i="8"/>
  <c r="AP51" i="8"/>
  <c r="AP50" i="8"/>
  <c r="AP47" i="8"/>
  <c r="AP45" i="8"/>
  <c r="AP55" i="7"/>
  <c r="AP54" i="7"/>
  <c r="AP53" i="7"/>
  <c r="AP52" i="7"/>
  <c r="AP46" i="8"/>
  <c r="AP51" i="7"/>
  <c r="AX52" i="9"/>
  <c r="AX51" i="9"/>
  <c r="AX50" i="9"/>
  <c r="AX49" i="9"/>
  <c r="AX48" i="9"/>
  <c r="AX55" i="9"/>
  <c r="AX54" i="9"/>
  <c r="AX46" i="9"/>
  <c r="AX48" i="8"/>
  <c r="AX55" i="8"/>
  <c r="AX54" i="8"/>
  <c r="AX53" i="9"/>
  <c r="AX45" i="9"/>
  <c r="AX53" i="8"/>
  <c r="AX47" i="9"/>
  <c r="AX52" i="8"/>
  <c r="AX51" i="8"/>
  <c r="AX50" i="8"/>
  <c r="AX46" i="8"/>
  <c r="AX45" i="8"/>
  <c r="AX55" i="7"/>
  <c r="AX47" i="8"/>
  <c r="AX54" i="7"/>
  <c r="AX53" i="7"/>
  <c r="AX49" i="8"/>
  <c r="AX52" i="7"/>
  <c r="AX51" i="7"/>
  <c r="F45" i="7"/>
  <c r="O45" i="7"/>
  <c r="W45" i="7"/>
  <c r="AE45" i="7"/>
  <c r="AM45" i="7"/>
  <c r="AU45" i="7"/>
  <c r="E46" i="7"/>
  <c r="N46" i="7"/>
  <c r="V46" i="7"/>
  <c r="AD46" i="7"/>
  <c r="AL46" i="7"/>
  <c r="AT46" i="7"/>
  <c r="D47" i="7"/>
  <c r="O47" i="7"/>
  <c r="X47" i="7"/>
  <c r="AG47" i="7"/>
  <c r="AP47" i="7"/>
  <c r="AY47" i="7"/>
  <c r="J48" i="7"/>
  <c r="AF48" i="7"/>
  <c r="AP48" i="7"/>
  <c r="O49" i="7"/>
  <c r="Y49" i="7"/>
  <c r="AI49" i="7"/>
  <c r="AU49" i="7"/>
  <c r="R50" i="7"/>
  <c r="AD50" i="7"/>
  <c r="AG51" i="7"/>
  <c r="AV52" i="7"/>
  <c r="AC55" i="7"/>
  <c r="AR45" i="8"/>
  <c r="S49" i="8"/>
  <c r="X28" i="7"/>
  <c r="X54" i="9"/>
  <c r="X46" i="9"/>
  <c r="X53" i="9"/>
  <c r="X52" i="9"/>
  <c r="X51" i="9"/>
  <c r="X50" i="9"/>
  <c r="X49" i="9"/>
  <c r="X48" i="9"/>
  <c r="X50" i="8"/>
  <c r="X55" i="9"/>
  <c r="X45" i="9"/>
  <c r="X47" i="9"/>
  <c r="X55" i="8"/>
  <c r="X54" i="8"/>
  <c r="X46" i="8"/>
  <c r="X53" i="8"/>
  <c r="X52" i="8"/>
  <c r="X51" i="7"/>
  <c r="X48" i="8"/>
  <c r="X45" i="8"/>
  <c r="X51" i="8"/>
  <c r="X55" i="7"/>
  <c r="X54" i="7"/>
  <c r="X49" i="8"/>
  <c r="X53" i="7"/>
  <c r="U44" i="9"/>
  <c r="U49" i="9"/>
  <c r="U48" i="9"/>
  <c r="U55" i="9"/>
  <c r="U47" i="9"/>
  <c r="U54" i="9"/>
  <c r="U53" i="9"/>
  <c r="U52" i="9"/>
  <c r="U51" i="9"/>
  <c r="U53" i="8"/>
  <c r="U50" i="9"/>
  <c r="U52" i="8"/>
  <c r="U51" i="8"/>
  <c r="U46" i="9"/>
  <c r="U50" i="8"/>
  <c r="U49" i="8"/>
  <c r="U45" i="9"/>
  <c r="U48" i="8"/>
  <c r="U55" i="8"/>
  <c r="U47" i="8"/>
  <c r="U46" i="8"/>
  <c r="U54" i="7"/>
  <c r="U53" i="7"/>
  <c r="U54" i="8"/>
  <c r="U52" i="7"/>
  <c r="U51" i="7"/>
  <c r="U50" i="7"/>
  <c r="U45" i="8"/>
  <c r="U48" i="7"/>
  <c r="C34" i="7"/>
  <c r="C50" i="9"/>
  <c r="C49" i="9"/>
  <c r="C48" i="9"/>
  <c r="C55" i="9"/>
  <c r="C54" i="9"/>
  <c r="C53" i="9"/>
  <c r="C52" i="9"/>
  <c r="C54" i="8"/>
  <c r="C46" i="9"/>
  <c r="C53" i="8"/>
  <c r="C52" i="8"/>
  <c r="C51" i="8"/>
  <c r="C50" i="8"/>
  <c r="C51" i="9"/>
  <c r="C49" i="8"/>
  <c r="C45" i="9"/>
  <c r="C48" i="8"/>
  <c r="C55" i="7"/>
  <c r="C54" i="7"/>
  <c r="C53" i="7"/>
  <c r="C52" i="7"/>
  <c r="C51" i="7"/>
  <c r="C47" i="8"/>
  <c r="C47" i="9"/>
  <c r="C55" i="8"/>
  <c r="C49" i="7"/>
  <c r="BD54" i="6"/>
  <c r="BD46" i="6"/>
  <c r="BE46" i="6" s="1"/>
  <c r="BD38" i="6"/>
  <c r="BD30" i="6"/>
  <c r="BE30" i="6" s="1"/>
  <c r="BD22" i="6"/>
  <c r="BD14" i="6"/>
  <c r="BD6" i="6"/>
  <c r="BD52" i="5"/>
  <c r="BE52" i="5" s="1"/>
  <c r="BD44" i="5"/>
  <c r="BD36" i="5"/>
  <c r="BD28" i="5"/>
  <c r="BD20" i="5"/>
  <c r="BD12" i="5"/>
  <c r="BD4" i="5"/>
  <c r="BD50" i="4"/>
  <c r="BE50" i="4" s="1"/>
  <c r="BD42" i="4"/>
  <c r="BD34" i="4"/>
  <c r="BD26" i="4"/>
  <c r="BD18" i="4"/>
  <c r="BE18" i="4" s="1"/>
  <c r="BD10" i="4"/>
  <c r="BD2" i="4"/>
  <c r="BD53" i="6"/>
  <c r="BE53" i="6" s="1"/>
  <c r="BD45" i="6"/>
  <c r="BE45" i="6" s="1"/>
  <c r="BD37" i="6"/>
  <c r="BD29" i="6"/>
  <c r="BD21" i="6"/>
  <c r="BD13" i="6"/>
  <c r="BD5" i="6"/>
  <c r="BD51" i="5"/>
  <c r="BE51" i="5" s="1"/>
  <c r="BD43" i="5"/>
  <c r="BE43" i="5" s="1"/>
  <c r="BD35" i="5"/>
  <c r="BD27" i="5"/>
  <c r="BD19" i="5"/>
  <c r="BD11" i="5"/>
  <c r="BD3" i="5"/>
  <c r="BD49" i="4"/>
  <c r="BD41" i="4"/>
  <c r="BE41" i="4" s="1"/>
  <c r="BD33" i="4"/>
  <c r="BE33" i="4" s="1"/>
  <c r="BD25" i="4"/>
  <c r="BE25" i="4" s="1"/>
  <c r="BD17" i="4"/>
  <c r="BD9" i="4"/>
  <c r="BD52" i="6"/>
  <c r="BE52" i="6" s="1"/>
  <c r="BD44" i="6"/>
  <c r="BD36" i="6"/>
  <c r="BD28" i="6"/>
  <c r="BE28" i="6" s="1"/>
  <c r="BD20" i="6"/>
  <c r="BE20" i="6" s="1"/>
  <c r="BD12" i="6"/>
  <c r="BD4" i="6"/>
  <c r="BD50" i="5"/>
  <c r="BE50" i="5" s="1"/>
  <c r="BD42" i="5"/>
  <c r="BE42" i="5" s="1"/>
  <c r="BD34" i="5"/>
  <c r="BE34" i="5" s="1"/>
  <c r="BD26" i="5"/>
  <c r="BD18" i="5"/>
  <c r="BE18" i="5" s="1"/>
  <c r="BD10" i="5"/>
  <c r="BD2" i="5"/>
  <c r="BD48" i="4"/>
  <c r="BE48" i="4" s="1"/>
  <c r="BD40" i="4"/>
  <c r="BE40" i="4" s="1"/>
  <c r="BD32" i="4"/>
  <c r="BE32" i="4" s="1"/>
  <c r="BD24" i="4"/>
  <c r="BD16" i="4"/>
  <c r="BD8" i="4"/>
  <c r="BD51" i="6"/>
  <c r="BE51" i="6" s="1"/>
  <c r="BD43" i="6"/>
  <c r="BD35" i="6"/>
  <c r="BD27" i="6"/>
  <c r="BD19" i="6"/>
  <c r="BD11" i="6"/>
  <c r="BD3" i="6"/>
  <c r="BD49" i="5"/>
  <c r="BE49" i="5" s="1"/>
  <c r="BD41" i="5"/>
  <c r="BD33" i="5"/>
  <c r="BD25" i="5"/>
  <c r="BD17" i="5"/>
  <c r="BD9" i="5"/>
  <c r="BD55" i="4"/>
  <c r="BD47" i="4"/>
  <c r="BE47" i="4" s="1"/>
  <c r="BD39" i="4"/>
  <c r="BE39" i="4" s="1"/>
  <c r="BD31" i="4"/>
  <c r="BE31" i="4" s="1"/>
  <c r="BD23" i="4"/>
  <c r="BE23" i="4" s="1"/>
  <c r="BD15" i="4"/>
  <c r="BD7" i="4"/>
  <c r="BD50" i="6"/>
  <c r="BE50" i="6" s="1"/>
  <c r="BD42" i="6"/>
  <c r="BD34" i="6"/>
  <c r="BD26" i="6"/>
  <c r="BD18" i="6"/>
  <c r="BD10" i="6"/>
  <c r="BD2" i="6"/>
  <c r="BD48" i="5"/>
  <c r="BE48" i="5" s="1"/>
  <c r="BD40" i="5"/>
  <c r="BD32" i="5"/>
  <c r="BD24" i="5"/>
  <c r="BD16" i="5"/>
  <c r="BE16" i="5" s="1"/>
  <c r="BD8" i="5"/>
  <c r="BD54" i="4"/>
  <c r="BE54" i="4" s="1"/>
  <c r="BD46" i="4"/>
  <c r="BE46" i="4" s="1"/>
  <c r="BD38" i="4"/>
  <c r="BE38" i="4" s="1"/>
  <c r="BD30" i="4"/>
  <c r="BD22" i="4"/>
  <c r="BD14" i="4"/>
  <c r="BD6" i="4"/>
  <c r="BD49" i="6"/>
  <c r="BD41" i="6"/>
  <c r="BD33" i="6"/>
  <c r="BD25" i="6"/>
  <c r="BD17" i="6"/>
  <c r="BD9" i="6"/>
  <c r="BD55" i="5"/>
  <c r="BE55" i="5" s="1"/>
  <c r="BD47" i="5"/>
  <c r="BE47" i="5" s="1"/>
  <c r="BD39" i="5"/>
  <c r="BE39" i="5" s="1"/>
  <c r="BD31" i="5"/>
  <c r="BD23" i="5"/>
  <c r="BD15" i="5"/>
  <c r="BD7" i="5"/>
  <c r="BD53" i="4"/>
  <c r="BE53" i="4" s="1"/>
  <c r="BD45" i="4"/>
  <c r="BE45" i="4" s="1"/>
  <c r="BD37" i="4"/>
  <c r="BE37" i="4" s="1"/>
  <c r="BD29" i="4"/>
  <c r="BD21" i="4"/>
  <c r="BD13" i="4"/>
  <c r="BD5" i="4"/>
  <c r="BD48" i="6"/>
  <c r="BE48" i="6" s="1"/>
  <c r="BD40" i="6"/>
  <c r="BD32" i="6"/>
  <c r="BE32" i="6" s="1"/>
  <c r="BD24" i="6"/>
  <c r="BD16" i="6"/>
  <c r="BD8" i="6"/>
  <c r="BD54" i="5"/>
  <c r="BE54" i="5" s="1"/>
  <c r="BD46" i="5"/>
  <c r="BE46" i="5" s="1"/>
  <c r="BD38" i="5"/>
  <c r="BE38" i="5" s="1"/>
  <c r="BD30" i="5"/>
  <c r="BD22" i="5"/>
  <c r="BD14" i="5"/>
  <c r="BE14" i="5" s="1"/>
  <c r="BD6" i="5"/>
  <c r="BD52" i="4"/>
  <c r="BE52" i="4" s="1"/>
  <c r="BD44" i="4"/>
  <c r="BD36" i="4"/>
  <c r="BD28" i="4"/>
  <c r="BE28" i="4" s="1"/>
  <c r="BD20" i="4"/>
  <c r="BE20" i="4" s="1"/>
  <c r="BD12" i="4"/>
  <c r="BD4" i="4"/>
  <c r="BE4" i="4" s="1"/>
  <c r="BD55" i="6"/>
  <c r="BE55" i="6" s="1"/>
  <c r="BD45" i="5"/>
  <c r="BE45" i="5" s="1"/>
  <c r="BD35" i="4"/>
  <c r="BD47" i="6"/>
  <c r="BE47" i="6" s="1"/>
  <c r="BD37" i="5"/>
  <c r="BD27" i="4"/>
  <c r="BE27" i="4" s="1"/>
  <c r="BD39" i="6"/>
  <c r="BD29" i="5"/>
  <c r="BE29" i="5" s="1"/>
  <c r="BD19" i="4"/>
  <c r="BD31" i="6"/>
  <c r="BD21" i="5"/>
  <c r="BD11" i="4"/>
  <c r="BD23" i="6"/>
  <c r="BD13" i="5"/>
  <c r="BD3" i="4"/>
  <c r="BD15" i="6"/>
  <c r="BE15" i="6" s="1"/>
  <c r="BD5" i="5"/>
  <c r="BD7" i="6"/>
  <c r="BD51" i="4"/>
  <c r="BE51" i="4" s="1"/>
  <c r="BD53" i="5"/>
  <c r="BE53" i="5" s="1"/>
  <c r="BD43" i="4"/>
  <c r="BE43" i="4" s="1"/>
  <c r="G30" i="7"/>
  <c r="G54" i="9"/>
  <c r="G53" i="9"/>
  <c r="G52" i="9"/>
  <c r="G51" i="9"/>
  <c r="G50" i="9"/>
  <c r="G49" i="9"/>
  <c r="G48" i="9"/>
  <c r="G50" i="8"/>
  <c r="G45" i="9"/>
  <c r="G55" i="8"/>
  <c r="G55" i="9"/>
  <c r="G54" i="8"/>
  <c r="G46" i="8"/>
  <c r="G47" i="9"/>
  <c r="G46" i="9"/>
  <c r="G53" i="8"/>
  <c r="G52" i="8"/>
  <c r="G51" i="7"/>
  <c r="G47" i="8"/>
  <c r="G45" i="8"/>
  <c r="G55" i="7"/>
  <c r="G49" i="8"/>
  <c r="G54" i="7"/>
  <c r="G51" i="8"/>
  <c r="G48" i="8"/>
  <c r="G53" i="7"/>
  <c r="P28" i="7"/>
  <c r="P54" i="9"/>
  <c r="P53" i="9"/>
  <c r="P52" i="9"/>
  <c r="P51" i="9"/>
  <c r="P50" i="9"/>
  <c r="P49" i="9"/>
  <c r="P48" i="9"/>
  <c r="P47" i="9"/>
  <c r="P50" i="8"/>
  <c r="P45" i="9"/>
  <c r="P55" i="9"/>
  <c r="P55" i="8"/>
  <c r="P54" i="8"/>
  <c r="P46" i="8"/>
  <c r="P53" i="8"/>
  <c r="P52" i="8"/>
  <c r="P48" i="8"/>
  <c r="P51" i="7"/>
  <c r="P46" i="9"/>
  <c r="P49" i="8"/>
  <c r="P45" i="8"/>
  <c r="P55" i="7"/>
  <c r="P51" i="8"/>
  <c r="P47" i="8"/>
  <c r="P54" i="7"/>
  <c r="P53" i="7"/>
  <c r="Z30" i="7"/>
  <c r="Z52" i="9"/>
  <c r="Z51" i="9"/>
  <c r="Z50" i="9"/>
  <c r="Z49" i="9"/>
  <c r="Z48" i="9"/>
  <c r="Z55" i="9"/>
  <c r="Z54" i="9"/>
  <c r="Z46" i="9"/>
  <c r="Z45" i="9"/>
  <c r="Z48" i="8"/>
  <c r="Z55" i="8"/>
  <c r="Z47" i="9"/>
  <c r="Z54" i="8"/>
  <c r="Z53" i="8"/>
  <c r="Z52" i="8"/>
  <c r="Z51" i="8"/>
  <c r="Z53" i="9"/>
  <c r="Z50" i="8"/>
  <c r="Z45" i="8"/>
  <c r="Z55" i="7"/>
  <c r="Z54" i="7"/>
  <c r="Z46" i="8"/>
  <c r="Z53" i="7"/>
  <c r="Z49" i="8"/>
  <c r="Z47" i="8"/>
  <c r="Z52" i="7"/>
  <c r="Z51" i="7"/>
  <c r="AH52" i="9"/>
  <c r="AH51" i="9"/>
  <c r="AH50" i="9"/>
  <c r="AH49" i="9"/>
  <c r="AH48" i="9"/>
  <c r="AH55" i="9"/>
  <c r="AH54" i="9"/>
  <c r="AH46" i="9"/>
  <c r="AH48" i="8"/>
  <c r="AH45" i="9"/>
  <c r="AH55" i="8"/>
  <c r="AH54" i="8"/>
  <c r="AH53" i="8"/>
  <c r="AH52" i="8"/>
  <c r="AH53" i="9"/>
  <c r="AH47" i="9"/>
  <c r="AH51" i="8"/>
  <c r="AH50" i="8"/>
  <c r="AH45" i="8"/>
  <c r="AH49" i="8"/>
  <c r="AH55" i="7"/>
  <c r="AH54" i="7"/>
  <c r="AH53" i="7"/>
  <c r="AH46" i="8"/>
  <c r="AH52" i="7"/>
  <c r="AH51" i="7"/>
  <c r="AO53" i="9"/>
  <c r="AO52" i="9"/>
  <c r="AO51" i="9"/>
  <c r="AO50" i="9"/>
  <c r="AO49" i="9"/>
  <c r="AO48" i="9"/>
  <c r="AO55" i="9"/>
  <c r="AO47" i="9"/>
  <c r="AO49" i="8"/>
  <c r="AO55" i="8"/>
  <c r="AO45" i="9"/>
  <c r="AO54" i="8"/>
  <c r="AO53" i="8"/>
  <c r="AO52" i="8"/>
  <c r="AO54" i="9"/>
  <c r="AO51" i="8"/>
  <c r="AO50" i="8"/>
  <c r="AO47" i="8"/>
  <c r="AO45" i="8"/>
  <c r="AO55" i="7"/>
  <c r="AO54" i="7"/>
  <c r="AO53" i="7"/>
  <c r="AO52" i="7"/>
  <c r="AW29" i="7"/>
  <c r="AW53" i="9"/>
  <c r="AW52" i="9"/>
  <c r="AW51" i="9"/>
  <c r="AW50" i="9"/>
  <c r="AW49" i="9"/>
  <c r="AW48" i="9"/>
  <c r="AW55" i="9"/>
  <c r="AW47" i="9"/>
  <c r="AW49" i="8"/>
  <c r="AW46" i="9"/>
  <c r="AW55" i="8"/>
  <c r="AW54" i="8"/>
  <c r="AW45" i="9"/>
  <c r="AW53" i="8"/>
  <c r="AW45" i="8"/>
  <c r="AW54" i="9"/>
  <c r="AW52" i="8"/>
  <c r="AW51" i="8"/>
  <c r="AW50" i="7"/>
  <c r="AW46" i="8"/>
  <c r="AW48" i="8"/>
  <c r="AW55" i="7"/>
  <c r="AW47" i="8"/>
  <c r="AW54" i="7"/>
  <c r="AW53" i="7"/>
  <c r="AW52" i="7"/>
  <c r="K50" i="9"/>
  <c r="K49" i="9"/>
  <c r="K48" i="9"/>
  <c r="K55" i="9"/>
  <c r="K54" i="9"/>
  <c r="K53" i="9"/>
  <c r="K52" i="9"/>
  <c r="K54" i="8"/>
  <c r="K53" i="8"/>
  <c r="K47" i="9"/>
  <c r="K46" i="9"/>
  <c r="K52" i="8"/>
  <c r="K51" i="8"/>
  <c r="K51" i="9"/>
  <c r="K50" i="8"/>
  <c r="K49" i="8"/>
  <c r="K45" i="9"/>
  <c r="K46" i="8"/>
  <c r="K55" i="7"/>
  <c r="K54" i="7"/>
  <c r="K48" i="8"/>
  <c r="K53" i="7"/>
  <c r="K52" i="7"/>
  <c r="K51" i="7"/>
  <c r="K55" i="8"/>
  <c r="K49" i="7"/>
  <c r="U16" i="7"/>
  <c r="BE49" i="4"/>
  <c r="G45" i="7"/>
  <c r="P45" i="7"/>
  <c r="X45" i="7"/>
  <c r="AF45" i="7"/>
  <c r="AV45" i="7"/>
  <c r="F46" i="7"/>
  <c r="W46" i="7"/>
  <c r="AE46" i="7"/>
  <c r="AM46" i="7"/>
  <c r="AU46" i="7"/>
  <c r="F47" i="7"/>
  <c r="P47" i="7"/>
  <c r="AH47" i="7"/>
  <c r="AQ47" i="7"/>
  <c r="K48" i="7"/>
  <c r="V48" i="7"/>
  <c r="AQ48" i="7"/>
  <c r="D49" i="7"/>
  <c r="P49" i="7"/>
  <c r="Z49" i="7"/>
  <c r="AK49" i="7"/>
  <c r="AE50" i="7"/>
  <c r="AP50" i="7"/>
  <c r="AO51" i="7"/>
  <c r="V54" i="7"/>
  <c r="AK55" i="7"/>
  <c r="C46" i="8"/>
  <c r="AH47" i="8"/>
  <c r="AP49" i="8"/>
  <c r="N48" i="9"/>
  <c r="N55" i="9"/>
  <c r="N54" i="9"/>
  <c r="N46" i="9"/>
  <c r="N53" i="9"/>
  <c r="N52" i="9"/>
  <c r="N51" i="9"/>
  <c r="N50" i="9"/>
  <c r="N49" i="9"/>
  <c r="N52" i="8"/>
  <c r="N47" i="9"/>
  <c r="N51" i="8"/>
  <c r="N50" i="8"/>
  <c r="N49" i="8"/>
  <c r="N45" i="9"/>
  <c r="N48" i="8"/>
  <c r="N55" i="8"/>
  <c r="N47" i="8"/>
  <c r="N54" i="8"/>
  <c r="N53" i="7"/>
  <c r="N53" i="8"/>
  <c r="N52" i="7"/>
  <c r="N51" i="7"/>
  <c r="N49" i="7"/>
  <c r="N45" i="8"/>
  <c r="N46" i="8"/>
  <c r="N55" i="7"/>
  <c r="N47" i="7"/>
  <c r="D35" i="7"/>
  <c r="AX6" i="3"/>
  <c r="AX9" i="3" s="1"/>
  <c r="C28" i="7"/>
  <c r="E39" i="7"/>
  <c r="F40" i="7"/>
  <c r="F55" i="9"/>
  <c r="F47" i="9"/>
  <c r="F54" i="9"/>
  <c r="F53" i="9"/>
  <c r="F52" i="9"/>
  <c r="F51" i="9"/>
  <c r="F50" i="9"/>
  <c r="F49" i="9"/>
  <c r="F51" i="8"/>
  <c r="F50" i="8"/>
  <c r="F48" i="9"/>
  <c r="F45" i="9"/>
  <c r="F55" i="8"/>
  <c r="F47" i="8"/>
  <c r="F54" i="8"/>
  <c r="F46" i="9"/>
  <c r="F53" i="8"/>
  <c r="F52" i="8"/>
  <c r="F52" i="7"/>
  <c r="F46" i="8"/>
  <c r="F45" i="8"/>
  <c r="F55" i="7"/>
  <c r="F49" i="8"/>
  <c r="F54" i="7"/>
  <c r="I32" i="7"/>
  <c r="N36" i="7"/>
  <c r="O37" i="7"/>
  <c r="O55" i="9"/>
  <c r="O47" i="9"/>
  <c r="O54" i="9"/>
  <c r="O53" i="9"/>
  <c r="O52" i="9"/>
  <c r="O51" i="9"/>
  <c r="O50" i="9"/>
  <c r="O49" i="9"/>
  <c r="O48" i="9"/>
  <c r="O46" i="9"/>
  <c r="O51" i="8"/>
  <c r="O50" i="8"/>
  <c r="O45" i="9"/>
  <c r="O55" i="8"/>
  <c r="O47" i="8"/>
  <c r="O54" i="8"/>
  <c r="O53" i="8"/>
  <c r="O52" i="7"/>
  <c r="O48" i="8"/>
  <c r="O51" i="7"/>
  <c r="O49" i="8"/>
  <c r="O45" i="8"/>
  <c r="O46" i="8"/>
  <c r="O55" i="7"/>
  <c r="O54" i="7"/>
  <c r="P43" i="7"/>
  <c r="R28" i="7"/>
  <c r="X43" i="9"/>
  <c r="Y53" i="9"/>
  <c r="Y52" i="9"/>
  <c r="Y51" i="9"/>
  <c r="Y50" i="9"/>
  <c r="Y49" i="9"/>
  <c r="Y48" i="9"/>
  <c r="Y55" i="9"/>
  <c r="Y47" i="9"/>
  <c r="Y54" i="9"/>
  <c r="Y49" i="8"/>
  <c r="Y46" i="9"/>
  <c r="Y45" i="9"/>
  <c r="Y55" i="8"/>
  <c r="Y54" i="8"/>
  <c r="Y53" i="8"/>
  <c r="Y52" i="8"/>
  <c r="Y51" i="8"/>
  <c r="Y48" i="8"/>
  <c r="Y50" i="8"/>
  <c r="Y45" i="8"/>
  <c r="Y55" i="7"/>
  <c r="Y54" i="7"/>
  <c r="Y46" i="8"/>
  <c r="Y53" i="7"/>
  <c r="Y47" i="8"/>
  <c r="Y52" i="7"/>
  <c r="AC33" i="7"/>
  <c r="AG37" i="7"/>
  <c r="AG53" i="9"/>
  <c r="AG52" i="9"/>
  <c r="AG51" i="9"/>
  <c r="AG50" i="9"/>
  <c r="AG49" i="9"/>
  <c r="AG48" i="9"/>
  <c r="AG55" i="9"/>
  <c r="AG47" i="9"/>
  <c r="AG49" i="8"/>
  <c r="AG45" i="9"/>
  <c r="AG55" i="8"/>
  <c r="AG54" i="8"/>
  <c r="AG46" i="9"/>
  <c r="AG53" i="8"/>
  <c r="AG52" i="8"/>
  <c r="AG51" i="8"/>
  <c r="AG47" i="8"/>
  <c r="AG50" i="8"/>
  <c r="AG45" i="8"/>
  <c r="AG55" i="7"/>
  <c r="AG48" i="8"/>
  <c r="AG54" i="7"/>
  <c r="AG54" i="9"/>
  <c r="AG53" i="7"/>
  <c r="AG46" i="8"/>
  <c r="AG52" i="7"/>
  <c r="AK29" i="7"/>
  <c r="AN54" i="9"/>
  <c r="AN46" i="9"/>
  <c r="AN53" i="9"/>
  <c r="AN52" i="9"/>
  <c r="AN51" i="9"/>
  <c r="AN50" i="9"/>
  <c r="AN49" i="9"/>
  <c r="AN48" i="9"/>
  <c r="AN55" i="9"/>
  <c r="AN50" i="8"/>
  <c r="AN47" i="9"/>
  <c r="AN55" i="8"/>
  <c r="AN45" i="9"/>
  <c r="AN54" i="8"/>
  <c r="AN46" i="8"/>
  <c r="AN53" i="8"/>
  <c r="AN52" i="8"/>
  <c r="AN49" i="8"/>
  <c r="AN48" i="8"/>
  <c r="AN51" i="7"/>
  <c r="AN51" i="8"/>
  <c r="AN47" i="8"/>
  <c r="AN45" i="8"/>
  <c r="AN55" i="7"/>
  <c r="AN54" i="7"/>
  <c r="AN53" i="7"/>
  <c r="AP30" i="7"/>
  <c r="AT34" i="7"/>
  <c r="AV41" i="7"/>
  <c r="AV54" i="9"/>
  <c r="AV46" i="9"/>
  <c r="AV53" i="9"/>
  <c r="AV52" i="9"/>
  <c r="AV51" i="9"/>
  <c r="AV50" i="9"/>
  <c r="AV49" i="9"/>
  <c r="AV48" i="9"/>
  <c r="AV50" i="8"/>
  <c r="AV49" i="8"/>
  <c r="AV55" i="8"/>
  <c r="AV54" i="8"/>
  <c r="AV46" i="8"/>
  <c r="AV47" i="9"/>
  <c r="AV45" i="9"/>
  <c r="AV53" i="8"/>
  <c r="AV52" i="8"/>
  <c r="AV51" i="7"/>
  <c r="AV51" i="8"/>
  <c r="AV48" i="8"/>
  <c r="AV45" i="8"/>
  <c r="AV55" i="9"/>
  <c r="AV55" i="7"/>
  <c r="AV47" i="8"/>
  <c r="AV54" i="7"/>
  <c r="AV53" i="7"/>
  <c r="AW37" i="7"/>
  <c r="AX30" i="7"/>
  <c r="U38" i="8"/>
  <c r="BE55" i="4"/>
  <c r="BE49" i="6"/>
  <c r="BE54" i="6"/>
  <c r="Q45" i="7"/>
  <c r="Y45" i="7"/>
  <c r="AG45" i="7"/>
  <c r="AO45" i="7"/>
  <c r="AW45" i="7"/>
  <c r="G46" i="7"/>
  <c r="P46" i="7"/>
  <c r="X46" i="7"/>
  <c r="AF46" i="7"/>
  <c r="AN46" i="7"/>
  <c r="AV46" i="7"/>
  <c r="G47" i="7"/>
  <c r="Q47" i="7"/>
  <c r="Z47" i="7"/>
  <c r="AI47" i="7"/>
  <c r="AR47" i="7"/>
  <c r="C48" i="7"/>
  <c r="N48" i="7"/>
  <c r="X48" i="7"/>
  <c r="AH48" i="7"/>
  <c r="AR48" i="7"/>
  <c r="F49" i="7"/>
  <c r="Q49" i="7"/>
  <c r="AA49" i="7"/>
  <c r="AM49" i="7"/>
  <c r="AW49" i="7"/>
  <c r="I50" i="7"/>
  <c r="V50" i="7"/>
  <c r="AF50" i="7"/>
  <c r="AV50" i="7"/>
  <c r="AW51" i="7"/>
  <c r="O53" i="7"/>
  <c r="AD54" i="7"/>
  <c r="AS55" i="7"/>
  <c r="M46" i="8"/>
  <c r="AR47" i="8"/>
  <c r="AW50" i="8"/>
  <c r="AO27" i="8"/>
  <c r="AN27" i="8"/>
  <c r="AN39" i="9"/>
  <c r="AN40" i="9"/>
  <c r="AN42" i="9"/>
  <c r="AN44" i="9"/>
  <c r="AN38" i="9"/>
  <c r="AN32" i="9"/>
  <c r="AN41" i="9"/>
  <c r="AN33" i="9"/>
  <c r="AN43" i="9"/>
  <c r="AN37" i="9"/>
  <c r="AN34" i="9"/>
  <c r="AN35" i="9"/>
  <c r="AN29" i="9"/>
  <c r="AN34" i="8"/>
  <c r="AN44" i="8"/>
  <c r="AN43" i="8"/>
  <c r="AN42" i="8"/>
  <c r="AN35" i="8"/>
  <c r="AN36" i="8"/>
  <c r="AN37" i="8"/>
  <c r="AN36" i="9"/>
  <c r="AN31" i="9"/>
  <c r="AN28" i="9"/>
  <c r="AN38" i="8"/>
  <c r="AN39" i="8"/>
  <c r="AN40" i="8"/>
  <c r="AN33" i="8"/>
  <c r="AN42" i="7"/>
  <c r="AN41" i="8"/>
  <c r="AN43" i="7"/>
  <c r="AN32" i="8"/>
  <c r="AN44" i="7"/>
  <c r="AN30" i="9"/>
  <c r="AN28" i="8"/>
  <c r="AN29" i="8"/>
  <c r="AN30" i="8"/>
  <c r="AN31" i="8"/>
  <c r="AN40" i="7"/>
  <c r="AN41" i="7"/>
  <c r="AN37" i="7"/>
  <c r="AN29" i="7"/>
  <c r="AN30" i="7"/>
  <c r="AN31" i="7"/>
  <c r="AN39" i="7"/>
  <c r="AN32" i="7"/>
  <c r="AN38" i="7"/>
  <c r="AN33" i="7"/>
  <c r="AN34" i="7"/>
  <c r="AN35" i="7"/>
  <c r="AG29" i="7"/>
  <c r="AM27" i="9"/>
  <c r="AM38" i="9"/>
  <c r="AM39" i="9"/>
  <c r="AM41" i="9"/>
  <c r="AM43" i="9"/>
  <c r="AM44" i="9"/>
  <c r="AM37" i="9"/>
  <c r="AM36" i="9"/>
  <c r="AM31" i="9"/>
  <c r="AM32" i="9"/>
  <c r="AM33" i="9"/>
  <c r="AM34" i="9"/>
  <c r="AM35" i="9"/>
  <c r="AM40" i="9"/>
  <c r="AM28" i="9"/>
  <c r="AM30" i="9"/>
  <c r="AM41" i="8"/>
  <c r="AM33" i="8"/>
  <c r="AM42" i="9"/>
  <c r="AM34" i="8"/>
  <c r="AM44" i="8"/>
  <c r="AM43" i="8"/>
  <c r="AM42" i="8"/>
  <c r="AM29" i="9"/>
  <c r="AM36" i="8"/>
  <c r="AM37" i="8"/>
  <c r="AM38" i="8"/>
  <c r="AM39" i="8"/>
  <c r="AM42" i="7"/>
  <c r="AM43" i="7"/>
  <c r="AM32" i="8"/>
  <c r="AM44" i="7"/>
  <c r="AM28" i="8"/>
  <c r="AM29" i="8"/>
  <c r="AM30" i="8"/>
  <c r="AM39" i="7"/>
  <c r="AM35" i="8"/>
  <c r="AM36" i="7"/>
  <c r="AM28" i="7"/>
  <c r="AM41" i="7"/>
  <c r="AM37" i="7"/>
  <c r="AM29" i="7"/>
  <c r="AM30" i="7"/>
  <c r="AM31" i="7"/>
  <c r="AM40" i="8"/>
  <c r="AM40" i="7"/>
  <c r="AM32" i="7"/>
  <c r="AM38" i="7"/>
  <c r="AM33" i="7"/>
  <c r="AM34" i="7"/>
  <c r="AU27" i="9"/>
  <c r="AU38" i="9"/>
  <c r="AU39" i="9"/>
  <c r="AU41" i="9"/>
  <c r="AU43" i="9"/>
  <c r="AU44" i="9"/>
  <c r="AU37" i="9"/>
  <c r="AU31" i="9"/>
  <c r="AU32" i="9"/>
  <c r="AU33" i="9"/>
  <c r="AU40" i="9"/>
  <c r="AU36" i="9"/>
  <c r="AU34" i="9"/>
  <c r="AU42" i="9"/>
  <c r="AU35" i="9"/>
  <c r="AU28" i="9"/>
  <c r="AU41" i="8"/>
  <c r="AU33" i="8"/>
  <c r="AU29" i="9"/>
  <c r="AU34" i="8"/>
  <c r="AU42" i="8"/>
  <c r="AU36" i="8"/>
  <c r="AU43" i="8"/>
  <c r="AU37" i="8"/>
  <c r="AU44" i="8"/>
  <c r="AU38" i="8"/>
  <c r="AU30" i="9"/>
  <c r="AU39" i="8"/>
  <c r="AU41" i="7"/>
  <c r="AU42" i="7"/>
  <c r="AU43" i="7"/>
  <c r="AU44" i="7"/>
  <c r="AU35" i="8"/>
  <c r="AU32" i="8"/>
  <c r="AU28" i="8"/>
  <c r="AU29" i="8"/>
  <c r="AU40" i="8"/>
  <c r="AU30" i="8"/>
  <c r="AU39" i="7"/>
  <c r="AU36" i="7"/>
  <c r="AU28" i="7"/>
  <c r="AU37" i="7"/>
  <c r="AU29" i="7"/>
  <c r="AU40" i="7"/>
  <c r="AU30" i="7"/>
  <c r="AU31" i="7"/>
  <c r="AU32" i="7"/>
  <c r="AU33" i="7"/>
  <c r="AU31" i="8"/>
  <c r="AU38" i="7"/>
  <c r="AU34" i="7"/>
  <c r="BE40" i="6"/>
  <c r="AK33" i="7"/>
  <c r="X36" i="7"/>
  <c r="G28" i="7"/>
  <c r="Z28" i="7"/>
  <c r="F29" i="7"/>
  <c r="AO29" i="7"/>
  <c r="AB32" i="7"/>
  <c r="AF36" i="7"/>
  <c r="Z39" i="7"/>
  <c r="AI44" i="7"/>
  <c r="AW27" i="8"/>
  <c r="K3" i="9"/>
  <c r="K37" i="9"/>
  <c r="K38" i="9"/>
  <c r="K40" i="9"/>
  <c r="K42" i="9"/>
  <c r="K43" i="9"/>
  <c r="K44" i="9"/>
  <c r="K36" i="9"/>
  <c r="K41" i="9"/>
  <c r="K30" i="9"/>
  <c r="K31" i="9"/>
  <c r="K32" i="9"/>
  <c r="K33" i="9"/>
  <c r="K34" i="9"/>
  <c r="K35" i="9"/>
  <c r="K44" i="8"/>
  <c r="K40" i="8"/>
  <c r="K41" i="8"/>
  <c r="K29" i="9"/>
  <c r="K42" i="8"/>
  <c r="K39" i="9"/>
  <c r="K28" i="9"/>
  <c r="K36" i="8"/>
  <c r="K37" i="8"/>
  <c r="K38" i="8"/>
  <c r="K39" i="8"/>
  <c r="K31" i="8"/>
  <c r="K43" i="8"/>
  <c r="K35" i="8"/>
  <c r="K32" i="8"/>
  <c r="K41" i="7"/>
  <c r="K42" i="7"/>
  <c r="K43" i="7"/>
  <c r="K44" i="7"/>
  <c r="K34" i="8"/>
  <c r="K28" i="8"/>
  <c r="K29" i="8"/>
  <c r="K30" i="8"/>
  <c r="K35" i="7"/>
  <c r="K39" i="7"/>
  <c r="K36" i="7"/>
  <c r="K28" i="7"/>
  <c r="K37" i="7"/>
  <c r="K29" i="7"/>
  <c r="K38" i="7"/>
  <c r="K30" i="7"/>
  <c r="K40" i="7"/>
  <c r="K31" i="7"/>
  <c r="K32" i="7"/>
  <c r="K33" i="7"/>
  <c r="O39" i="7"/>
  <c r="D27" i="8"/>
  <c r="D38" i="9"/>
  <c r="D39" i="9"/>
  <c r="D41" i="9"/>
  <c r="D43" i="9"/>
  <c r="D44" i="9"/>
  <c r="D37" i="9"/>
  <c r="D31" i="9"/>
  <c r="D32" i="9"/>
  <c r="D33" i="9"/>
  <c r="D34" i="9"/>
  <c r="D35" i="9"/>
  <c r="D40" i="9"/>
  <c r="D36" i="9"/>
  <c r="D28" i="9"/>
  <c r="D30" i="9"/>
  <c r="D41" i="8"/>
  <c r="D33" i="8"/>
  <c r="D42" i="8"/>
  <c r="D34" i="8"/>
  <c r="D42" i="9"/>
  <c r="D29" i="9"/>
  <c r="D36" i="8"/>
  <c r="D37" i="8"/>
  <c r="D43" i="8"/>
  <c r="D38" i="8"/>
  <c r="D39" i="8"/>
  <c r="D32" i="8"/>
  <c r="D42" i="7"/>
  <c r="D43" i="7"/>
  <c r="D40" i="8"/>
  <c r="D35" i="8"/>
  <c r="D44" i="7"/>
  <c r="D28" i="8"/>
  <c r="D44" i="8"/>
  <c r="D29" i="8"/>
  <c r="D30" i="8"/>
  <c r="D39" i="7"/>
  <c r="D40" i="7"/>
  <c r="D36" i="7"/>
  <c r="D28" i="7"/>
  <c r="D41" i="7"/>
  <c r="D37" i="7"/>
  <c r="D29" i="7"/>
  <c r="D38" i="7"/>
  <c r="D30" i="7"/>
  <c r="D31" i="8"/>
  <c r="D31" i="7"/>
  <c r="D32" i="7"/>
  <c r="D33" i="7"/>
  <c r="D34" i="7"/>
  <c r="M27" i="9"/>
  <c r="M38" i="9"/>
  <c r="M39" i="9"/>
  <c r="M41" i="9"/>
  <c r="M43" i="9"/>
  <c r="M44" i="9"/>
  <c r="M37" i="9"/>
  <c r="M31" i="9"/>
  <c r="M32" i="9"/>
  <c r="M33" i="9"/>
  <c r="M40" i="9"/>
  <c r="M34" i="9"/>
  <c r="M42" i="9"/>
  <c r="M35" i="9"/>
  <c r="M28" i="9"/>
  <c r="M36" i="9"/>
  <c r="M41" i="8"/>
  <c r="M33" i="8"/>
  <c r="M29" i="9"/>
  <c r="M44" i="8"/>
  <c r="M42" i="8"/>
  <c r="M34" i="8"/>
  <c r="M36" i="8"/>
  <c r="M37" i="8"/>
  <c r="M38" i="8"/>
  <c r="M30" i="9"/>
  <c r="M43" i="8"/>
  <c r="M39" i="8"/>
  <c r="M35" i="8"/>
  <c r="M32" i="8"/>
  <c r="M42" i="7"/>
  <c r="M40" i="8"/>
  <c r="M43" i="7"/>
  <c r="M44" i="7"/>
  <c r="M28" i="8"/>
  <c r="M29" i="8"/>
  <c r="M30" i="8"/>
  <c r="M39" i="7"/>
  <c r="M36" i="7"/>
  <c r="M28" i="7"/>
  <c r="M37" i="7"/>
  <c r="M29" i="7"/>
  <c r="M31" i="8"/>
  <c r="M38" i="7"/>
  <c r="M30" i="7"/>
  <c r="M40" i="7"/>
  <c r="M31" i="7"/>
  <c r="M32" i="7"/>
  <c r="M33" i="7"/>
  <c r="M34" i="7"/>
  <c r="W27" i="9"/>
  <c r="W38" i="9"/>
  <c r="W39" i="9"/>
  <c r="W41" i="9"/>
  <c r="W43" i="9"/>
  <c r="W44" i="9"/>
  <c r="W37" i="9"/>
  <c r="W31" i="9"/>
  <c r="W40" i="9"/>
  <c r="W32" i="9"/>
  <c r="W42" i="9"/>
  <c r="W36" i="9"/>
  <c r="W33" i="9"/>
  <c r="W34" i="9"/>
  <c r="W35" i="9"/>
  <c r="W28" i="9"/>
  <c r="W41" i="8"/>
  <c r="W33" i="8"/>
  <c r="W42" i="8"/>
  <c r="W34" i="8"/>
  <c r="W36" i="8"/>
  <c r="W30" i="9"/>
  <c r="W44" i="8"/>
  <c r="W37" i="8"/>
  <c r="W38" i="8"/>
  <c r="W39" i="8"/>
  <c r="W43" i="8"/>
  <c r="W40" i="8"/>
  <c r="W32" i="8"/>
  <c r="W42" i="7"/>
  <c r="W43" i="7"/>
  <c r="W44" i="7"/>
  <c r="W28" i="8"/>
  <c r="W29" i="9"/>
  <c r="W35" i="8"/>
  <c r="W29" i="8"/>
  <c r="W30" i="8"/>
  <c r="W39" i="7"/>
  <c r="W40" i="7"/>
  <c r="W36" i="7"/>
  <c r="W28" i="7"/>
  <c r="W31" i="8"/>
  <c r="W37" i="7"/>
  <c r="W29" i="7"/>
  <c r="W30" i="7"/>
  <c r="W38" i="7"/>
  <c r="W31" i="7"/>
  <c r="W32" i="7"/>
  <c r="W41" i="7"/>
  <c r="W33" i="7"/>
  <c r="W34" i="7"/>
  <c r="AE27" i="9"/>
  <c r="AE38" i="9"/>
  <c r="AE39" i="9"/>
  <c r="AE41" i="9"/>
  <c r="AE43" i="9"/>
  <c r="AE44" i="9"/>
  <c r="AE37" i="9"/>
  <c r="AE42" i="9"/>
  <c r="AE31" i="9"/>
  <c r="AE32" i="9"/>
  <c r="AE33" i="9"/>
  <c r="AE34" i="9"/>
  <c r="AE35" i="9"/>
  <c r="AE36" i="9"/>
  <c r="AE28" i="9"/>
  <c r="AE40" i="9"/>
  <c r="AE43" i="8"/>
  <c r="AE41" i="8"/>
  <c r="AE33" i="8"/>
  <c r="AE42" i="8"/>
  <c r="AE34" i="8"/>
  <c r="AE30" i="9"/>
  <c r="AE36" i="8"/>
  <c r="AE37" i="8"/>
  <c r="AE29" i="9"/>
  <c r="AE38" i="8"/>
  <c r="AE39" i="8"/>
  <c r="AE40" i="8"/>
  <c r="AE42" i="7"/>
  <c r="AE35" i="8"/>
  <c r="AE32" i="8"/>
  <c r="AE43" i="7"/>
  <c r="AE44" i="8"/>
  <c r="AE44" i="7"/>
  <c r="AE28" i="8"/>
  <c r="AE29" i="8"/>
  <c r="AE30" i="8"/>
  <c r="AE39" i="7"/>
  <c r="AE31" i="8"/>
  <c r="AE36" i="7"/>
  <c r="AE28" i="7"/>
  <c r="AE37" i="7"/>
  <c r="AE29" i="7"/>
  <c r="AE30" i="7"/>
  <c r="AE41" i="7"/>
  <c r="AE31" i="7"/>
  <c r="AE38" i="7"/>
  <c r="AE32" i="7"/>
  <c r="AE33" i="7"/>
  <c r="AE40" i="7"/>
  <c r="AE34" i="7"/>
  <c r="BE44" i="4"/>
  <c r="BE31" i="5"/>
  <c r="BE29" i="6"/>
  <c r="E6" i="3"/>
  <c r="E9" i="3" s="1"/>
  <c r="J27" i="7"/>
  <c r="J44" i="9"/>
  <c r="J37" i="9"/>
  <c r="J39" i="9"/>
  <c r="J41" i="9"/>
  <c r="J42" i="9"/>
  <c r="J43" i="9"/>
  <c r="J36" i="9"/>
  <c r="J29" i="9"/>
  <c r="J30" i="9"/>
  <c r="J31" i="9"/>
  <c r="J32" i="9"/>
  <c r="J40" i="9"/>
  <c r="J33" i="9"/>
  <c r="J34" i="9"/>
  <c r="J43" i="8"/>
  <c r="J39" i="8"/>
  <c r="J38" i="9"/>
  <c r="J40" i="8"/>
  <c r="J44" i="8"/>
  <c r="J41" i="8"/>
  <c r="J35" i="9"/>
  <c r="J42" i="8"/>
  <c r="J35" i="8"/>
  <c r="J28" i="9"/>
  <c r="J36" i="8"/>
  <c r="J37" i="8"/>
  <c r="J33" i="8"/>
  <c r="J30" i="8"/>
  <c r="J31" i="8"/>
  <c r="J32" i="8"/>
  <c r="J41" i="7"/>
  <c r="J42" i="7"/>
  <c r="J43" i="7"/>
  <c r="J44" i="7"/>
  <c r="J38" i="8"/>
  <c r="J34" i="8"/>
  <c r="J28" i="8"/>
  <c r="J34" i="7"/>
  <c r="J35" i="7"/>
  <c r="J39" i="7"/>
  <c r="J36" i="7"/>
  <c r="J28" i="7"/>
  <c r="J37" i="7"/>
  <c r="J38" i="7"/>
  <c r="J30" i="7"/>
  <c r="J40" i="7"/>
  <c r="J31" i="7"/>
  <c r="J29" i="8"/>
  <c r="J32" i="7"/>
  <c r="V27" i="7"/>
  <c r="V37" i="9"/>
  <c r="V38" i="9"/>
  <c r="V40" i="9"/>
  <c r="V42" i="9"/>
  <c r="V43" i="9"/>
  <c r="V44" i="9"/>
  <c r="V36" i="9"/>
  <c r="V30" i="9"/>
  <c r="V31" i="9"/>
  <c r="V32" i="9"/>
  <c r="V33" i="9"/>
  <c r="V34" i="9"/>
  <c r="V39" i="9"/>
  <c r="V35" i="9"/>
  <c r="V44" i="8"/>
  <c r="V29" i="9"/>
  <c r="V43" i="8"/>
  <c r="V40" i="8"/>
  <c r="V32" i="8"/>
  <c r="V41" i="8"/>
  <c r="V33" i="8"/>
  <c r="V42" i="8"/>
  <c r="V36" i="8"/>
  <c r="V41" i="9"/>
  <c r="V37" i="8"/>
  <c r="V38" i="8"/>
  <c r="V28" i="9"/>
  <c r="V31" i="8"/>
  <c r="V34" i="8"/>
  <c r="V41" i="7"/>
  <c r="V42" i="7"/>
  <c r="V43" i="7"/>
  <c r="V44" i="7"/>
  <c r="V28" i="8"/>
  <c r="V35" i="8"/>
  <c r="V29" i="8"/>
  <c r="V38" i="7"/>
  <c r="V35" i="7"/>
  <c r="V40" i="7"/>
  <c r="V36" i="7"/>
  <c r="V28" i="7"/>
  <c r="V39" i="7"/>
  <c r="V37" i="7"/>
  <c r="V29" i="7"/>
  <c r="V30" i="7"/>
  <c r="V31" i="7"/>
  <c r="V39" i="8"/>
  <c r="V32" i="7"/>
  <c r="V33" i="7"/>
  <c r="AD27" i="7"/>
  <c r="AD37" i="9"/>
  <c r="AD38" i="9"/>
  <c r="AD40" i="9"/>
  <c r="AD42" i="9"/>
  <c r="AD43" i="9"/>
  <c r="AD44" i="9"/>
  <c r="AD36" i="9"/>
  <c r="AD30" i="9"/>
  <c r="AD31" i="9"/>
  <c r="AD32" i="9"/>
  <c r="AD39" i="9"/>
  <c r="AD33" i="9"/>
  <c r="AD41" i="9"/>
  <c r="AD34" i="9"/>
  <c r="AD35" i="9"/>
  <c r="AD44" i="8"/>
  <c r="AD40" i="8"/>
  <c r="AD32" i="8"/>
  <c r="AD43" i="8"/>
  <c r="AD41" i="8"/>
  <c r="AD33" i="8"/>
  <c r="AD28" i="9"/>
  <c r="AD42" i="8"/>
  <c r="AD36" i="8"/>
  <c r="AD37" i="8"/>
  <c r="AD29" i="9"/>
  <c r="AD38" i="8"/>
  <c r="AD31" i="8"/>
  <c r="AD41" i="7"/>
  <c r="AD42" i="7"/>
  <c r="AD35" i="8"/>
  <c r="AD43" i="7"/>
  <c r="AD44" i="7"/>
  <c r="AD34" i="8"/>
  <c r="AD28" i="8"/>
  <c r="AD39" i="8"/>
  <c r="AD29" i="8"/>
  <c r="AD38" i="7"/>
  <c r="AD35" i="7"/>
  <c r="AD36" i="7"/>
  <c r="AD28" i="7"/>
  <c r="AD37" i="7"/>
  <c r="AD29" i="7"/>
  <c r="AD39" i="7"/>
  <c r="AD30" i="7"/>
  <c r="AD31" i="7"/>
  <c r="AD32" i="7"/>
  <c r="AD30" i="8"/>
  <c r="AD33" i="7"/>
  <c r="AL27" i="7"/>
  <c r="AL37" i="9"/>
  <c r="AL38" i="9"/>
  <c r="AL40" i="9"/>
  <c r="AL42" i="9"/>
  <c r="AL43" i="9"/>
  <c r="AL44" i="9"/>
  <c r="AL36" i="9"/>
  <c r="AL30" i="9"/>
  <c r="AL39" i="9"/>
  <c r="AL31" i="9"/>
  <c r="AL41" i="9"/>
  <c r="AL32" i="9"/>
  <c r="AL33" i="9"/>
  <c r="AL34" i="9"/>
  <c r="AL35" i="9"/>
  <c r="AL44" i="8"/>
  <c r="AL40" i="8"/>
  <c r="AL32" i="8"/>
  <c r="AL41" i="8"/>
  <c r="AL33" i="8"/>
  <c r="AL43" i="8"/>
  <c r="AL42" i="8"/>
  <c r="AL29" i="9"/>
  <c r="AL36" i="8"/>
  <c r="AL28" i="9"/>
  <c r="AL37" i="8"/>
  <c r="AL38" i="8"/>
  <c r="AL35" i="8"/>
  <c r="AL31" i="8"/>
  <c r="AL34" i="8"/>
  <c r="AL41" i="7"/>
  <c r="AL42" i="7"/>
  <c r="AL43" i="7"/>
  <c r="AL44" i="7"/>
  <c r="AL39" i="8"/>
  <c r="AL28" i="8"/>
  <c r="AL29" i="8"/>
  <c r="AL38" i="7"/>
  <c r="AL35" i="7"/>
  <c r="AL36" i="7"/>
  <c r="AL28" i="7"/>
  <c r="AL37" i="7"/>
  <c r="AL29" i="7"/>
  <c r="AL30" i="7"/>
  <c r="AL39" i="7"/>
  <c r="AL31" i="7"/>
  <c r="AL30" i="8"/>
  <c r="AL40" i="7"/>
  <c r="AL32" i="7"/>
  <c r="AL33" i="7"/>
  <c r="AS27" i="8"/>
  <c r="AS44" i="9"/>
  <c r="AS36" i="9"/>
  <c r="AS37" i="9"/>
  <c r="AS39" i="9"/>
  <c r="AS41" i="9"/>
  <c r="AS42" i="9"/>
  <c r="AS43" i="9"/>
  <c r="AS29" i="9"/>
  <c r="AS30" i="9"/>
  <c r="AS31" i="9"/>
  <c r="AS32" i="9"/>
  <c r="AS40" i="9"/>
  <c r="AS33" i="9"/>
  <c r="AS34" i="9"/>
  <c r="AS43" i="8"/>
  <c r="AS39" i="8"/>
  <c r="AS28" i="9"/>
  <c r="AS40" i="8"/>
  <c r="AS41" i="8"/>
  <c r="AS35" i="9"/>
  <c r="AS35" i="8"/>
  <c r="AS38" i="9"/>
  <c r="AS42" i="8"/>
  <c r="AS36" i="8"/>
  <c r="AS44" i="8"/>
  <c r="AS37" i="8"/>
  <c r="AS30" i="8"/>
  <c r="AS31" i="8"/>
  <c r="AS40" i="7"/>
  <c r="AS38" i="8"/>
  <c r="AS41" i="7"/>
  <c r="AS42" i="7"/>
  <c r="AS43" i="7"/>
  <c r="AS33" i="8"/>
  <c r="AS32" i="8"/>
  <c r="AS44" i="7"/>
  <c r="AS28" i="8"/>
  <c r="AS34" i="7"/>
  <c r="AS35" i="7"/>
  <c r="AS34" i="8"/>
  <c r="AS29" i="8"/>
  <c r="AS36" i="7"/>
  <c r="AS28" i="7"/>
  <c r="AS37" i="7"/>
  <c r="AS29" i="7"/>
  <c r="AS30" i="7"/>
  <c r="AS31" i="7"/>
  <c r="AS39" i="7"/>
  <c r="AS32" i="7"/>
  <c r="AT28" i="7"/>
  <c r="K20" i="8"/>
  <c r="BE35" i="5"/>
  <c r="J29" i="7"/>
  <c r="AJ32" i="7"/>
  <c r="W35" i="7"/>
  <c r="AN36" i="7"/>
  <c r="G38" i="7"/>
  <c r="AI39" i="7"/>
  <c r="AV27" i="8"/>
  <c r="AV39" i="9"/>
  <c r="AV40" i="9"/>
  <c r="AV42" i="9"/>
  <c r="AV44" i="9"/>
  <c r="AV38" i="9"/>
  <c r="AV43" i="9"/>
  <c r="AV32" i="9"/>
  <c r="AV33" i="9"/>
  <c r="AV36" i="9"/>
  <c r="AV34" i="9"/>
  <c r="AV35" i="9"/>
  <c r="AV37" i="9"/>
  <c r="AV29" i="9"/>
  <c r="AV34" i="8"/>
  <c r="AV35" i="8"/>
  <c r="AV31" i="9"/>
  <c r="AV42" i="8"/>
  <c r="AV36" i="8"/>
  <c r="AV43" i="8"/>
  <c r="AV37" i="8"/>
  <c r="AV41" i="9"/>
  <c r="AV44" i="8"/>
  <c r="AV38" i="8"/>
  <c r="AV30" i="9"/>
  <c r="AV39" i="8"/>
  <c r="AV40" i="8"/>
  <c r="AV41" i="8"/>
  <c r="AV42" i="7"/>
  <c r="AV43" i="7"/>
  <c r="AV44" i="7"/>
  <c r="AV32" i="8"/>
  <c r="AV28" i="8"/>
  <c r="AV33" i="8"/>
  <c r="AV29" i="8"/>
  <c r="AV30" i="8"/>
  <c r="AV28" i="9"/>
  <c r="AV31" i="8"/>
  <c r="AV40" i="7"/>
  <c r="AV37" i="7"/>
  <c r="AV29" i="7"/>
  <c r="AV30" i="7"/>
  <c r="AV31" i="7"/>
  <c r="AV32" i="7"/>
  <c r="AV39" i="7"/>
  <c r="AV33" i="7"/>
  <c r="AV38" i="7"/>
  <c r="AV34" i="7"/>
  <c r="AV35" i="7"/>
  <c r="N27" i="8"/>
  <c r="N39" i="9"/>
  <c r="N40" i="9"/>
  <c r="N42" i="9"/>
  <c r="N44" i="9"/>
  <c r="N38" i="9"/>
  <c r="N43" i="9"/>
  <c r="N32" i="9"/>
  <c r="N37" i="9"/>
  <c r="N33" i="9"/>
  <c r="N34" i="9"/>
  <c r="N35" i="9"/>
  <c r="N29" i="9"/>
  <c r="N44" i="8"/>
  <c r="N42" i="8"/>
  <c r="N34" i="8"/>
  <c r="N35" i="8"/>
  <c r="N31" i="9"/>
  <c r="N36" i="8"/>
  <c r="N28" i="9"/>
  <c r="N37" i="8"/>
  <c r="N38" i="8"/>
  <c r="N30" i="9"/>
  <c r="N43" i="8"/>
  <c r="N39" i="8"/>
  <c r="N41" i="9"/>
  <c r="N40" i="8"/>
  <c r="N42" i="7"/>
  <c r="N43" i="7"/>
  <c r="N44" i="7"/>
  <c r="N36" i="9"/>
  <c r="N28" i="8"/>
  <c r="N41" i="8"/>
  <c r="N29" i="8"/>
  <c r="N30" i="8"/>
  <c r="N33" i="8"/>
  <c r="N31" i="8"/>
  <c r="N40" i="7"/>
  <c r="N39" i="7"/>
  <c r="N37" i="7"/>
  <c r="N29" i="7"/>
  <c r="N38" i="7"/>
  <c r="N30" i="7"/>
  <c r="N31" i="7"/>
  <c r="N32" i="7"/>
  <c r="N32" i="8"/>
  <c r="N33" i="7"/>
  <c r="N34" i="7"/>
  <c r="N41" i="7"/>
  <c r="N35" i="7"/>
  <c r="BE27" i="6"/>
  <c r="AO37" i="7"/>
  <c r="C27" i="9"/>
  <c r="C37" i="9"/>
  <c r="C38" i="9"/>
  <c r="C40" i="9"/>
  <c r="C42" i="9"/>
  <c r="C43" i="9"/>
  <c r="C44" i="9"/>
  <c r="C30" i="9"/>
  <c r="C31" i="9"/>
  <c r="C41" i="9"/>
  <c r="C39" i="9"/>
  <c r="C32" i="9"/>
  <c r="C33" i="9"/>
  <c r="C34" i="9"/>
  <c r="C35" i="9"/>
  <c r="C44" i="8"/>
  <c r="C40" i="8"/>
  <c r="C36" i="9"/>
  <c r="C28" i="9"/>
  <c r="C41" i="8"/>
  <c r="C42" i="8"/>
  <c r="C29" i="9"/>
  <c r="C36" i="8"/>
  <c r="C37" i="8"/>
  <c r="C43" i="8"/>
  <c r="C38" i="8"/>
  <c r="C31" i="8"/>
  <c r="C39" i="8"/>
  <c r="C34" i="8"/>
  <c r="C32" i="8"/>
  <c r="C41" i="7"/>
  <c r="C42" i="7"/>
  <c r="C43" i="7"/>
  <c r="C35" i="8"/>
  <c r="C44" i="7"/>
  <c r="C28" i="8"/>
  <c r="C33" i="8"/>
  <c r="C29" i="8"/>
  <c r="C39" i="7"/>
  <c r="C35" i="7"/>
  <c r="C30" i="8"/>
  <c r="C40" i="7"/>
  <c r="C36" i="7"/>
  <c r="C37" i="7"/>
  <c r="C29" i="7"/>
  <c r="C38" i="7"/>
  <c r="C30" i="7"/>
  <c r="C31" i="7"/>
  <c r="C32" i="7"/>
  <c r="C33" i="7"/>
  <c r="O6" i="3"/>
  <c r="O9" i="3" s="1"/>
  <c r="S27" i="8"/>
  <c r="S44" i="9"/>
  <c r="S36" i="9"/>
  <c r="S37" i="9"/>
  <c r="S39" i="9"/>
  <c r="S41" i="9"/>
  <c r="S42" i="9"/>
  <c r="S43" i="9"/>
  <c r="S29" i="9"/>
  <c r="S30" i="9"/>
  <c r="S40" i="9"/>
  <c r="S38" i="9"/>
  <c r="S31" i="9"/>
  <c r="S32" i="9"/>
  <c r="S33" i="9"/>
  <c r="S34" i="9"/>
  <c r="S43" i="8"/>
  <c r="S28" i="9"/>
  <c r="S39" i="8"/>
  <c r="S35" i="9"/>
  <c r="S40" i="8"/>
  <c r="S41" i="8"/>
  <c r="S42" i="8"/>
  <c r="S35" i="8"/>
  <c r="S44" i="8"/>
  <c r="S36" i="8"/>
  <c r="S37" i="8"/>
  <c r="S30" i="8"/>
  <c r="S31" i="8"/>
  <c r="S40" i="7"/>
  <c r="S34" i="8"/>
  <c r="S33" i="8"/>
  <c r="S32" i="8"/>
  <c r="S41" i="7"/>
  <c r="S42" i="7"/>
  <c r="S43" i="7"/>
  <c r="S38" i="8"/>
  <c r="S44" i="7"/>
  <c r="S28" i="8"/>
  <c r="S34" i="7"/>
  <c r="S35" i="7"/>
  <c r="S36" i="7"/>
  <c r="S28" i="7"/>
  <c r="S39" i="7"/>
  <c r="S37" i="7"/>
  <c r="S38" i="7"/>
  <c r="S30" i="7"/>
  <c r="S29" i="8"/>
  <c r="S31" i="7"/>
  <c r="S32" i="7"/>
  <c r="AC27" i="8"/>
  <c r="AC44" i="9"/>
  <c r="AC36" i="9"/>
  <c r="AC37" i="9"/>
  <c r="AC39" i="9"/>
  <c r="AC41" i="9"/>
  <c r="AC42" i="9"/>
  <c r="AC43" i="9"/>
  <c r="AC40" i="9"/>
  <c r="AC29" i="9"/>
  <c r="AC30" i="9"/>
  <c r="AC31" i="9"/>
  <c r="AC32" i="9"/>
  <c r="AC33" i="9"/>
  <c r="AC34" i="9"/>
  <c r="AC43" i="8"/>
  <c r="AC44" i="8"/>
  <c r="AC39" i="8"/>
  <c r="AC40" i="8"/>
  <c r="AC41" i="8"/>
  <c r="AC28" i="9"/>
  <c r="AC42" i="8"/>
  <c r="AC35" i="8"/>
  <c r="AC36" i="8"/>
  <c r="AC37" i="8"/>
  <c r="AC30" i="8"/>
  <c r="AC38" i="9"/>
  <c r="AC31" i="8"/>
  <c r="AC40" i="7"/>
  <c r="AC41" i="7"/>
  <c r="AC32" i="8"/>
  <c r="AC42" i="7"/>
  <c r="AC35" i="9"/>
  <c r="AC38" i="8"/>
  <c r="AC43" i="7"/>
  <c r="AC33" i="8"/>
  <c r="AC44" i="7"/>
  <c r="AC34" i="8"/>
  <c r="AC28" i="8"/>
  <c r="AC34" i="7"/>
  <c r="AC35" i="7"/>
  <c r="AC36" i="7"/>
  <c r="AC28" i="7"/>
  <c r="AC37" i="7"/>
  <c r="AC29" i="8"/>
  <c r="AC39" i="7"/>
  <c r="AC30" i="7"/>
  <c r="AC38" i="7"/>
  <c r="AC31" i="7"/>
  <c r="AC32" i="7"/>
  <c r="AK27" i="8"/>
  <c r="AK44" i="9"/>
  <c r="AK36" i="9"/>
  <c r="AK37" i="9"/>
  <c r="AK39" i="9"/>
  <c r="AK41" i="9"/>
  <c r="AK42" i="9"/>
  <c r="AK43" i="9"/>
  <c r="AK29" i="9"/>
  <c r="AK30" i="9"/>
  <c r="AK38" i="9"/>
  <c r="AK31" i="9"/>
  <c r="AK32" i="9"/>
  <c r="AK33" i="9"/>
  <c r="AK34" i="9"/>
  <c r="AK43" i="8"/>
  <c r="AK39" i="8"/>
  <c r="AK40" i="8"/>
  <c r="AK41" i="8"/>
  <c r="AK44" i="8"/>
  <c r="AK42" i="8"/>
  <c r="AK35" i="8"/>
  <c r="AK35" i="9"/>
  <c r="AK36" i="8"/>
  <c r="AK28" i="9"/>
  <c r="AK37" i="8"/>
  <c r="AK40" i="9"/>
  <c r="AK30" i="8"/>
  <c r="AK33" i="8"/>
  <c r="AK31" i="8"/>
  <c r="AK40" i="7"/>
  <c r="AK34" i="8"/>
  <c r="AK41" i="7"/>
  <c r="AK38" i="8"/>
  <c r="AK42" i="7"/>
  <c r="AK32" i="8"/>
  <c r="AK43" i="7"/>
  <c r="AK44" i="7"/>
  <c r="AK28" i="8"/>
  <c r="AK34" i="7"/>
  <c r="AK35" i="7"/>
  <c r="AK36" i="7"/>
  <c r="AK28" i="7"/>
  <c r="AK29" i="8"/>
  <c r="AK37" i="7"/>
  <c r="AK30" i="7"/>
  <c r="AK39" i="7"/>
  <c r="AK31" i="7"/>
  <c r="AK38" i="7"/>
  <c r="AK32" i="7"/>
  <c r="AR27" i="8"/>
  <c r="AR43" i="9"/>
  <c r="AR44" i="9"/>
  <c r="AR36" i="9"/>
  <c r="AR40" i="9"/>
  <c r="AR41" i="9"/>
  <c r="AR42" i="9"/>
  <c r="AR39" i="9"/>
  <c r="AR28" i="9"/>
  <c r="AR29" i="9"/>
  <c r="AR30" i="9"/>
  <c r="AR31" i="9"/>
  <c r="AR32" i="9"/>
  <c r="AR33" i="9"/>
  <c r="AR42" i="8"/>
  <c r="AR38" i="8"/>
  <c r="AR39" i="8"/>
  <c r="AR40" i="8"/>
  <c r="AR37" i="9"/>
  <c r="AR41" i="8"/>
  <c r="AR35" i="9"/>
  <c r="AR34" i="8"/>
  <c r="AR35" i="8"/>
  <c r="AR38" i="9"/>
  <c r="AR43" i="8"/>
  <c r="AR36" i="8"/>
  <c r="AR37" i="8"/>
  <c r="AR29" i="8"/>
  <c r="AR30" i="8"/>
  <c r="AR44" i="8"/>
  <c r="AR31" i="8"/>
  <c r="AR40" i="7"/>
  <c r="AR41" i="7"/>
  <c r="AR42" i="7"/>
  <c r="AR34" i="9"/>
  <c r="AR43" i="7"/>
  <c r="AR33" i="8"/>
  <c r="AR32" i="8"/>
  <c r="AR44" i="7"/>
  <c r="AR28" i="8"/>
  <c r="AR38" i="7"/>
  <c r="AR33" i="7"/>
  <c r="AR34" i="7"/>
  <c r="AR35" i="7"/>
  <c r="AR36" i="7"/>
  <c r="AR37" i="7"/>
  <c r="AR29" i="7"/>
  <c r="AR30" i="7"/>
  <c r="AR31" i="7"/>
  <c r="K3" i="8"/>
  <c r="BE30" i="4"/>
  <c r="BE28" i="5"/>
  <c r="BE32" i="5"/>
  <c r="BE33" i="6"/>
  <c r="BE37" i="6"/>
  <c r="O29" i="7"/>
  <c r="AA31" i="7"/>
  <c r="AR32" i="7"/>
  <c r="K34" i="7"/>
  <c r="AE35" i="7"/>
  <c r="AV36" i="7"/>
  <c r="P38" i="7"/>
  <c r="AR39" i="7"/>
  <c r="V30" i="8"/>
  <c r="Y27" i="7"/>
  <c r="Y40" i="9"/>
  <c r="Y41" i="9"/>
  <c r="Y43" i="9"/>
  <c r="Y39" i="9"/>
  <c r="Y36" i="9"/>
  <c r="Y33" i="9"/>
  <c r="Y42" i="9"/>
  <c r="Y38" i="9"/>
  <c r="Y34" i="9"/>
  <c r="Y44" i="9"/>
  <c r="Y35" i="9"/>
  <c r="Y37" i="9"/>
  <c r="Y29" i="9"/>
  <c r="Y30" i="9"/>
  <c r="Y35" i="8"/>
  <c r="Y36" i="8"/>
  <c r="Y44" i="8"/>
  <c r="Y37" i="8"/>
  <c r="Y38" i="8"/>
  <c r="Y32" i="9"/>
  <c r="Y39" i="8"/>
  <c r="Y28" i="9"/>
  <c r="Y43" i="8"/>
  <c r="Y40" i="8"/>
  <c r="Y41" i="8"/>
  <c r="Y34" i="8"/>
  <c r="Y33" i="8"/>
  <c r="Y43" i="7"/>
  <c r="Y44" i="7"/>
  <c r="Y31" i="9"/>
  <c r="Y28" i="8"/>
  <c r="Y29" i="8"/>
  <c r="Y30" i="8"/>
  <c r="Y42" i="8"/>
  <c r="Y31" i="8"/>
  <c r="Y40" i="7"/>
  <c r="Y41" i="7"/>
  <c r="Y39" i="7"/>
  <c r="Y30" i="7"/>
  <c r="Y38" i="7"/>
  <c r="Y31" i="7"/>
  <c r="Y32" i="7"/>
  <c r="Y32" i="8"/>
  <c r="Y33" i="7"/>
  <c r="Y42" i="7"/>
  <c r="Y34" i="7"/>
  <c r="Y35" i="7"/>
  <c r="Y36" i="7"/>
  <c r="Y28" i="7"/>
  <c r="E27" i="8"/>
  <c r="E39" i="9"/>
  <c r="E40" i="9"/>
  <c r="E42" i="9"/>
  <c r="E44" i="9"/>
  <c r="E38" i="9"/>
  <c r="E32" i="9"/>
  <c r="E41" i="9"/>
  <c r="E33" i="9"/>
  <c r="E43" i="9"/>
  <c r="E34" i="9"/>
  <c r="E35" i="9"/>
  <c r="E36" i="9"/>
  <c r="E29" i="9"/>
  <c r="E28" i="9"/>
  <c r="E42" i="8"/>
  <c r="E34" i="8"/>
  <c r="E37" i="9"/>
  <c r="E35" i="8"/>
  <c r="E36" i="8"/>
  <c r="E37" i="8"/>
  <c r="E31" i="9"/>
  <c r="E43" i="8"/>
  <c r="E38" i="8"/>
  <c r="E39" i="8"/>
  <c r="E44" i="8"/>
  <c r="E40" i="8"/>
  <c r="E42" i="7"/>
  <c r="E43" i="7"/>
  <c r="E44" i="7"/>
  <c r="E28" i="8"/>
  <c r="E30" i="9"/>
  <c r="E29" i="8"/>
  <c r="E41" i="8"/>
  <c r="E33" i="8"/>
  <c r="E30" i="8"/>
  <c r="E31" i="8"/>
  <c r="E40" i="7"/>
  <c r="E41" i="7"/>
  <c r="E37" i="7"/>
  <c r="E29" i="7"/>
  <c r="E38" i="7"/>
  <c r="E30" i="7"/>
  <c r="E31" i="7"/>
  <c r="E32" i="7"/>
  <c r="E33" i="7"/>
  <c r="E32" i="8"/>
  <c r="E34" i="7"/>
  <c r="E35" i="7"/>
  <c r="X27" i="8"/>
  <c r="X39" i="9"/>
  <c r="X40" i="9"/>
  <c r="X42" i="9"/>
  <c r="X44" i="9"/>
  <c r="X38" i="9"/>
  <c r="X32" i="9"/>
  <c r="X36" i="9"/>
  <c r="X33" i="9"/>
  <c r="X34" i="9"/>
  <c r="X35" i="9"/>
  <c r="X37" i="9"/>
  <c r="X41" i="9"/>
  <c r="X29" i="9"/>
  <c r="X31" i="9"/>
  <c r="X42" i="8"/>
  <c r="X34" i="8"/>
  <c r="X35" i="8"/>
  <c r="X36" i="8"/>
  <c r="X30" i="9"/>
  <c r="X44" i="8"/>
  <c r="X37" i="8"/>
  <c r="X38" i="8"/>
  <c r="X39" i="8"/>
  <c r="X28" i="9"/>
  <c r="X43" i="8"/>
  <c r="X40" i="8"/>
  <c r="X32" i="8"/>
  <c r="X42" i="7"/>
  <c r="X33" i="8"/>
  <c r="X43" i="7"/>
  <c r="X44" i="7"/>
  <c r="X41" i="8"/>
  <c r="X28" i="8"/>
  <c r="X29" i="8"/>
  <c r="X30" i="8"/>
  <c r="X31" i="8"/>
  <c r="X40" i="7"/>
  <c r="X37" i="7"/>
  <c r="X29" i="7"/>
  <c r="X39" i="7"/>
  <c r="X30" i="7"/>
  <c r="X38" i="7"/>
  <c r="X31" i="7"/>
  <c r="X32" i="7"/>
  <c r="X41" i="7"/>
  <c r="X33" i="7"/>
  <c r="X34" i="7"/>
  <c r="X35" i="7"/>
  <c r="C27" i="7"/>
  <c r="J27" i="8"/>
  <c r="N27" i="9"/>
  <c r="V27" i="8"/>
  <c r="W27" i="8"/>
  <c r="AD27" i="8"/>
  <c r="AE27" i="7"/>
  <c r="AL27" i="8"/>
  <c r="AN27" i="9"/>
  <c r="AO27" i="9"/>
  <c r="AQ27" i="7"/>
  <c r="AQ42" i="9"/>
  <c r="AQ43" i="9"/>
  <c r="AQ39" i="9"/>
  <c r="AQ40" i="9"/>
  <c r="AQ41" i="9"/>
  <c r="AQ38" i="9"/>
  <c r="AQ35" i="9"/>
  <c r="AQ44" i="8"/>
  <c r="AQ28" i="9"/>
  <c r="AQ29" i="9"/>
  <c r="AQ30" i="9"/>
  <c r="AQ36" i="9"/>
  <c r="AQ31" i="9"/>
  <c r="AQ44" i="9"/>
  <c r="AQ32" i="9"/>
  <c r="AQ34" i="9"/>
  <c r="AQ37" i="8"/>
  <c r="AQ38" i="8"/>
  <c r="AQ39" i="8"/>
  <c r="AQ33" i="9"/>
  <c r="AQ40" i="8"/>
  <c r="AQ37" i="9"/>
  <c r="AQ41" i="8"/>
  <c r="AQ33" i="8"/>
  <c r="AQ34" i="8"/>
  <c r="AQ42" i="8"/>
  <c r="AQ35" i="8"/>
  <c r="AQ28" i="8"/>
  <c r="AQ29" i="8"/>
  <c r="AQ30" i="8"/>
  <c r="AQ31" i="8"/>
  <c r="AQ40" i="7"/>
  <c r="AQ41" i="7"/>
  <c r="AQ42" i="7"/>
  <c r="AQ43" i="8"/>
  <c r="AQ36" i="8"/>
  <c r="AQ43" i="7"/>
  <c r="AQ39" i="7"/>
  <c r="AQ32" i="7"/>
  <c r="AQ32" i="8"/>
  <c r="AQ38" i="7"/>
  <c r="AQ33" i="7"/>
  <c r="AQ34" i="7"/>
  <c r="AQ35" i="7"/>
  <c r="AQ36" i="7"/>
  <c r="AQ28" i="7"/>
  <c r="AQ37" i="7"/>
  <c r="AQ29" i="7"/>
  <c r="AQ44" i="7"/>
  <c r="AQ30" i="7"/>
  <c r="AR27" i="7"/>
  <c r="AS27" i="7"/>
  <c r="AT27" i="8"/>
  <c r="AU27" i="8"/>
  <c r="AV27" i="9"/>
  <c r="AW27" i="9"/>
  <c r="AY27" i="7"/>
  <c r="AY42" i="9"/>
  <c r="AY43" i="9"/>
  <c r="AY39" i="9"/>
  <c r="AY40" i="9"/>
  <c r="AY41" i="9"/>
  <c r="AY35" i="9"/>
  <c r="AY44" i="8"/>
  <c r="AY28" i="9"/>
  <c r="AY29" i="9"/>
  <c r="AY44" i="9"/>
  <c r="AY37" i="9"/>
  <c r="AY30" i="9"/>
  <c r="AY38" i="9"/>
  <c r="AY31" i="9"/>
  <c r="AY32" i="9"/>
  <c r="AY37" i="8"/>
  <c r="AY33" i="9"/>
  <c r="AY43" i="8"/>
  <c r="AY38" i="8"/>
  <c r="AY36" i="9"/>
  <c r="AY39" i="8"/>
  <c r="AY40" i="8"/>
  <c r="AY41" i="8"/>
  <c r="AY33" i="8"/>
  <c r="AY34" i="8"/>
  <c r="AY34" i="9"/>
  <c r="AY35" i="8"/>
  <c r="AY32" i="8"/>
  <c r="AY28" i="8"/>
  <c r="AY29" i="8"/>
  <c r="AY42" i="8"/>
  <c r="AY30" i="8"/>
  <c r="AY39" i="7"/>
  <c r="AY31" i="8"/>
  <c r="AY40" i="7"/>
  <c r="AY41" i="7"/>
  <c r="AY36" i="8"/>
  <c r="AY42" i="7"/>
  <c r="AY43" i="7"/>
  <c r="AY32" i="7"/>
  <c r="AY33" i="7"/>
  <c r="AY38" i="7"/>
  <c r="AY34" i="7"/>
  <c r="AY35" i="7"/>
  <c r="AY36" i="7"/>
  <c r="AY28" i="7"/>
  <c r="AY44" i="7"/>
  <c r="AY37" i="7"/>
  <c r="AY29" i="7"/>
  <c r="AY30" i="7"/>
  <c r="BE34" i="4"/>
  <c r="BE44" i="5"/>
  <c r="N28" i="7"/>
  <c r="S29" i="7"/>
  <c r="P30" i="7"/>
  <c r="V34" i="7"/>
  <c r="AM35" i="7"/>
  <c r="F37" i="7"/>
  <c r="AM31" i="8"/>
  <c r="AV28" i="7"/>
  <c r="I27" i="8"/>
  <c r="I43" i="9"/>
  <c r="I44" i="9"/>
  <c r="I36" i="9"/>
  <c r="I40" i="9"/>
  <c r="I41" i="9"/>
  <c r="I42" i="9"/>
  <c r="I39" i="9"/>
  <c r="I28" i="9"/>
  <c r="I29" i="9"/>
  <c r="I37" i="9"/>
  <c r="I30" i="9"/>
  <c r="I31" i="9"/>
  <c r="I32" i="9"/>
  <c r="I33" i="9"/>
  <c r="I43" i="8"/>
  <c r="I38" i="8"/>
  <c r="I39" i="8"/>
  <c r="I38" i="9"/>
  <c r="I40" i="8"/>
  <c r="I44" i="8"/>
  <c r="I41" i="8"/>
  <c r="I35" i="9"/>
  <c r="I42" i="8"/>
  <c r="I34" i="8"/>
  <c r="I35" i="8"/>
  <c r="I36" i="8"/>
  <c r="I29" i="8"/>
  <c r="I33" i="8"/>
  <c r="I30" i="8"/>
  <c r="I31" i="8"/>
  <c r="I40" i="7"/>
  <c r="I32" i="8"/>
  <c r="I41" i="7"/>
  <c r="I37" i="8"/>
  <c r="I42" i="7"/>
  <c r="I43" i="7"/>
  <c r="I34" i="9"/>
  <c r="I44" i="7"/>
  <c r="I33" i="7"/>
  <c r="I34" i="7"/>
  <c r="I35" i="7"/>
  <c r="I39" i="7"/>
  <c r="I36" i="7"/>
  <c r="I28" i="8"/>
  <c r="I37" i="7"/>
  <c r="I29" i="7"/>
  <c r="I38" i="7"/>
  <c r="I30" i="7"/>
  <c r="I31" i="7"/>
  <c r="O27" i="9"/>
  <c r="R27" i="8"/>
  <c r="R43" i="9"/>
  <c r="R44" i="9"/>
  <c r="R36" i="9"/>
  <c r="R40" i="9"/>
  <c r="R41" i="9"/>
  <c r="R42" i="9"/>
  <c r="R28" i="9"/>
  <c r="R29" i="9"/>
  <c r="R30" i="9"/>
  <c r="R38" i="9"/>
  <c r="R31" i="9"/>
  <c r="R32" i="9"/>
  <c r="R37" i="9"/>
  <c r="R33" i="9"/>
  <c r="R38" i="8"/>
  <c r="R43" i="8"/>
  <c r="R39" i="8"/>
  <c r="R35" i="9"/>
  <c r="R40" i="8"/>
  <c r="R39" i="9"/>
  <c r="R41" i="8"/>
  <c r="R42" i="8"/>
  <c r="R34" i="8"/>
  <c r="R34" i="9"/>
  <c r="R35" i="8"/>
  <c r="R44" i="8"/>
  <c r="R36" i="8"/>
  <c r="R29" i="8"/>
  <c r="R30" i="8"/>
  <c r="R31" i="8"/>
  <c r="R40" i="7"/>
  <c r="R37" i="8"/>
  <c r="R33" i="8"/>
  <c r="R32" i="8"/>
  <c r="R41" i="7"/>
  <c r="R42" i="7"/>
  <c r="R43" i="7"/>
  <c r="R44" i="7"/>
  <c r="R33" i="7"/>
  <c r="R34" i="7"/>
  <c r="R35" i="7"/>
  <c r="R28" i="8"/>
  <c r="R36" i="7"/>
  <c r="R39" i="7"/>
  <c r="R37" i="7"/>
  <c r="R29" i="7"/>
  <c r="R38" i="7"/>
  <c r="R30" i="7"/>
  <c r="R31" i="7"/>
  <c r="Y27" i="9"/>
  <c r="AB27" i="8"/>
  <c r="AB43" i="9"/>
  <c r="AB44" i="9"/>
  <c r="AB36" i="9"/>
  <c r="AB40" i="9"/>
  <c r="AB41" i="9"/>
  <c r="AB42" i="9"/>
  <c r="AB37" i="9"/>
  <c r="AB28" i="9"/>
  <c r="AB29" i="9"/>
  <c r="AB30" i="9"/>
  <c r="AB31" i="9"/>
  <c r="AB39" i="9"/>
  <c r="AB32" i="9"/>
  <c r="AB33" i="9"/>
  <c r="AB38" i="9"/>
  <c r="AB35" i="9"/>
  <c r="AB38" i="8"/>
  <c r="AB44" i="8"/>
  <c r="AB39" i="8"/>
  <c r="AB43" i="8"/>
  <c r="AB40" i="8"/>
  <c r="AB34" i="9"/>
  <c r="AB41" i="8"/>
  <c r="AB42" i="8"/>
  <c r="AB34" i="8"/>
  <c r="AB35" i="8"/>
  <c r="AB36" i="8"/>
  <c r="AB29" i="8"/>
  <c r="AB30" i="8"/>
  <c r="AB37" i="8"/>
  <c r="AB31" i="8"/>
  <c r="AB40" i="7"/>
  <c r="AB41" i="7"/>
  <c r="AB32" i="8"/>
  <c r="AB42" i="7"/>
  <c r="AB43" i="7"/>
  <c r="AB33" i="8"/>
  <c r="AB44" i="7"/>
  <c r="AB33" i="7"/>
  <c r="AB34" i="7"/>
  <c r="AB28" i="8"/>
  <c r="AB35" i="7"/>
  <c r="AB36" i="7"/>
  <c r="AB37" i="7"/>
  <c r="AB29" i="7"/>
  <c r="AB39" i="7"/>
  <c r="AB30" i="7"/>
  <c r="AB38" i="7"/>
  <c r="AB31" i="7"/>
  <c r="AF27" i="9"/>
  <c r="AJ27" i="8"/>
  <c r="AJ43" i="9"/>
  <c r="AJ44" i="9"/>
  <c r="AJ36" i="9"/>
  <c r="AJ40" i="9"/>
  <c r="AJ41" i="9"/>
  <c r="AJ42" i="9"/>
  <c r="AJ28" i="9"/>
  <c r="AJ29" i="9"/>
  <c r="AJ39" i="9"/>
  <c r="AJ30" i="9"/>
  <c r="AJ38" i="9"/>
  <c r="AJ37" i="9"/>
  <c r="AJ31" i="9"/>
  <c r="AJ32" i="9"/>
  <c r="AJ33" i="9"/>
  <c r="AJ42" i="8"/>
  <c r="AJ38" i="8"/>
  <c r="AJ34" i="9"/>
  <c r="AJ39" i="8"/>
  <c r="AJ40" i="8"/>
  <c r="AJ41" i="8"/>
  <c r="AJ44" i="8"/>
  <c r="AJ43" i="8"/>
  <c r="AJ34" i="8"/>
  <c r="AJ35" i="8"/>
  <c r="AJ35" i="9"/>
  <c r="AJ36" i="8"/>
  <c r="AJ29" i="8"/>
  <c r="AJ37" i="8"/>
  <c r="AJ30" i="8"/>
  <c r="AJ33" i="8"/>
  <c r="AJ31" i="8"/>
  <c r="AJ40" i="7"/>
  <c r="AJ41" i="7"/>
  <c r="AJ42" i="7"/>
  <c r="AJ32" i="8"/>
  <c r="AJ43" i="7"/>
  <c r="AJ44" i="7"/>
  <c r="AJ33" i="7"/>
  <c r="AJ28" i="8"/>
  <c r="AJ34" i="7"/>
  <c r="AJ35" i="7"/>
  <c r="AJ36" i="7"/>
  <c r="AJ37" i="7"/>
  <c r="AJ29" i="7"/>
  <c r="AJ30" i="7"/>
  <c r="AJ39" i="7"/>
  <c r="AJ31" i="7"/>
  <c r="AK27" i="7"/>
  <c r="C27" i="8"/>
  <c r="D27" i="9"/>
  <c r="E27" i="9"/>
  <c r="Q27" i="7"/>
  <c r="Q42" i="9"/>
  <c r="Q43" i="9"/>
  <c r="Q39" i="9"/>
  <c r="Q40" i="9"/>
  <c r="Q41" i="9"/>
  <c r="Q35" i="9"/>
  <c r="Q44" i="8"/>
  <c r="Q28" i="9"/>
  <c r="Q29" i="9"/>
  <c r="Q44" i="9"/>
  <c r="Q36" i="9"/>
  <c r="Q30" i="9"/>
  <c r="Q38" i="9"/>
  <c r="Q31" i="9"/>
  <c r="Q32" i="9"/>
  <c r="Q37" i="8"/>
  <c r="Q33" i="9"/>
  <c r="Q38" i="8"/>
  <c r="Q43" i="8"/>
  <c r="Q39" i="8"/>
  <c r="Q40" i="8"/>
  <c r="Q41" i="8"/>
  <c r="Q33" i="8"/>
  <c r="Q42" i="8"/>
  <c r="Q34" i="9"/>
  <c r="Q35" i="8"/>
  <c r="Q28" i="8"/>
  <c r="Q36" i="8"/>
  <c r="Q29" i="8"/>
  <c r="Q37" i="9"/>
  <c r="Q30" i="8"/>
  <c r="Q34" i="8"/>
  <c r="Q31" i="8"/>
  <c r="Q32" i="8"/>
  <c r="Q41" i="7"/>
  <c r="Q42" i="7"/>
  <c r="Q43" i="7"/>
  <c r="Q32" i="7"/>
  <c r="Q44" i="7"/>
  <c r="Q33" i="7"/>
  <c r="Q40" i="7"/>
  <c r="Q34" i="7"/>
  <c r="Q35" i="7"/>
  <c r="Q36" i="7"/>
  <c r="Q39" i="7"/>
  <c r="Q37" i="7"/>
  <c r="Q29" i="7"/>
  <c r="Q38" i="7"/>
  <c r="Q30" i="7"/>
  <c r="AA27" i="7"/>
  <c r="AA42" i="9"/>
  <c r="AA43" i="9"/>
  <c r="AA39" i="9"/>
  <c r="AA40" i="9"/>
  <c r="AA41" i="9"/>
  <c r="AA38" i="9"/>
  <c r="AA35" i="9"/>
  <c r="AA44" i="8"/>
  <c r="AA44" i="9"/>
  <c r="AA37" i="9"/>
  <c r="AA28" i="9"/>
  <c r="AA29" i="9"/>
  <c r="AA30" i="9"/>
  <c r="AA31" i="9"/>
  <c r="AA32" i="9"/>
  <c r="AA37" i="8"/>
  <c r="AA38" i="8"/>
  <c r="AA39" i="8"/>
  <c r="AA43" i="8"/>
  <c r="AA40" i="8"/>
  <c r="AA34" i="9"/>
  <c r="AA41" i="8"/>
  <c r="AA33" i="8"/>
  <c r="AA36" i="9"/>
  <c r="AA42" i="8"/>
  <c r="AA35" i="8"/>
  <c r="AA36" i="8"/>
  <c r="AA28" i="8"/>
  <c r="AA29" i="8"/>
  <c r="AA30" i="8"/>
  <c r="AA31" i="8"/>
  <c r="AA40" i="7"/>
  <c r="AA41" i="7"/>
  <c r="AA32" i="8"/>
  <c r="AA42" i="7"/>
  <c r="AA43" i="7"/>
  <c r="AA33" i="9"/>
  <c r="AA44" i="7"/>
  <c r="AA32" i="7"/>
  <c r="AA33" i="7"/>
  <c r="AA34" i="7"/>
  <c r="AA34" i="8"/>
  <c r="AA35" i="7"/>
  <c r="AA36" i="7"/>
  <c r="AA28" i="7"/>
  <c r="AA37" i="7"/>
  <c r="AA29" i="7"/>
  <c r="AA39" i="7"/>
  <c r="AA30" i="7"/>
  <c r="AI27" i="7"/>
  <c r="AI42" i="9"/>
  <c r="AI43" i="9"/>
  <c r="AI39" i="9"/>
  <c r="AI40" i="9"/>
  <c r="AI41" i="9"/>
  <c r="AI35" i="9"/>
  <c r="AI44" i="8"/>
  <c r="AI36" i="9"/>
  <c r="AI28" i="9"/>
  <c r="AI29" i="9"/>
  <c r="AI30" i="9"/>
  <c r="AI38" i="9"/>
  <c r="AI37" i="9"/>
  <c r="AI31" i="9"/>
  <c r="AI32" i="9"/>
  <c r="AI37" i="8"/>
  <c r="AI38" i="8"/>
  <c r="AI34" i="9"/>
  <c r="AI39" i="8"/>
  <c r="AI40" i="8"/>
  <c r="AI44" i="9"/>
  <c r="AI41" i="8"/>
  <c r="AI33" i="8"/>
  <c r="AI33" i="9"/>
  <c r="AI43" i="8"/>
  <c r="AI42" i="8"/>
  <c r="AI35" i="8"/>
  <c r="AI28" i="8"/>
  <c r="AI29" i="8"/>
  <c r="AI30" i="8"/>
  <c r="AI34" i="8"/>
  <c r="AI31" i="8"/>
  <c r="AI40" i="7"/>
  <c r="AI41" i="7"/>
  <c r="AI42" i="7"/>
  <c r="AI32" i="8"/>
  <c r="AI43" i="7"/>
  <c r="AI38" i="7"/>
  <c r="AI32" i="7"/>
  <c r="AI33" i="7"/>
  <c r="AI34" i="7"/>
  <c r="AI35" i="7"/>
  <c r="AI36" i="7"/>
  <c r="AI28" i="7"/>
  <c r="AI37" i="7"/>
  <c r="AI29" i="7"/>
  <c r="AI30" i="7"/>
  <c r="AP27" i="9"/>
  <c r="AP41" i="9"/>
  <c r="AP42" i="9"/>
  <c r="AP44" i="9"/>
  <c r="AP38" i="9"/>
  <c r="AP39" i="9"/>
  <c r="AP40" i="9"/>
  <c r="AP37" i="9"/>
  <c r="AP34" i="9"/>
  <c r="AP43" i="8"/>
  <c r="AP43" i="9"/>
  <c r="AP35" i="9"/>
  <c r="AP44" i="8"/>
  <c r="AP29" i="9"/>
  <c r="AP30" i="9"/>
  <c r="AP36" i="9"/>
  <c r="AP31" i="9"/>
  <c r="AP36" i="8"/>
  <c r="AP37" i="8"/>
  <c r="AP28" i="9"/>
  <c r="AP38" i="8"/>
  <c r="AP39" i="8"/>
  <c r="AP33" i="9"/>
  <c r="AP40" i="8"/>
  <c r="AP41" i="8"/>
  <c r="AP34" i="8"/>
  <c r="AP32" i="9"/>
  <c r="AP32" i="8"/>
  <c r="AP44" i="7"/>
  <c r="AP28" i="8"/>
  <c r="AP29" i="8"/>
  <c r="AP42" i="8"/>
  <c r="AP30" i="8"/>
  <c r="AP31" i="8"/>
  <c r="AP40" i="7"/>
  <c r="AP41" i="7"/>
  <c r="AP35" i="8"/>
  <c r="AP42" i="7"/>
  <c r="AP31" i="7"/>
  <c r="AP39" i="7"/>
  <c r="AP32" i="7"/>
  <c r="AP38" i="7"/>
  <c r="AP33" i="7"/>
  <c r="AP34" i="7"/>
  <c r="AP43" i="7"/>
  <c r="AP35" i="7"/>
  <c r="AP33" i="8"/>
  <c r="AP36" i="7"/>
  <c r="AP28" i="7"/>
  <c r="AP37" i="7"/>
  <c r="AP29" i="7"/>
  <c r="AX27" i="9"/>
  <c r="AX41" i="9"/>
  <c r="AX42" i="9"/>
  <c r="AX44" i="9"/>
  <c r="AX38" i="9"/>
  <c r="AX39" i="9"/>
  <c r="AX40" i="9"/>
  <c r="AX36" i="9"/>
  <c r="AX34" i="9"/>
  <c r="AX43" i="8"/>
  <c r="AX35" i="9"/>
  <c r="AX44" i="8"/>
  <c r="AX29" i="9"/>
  <c r="AX37" i="9"/>
  <c r="AX30" i="9"/>
  <c r="AX31" i="9"/>
  <c r="AX42" i="8"/>
  <c r="AX36" i="8"/>
  <c r="AX37" i="8"/>
  <c r="AX33" i="9"/>
  <c r="AX38" i="8"/>
  <c r="AX39" i="8"/>
  <c r="AX40" i="8"/>
  <c r="AX32" i="9"/>
  <c r="AX28" i="9"/>
  <c r="AX41" i="8"/>
  <c r="AX43" i="9"/>
  <c r="AX34" i="8"/>
  <c r="AX44" i="7"/>
  <c r="AX32" i="8"/>
  <c r="AX28" i="8"/>
  <c r="AX29" i="8"/>
  <c r="AX35" i="8"/>
  <c r="AX33" i="8"/>
  <c r="AX30" i="8"/>
  <c r="AX31" i="8"/>
  <c r="AX40" i="7"/>
  <c r="AX41" i="7"/>
  <c r="AX42" i="7"/>
  <c r="AX31" i="7"/>
  <c r="AX32" i="7"/>
  <c r="AX33" i="7"/>
  <c r="AX43" i="7"/>
  <c r="AX39" i="7"/>
  <c r="AX38" i="7"/>
  <c r="AX34" i="7"/>
  <c r="AX35" i="7"/>
  <c r="AX36" i="7"/>
  <c r="AX28" i="7"/>
  <c r="AX37" i="7"/>
  <c r="AX29" i="7"/>
  <c r="BE42" i="4"/>
  <c r="BE31" i="6"/>
  <c r="AN28" i="7"/>
  <c r="Y29" i="7"/>
  <c r="AQ31" i="7"/>
  <c r="J33" i="7"/>
  <c r="AD34" i="7"/>
  <c r="AU35" i="7"/>
  <c r="AJ38" i="7"/>
  <c r="AD40" i="7"/>
  <c r="K33" i="8"/>
  <c r="F27" i="9"/>
  <c r="F40" i="9"/>
  <c r="F41" i="9"/>
  <c r="F43" i="9"/>
  <c r="F39" i="9"/>
  <c r="F33" i="9"/>
  <c r="F38" i="9"/>
  <c r="F34" i="9"/>
  <c r="F35" i="9"/>
  <c r="F36" i="9"/>
  <c r="F29" i="9"/>
  <c r="F42" i="9"/>
  <c r="F37" i="9"/>
  <c r="F30" i="9"/>
  <c r="F32" i="9"/>
  <c r="F35" i="8"/>
  <c r="F36" i="8"/>
  <c r="F37" i="8"/>
  <c r="F31" i="9"/>
  <c r="F43" i="8"/>
  <c r="F38" i="8"/>
  <c r="F39" i="8"/>
  <c r="F44" i="9"/>
  <c r="F44" i="8"/>
  <c r="F40" i="8"/>
  <c r="F41" i="8"/>
  <c r="F34" i="8"/>
  <c r="F43" i="7"/>
  <c r="F28" i="9"/>
  <c r="F44" i="7"/>
  <c r="F28" i="8"/>
  <c r="F29" i="8"/>
  <c r="F33" i="8"/>
  <c r="F30" i="8"/>
  <c r="F31" i="8"/>
  <c r="F32" i="8"/>
  <c r="F41" i="7"/>
  <c r="F38" i="7"/>
  <c r="F30" i="7"/>
  <c r="F31" i="7"/>
  <c r="F32" i="7"/>
  <c r="F42" i="8"/>
  <c r="F33" i="7"/>
  <c r="F34" i="7"/>
  <c r="F35" i="7"/>
  <c r="F42" i="7"/>
  <c r="F39" i="7"/>
  <c r="F36" i="7"/>
  <c r="F28" i="7"/>
  <c r="O27" i="7"/>
  <c r="O40" i="9"/>
  <c r="O41" i="9"/>
  <c r="O43" i="9"/>
  <c r="O39" i="9"/>
  <c r="O37" i="9"/>
  <c r="O33" i="9"/>
  <c r="O34" i="9"/>
  <c r="O35" i="9"/>
  <c r="O42" i="9"/>
  <c r="O44" i="9"/>
  <c r="O29" i="9"/>
  <c r="O38" i="9"/>
  <c r="O36" i="9"/>
  <c r="O30" i="9"/>
  <c r="O35" i="8"/>
  <c r="O31" i="9"/>
  <c r="O36" i="8"/>
  <c r="O28" i="9"/>
  <c r="O37" i="8"/>
  <c r="O38" i="8"/>
  <c r="O43" i="8"/>
  <c r="O39" i="8"/>
  <c r="O40" i="8"/>
  <c r="O32" i="9"/>
  <c r="O41" i="8"/>
  <c r="O43" i="7"/>
  <c r="O44" i="7"/>
  <c r="O28" i="8"/>
  <c r="O29" i="8"/>
  <c r="O44" i="8"/>
  <c r="O34" i="8"/>
  <c r="O30" i="8"/>
  <c r="O33" i="8"/>
  <c r="O31" i="8"/>
  <c r="O40" i="7"/>
  <c r="O42" i="8"/>
  <c r="O32" i="8"/>
  <c r="O41" i="7"/>
  <c r="O38" i="7"/>
  <c r="O30" i="7"/>
  <c r="O31" i="7"/>
  <c r="O32" i="7"/>
  <c r="O33" i="7"/>
  <c r="O34" i="7"/>
  <c r="O42" i="7"/>
  <c r="O35" i="7"/>
  <c r="O36" i="7"/>
  <c r="O28" i="7"/>
  <c r="AG27" i="7"/>
  <c r="AG40" i="9"/>
  <c r="AG41" i="9"/>
  <c r="AG43" i="9"/>
  <c r="AG39" i="9"/>
  <c r="AG44" i="9"/>
  <c r="AG33" i="9"/>
  <c r="AG34" i="9"/>
  <c r="AG35" i="9"/>
  <c r="AG36" i="9"/>
  <c r="AG29" i="9"/>
  <c r="AG38" i="9"/>
  <c r="AG30" i="9"/>
  <c r="AG28" i="9"/>
  <c r="AG35" i="8"/>
  <c r="AG36" i="8"/>
  <c r="AG42" i="9"/>
  <c r="AG32" i="9"/>
  <c r="AG37" i="8"/>
  <c r="AG38" i="8"/>
  <c r="AG39" i="8"/>
  <c r="AG37" i="9"/>
  <c r="AG31" i="9"/>
  <c r="AG44" i="8"/>
  <c r="AG40" i="8"/>
  <c r="AG43" i="8"/>
  <c r="AG41" i="8"/>
  <c r="AG33" i="8"/>
  <c r="AG32" i="8"/>
  <c r="AG43" i="7"/>
  <c r="AG44" i="7"/>
  <c r="AG28" i="8"/>
  <c r="AG29" i="8"/>
  <c r="AG42" i="8"/>
  <c r="AG34" i="8"/>
  <c r="AG30" i="8"/>
  <c r="AG31" i="8"/>
  <c r="AG40" i="7"/>
  <c r="AG41" i="7"/>
  <c r="AG30" i="7"/>
  <c r="AG39" i="7"/>
  <c r="AG31" i="7"/>
  <c r="AG38" i="7"/>
  <c r="AG32" i="7"/>
  <c r="AG42" i="7"/>
  <c r="AG33" i="7"/>
  <c r="AG34" i="7"/>
  <c r="AG35" i="7"/>
  <c r="AG36" i="7"/>
  <c r="AG28" i="7"/>
  <c r="AF27" i="8"/>
  <c r="AF39" i="9"/>
  <c r="AF40" i="9"/>
  <c r="AF42" i="9"/>
  <c r="AF44" i="9"/>
  <c r="AF38" i="9"/>
  <c r="AF32" i="9"/>
  <c r="AF33" i="9"/>
  <c r="AF34" i="9"/>
  <c r="AF41" i="9"/>
  <c r="AF35" i="9"/>
  <c r="AF43" i="9"/>
  <c r="AF36" i="9"/>
  <c r="AF29" i="9"/>
  <c r="AF42" i="8"/>
  <c r="AF34" i="8"/>
  <c r="AF30" i="9"/>
  <c r="AF28" i="9"/>
  <c r="AF35" i="8"/>
  <c r="AF36" i="8"/>
  <c r="AF37" i="8"/>
  <c r="AF38" i="8"/>
  <c r="AF39" i="8"/>
  <c r="AF37" i="9"/>
  <c r="AF31" i="9"/>
  <c r="AF44" i="8"/>
  <c r="AF40" i="8"/>
  <c r="AF42" i="7"/>
  <c r="AF32" i="8"/>
  <c r="AF43" i="7"/>
  <c r="AF41" i="8"/>
  <c r="AF44" i="7"/>
  <c r="AF28" i="8"/>
  <c r="AF33" i="8"/>
  <c r="AF29" i="8"/>
  <c r="AF30" i="8"/>
  <c r="AF31" i="8"/>
  <c r="AF40" i="7"/>
  <c r="AF37" i="7"/>
  <c r="AF29" i="7"/>
  <c r="AF30" i="7"/>
  <c r="AF43" i="8"/>
  <c r="AF41" i="7"/>
  <c r="AF39" i="7"/>
  <c r="AF31" i="7"/>
  <c r="AF38" i="7"/>
  <c r="AF32" i="7"/>
  <c r="AF33" i="7"/>
  <c r="AF34" i="7"/>
  <c r="AF35" i="7"/>
  <c r="M27" i="8"/>
  <c r="S27" i="7"/>
  <c r="X27" i="9"/>
  <c r="AC27" i="7"/>
  <c r="AG27" i="9"/>
  <c r="AM27" i="8"/>
  <c r="BE42" i="6"/>
  <c r="BE39" i="6"/>
  <c r="BE41" i="6"/>
  <c r="BE38" i="6"/>
  <c r="BE43" i="6"/>
  <c r="BE40" i="5"/>
  <c r="BE33" i="5"/>
  <c r="BE36" i="4"/>
  <c r="BE29" i="4"/>
  <c r="AK6" i="3"/>
  <c r="AK9" i="3" s="1"/>
  <c r="G27" i="7"/>
  <c r="G41" i="9"/>
  <c r="G42" i="9"/>
  <c r="G44" i="9"/>
  <c r="G38" i="9"/>
  <c r="G40" i="9"/>
  <c r="G34" i="9"/>
  <c r="G43" i="9"/>
  <c r="G39" i="9"/>
  <c r="G35" i="9"/>
  <c r="G36" i="9"/>
  <c r="G29" i="9"/>
  <c r="G37" i="9"/>
  <c r="G30" i="9"/>
  <c r="G31" i="9"/>
  <c r="G36" i="8"/>
  <c r="G37" i="8"/>
  <c r="G43" i="8"/>
  <c r="G38" i="8"/>
  <c r="G39" i="8"/>
  <c r="G33" i="9"/>
  <c r="G44" i="8"/>
  <c r="G40" i="8"/>
  <c r="G41" i="8"/>
  <c r="G28" i="9"/>
  <c r="G42" i="8"/>
  <c r="G34" i="8"/>
  <c r="G44" i="7"/>
  <c r="G32" i="9"/>
  <c r="G28" i="8"/>
  <c r="G35" i="8"/>
  <c r="G29" i="8"/>
  <c r="G33" i="8"/>
  <c r="G30" i="8"/>
  <c r="G31" i="8"/>
  <c r="G40" i="7"/>
  <c r="G32" i="8"/>
  <c r="G41" i="7"/>
  <c r="G42" i="7"/>
  <c r="G43" i="7"/>
  <c r="G31" i="7"/>
  <c r="G32" i="7"/>
  <c r="G33" i="7"/>
  <c r="G34" i="7"/>
  <c r="G35" i="7"/>
  <c r="G39" i="7"/>
  <c r="G36" i="7"/>
  <c r="G37" i="7"/>
  <c r="G29" i="7"/>
  <c r="P27" i="9"/>
  <c r="P41" i="9"/>
  <c r="P42" i="9"/>
  <c r="P44" i="9"/>
  <c r="P38" i="9"/>
  <c r="P39" i="9"/>
  <c r="P40" i="9"/>
  <c r="P34" i="9"/>
  <c r="P35" i="9"/>
  <c r="P44" i="8"/>
  <c r="P29" i="9"/>
  <c r="P36" i="9"/>
  <c r="P30" i="9"/>
  <c r="P31" i="9"/>
  <c r="P43" i="9"/>
  <c r="P37" i="9"/>
  <c r="P36" i="8"/>
  <c r="P28" i="9"/>
  <c r="P37" i="8"/>
  <c r="P33" i="9"/>
  <c r="P38" i="8"/>
  <c r="P43" i="8"/>
  <c r="P39" i="8"/>
  <c r="P40" i="8"/>
  <c r="P32" i="9"/>
  <c r="P41" i="8"/>
  <c r="P42" i="8"/>
  <c r="P34" i="8"/>
  <c r="P44" i="7"/>
  <c r="P28" i="8"/>
  <c r="P29" i="8"/>
  <c r="P30" i="8"/>
  <c r="P33" i="8"/>
  <c r="P31" i="8"/>
  <c r="P40" i="7"/>
  <c r="P32" i="8"/>
  <c r="P41" i="7"/>
  <c r="P42" i="7"/>
  <c r="P31" i="7"/>
  <c r="P35" i="8"/>
  <c r="P32" i="7"/>
  <c r="P33" i="7"/>
  <c r="P34" i="7"/>
  <c r="P35" i="7"/>
  <c r="P36" i="7"/>
  <c r="P39" i="7"/>
  <c r="P37" i="7"/>
  <c r="P29" i="7"/>
  <c r="Z27" i="9"/>
  <c r="Z41" i="9"/>
  <c r="Z42" i="9"/>
  <c r="Z44" i="9"/>
  <c r="Z38" i="9"/>
  <c r="Z39" i="9"/>
  <c r="Z40" i="9"/>
  <c r="Z34" i="9"/>
  <c r="Z35" i="9"/>
  <c r="Z44" i="8"/>
  <c r="Z37" i="9"/>
  <c r="Z29" i="9"/>
  <c r="Z30" i="9"/>
  <c r="Z43" i="9"/>
  <c r="Z31" i="9"/>
  <c r="Z33" i="9"/>
  <c r="Z36" i="8"/>
  <c r="Z37" i="8"/>
  <c r="Z38" i="8"/>
  <c r="Z32" i="9"/>
  <c r="Z39" i="8"/>
  <c r="Z28" i="9"/>
  <c r="Z43" i="8"/>
  <c r="Z40" i="8"/>
  <c r="Z41" i="8"/>
  <c r="Z36" i="9"/>
  <c r="Z42" i="8"/>
  <c r="Z34" i="8"/>
  <c r="Z44" i="7"/>
  <c r="Z28" i="8"/>
  <c r="Z29" i="8"/>
  <c r="Z30" i="8"/>
  <c r="Z35" i="8"/>
  <c r="Z31" i="8"/>
  <c r="Z40" i="7"/>
  <c r="Z41" i="7"/>
  <c r="Z32" i="8"/>
  <c r="Z42" i="7"/>
  <c r="Z38" i="7"/>
  <c r="Z31" i="7"/>
  <c r="Z32" i="7"/>
  <c r="Z33" i="7"/>
  <c r="Z34" i="7"/>
  <c r="Z35" i="7"/>
  <c r="Z36" i="7"/>
  <c r="Z33" i="8"/>
  <c r="Z43" i="7"/>
  <c r="Z37" i="7"/>
  <c r="Z29" i="7"/>
  <c r="AH27" i="9"/>
  <c r="AH41" i="9"/>
  <c r="AH42" i="9"/>
  <c r="AH44" i="9"/>
  <c r="AH38" i="9"/>
  <c r="AH39" i="9"/>
  <c r="AH40" i="9"/>
  <c r="AH34" i="9"/>
  <c r="AH43" i="8"/>
  <c r="AH35" i="9"/>
  <c r="AH44" i="8"/>
  <c r="AH36" i="9"/>
  <c r="AH43" i="9"/>
  <c r="AH29" i="9"/>
  <c r="AH30" i="9"/>
  <c r="AH37" i="9"/>
  <c r="AH31" i="9"/>
  <c r="AH36" i="8"/>
  <c r="AH32" i="9"/>
  <c r="AH37" i="8"/>
  <c r="AH38" i="8"/>
  <c r="AH39" i="8"/>
  <c r="AH40" i="8"/>
  <c r="AH41" i="8"/>
  <c r="AH33" i="9"/>
  <c r="AH42" i="8"/>
  <c r="AH34" i="8"/>
  <c r="AH44" i="7"/>
  <c r="AH35" i="8"/>
  <c r="AH28" i="8"/>
  <c r="AH29" i="8"/>
  <c r="AH33" i="8"/>
  <c r="AH30" i="8"/>
  <c r="AH31" i="8"/>
  <c r="AH40" i="7"/>
  <c r="AH41" i="7"/>
  <c r="AH42" i="7"/>
  <c r="AH39" i="7"/>
  <c r="AH31" i="7"/>
  <c r="AH28" i="9"/>
  <c r="AH38" i="7"/>
  <c r="AH32" i="7"/>
  <c r="AH32" i="8"/>
  <c r="AH33" i="7"/>
  <c r="AH34" i="7"/>
  <c r="AH35" i="7"/>
  <c r="AH43" i="7"/>
  <c r="AH36" i="7"/>
  <c r="AH28" i="7"/>
  <c r="AH37" i="7"/>
  <c r="AH29" i="7"/>
  <c r="AO27" i="7"/>
  <c r="AO40" i="9"/>
  <c r="AO41" i="9"/>
  <c r="AO43" i="9"/>
  <c r="AO39" i="9"/>
  <c r="AO33" i="9"/>
  <c r="AO38" i="9"/>
  <c r="AO37" i="9"/>
  <c r="AO34" i="9"/>
  <c r="AO35" i="9"/>
  <c r="AO29" i="9"/>
  <c r="AO42" i="9"/>
  <c r="AO30" i="9"/>
  <c r="AO32" i="9"/>
  <c r="AO44" i="8"/>
  <c r="AO43" i="8"/>
  <c r="AO42" i="8"/>
  <c r="AO35" i="8"/>
  <c r="AO36" i="8"/>
  <c r="AO37" i="8"/>
  <c r="AO44" i="9"/>
  <c r="AO36" i="9"/>
  <c r="AO31" i="9"/>
  <c r="AO28" i="9"/>
  <c r="AO38" i="8"/>
  <c r="AO39" i="8"/>
  <c r="AO40" i="8"/>
  <c r="AO41" i="8"/>
  <c r="AO33" i="8"/>
  <c r="AO34" i="8"/>
  <c r="AO43" i="7"/>
  <c r="AO32" i="8"/>
  <c r="AO44" i="7"/>
  <c r="AO28" i="8"/>
  <c r="AO29" i="8"/>
  <c r="AO30" i="8"/>
  <c r="AO31" i="8"/>
  <c r="AO40" i="7"/>
  <c r="AO41" i="7"/>
  <c r="AO30" i="7"/>
  <c r="AO31" i="7"/>
  <c r="AO42" i="7"/>
  <c r="AO39" i="7"/>
  <c r="AO32" i="7"/>
  <c r="AO38" i="7"/>
  <c r="AO33" i="7"/>
  <c r="AO34" i="7"/>
  <c r="AO35" i="7"/>
  <c r="AO36" i="7"/>
  <c r="AO28" i="7"/>
  <c r="AW27" i="7"/>
  <c r="AW40" i="9"/>
  <c r="AW41" i="9"/>
  <c r="AW43" i="9"/>
  <c r="AW37" i="9"/>
  <c r="AW39" i="9"/>
  <c r="AW33" i="9"/>
  <c r="AW36" i="9"/>
  <c r="AW34" i="9"/>
  <c r="AW35" i="9"/>
  <c r="AW42" i="9"/>
  <c r="AW44" i="9"/>
  <c r="AW29" i="9"/>
  <c r="AW38" i="9"/>
  <c r="AW30" i="9"/>
  <c r="AW35" i="8"/>
  <c r="AW31" i="9"/>
  <c r="AW42" i="8"/>
  <c r="AW36" i="8"/>
  <c r="AW43" i="8"/>
  <c r="AW37" i="8"/>
  <c r="AW44" i="8"/>
  <c r="AW38" i="8"/>
  <c r="AW39" i="8"/>
  <c r="AW40" i="8"/>
  <c r="AW32" i="9"/>
  <c r="AW28" i="9"/>
  <c r="AW41" i="8"/>
  <c r="AW33" i="8"/>
  <c r="AW43" i="7"/>
  <c r="AW44" i="7"/>
  <c r="AW32" i="8"/>
  <c r="AW28" i="8"/>
  <c r="AW29" i="8"/>
  <c r="AW30" i="8"/>
  <c r="AW39" i="7"/>
  <c r="AW34" i="8"/>
  <c r="AW31" i="8"/>
  <c r="AW40" i="7"/>
  <c r="AW41" i="7"/>
  <c r="AW30" i="7"/>
  <c r="AW42" i="7"/>
  <c r="AW31" i="7"/>
  <c r="AW32" i="7"/>
  <c r="AW33" i="7"/>
  <c r="AW38" i="7"/>
  <c r="AW34" i="7"/>
  <c r="AW35" i="7"/>
  <c r="AW36" i="7"/>
  <c r="AW28" i="7"/>
  <c r="BE35" i="4"/>
  <c r="BE30" i="5"/>
  <c r="BE37" i="5"/>
  <c r="BE41" i="5"/>
  <c r="BE35" i="6"/>
  <c r="BE44" i="6"/>
  <c r="Q28" i="7"/>
  <c r="AR28" i="7"/>
  <c r="AC29" i="7"/>
  <c r="AH30" i="7"/>
  <c r="AY31" i="7"/>
  <c r="S33" i="7"/>
  <c r="AL34" i="7"/>
  <c r="E36" i="7"/>
  <c r="Y37" i="7"/>
  <c r="AS38" i="7"/>
  <c r="M41" i="7"/>
  <c r="AI36" i="8"/>
  <c r="AT27" i="7"/>
  <c r="AT37" i="9"/>
  <c r="AT38" i="9"/>
  <c r="AT40" i="9"/>
  <c r="AT42" i="9"/>
  <c r="AT43" i="9"/>
  <c r="AT44" i="9"/>
  <c r="AT36" i="9"/>
  <c r="AT41" i="9"/>
  <c r="AT30" i="9"/>
  <c r="AT31" i="9"/>
  <c r="AT32" i="9"/>
  <c r="AT33" i="9"/>
  <c r="AT34" i="9"/>
  <c r="AT35" i="9"/>
  <c r="AT44" i="8"/>
  <c r="AT28" i="9"/>
  <c r="AT40" i="8"/>
  <c r="AT32" i="8"/>
  <c r="AT41" i="8"/>
  <c r="AT33" i="8"/>
  <c r="AT39" i="9"/>
  <c r="AT29" i="9"/>
  <c r="AT42" i="8"/>
  <c r="AT36" i="8"/>
  <c r="AT43" i="8"/>
  <c r="AT37" i="8"/>
  <c r="AT38" i="8"/>
  <c r="AT31" i="8"/>
  <c r="AT41" i="7"/>
  <c r="AT42" i="7"/>
  <c r="AT43" i="7"/>
  <c r="AT39" i="8"/>
  <c r="AT44" i="7"/>
  <c r="AT35" i="8"/>
  <c r="AT28" i="8"/>
  <c r="AT34" i="8"/>
  <c r="AT29" i="8"/>
  <c r="AT38" i="7"/>
  <c r="BE36" i="5"/>
  <c r="BE36" i="6"/>
  <c r="AT33" i="7"/>
  <c r="AT32" i="7"/>
  <c r="AT39" i="7"/>
  <c r="AT31" i="7"/>
  <c r="AT30" i="8"/>
  <c r="AT30" i="7"/>
  <c r="AT40" i="7"/>
  <c r="BE34" i="6"/>
  <c r="AT29" i="7"/>
  <c r="AT37" i="7"/>
  <c r="AT36" i="7"/>
  <c r="AT35" i="7"/>
  <c r="U27" i="3"/>
  <c r="T58" i="8" s="1"/>
  <c r="U6" i="3"/>
  <c r="U9" i="3" s="1"/>
  <c r="U8" i="7"/>
  <c r="U30" i="8"/>
  <c r="T9" i="9"/>
  <c r="U22" i="8"/>
  <c r="U2" i="9"/>
  <c r="U10" i="9"/>
  <c r="U18" i="9"/>
  <c r="U26" i="9"/>
  <c r="U34" i="9"/>
  <c r="U42" i="9"/>
  <c r="U4" i="8"/>
  <c r="U12" i="8"/>
  <c r="U20" i="8"/>
  <c r="U28" i="8"/>
  <c r="U36" i="8"/>
  <c r="U44" i="8"/>
  <c r="U6" i="7"/>
  <c r="U14" i="7"/>
  <c r="U22" i="7"/>
  <c r="U30" i="7"/>
  <c r="U38" i="7"/>
  <c r="U3" i="9"/>
  <c r="U11" i="9"/>
  <c r="U19" i="9"/>
  <c r="U27" i="9"/>
  <c r="U35" i="9"/>
  <c r="U43" i="9"/>
  <c r="U5" i="8"/>
  <c r="U13" i="8"/>
  <c r="U21" i="8"/>
  <c r="U29" i="8"/>
  <c r="U37" i="8"/>
  <c r="U7" i="7"/>
  <c r="U15" i="7"/>
  <c r="U23" i="7"/>
  <c r="U31" i="7"/>
  <c r="U39" i="7"/>
  <c r="U4" i="9"/>
  <c r="U5" i="9"/>
  <c r="U13" i="9"/>
  <c r="U21" i="9"/>
  <c r="U29" i="9"/>
  <c r="U37" i="9"/>
  <c r="U7" i="8"/>
  <c r="U15" i="8"/>
  <c r="U23" i="8"/>
  <c r="U31" i="8"/>
  <c r="U39" i="8"/>
  <c r="U9" i="7"/>
  <c r="U17" i="7"/>
  <c r="U25" i="7"/>
  <c r="U33" i="7"/>
  <c r="U41" i="7"/>
  <c r="U6" i="9"/>
  <c r="U14" i="9"/>
  <c r="U22" i="9"/>
  <c r="U30" i="9"/>
  <c r="U38" i="9"/>
  <c r="U8" i="8"/>
  <c r="U16" i="8"/>
  <c r="U24" i="8"/>
  <c r="U32" i="8"/>
  <c r="U40" i="8"/>
  <c r="U2" i="7"/>
  <c r="U10" i="7"/>
  <c r="U18" i="7"/>
  <c r="U26" i="7"/>
  <c r="U34" i="7"/>
  <c r="U42" i="7"/>
  <c r="U7" i="9"/>
  <c r="U15" i="9"/>
  <c r="U23" i="9"/>
  <c r="U31" i="9"/>
  <c r="U39" i="9"/>
  <c r="U9" i="8"/>
  <c r="U17" i="8"/>
  <c r="U25" i="8"/>
  <c r="U33" i="8"/>
  <c r="U41" i="8"/>
  <c r="U3" i="7"/>
  <c r="U11" i="7"/>
  <c r="U19" i="7"/>
  <c r="U27" i="7"/>
  <c r="U35" i="7"/>
  <c r="U43" i="7"/>
  <c r="U8" i="9"/>
  <c r="U16" i="9"/>
  <c r="U24" i="9"/>
  <c r="U32" i="9"/>
  <c r="U40" i="9"/>
  <c r="U2" i="8"/>
  <c r="U10" i="8"/>
  <c r="U18" i="8"/>
  <c r="U26" i="8"/>
  <c r="U34" i="8"/>
  <c r="U42" i="8"/>
  <c r="U4" i="7"/>
  <c r="U12" i="7"/>
  <c r="U20" i="7"/>
  <c r="U28" i="7"/>
  <c r="U36" i="7"/>
  <c r="U44" i="7"/>
  <c r="U9" i="9"/>
  <c r="U17" i="9"/>
  <c r="U25" i="9"/>
  <c r="U33" i="9"/>
  <c r="U41" i="9"/>
  <c r="U3" i="8"/>
  <c r="U11" i="8"/>
  <c r="U19" i="8"/>
  <c r="U27" i="8"/>
  <c r="U35" i="8"/>
  <c r="U43" i="8"/>
  <c r="U5" i="7"/>
  <c r="U13" i="7"/>
  <c r="U21" i="7"/>
  <c r="U29" i="7"/>
  <c r="U37" i="7"/>
  <c r="T6" i="7"/>
  <c r="T14" i="7"/>
  <c r="T22" i="7"/>
  <c r="T30" i="7"/>
  <c r="T38" i="7"/>
  <c r="T7" i="7"/>
  <c r="T15" i="7"/>
  <c r="T23" i="7"/>
  <c r="T31" i="7"/>
  <c r="T39" i="7"/>
  <c r="T8" i="7"/>
  <c r="T16" i="7"/>
  <c r="T24" i="7"/>
  <c r="T32" i="7"/>
  <c r="T40" i="7"/>
  <c r="T9" i="7"/>
  <c r="T17" i="7"/>
  <c r="T25" i="7"/>
  <c r="T33" i="7"/>
  <c r="T41" i="7"/>
  <c r="T13" i="7"/>
  <c r="T35" i="8"/>
  <c r="U14" i="8"/>
  <c r="U36" i="9"/>
  <c r="T7" i="9"/>
  <c r="T5" i="7"/>
  <c r="T27" i="8"/>
  <c r="U6" i="8"/>
  <c r="U28" i="9"/>
  <c r="U40" i="7"/>
  <c r="T19" i="8"/>
  <c r="T41" i="9"/>
  <c r="U20" i="9"/>
  <c r="U32" i="7"/>
  <c r="T11" i="8"/>
  <c r="T33" i="9"/>
  <c r="U12" i="9"/>
  <c r="T42" i="7"/>
  <c r="T34" i="7"/>
  <c r="T26" i="7"/>
  <c r="T18" i="7"/>
  <c r="T10" i="7"/>
  <c r="T2" i="7"/>
  <c r="T40" i="8"/>
  <c r="T32" i="8"/>
  <c r="T24" i="8"/>
  <c r="T16" i="8"/>
  <c r="T8" i="8"/>
  <c r="T38" i="9"/>
  <c r="T30" i="9"/>
  <c r="T22" i="9"/>
  <c r="T14" i="9"/>
  <c r="T6" i="9"/>
  <c r="T39" i="8"/>
  <c r="T31" i="8"/>
  <c r="T23" i="8"/>
  <c r="T15" i="8"/>
  <c r="T7" i="8"/>
  <c r="T37" i="9"/>
  <c r="T29" i="9"/>
  <c r="T21" i="9"/>
  <c r="T13" i="9"/>
  <c r="T5" i="9"/>
  <c r="T38" i="8"/>
  <c r="T30" i="8"/>
  <c r="T22" i="8"/>
  <c r="T14" i="8"/>
  <c r="T6" i="8"/>
  <c r="T44" i="9"/>
  <c r="T36" i="9"/>
  <c r="T28" i="9"/>
  <c r="T20" i="9"/>
  <c r="T12" i="9"/>
  <c r="T4" i="9"/>
  <c r="T37" i="8"/>
  <c r="T21" i="8"/>
  <c r="T13" i="8"/>
  <c r="T5" i="8"/>
  <c r="T43" i="9"/>
  <c r="T35" i="9"/>
  <c r="T27" i="9"/>
  <c r="T19" i="9"/>
  <c r="T11" i="9"/>
  <c r="T3" i="9"/>
  <c r="T44" i="8"/>
  <c r="T36" i="8"/>
  <c r="T28" i="8"/>
  <c r="T20" i="8"/>
  <c r="T12" i="8"/>
  <c r="T4" i="8"/>
  <c r="T42" i="9"/>
  <c r="T34" i="9"/>
  <c r="T26" i="9"/>
  <c r="T18" i="9"/>
  <c r="T10" i="9"/>
  <c r="T2" i="9"/>
  <c r="T44" i="7"/>
  <c r="T36" i="7"/>
  <c r="T28" i="7"/>
  <c r="T20" i="7"/>
  <c r="T12" i="7"/>
  <c r="T4" i="7"/>
  <c r="T42" i="8"/>
  <c r="T34" i="8"/>
  <c r="T26" i="8"/>
  <c r="T18" i="8"/>
  <c r="T10" i="8"/>
  <c r="T2" i="8"/>
  <c r="T40" i="9"/>
  <c r="T32" i="9"/>
  <c r="T24" i="9"/>
  <c r="T16" i="9"/>
  <c r="T8" i="9"/>
  <c r="T43" i="7"/>
  <c r="T35" i="7"/>
  <c r="T27" i="7"/>
  <c r="T19" i="7"/>
  <c r="T11" i="7"/>
  <c r="T3" i="7"/>
  <c r="T41" i="8"/>
  <c r="T33" i="8"/>
  <c r="T25" i="8"/>
  <c r="T17" i="8"/>
  <c r="T9" i="8"/>
  <c r="T39" i="9"/>
  <c r="T31" i="9"/>
  <c r="T23" i="9"/>
  <c r="T15" i="9"/>
  <c r="K12" i="9"/>
  <c r="K19" i="7"/>
  <c r="K27" i="7"/>
  <c r="AB27" i="7"/>
  <c r="K4" i="8"/>
  <c r="AE27" i="8"/>
  <c r="Y27" i="8"/>
  <c r="AI27" i="9"/>
  <c r="K24" i="7"/>
  <c r="K8" i="7"/>
  <c r="K17" i="8"/>
  <c r="K18" i="9"/>
  <c r="K10" i="9"/>
  <c r="K12" i="8"/>
  <c r="AM27" i="7"/>
  <c r="O27" i="8"/>
  <c r="AA27" i="9"/>
  <c r="AQ27" i="9"/>
  <c r="K16" i="7"/>
  <c r="K26" i="9"/>
  <c r="R6" i="3"/>
  <c r="R9" i="3" s="1"/>
  <c r="D27" i="7"/>
  <c r="N27" i="7"/>
  <c r="X27" i="7"/>
  <c r="AF27" i="7"/>
  <c r="AN27" i="7"/>
  <c r="AV27" i="7"/>
  <c r="F27" i="8"/>
  <c r="P27" i="8"/>
  <c r="Z27" i="8"/>
  <c r="AH27" i="8"/>
  <c r="AP27" i="8"/>
  <c r="AX27" i="8"/>
  <c r="R27" i="9"/>
  <c r="AB27" i="9"/>
  <c r="AJ27" i="9"/>
  <c r="AR27" i="9"/>
  <c r="L6" i="3"/>
  <c r="L9" i="3" s="1"/>
  <c r="K23" i="7"/>
  <c r="K15" i="7"/>
  <c r="K7" i="7"/>
  <c r="K24" i="8"/>
  <c r="K16" i="8"/>
  <c r="K8" i="8"/>
  <c r="K25" i="9"/>
  <c r="K17" i="9"/>
  <c r="K9" i="9"/>
  <c r="R27" i="7"/>
  <c r="K11" i="7"/>
  <c r="K21" i="9"/>
  <c r="M27" i="7"/>
  <c r="AU27" i="7"/>
  <c r="AG27" i="8"/>
  <c r="Q27" i="9"/>
  <c r="AY27" i="9"/>
  <c r="K9" i="8"/>
  <c r="AE6" i="3"/>
  <c r="AE9" i="3" s="1"/>
  <c r="H15" i="3"/>
  <c r="H59" i="9" s="1"/>
  <c r="BE27" i="5"/>
  <c r="E27" i="7"/>
  <c r="G27" i="8"/>
  <c r="Q27" i="8"/>
  <c r="AA27" i="8"/>
  <c r="AI27" i="8"/>
  <c r="AQ27" i="8"/>
  <c r="AY27" i="8"/>
  <c r="I27" i="9"/>
  <c r="S27" i="9"/>
  <c r="AC27" i="9"/>
  <c r="AK27" i="9"/>
  <c r="AS27" i="9"/>
  <c r="K2" i="7"/>
  <c r="K22" i="7"/>
  <c r="K14" i="7"/>
  <c r="K6" i="7"/>
  <c r="K23" i="8"/>
  <c r="K15" i="8"/>
  <c r="K7" i="8"/>
  <c r="K24" i="9"/>
  <c r="K16" i="9"/>
  <c r="K8" i="9"/>
  <c r="AJ27" i="7"/>
  <c r="K3" i="7"/>
  <c r="K13" i="9"/>
  <c r="W27" i="7"/>
  <c r="G27" i="9"/>
  <c r="K25" i="8"/>
  <c r="F27" i="7"/>
  <c r="P27" i="7"/>
  <c r="Z27" i="7"/>
  <c r="AH27" i="7"/>
  <c r="AP27" i="7"/>
  <c r="AX27" i="7"/>
  <c r="J27" i="9"/>
  <c r="V27" i="9"/>
  <c r="AD27" i="9"/>
  <c r="AL27" i="9"/>
  <c r="AT27" i="9"/>
  <c r="K2" i="8"/>
  <c r="K21" i="7"/>
  <c r="K13" i="7"/>
  <c r="K5" i="7"/>
  <c r="K22" i="8"/>
  <c r="K14" i="8"/>
  <c r="K6" i="8"/>
  <c r="K23" i="9"/>
  <c r="K15" i="9"/>
  <c r="K7" i="9"/>
  <c r="I27" i="7"/>
  <c r="K2" i="9"/>
  <c r="K20" i="7"/>
  <c r="K12" i="7"/>
  <c r="K4" i="7"/>
  <c r="K21" i="8"/>
  <c r="K13" i="8"/>
  <c r="K5" i="8"/>
  <c r="K22" i="9"/>
  <c r="K14" i="9"/>
  <c r="K6" i="9"/>
  <c r="K5" i="9"/>
  <c r="K4" i="9"/>
  <c r="K26" i="7"/>
  <c r="K18" i="7"/>
  <c r="K10" i="7"/>
  <c r="K27" i="8"/>
  <c r="K19" i="8"/>
  <c r="K11" i="8"/>
  <c r="K20" i="9"/>
  <c r="BA6" i="3"/>
  <c r="BA9" i="3" s="1"/>
  <c r="K25" i="7"/>
  <c r="K17" i="7"/>
  <c r="K9" i="7"/>
  <c r="K26" i="8"/>
  <c r="K18" i="8"/>
  <c r="K10" i="8"/>
  <c r="K27" i="9"/>
  <c r="K19" i="9"/>
  <c r="K11" i="9"/>
  <c r="AP6" i="3"/>
  <c r="AP9" i="3" s="1"/>
  <c r="AS6" i="3"/>
  <c r="AS9" i="3" s="1"/>
  <c r="C6" i="3"/>
  <c r="C9" i="3" s="1"/>
  <c r="AB6" i="3"/>
  <c r="AB9" i="3" s="1"/>
  <c r="AV6" i="3"/>
  <c r="AV9" i="3" s="1"/>
  <c r="Y8" i="7"/>
  <c r="AI2" i="7"/>
  <c r="AP9" i="7"/>
  <c r="BE24" i="5"/>
  <c r="Q22" i="7"/>
  <c r="AX9" i="7"/>
  <c r="BE7" i="6"/>
  <c r="F7" i="7"/>
  <c r="J5" i="7"/>
  <c r="P7" i="7"/>
  <c r="AA8" i="7"/>
  <c r="E8" i="7"/>
  <c r="K6" i="3"/>
  <c r="K9" i="3" s="1"/>
  <c r="AI14" i="7"/>
  <c r="BE9" i="4"/>
  <c r="BE23" i="6"/>
  <c r="F9" i="7"/>
  <c r="AP2" i="8"/>
  <c r="BE17" i="4"/>
  <c r="Q2" i="7"/>
  <c r="R3" i="7"/>
  <c r="AX7" i="7"/>
  <c r="W6" i="3"/>
  <c r="W9" i="3" s="1"/>
  <c r="AA2" i="7"/>
  <c r="BE8" i="5"/>
  <c r="D7" i="7"/>
  <c r="AN6" i="3"/>
  <c r="AN9" i="3" s="1"/>
  <c r="Y6" i="3"/>
  <c r="Y9" i="3" s="1"/>
  <c r="AI10" i="7"/>
  <c r="AX21" i="7"/>
  <c r="Q10" i="7"/>
  <c r="AD11" i="8"/>
  <c r="AH9" i="7"/>
  <c r="AQ10" i="7"/>
  <c r="AR3" i="7"/>
  <c r="AU12" i="7"/>
  <c r="I10" i="7"/>
  <c r="N7" i="7"/>
  <c r="S4" i="8"/>
  <c r="C21" i="9"/>
  <c r="C22" i="9"/>
  <c r="C23" i="9"/>
  <c r="C15" i="9"/>
  <c r="C24" i="9"/>
  <c r="C16" i="9"/>
  <c r="C25" i="9"/>
  <c r="C17" i="9"/>
  <c r="C26" i="9"/>
  <c r="C18" i="9"/>
  <c r="C20" i="9"/>
  <c r="C11" i="9"/>
  <c r="C19" i="9"/>
  <c r="C12" i="9"/>
  <c r="C13" i="9"/>
  <c r="C7" i="9"/>
  <c r="C8" i="9"/>
  <c r="C14" i="9"/>
  <c r="C9" i="9"/>
  <c r="C10" i="9"/>
  <c r="C26" i="8"/>
  <c r="C18" i="8"/>
  <c r="C6" i="9"/>
  <c r="C2" i="9"/>
  <c r="C19" i="8"/>
  <c r="C20" i="8"/>
  <c r="C21" i="8"/>
  <c r="C5" i="9"/>
  <c r="C4" i="9"/>
  <c r="C22" i="8"/>
  <c r="C3" i="9"/>
  <c r="C23" i="8"/>
  <c r="C24" i="8"/>
  <c r="C13" i="8"/>
  <c r="C5" i="8"/>
  <c r="C25" i="8"/>
  <c r="C14" i="8"/>
  <c r="C6" i="8"/>
  <c r="C15" i="8"/>
  <c r="C7" i="8"/>
  <c r="C16" i="8"/>
  <c r="C8" i="8"/>
  <c r="C9" i="8"/>
  <c r="C10" i="8"/>
  <c r="C17" i="8"/>
  <c r="C11" i="8"/>
  <c r="C3" i="8"/>
  <c r="C2" i="8"/>
  <c r="C19" i="7"/>
  <c r="C20" i="7"/>
  <c r="C21" i="7"/>
  <c r="C4" i="8"/>
  <c r="C22" i="7"/>
  <c r="C12" i="8"/>
  <c r="C23" i="7"/>
  <c r="C24" i="7"/>
  <c r="C25" i="7"/>
  <c r="C17" i="7"/>
  <c r="C7" i="7"/>
  <c r="C8" i="7"/>
  <c r="C9" i="7"/>
  <c r="C10" i="7"/>
  <c r="C2" i="7"/>
  <c r="C16" i="7"/>
  <c r="C11" i="7"/>
  <c r="C3" i="7"/>
  <c r="C6" i="7"/>
  <c r="C15" i="7"/>
  <c r="C12" i="7"/>
  <c r="C4" i="7"/>
  <c r="C18" i="7"/>
  <c r="C13" i="7"/>
  <c r="C5" i="7"/>
  <c r="C26" i="7"/>
  <c r="C14" i="7"/>
  <c r="G8" i="7"/>
  <c r="M6" i="7"/>
  <c r="R9" i="7"/>
  <c r="X7" i="7"/>
  <c r="AC10" i="7"/>
  <c r="AG8" i="7"/>
  <c r="AL11" i="7"/>
  <c r="AO15" i="7"/>
  <c r="AQ2" i="7"/>
  <c r="AT11" i="7"/>
  <c r="AY14" i="7"/>
  <c r="W6" i="7"/>
  <c r="AB18" i="7"/>
  <c r="AF7" i="7"/>
  <c r="AK10" i="7"/>
  <c r="AN7" i="7"/>
  <c r="AS14" i="7"/>
  <c r="AW8" i="7"/>
  <c r="AY2" i="7"/>
  <c r="E18" i="7"/>
  <c r="O17" i="7"/>
  <c r="V5" i="7"/>
  <c r="Z14" i="7"/>
  <c r="AE6" i="7"/>
  <c r="AJ23" i="7"/>
  <c r="AM6" i="7"/>
  <c r="AR9" i="7"/>
  <c r="AV7" i="7"/>
  <c r="D13" i="7"/>
  <c r="I4" i="7"/>
  <c r="N15" i="7"/>
  <c r="S4" i="7"/>
  <c r="Y15" i="7"/>
  <c r="AD5" i="7"/>
  <c r="AH15" i="7"/>
  <c r="AQ17" i="7"/>
  <c r="AU6" i="7"/>
  <c r="AT13" i="7"/>
  <c r="AY8" i="7"/>
  <c r="G10" i="7"/>
  <c r="G2" i="7"/>
  <c r="X16" i="7"/>
  <c r="AC4" i="7"/>
  <c r="AL5" i="7"/>
  <c r="J11" i="7"/>
  <c r="P9" i="7"/>
  <c r="AB3" i="7"/>
  <c r="AF19" i="7"/>
  <c r="AK4" i="7"/>
  <c r="AN13" i="7"/>
  <c r="AS12" i="7"/>
  <c r="AT5" i="7"/>
  <c r="AW20" i="7"/>
  <c r="M16" i="7"/>
  <c r="AG16" i="7"/>
  <c r="AO6" i="7"/>
  <c r="W26" i="7"/>
  <c r="O8" i="7"/>
  <c r="V11" i="7"/>
  <c r="Z9" i="7"/>
  <c r="AE12" i="7"/>
  <c r="AJ3" i="7"/>
  <c r="AM12" i="7"/>
  <c r="AR11" i="7"/>
  <c r="AS4" i="7"/>
  <c r="AV13" i="7"/>
  <c r="AO8" i="7"/>
  <c r="AA10" i="7"/>
  <c r="AY10" i="7"/>
  <c r="R11" i="7"/>
  <c r="AB11" i="7"/>
  <c r="AJ11" i="7"/>
  <c r="I12" i="7"/>
  <c r="S12" i="7"/>
  <c r="AC12" i="7"/>
  <c r="AK12" i="7"/>
  <c r="J13" i="7"/>
  <c r="V13" i="7"/>
  <c r="AD13" i="7"/>
  <c r="AL13" i="7"/>
  <c r="M14" i="7"/>
  <c r="X14" i="7"/>
  <c r="AG14" i="7"/>
  <c r="AP14" i="7"/>
  <c r="J15" i="7"/>
  <c r="W15" i="7"/>
  <c r="AF15" i="7"/>
  <c r="AX15" i="7"/>
  <c r="S16" i="7"/>
  <c r="AE16" i="7"/>
  <c r="AN16" i="7"/>
  <c r="AX16" i="7"/>
  <c r="J17" i="7"/>
  <c r="AA17" i="7"/>
  <c r="AN17" i="7"/>
  <c r="R18" i="7"/>
  <c r="N19" i="7"/>
  <c r="AG20" i="7"/>
  <c r="R23" i="7"/>
  <c r="AK24" i="7"/>
  <c r="X2" i="8"/>
  <c r="AX3" i="8"/>
  <c r="AQ8" i="8"/>
  <c r="I6" i="3"/>
  <c r="I9" i="3" s="1"/>
  <c r="S6" i="3"/>
  <c r="S9" i="3" s="1"/>
  <c r="AC6" i="3"/>
  <c r="AC9" i="3" s="1"/>
  <c r="AL6" i="3"/>
  <c r="AL9" i="3" s="1"/>
  <c r="AT6" i="3"/>
  <c r="AT9" i="3" s="1"/>
  <c r="BB6" i="3"/>
  <c r="BB9" i="3" s="1"/>
  <c r="BE12" i="4"/>
  <c r="BE3" i="5"/>
  <c r="BE11" i="5"/>
  <c r="BE19" i="5"/>
  <c r="BE2" i="6"/>
  <c r="BE10" i="6"/>
  <c r="BE18" i="6"/>
  <c r="BE26" i="6"/>
  <c r="R2" i="7"/>
  <c r="AB2" i="7"/>
  <c r="AJ2" i="7"/>
  <c r="AR2" i="7"/>
  <c r="I3" i="7"/>
  <c r="S3" i="7"/>
  <c r="AC3" i="7"/>
  <c r="AK3" i="7"/>
  <c r="AS3" i="7"/>
  <c r="J4" i="7"/>
  <c r="V4" i="7"/>
  <c r="AD4" i="7"/>
  <c r="AL4" i="7"/>
  <c r="AT4" i="7"/>
  <c r="M5" i="7"/>
  <c r="W5" i="7"/>
  <c r="AE5" i="7"/>
  <c r="AM5" i="7"/>
  <c r="AU5" i="7"/>
  <c r="D6" i="7"/>
  <c r="N6" i="7"/>
  <c r="X6" i="7"/>
  <c r="AF6" i="7"/>
  <c r="AN6" i="7"/>
  <c r="AV6" i="7"/>
  <c r="E7" i="7"/>
  <c r="O7" i="7"/>
  <c r="Y7" i="7"/>
  <c r="AG7" i="7"/>
  <c r="AO7" i="7"/>
  <c r="AW7" i="7"/>
  <c r="F8" i="7"/>
  <c r="P8" i="7"/>
  <c r="Z8" i="7"/>
  <c r="AH8" i="7"/>
  <c r="AP8" i="7"/>
  <c r="AX8" i="7"/>
  <c r="G9" i="7"/>
  <c r="Q9" i="7"/>
  <c r="AA9" i="7"/>
  <c r="AI9" i="7"/>
  <c r="AQ9" i="7"/>
  <c r="AY9" i="7"/>
  <c r="H10" i="7"/>
  <c r="R10" i="7"/>
  <c r="AB10" i="7"/>
  <c r="AJ10" i="7"/>
  <c r="AR10" i="7"/>
  <c r="I11" i="7"/>
  <c r="S11" i="7"/>
  <c r="AC11" i="7"/>
  <c r="AK11" i="7"/>
  <c r="AS11" i="7"/>
  <c r="J12" i="7"/>
  <c r="V12" i="7"/>
  <c r="AD12" i="7"/>
  <c r="AL12" i="7"/>
  <c r="AT12" i="7"/>
  <c r="M13" i="7"/>
  <c r="W13" i="7"/>
  <c r="AE13" i="7"/>
  <c r="AM13" i="7"/>
  <c r="AU13" i="7"/>
  <c r="D14" i="7"/>
  <c r="N14" i="7"/>
  <c r="Y14" i="7"/>
  <c r="AH14" i="7"/>
  <c r="AQ14" i="7"/>
  <c r="M15" i="7"/>
  <c r="X15" i="7"/>
  <c r="AG15" i="7"/>
  <c r="AP15" i="7"/>
  <c r="AY15" i="7"/>
  <c r="I16" i="7"/>
  <c r="W16" i="7"/>
  <c r="AF16" i="7"/>
  <c r="AO16" i="7"/>
  <c r="AY16" i="7"/>
  <c r="N17" i="7"/>
  <c r="AC17" i="7"/>
  <c r="AO17" i="7"/>
  <c r="W18" i="7"/>
  <c r="X19" i="7"/>
  <c r="AO20" i="7"/>
  <c r="G22" i="7"/>
  <c r="AB23" i="7"/>
  <c r="AS24" i="7"/>
  <c r="M26" i="7"/>
  <c r="AG2" i="8"/>
  <c r="I10" i="8"/>
  <c r="J6" i="3"/>
  <c r="J9" i="3" s="1"/>
  <c r="T6" i="3"/>
  <c r="T9" i="3" s="1"/>
  <c r="AD6" i="3"/>
  <c r="AD9" i="3" s="1"/>
  <c r="AM6" i="3"/>
  <c r="AM9" i="3" s="1"/>
  <c r="AU6" i="3"/>
  <c r="AU9" i="3" s="1"/>
  <c r="BE7" i="4"/>
  <c r="BE15" i="4"/>
  <c r="BE6" i="5"/>
  <c r="BE22" i="5"/>
  <c r="BE5" i="6"/>
  <c r="BE13" i="6"/>
  <c r="BE21" i="6"/>
  <c r="I2" i="7"/>
  <c r="S2" i="7"/>
  <c r="AC2" i="7"/>
  <c r="AK2" i="7"/>
  <c r="AS2" i="7"/>
  <c r="J3" i="7"/>
  <c r="V3" i="7"/>
  <c r="AD3" i="7"/>
  <c r="AL3" i="7"/>
  <c r="AT3" i="7"/>
  <c r="M4" i="7"/>
  <c r="W4" i="7"/>
  <c r="AE4" i="7"/>
  <c r="AM4" i="7"/>
  <c r="AU4" i="7"/>
  <c r="D5" i="7"/>
  <c r="N5" i="7"/>
  <c r="X5" i="7"/>
  <c r="AF5" i="7"/>
  <c r="AN5" i="7"/>
  <c r="AV5" i="7"/>
  <c r="E6" i="7"/>
  <c r="O6" i="7"/>
  <c r="Y6" i="7"/>
  <c r="AG6" i="7"/>
  <c r="AW6" i="7"/>
  <c r="Z7" i="7"/>
  <c r="AH7" i="7"/>
  <c r="AP7" i="7"/>
  <c r="Q8" i="7"/>
  <c r="AI8" i="7"/>
  <c r="AQ8" i="7"/>
  <c r="AB9" i="7"/>
  <c r="AJ9" i="7"/>
  <c r="S10" i="7"/>
  <c r="AS10" i="7"/>
  <c r="AD11" i="7"/>
  <c r="M12" i="7"/>
  <c r="W12" i="7"/>
  <c r="N13" i="7"/>
  <c r="X13" i="7"/>
  <c r="AF13" i="7"/>
  <c r="E14" i="7"/>
  <c r="O14" i="7"/>
  <c r="AQ15" i="7"/>
  <c r="AP16" i="7"/>
  <c r="AD17" i="7"/>
  <c r="D22" i="9"/>
  <c r="D23" i="9"/>
  <c r="D24" i="9"/>
  <c r="D16" i="9"/>
  <c r="D25" i="9"/>
  <c r="D17" i="9"/>
  <c r="D26" i="9"/>
  <c r="D18" i="9"/>
  <c r="D19" i="9"/>
  <c r="D12" i="9"/>
  <c r="D13" i="9"/>
  <c r="D7" i="9"/>
  <c r="D15" i="9"/>
  <c r="D8" i="9"/>
  <c r="D14" i="9"/>
  <c r="D9" i="9"/>
  <c r="D21" i="9"/>
  <c r="D10" i="9"/>
  <c r="D6" i="9"/>
  <c r="D2" i="9"/>
  <c r="D19" i="8"/>
  <c r="D20" i="8"/>
  <c r="D11" i="9"/>
  <c r="D21" i="8"/>
  <c r="D5" i="9"/>
  <c r="D4" i="9"/>
  <c r="D22" i="8"/>
  <c r="D3" i="9"/>
  <c r="D23" i="8"/>
  <c r="D20" i="9"/>
  <c r="D24" i="8"/>
  <c r="D25" i="8"/>
  <c r="D17" i="8"/>
  <c r="D14" i="8"/>
  <c r="D6" i="8"/>
  <c r="D15" i="8"/>
  <c r="D7" i="8"/>
  <c r="D18" i="8"/>
  <c r="D16" i="8"/>
  <c r="D8" i="8"/>
  <c r="D26" i="8"/>
  <c r="D9" i="8"/>
  <c r="D10" i="8"/>
  <c r="D11" i="8"/>
  <c r="D12" i="8"/>
  <c r="D4" i="8"/>
  <c r="D5" i="8"/>
  <c r="D20" i="7"/>
  <c r="D21" i="7"/>
  <c r="D22" i="7"/>
  <c r="D23" i="7"/>
  <c r="D3" i="8"/>
  <c r="D24" i="7"/>
  <c r="D25" i="7"/>
  <c r="D13" i="8"/>
  <c r="D26" i="7"/>
  <c r="D18" i="7"/>
  <c r="E23" i="9"/>
  <c r="E15" i="9"/>
  <c r="E24" i="9"/>
  <c r="E25" i="9"/>
  <c r="E17" i="9"/>
  <c r="E26" i="9"/>
  <c r="E18" i="9"/>
  <c r="E19" i="9"/>
  <c r="E20" i="9"/>
  <c r="E5" i="9"/>
  <c r="E13" i="9"/>
  <c r="E7" i="9"/>
  <c r="E8" i="9"/>
  <c r="E14" i="9"/>
  <c r="E9" i="9"/>
  <c r="E21" i="9"/>
  <c r="E10" i="9"/>
  <c r="E16" i="9"/>
  <c r="E11" i="9"/>
  <c r="E3" i="9"/>
  <c r="E20" i="8"/>
  <c r="E22" i="9"/>
  <c r="E21" i="8"/>
  <c r="E4" i="9"/>
  <c r="E22" i="8"/>
  <c r="E23" i="8"/>
  <c r="E12" i="9"/>
  <c r="E24" i="8"/>
  <c r="E25" i="8"/>
  <c r="E26" i="8"/>
  <c r="E18" i="8"/>
  <c r="E15" i="8"/>
  <c r="E7" i="8"/>
  <c r="E6" i="9"/>
  <c r="E16" i="8"/>
  <c r="E8" i="8"/>
  <c r="E9" i="8"/>
  <c r="E10" i="8"/>
  <c r="E19" i="8"/>
  <c r="E11" i="8"/>
  <c r="E2" i="9"/>
  <c r="E17" i="8"/>
  <c r="E12" i="8"/>
  <c r="E13" i="8"/>
  <c r="E5" i="8"/>
  <c r="E14" i="8"/>
  <c r="E21" i="7"/>
  <c r="E22" i="7"/>
  <c r="E4" i="8"/>
  <c r="E23" i="7"/>
  <c r="E3" i="8"/>
  <c r="E24" i="7"/>
  <c r="E25" i="7"/>
  <c r="E26" i="7"/>
  <c r="E2" i="8"/>
  <c r="E19" i="7"/>
  <c r="F24" i="9"/>
  <c r="F16" i="9"/>
  <c r="F25" i="9"/>
  <c r="F26" i="9"/>
  <c r="F18" i="9"/>
  <c r="F19" i="9"/>
  <c r="F20" i="9"/>
  <c r="F21" i="9"/>
  <c r="F23" i="9"/>
  <c r="F13" i="9"/>
  <c r="F6" i="9"/>
  <c r="F7" i="9"/>
  <c r="F8" i="9"/>
  <c r="F15" i="9"/>
  <c r="F14" i="9"/>
  <c r="F9" i="9"/>
  <c r="F17" i="9"/>
  <c r="F10" i="9"/>
  <c r="F11" i="9"/>
  <c r="F22" i="9"/>
  <c r="F12" i="9"/>
  <c r="F4" i="9"/>
  <c r="F21" i="8"/>
  <c r="F22" i="8"/>
  <c r="F5" i="9"/>
  <c r="F23" i="8"/>
  <c r="F3" i="9"/>
  <c r="F24" i="8"/>
  <c r="F25" i="8"/>
  <c r="F26" i="8"/>
  <c r="F18" i="8"/>
  <c r="F2" i="9"/>
  <c r="F19" i="8"/>
  <c r="F16" i="8"/>
  <c r="F8" i="8"/>
  <c r="F9" i="8"/>
  <c r="F10" i="8"/>
  <c r="F11" i="8"/>
  <c r="F17" i="8"/>
  <c r="F12" i="8"/>
  <c r="F13" i="8"/>
  <c r="F20" i="8"/>
  <c r="F14" i="8"/>
  <c r="F6" i="8"/>
  <c r="F22" i="7"/>
  <c r="F7" i="8"/>
  <c r="F4" i="8"/>
  <c r="F23" i="7"/>
  <c r="F15" i="8"/>
  <c r="F3" i="8"/>
  <c r="F24" i="7"/>
  <c r="F25" i="7"/>
  <c r="F17" i="7"/>
  <c r="F26" i="7"/>
  <c r="F2" i="8"/>
  <c r="F19" i="7"/>
  <c r="F20" i="7"/>
  <c r="G25" i="9"/>
  <c r="G17" i="9"/>
  <c r="G26" i="9"/>
  <c r="G19" i="9"/>
  <c r="G20" i="9"/>
  <c r="G21" i="9"/>
  <c r="G13" i="9"/>
  <c r="G22" i="9"/>
  <c r="G24" i="9"/>
  <c r="G7" i="9"/>
  <c r="G8" i="9"/>
  <c r="G18" i="9"/>
  <c r="G15" i="9"/>
  <c r="G14" i="9"/>
  <c r="G9" i="9"/>
  <c r="G10" i="9"/>
  <c r="G11" i="9"/>
  <c r="G16" i="9"/>
  <c r="G12" i="9"/>
  <c r="G5" i="9"/>
  <c r="G23" i="9"/>
  <c r="G22" i="8"/>
  <c r="G4" i="9"/>
  <c r="G23" i="8"/>
  <c r="G3" i="9"/>
  <c r="G24" i="8"/>
  <c r="G25" i="8"/>
  <c r="G26" i="8"/>
  <c r="G2" i="9"/>
  <c r="G19" i="8"/>
  <c r="G6" i="9"/>
  <c r="G20" i="8"/>
  <c r="G21" i="8"/>
  <c r="G9" i="8"/>
  <c r="G18" i="8"/>
  <c r="G10" i="8"/>
  <c r="G11" i="8"/>
  <c r="G17" i="8"/>
  <c r="G12" i="8"/>
  <c r="G13" i="8"/>
  <c r="G5" i="8"/>
  <c r="G14" i="8"/>
  <c r="G6" i="8"/>
  <c r="G15" i="8"/>
  <c r="G7" i="8"/>
  <c r="G4" i="8"/>
  <c r="G23" i="7"/>
  <c r="G3" i="8"/>
  <c r="G24" i="7"/>
  <c r="G25" i="7"/>
  <c r="G8" i="8"/>
  <c r="G26" i="7"/>
  <c r="G18" i="7"/>
  <c r="G16" i="8"/>
  <c r="G2" i="8"/>
  <c r="G19" i="7"/>
  <c r="G20" i="7"/>
  <c r="G21" i="7"/>
  <c r="H26" i="9"/>
  <c r="H25" i="9"/>
  <c r="H11" i="9"/>
  <c r="H3" i="9"/>
  <c r="H21" i="8"/>
  <c r="I19" i="9"/>
  <c r="I21" i="9"/>
  <c r="I13" i="9"/>
  <c r="I22" i="9"/>
  <c r="I14" i="9"/>
  <c r="I23" i="9"/>
  <c r="I15" i="9"/>
  <c r="I24" i="9"/>
  <c r="I16" i="9"/>
  <c r="I25" i="9"/>
  <c r="I26" i="9"/>
  <c r="I9" i="9"/>
  <c r="I18" i="9"/>
  <c r="I10" i="9"/>
  <c r="I17" i="9"/>
  <c r="I11" i="9"/>
  <c r="I12" i="9"/>
  <c r="I20" i="9"/>
  <c r="I7" i="9"/>
  <c r="I5" i="9"/>
  <c r="I3" i="9"/>
  <c r="I24" i="8"/>
  <c r="I25" i="8"/>
  <c r="I26" i="8"/>
  <c r="I8" i="9"/>
  <c r="I2" i="9"/>
  <c r="I19" i="8"/>
  <c r="I20" i="8"/>
  <c r="I6" i="9"/>
  <c r="I21" i="8"/>
  <c r="I22" i="8"/>
  <c r="I18" i="8"/>
  <c r="I11" i="8"/>
  <c r="I17" i="8"/>
  <c r="I12" i="8"/>
  <c r="I4" i="9"/>
  <c r="I13" i="8"/>
  <c r="I5" i="8"/>
  <c r="I14" i="8"/>
  <c r="I6" i="8"/>
  <c r="I23" i="8"/>
  <c r="I15" i="8"/>
  <c r="I7" i="8"/>
  <c r="I16" i="8"/>
  <c r="I8" i="8"/>
  <c r="I9" i="8"/>
  <c r="I25" i="7"/>
  <c r="I26" i="7"/>
  <c r="I18" i="7"/>
  <c r="I2" i="8"/>
  <c r="I19" i="7"/>
  <c r="I20" i="7"/>
  <c r="I21" i="7"/>
  <c r="I22" i="7"/>
  <c r="I4" i="8"/>
  <c r="I23" i="7"/>
  <c r="I15" i="7"/>
  <c r="J20" i="9"/>
  <c r="J22" i="9"/>
  <c r="J14" i="9"/>
  <c r="J23" i="9"/>
  <c r="J15" i="9"/>
  <c r="J24" i="9"/>
  <c r="J16" i="9"/>
  <c r="J25" i="9"/>
  <c r="J17" i="9"/>
  <c r="J26" i="9"/>
  <c r="J18" i="9"/>
  <c r="J10" i="9"/>
  <c r="J11" i="9"/>
  <c r="J12" i="9"/>
  <c r="J21" i="9"/>
  <c r="J7" i="9"/>
  <c r="J8" i="9"/>
  <c r="J25" i="8"/>
  <c r="J26" i="8"/>
  <c r="J2" i="9"/>
  <c r="J19" i="8"/>
  <c r="J20" i="8"/>
  <c r="J6" i="9"/>
  <c r="J21" i="8"/>
  <c r="J9" i="9"/>
  <c r="J22" i="8"/>
  <c r="J4" i="9"/>
  <c r="J23" i="8"/>
  <c r="J19" i="9"/>
  <c r="J17" i="8"/>
  <c r="J12" i="8"/>
  <c r="J13" i="8"/>
  <c r="J13" i="9"/>
  <c r="J14" i="8"/>
  <c r="J6" i="8"/>
  <c r="J15" i="8"/>
  <c r="J7" i="8"/>
  <c r="J16" i="8"/>
  <c r="J8" i="8"/>
  <c r="J5" i="9"/>
  <c r="J9" i="8"/>
  <c r="J24" i="8"/>
  <c r="J10" i="8"/>
  <c r="J26" i="7"/>
  <c r="J11" i="8"/>
  <c r="J2" i="8"/>
  <c r="J19" i="7"/>
  <c r="J3" i="9"/>
  <c r="J18" i="8"/>
  <c r="J20" i="7"/>
  <c r="J21" i="7"/>
  <c r="J22" i="7"/>
  <c r="J4" i="8"/>
  <c r="J23" i="7"/>
  <c r="J5" i="8"/>
  <c r="J3" i="8"/>
  <c r="J24" i="7"/>
  <c r="J16" i="7"/>
  <c r="M21" i="9"/>
  <c r="M22" i="9"/>
  <c r="M23" i="9"/>
  <c r="M15" i="9"/>
  <c r="M24" i="9"/>
  <c r="M16" i="9"/>
  <c r="M25" i="9"/>
  <c r="M17" i="9"/>
  <c r="M26" i="9"/>
  <c r="M18" i="9"/>
  <c r="M11" i="9"/>
  <c r="M14" i="9"/>
  <c r="M12" i="9"/>
  <c r="M7" i="9"/>
  <c r="M20" i="9"/>
  <c r="M8" i="9"/>
  <c r="M19" i="9"/>
  <c r="M13" i="9"/>
  <c r="M9" i="9"/>
  <c r="M26" i="8"/>
  <c r="M18" i="8"/>
  <c r="M2" i="9"/>
  <c r="M19" i="8"/>
  <c r="M20" i="8"/>
  <c r="M6" i="9"/>
  <c r="M21" i="8"/>
  <c r="M22" i="8"/>
  <c r="M4" i="9"/>
  <c r="M23" i="8"/>
  <c r="M5" i="9"/>
  <c r="M3" i="9"/>
  <c r="M24" i="8"/>
  <c r="M25" i="8"/>
  <c r="M13" i="8"/>
  <c r="M5" i="8"/>
  <c r="M14" i="8"/>
  <c r="M6" i="8"/>
  <c r="M15" i="8"/>
  <c r="M7" i="8"/>
  <c r="M16" i="8"/>
  <c r="M8" i="8"/>
  <c r="M10" i="9"/>
  <c r="M9" i="8"/>
  <c r="M10" i="8"/>
  <c r="M11" i="8"/>
  <c r="M3" i="8"/>
  <c r="M2" i="8"/>
  <c r="M19" i="7"/>
  <c r="M20" i="7"/>
  <c r="M21" i="7"/>
  <c r="M12" i="8"/>
  <c r="M22" i="7"/>
  <c r="M4" i="8"/>
  <c r="M23" i="7"/>
  <c r="M24" i="7"/>
  <c r="M17" i="8"/>
  <c r="M25" i="7"/>
  <c r="M17" i="7"/>
  <c r="N22" i="9"/>
  <c r="N23" i="9"/>
  <c r="N24" i="9"/>
  <c r="N16" i="9"/>
  <c r="N25" i="9"/>
  <c r="N17" i="9"/>
  <c r="N26" i="9"/>
  <c r="N18" i="9"/>
  <c r="N19" i="9"/>
  <c r="N15" i="9"/>
  <c r="N14" i="9"/>
  <c r="N12" i="9"/>
  <c r="N21" i="9"/>
  <c r="N7" i="9"/>
  <c r="N20" i="9"/>
  <c r="N8" i="9"/>
  <c r="N13" i="9"/>
  <c r="N9" i="9"/>
  <c r="N10" i="9"/>
  <c r="N2" i="9"/>
  <c r="N19" i="8"/>
  <c r="N11" i="9"/>
  <c r="N20" i="8"/>
  <c r="N6" i="9"/>
  <c r="N21" i="8"/>
  <c r="N22" i="8"/>
  <c r="N4" i="9"/>
  <c r="N23" i="8"/>
  <c r="N5" i="9"/>
  <c r="N3" i="9"/>
  <c r="N24" i="8"/>
  <c r="N25" i="8"/>
  <c r="N17" i="8"/>
  <c r="N14" i="8"/>
  <c r="N6" i="8"/>
  <c r="N15" i="8"/>
  <c r="N7" i="8"/>
  <c r="N26" i="8"/>
  <c r="N16" i="8"/>
  <c r="N8" i="8"/>
  <c r="N9" i="8"/>
  <c r="N10" i="8"/>
  <c r="N11" i="8"/>
  <c r="N18" i="8"/>
  <c r="N12" i="8"/>
  <c r="N4" i="8"/>
  <c r="N20" i="7"/>
  <c r="N21" i="7"/>
  <c r="N22" i="7"/>
  <c r="N23" i="7"/>
  <c r="N24" i="7"/>
  <c r="N13" i="8"/>
  <c r="N5" i="8"/>
  <c r="N3" i="8"/>
  <c r="N25" i="7"/>
  <c r="N26" i="7"/>
  <c r="N18" i="7"/>
  <c r="O23" i="9"/>
  <c r="O15" i="9"/>
  <c r="O24" i="9"/>
  <c r="O25" i="9"/>
  <c r="O17" i="9"/>
  <c r="O26" i="9"/>
  <c r="O18" i="9"/>
  <c r="O19" i="9"/>
  <c r="O20" i="9"/>
  <c r="O5" i="9"/>
  <c r="O21" i="9"/>
  <c r="O7" i="9"/>
  <c r="O16" i="9"/>
  <c r="O8" i="9"/>
  <c r="O13" i="9"/>
  <c r="O9" i="9"/>
  <c r="O22" i="9"/>
  <c r="O10" i="9"/>
  <c r="O11" i="9"/>
  <c r="O3" i="9"/>
  <c r="O20" i="8"/>
  <c r="O6" i="9"/>
  <c r="O21" i="8"/>
  <c r="O22" i="8"/>
  <c r="O14" i="9"/>
  <c r="O12" i="9"/>
  <c r="O4" i="9"/>
  <c r="O23" i="8"/>
  <c r="O24" i="8"/>
  <c r="O25" i="8"/>
  <c r="O26" i="8"/>
  <c r="O18" i="8"/>
  <c r="O15" i="8"/>
  <c r="O7" i="8"/>
  <c r="O16" i="8"/>
  <c r="O8" i="8"/>
  <c r="O9" i="8"/>
  <c r="O19" i="8"/>
  <c r="O10" i="8"/>
  <c r="O2" i="9"/>
  <c r="O11" i="8"/>
  <c r="O12" i="8"/>
  <c r="O17" i="8"/>
  <c r="O13" i="8"/>
  <c r="O5" i="8"/>
  <c r="O21" i="7"/>
  <c r="O22" i="7"/>
  <c r="O23" i="7"/>
  <c r="O4" i="8"/>
  <c r="O24" i="7"/>
  <c r="O3" i="8"/>
  <c r="O25" i="7"/>
  <c r="O26" i="7"/>
  <c r="O18" i="7"/>
  <c r="O6" i="8"/>
  <c r="O2" i="8"/>
  <c r="O19" i="7"/>
  <c r="P24" i="9"/>
  <c r="P16" i="9"/>
  <c r="P25" i="9"/>
  <c r="P26" i="9"/>
  <c r="P18" i="9"/>
  <c r="P19" i="9"/>
  <c r="P20" i="9"/>
  <c r="P21" i="9"/>
  <c r="P23" i="9"/>
  <c r="P6" i="9"/>
  <c r="P17" i="9"/>
  <c r="P7" i="9"/>
  <c r="P8" i="9"/>
  <c r="P13" i="9"/>
  <c r="P9" i="9"/>
  <c r="P22" i="9"/>
  <c r="P10" i="9"/>
  <c r="P11" i="9"/>
  <c r="P14" i="9"/>
  <c r="P12" i="9"/>
  <c r="P4" i="9"/>
  <c r="P15" i="9"/>
  <c r="P21" i="8"/>
  <c r="P22" i="8"/>
  <c r="P23" i="8"/>
  <c r="P24" i="8"/>
  <c r="P5" i="9"/>
  <c r="P3" i="9"/>
  <c r="P25" i="8"/>
  <c r="P26" i="8"/>
  <c r="P18" i="8"/>
  <c r="P2" i="9"/>
  <c r="P19" i="8"/>
  <c r="P16" i="8"/>
  <c r="P8" i="8"/>
  <c r="P9" i="8"/>
  <c r="P10" i="8"/>
  <c r="P11" i="8"/>
  <c r="P12" i="8"/>
  <c r="P20" i="8"/>
  <c r="P17" i="8"/>
  <c r="P13" i="8"/>
  <c r="P5" i="8"/>
  <c r="P14" i="8"/>
  <c r="P6" i="8"/>
  <c r="P7" i="8"/>
  <c r="P22" i="7"/>
  <c r="P15" i="8"/>
  <c r="P23" i="7"/>
  <c r="P4" i="8"/>
  <c r="P24" i="7"/>
  <c r="P3" i="8"/>
  <c r="P25" i="7"/>
  <c r="P17" i="7"/>
  <c r="P26" i="7"/>
  <c r="P2" i="8"/>
  <c r="P19" i="7"/>
  <c r="P20" i="7"/>
  <c r="Q25" i="9"/>
  <c r="Q17" i="9"/>
  <c r="Q26" i="9"/>
  <c r="Q19" i="9"/>
  <c r="Q20" i="9"/>
  <c r="Q21" i="9"/>
  <c r="Q13" i="9"/>
  <c r="Q22" i="9"/>
  <c r="Q24" i="9"/>
  <c r="Q7" i="9"/>
  <c r="Q8" i="9"/>
  <c r="Q16" i="9"/>
  <c r="Q9" i="9"/>
  <c r="Q10" i="9"/>
  <c r="Q11" i="9"/>
  <c r="Q14" i="9"/>
  <c r="Q12" i="9"/>
  <c r="Q23" i="9"/>
  <c r="Q15" i="9"/>
  <c r="Q5" i="9"/>
  <c r="Q6" i="9"/>
  <c r="Q22" i="8"/>
  <c r="Q18" i="9"/>
  <c r="Q23" i="8"/>
  <c r="Q4" i="9"/>
  <c r="Q24" i="8"/>
  <c r="Q3" i="9"/>
  <c r="Q25" i="8"/>
  <c r="Q26" i="8"/>
  <c r="Q2" i="9"/>
  <c r="Q19" i="8"/>
  <c r="Q20" i="8"/>
  <c r="Q9" i="8"/>
  <c r="Q10" i="8"/>
  <c r="Q11" i="8"/>
  <c r="Q12" i="8"/>
  <c r="Q17" i="8"/>
  <c r="Q13" i="8"/>
  <c r="Q5" i="8"/>
  <c r="Q18" i="8"/>
  <c r="Q14" i="8"/>
  <c r="Q6" i="8"/>
  <c r="Q15" i="8"/>
  <c r="Q7" i="8"/>
  <c r="Q23" i="7"/>
  <c r="Q4" i="8"/>
  <c r="Q24" i="7"/>
  <c r="Q8" i="8"/>
  <c r="Q3" i="8"/>
  <c r="Q25" i="7"/>
  <c r="Q16" i="8"/>
  <c r="Q26" i="7"/>
  <c r="Q18" i="7"/>
  <c r="Q2" i="8"/>
  <c r="Q19" i="7"/>
  <c r="Q20" i="7"/>
  <c r="Q21" i="7"/>
  <c r="R26" i="9"/>
  <c r="R18" i="9"/>
  <c r="R20" i="9"/>
  <c r="R21" i="9"/>
  <c r="R13" i="9"/>
  <c r="R22" i="9"/>
  <c r="R14" i="9"/>
  <c r="R23" i="9"/>
  <c r="R25" i="9"/>
  <c r="R24" i="9"/>
  <c r="R17" i="9"/>
  <c r="R8" i="9"/>
  <c r="R16" i="9"/>
  <c r="R9" i="9"/>
  <c r="R10" i="9"/>
  <c r="R11" i="9"/>
  <c r="R12" i="9"/>
  <c r="R19" i="9"/>
  <c r="R15" i="9"/>
  <c r="R6" i="9"/>
  <c r="R7" i="9"/>
  <c r="R23" i="8"/>
  <c r="R4" i="9"/>
  <c r="R24" i="8"/>
  <c r="R3" i="9"/>
  <c r="R25" i="8"/>
  <c r="R5" i="9"/>
  <c r="R26" i="8"/>
  <c r="R18" i="8"/>
  <c r="R2" i="9"/>
  <c r="R19" i="8"/>
  <c r="R20" i="8"/>
  <c r="R21" i="8"/>
  <c r="R10" i="8"/>
  <c r="R22" i="8"/>
  <c r="R11" i="8"/>
  <c r="R12" i="8"/>
  <c r="R17" i="8"/>
  <c r="R13" i="8"/>
  <c r="R5" i="8"/>
  <c r="R14" i="8"/>
  <c r="R6" i="8"/>
  <c r="R15" i="8"/>
  <c r="R7" i="8"/>
  <c r="R16" i="8"/>
  <c r="R8" i="8"/>
  <c r="R4" i="8"/>
  <c r="R24" i="7"/>
  <c r="R3" i="8"/>
  <c r="R25" i="7"/>
  <c r="R17" i="7"/>
  <c r="R26" i="7"/>
  <c r="R2" i="8"/>
  <c r="R19" i="7"/>
  <c r="R9" i="8"/>
  <c r="R20" i="7"/>
  <c r="R21" i="7"/>
  <c r="R22" i="7"/>
  <c r="R14" i="7"/>
  <c r="S19" i="9"/>
  <c r="S21" i="9"/>
  <c r="S13" i="9"/>
  <c r="S22" i="9"/>
  <c r="S14" i="9"/>
  <c r="S23" i="9"/>
  <c r="S15" i="9"/>
  <c r="S24" i="9"/>
  <c r="S16" i="9"/>
  <c r="S25" i="9"/>
  <c r="S26" i="9"/>
  <c r="S9" i="9"/>
  <c r="S10" i="9"/>
  <c r="S11" i="9"/>
  <c r="S20" i="9"/>
  <c r="S12" i="9"/>
  <c r="S18" i="9"/>
  <c r="S7" i="9"/>
  <c r="S4" i="9"/>
  <c r="S24" i="8"/>
  <c r="S3" i="9"/>
  <c r="S25" i="8"/>
  <c r="S8" i="9"/>
  <c r="S5" i="9"/>
  <c r="S26" i="8"/>
  <c r="S18" i="8"/>
  <c r="S17" i="9"/>
  <c r="S2" i="9"/>
  <c r="S19" i="8"/>
  <c r="S20" i="8"/>
  <c r="S21" i="8"/>
  <c r="S22" i="8"/>
  <c r="S6" i="9"/>
  <c r="S11" i="8"/>
  <c r="S12" i="8"/>
  <c r="S17" i="8"/>
  <c r="S13" i="8"/>
  <c r="S5" i="8"/>
  <c r="S23" i="8"/>
  <c r="S14" i="8"/>
  <c r="S6" i="8"/>
  <c r="S15" i="8"/>
  <c r="S7" i="8"/>
  <c r="S16" i="8"/>
  <c r="S8" i="8"/>
  <c r="S9" i="8"/>
  <c r="S3" i="8"/>
  <c r="S25" i="7"/>
  <c r="S26" i="7"/>
  <c r="S18" i="7"/>
  <c r="S2" i="8"/>
  <c r="S19" i="7"/>
  <c r="S20" i="7"/>
  <c r="S21" i="7"/>
  <c r="S22" i="7"/>
  <c r="S10" i="8"/>
  <c r="S23" i="7"/>
  <c r="S15" i="7"/>
  <c r="V20" i="9"/>
  <c r="V22" i="9"/>
  <c r="V14" i="9"/>
  <c r="V23" i="9"/>
  <c r="V15" i="9"/>
  <c r="V24" i="9"/>
  <c r="V16" i="9"/>
  <c r="V25" i="9"/>
  <c r="V17" i="9"/>
  <c r="V26" i="9"/>
  <c r="V10" i="9"/>
  <c r="V21" i="9"/>
  <c r="V11" i="9"/>
  <c r="V13" i="9"/>
  <c r="V12" i="9"/>
  <c r="V19" i="9"/>
  <c r="V18" i="9"/>
  <c r="V7" i="9"/>
  <c r="V8" i="9"/>
  <c r="V3" i="9"/>
  <c r="V25" i="8"/>
  <c r="V5" i="9"/>
  <c r="V26" i="8"/>
  <c r="V18" i="8"/>
  <c r="V2" i="9"/>
  <c r="V19" i="8"/>
  <c r="V20" i="8"/>
  <c r="V9" i="9"/>
  <c r="V21" i="8"/>
  <c r="V22" i="8"/>
  <c r="V6" i="9"/>
  <c r="V23" i="8"/>
  <c r="V12" i="8"/>
  <c r="V4" i="9"/>
  <c r="V17" i="8"/>
  <c r="V13" i="8"/>
  <c r="V14" i="8"/>
  <c r="V6" i="8"/>
  <c r="V15" i="8"/>
  <c r="V7" i="8"/>
  <c r="V16" i="8"/>
  <c r="V8" i="8"/>
  <c r="V24" i="8"/>
  <c r="V9" i="8"/>
  <c r="V10" i="8"/>
  <c r="V11" i="8"/>
  <c r="V26" i="7"/>
  <c r="V18" i="7"/>
  <c r="V2" i="8"/>
  <c r="V19" i="7"/>
  <c r="V20" i="7"/>
  <c r="V21" i="7"/>
  <c r="V5" i="8"/>
  <c r="V22" i="7"/>
  <c r="V23" i="7"/>
  <c r="V4" i="8"/>
  <c r="V24" i="7"/>
  <c r="V16" i="7"/>
  <c r="W21" i="9"/>
  <c r="W22" i="9"/>
  <c r="W23" i="9"/>
  <c r="W15" i="9"/>
  <c r="W24" i="9"/>
  <c r="W16" i="9"/>
  <c r="W25" i="9"/>
  <c r="W17" i="9"/>
  <c r="W26" i="9"/>
  <c r="W18" i="9"/>
  <c r="W11" i="9"/>
  <c r="W13" i="9"/>
  <c r="W12" i="9"/>
  <c r="W20" i="9"/>
  <c r="W19" i="9"/>
  <c r="W14" i="9"/>
  <c r="W7" i="9"/>
  <c r="W8" i="9"/>
  <c r="W9" i="9"/>
  <c r="W5" i="9"/>
  <c r="W26" i="8"/>
  <c r="W18" i="8"/>
  <c r="W2" i="9"/>
  <c r="W19" i="8"/>
  <c r="W20" i="8"/>
  <c r="W21" i="8"/>
  <c r="W22" i="8"/>
  <c r="W6" i="9"/>
  <c r="W23" i="8"/>
  <c r="W10" i="9"/>
  <c r="W4" i="9"/>
  <c r="W24" i="8"/>
  <c r="W17" i="8"/>
  <c r="W13" i="8"/>
  <c r="W5" i="8"/>
  <c r="W14" i="8"/>
  <c r="W6" i="8"/>
  <c r="W15" i="8"/>
  <c r="W7" i="8"/>
  <c r="W16" i="8"/>
  <c r="W8" i="8"/>
  <c r="W9" i="8"/>
  <c r="W10" i="8"/>
  <c r="W3" i="9"/>
  <c r="W11" i="8"/>
  <c r="W3" i="8"/>
  <c r="W2" i="8"/>
  <c r="W19" i="7"/>
  <c r="W20" i="7"/>
  <c r="W12" i="8"/>
  <c r="W21" i="7"/>
  <c r="W22" i="7"/>
  <c r="W25" i="8"/>
  <c r="W23" i="7"/>
  <c r="W4" i="8"/>
  <c r="W24" i="7"/>
  <c r="W25" i="7"/>
  <c r="W17" i="7"/>
  <c r="X22" i="9"/>
  <c r="X14" i="9"/>
  <c r="X23" i="9"/>
  <c r="X24" i="9"/>
  <c r="X16" i="9"/>
  <c r="X25" i="9"/>
  <c r="X17" i="9"/>
  <c r="X26" i="9"/>
  <c r="X18" i="9"/>
  <c r="X19" i="9"/>
  <c r="X21" i="9"/>
  <c r="X13" i="9"/>
  <c r="X12" i="9"/>
  <c r="X20" i="9"/>
  <c r="X7" i="9"/>
  <c r="X15" i="9"/>
  <c r="X8" i="9"/>
  <c r="X9" i="9"/>
  <c r="X10" i="9"/>
  <c r="X11" i="9"/>
  <c r="X2" i="9"/>
  <c r="X19" i="8"/>
  <c r="X20" i="8"/>
  <c r="X21" i="8"/>
  <c r="X22" i="8"/>
  <c r="X6" i="9"/>
  <c r="X23" i="8"/>
  <c r="X4" i="9"/>
  <c r="X24" i="8"/>
  <c r="X3" i="9"/>
  <c r="X25" i="8"/>
  <c r="X17" i="8"/>
  <c r="X14" i="8"/>
  <c r="X6" i="8"/>
  <c r="X26" i="8"/>
  <c r="X15" i="8"/>
  <c r="X7" i="8"/>
  <c r="X16" i="8"/>
  <c r="X8" i="8"/>
  <c r="X9" i="8"/>
  <c r="X5" i="9"/>
  <c r="X18" i="8"/>
  <c r="X10" i="8"/>
  <c r="X11" i="8"/>
  <c r="X12" i="8"/>
  <c r="X4" i="8"/>
  <c r="X20" i="7"/>
  <c r="X21" i="7"/>
  <c r="X22" i="7"/>
  <c r="X5" i="8"/>
  <c r="X23" i="7"/>
  <c r="X13" i="8"/>
  <c r="X24" i="7"/>
  <c r="X25" i="7"/>
  <c r="X3" i="8"/>
  <c r="X26" i="7"/>
  <c r="X18" i="7"/>
  <c r="Y23" i="9"/>
  <c r="Y15" i="9"/>
  <c r="Y24" i="9"/>
  <c r="Y25" i="9"/>
  <c r="Y17" i="9"/>
  <c r="Y26" i="9"/>
  <c r="Y18" i="9"/>
  <c r="Y19" i="9"/>
  <c r="Y20" i="9"/>
  <c r="Y22" i="9"/>
  <c r="Y16" i="9"/>
  <c r="Y5" i="9"/>
  <c r="Y7" i="9"/>
  <c r="Y14" i="9"/>
  <c r="Y8" i="9"/>
  <c r="Y9" i="9"/>
  <c r="Y10" i="9"/>
  <c r="Y11" i="9"/>
  <c r="Y3" i="9"/>
  <c r="Y20" i="8"/>
  <c r="Y21" i="8"/>
  <c r="Y21" i="9"/>
  <c r="Y12" i="9"/>
  <c r="Y22" i="8"/>
  <c r="Y6" i="9"/>
  <c r="Y23" i="8"/>
  <c r="Y4" i="9"/>
  <c r="Y24" i="8"/>
  <c r="Y25" i="8"/>
  <c r="Y13" i="9"/>
  <c r="Y26" i="8"/>
  <c r="Y18" i="8"/>
  <c r="Y15" i="8"/>
  <c r="Y7" i="8"/>
  <c r="Y16" i="8"/>
  <c r="Y8" i="8"/>
  <c r="Y19" i="8"/>
  <c r="Y9" i="8"/>
  <c r="Y2" i="9"/>
  <c r="Y10" i="8"/>
  <c r="Y11" i="8"/>
  <c r="Y12" i="8"/>
  <c r="Y13" i="8"/>
  <c r="Y5" i="8"/>
  <c r="Y21" i="7"/>
  <c r="Y22" i="7"/>
  <c r="Y23" i="7"/>
  <c r="Y24" i="7"/>
  <c r="Y4" i="8"/>
  <c r="Y25" i="7"/>
  <c r="Y17" i="8"/>
  <c r="Y6" i="8"/>
  <c r="Y3" i="8"/>
  <c r="Y26" i="7"/>
  <c r="Y18" i="7"/>
  <c r="Y14" i="8"/>
  <c r="Y2" i="8"/>
  <c r="Y19" i="7"/>
  <c r="Z24" i="9"/>
  <c r="Z16" i="9"/>
  <c r="Z25" i="9"/>
  <c r="Z26" i="9"/>
  <c r="Z18" i="9"/>
  <c r="Z19" i="9"/>
  <c r="Z20" i="9"/>
  <c r="Z21" i="9"/>
  <c r="Z23" i="9"/>
  <c r="Z6" i="9"/>
  <c r="Z7" i="9"/>
  <c r="Z14" i="9"/>
  <c r="Z8" i="9"/>
  <c r="Z22" i="9"/>
  <c r="Z15" i="9"/>
  <c r="Z9" i="9"/>
  <c r="Z10" i="9"/>
  <c r="Z11" i="9"/>
  <c r="Z17" i="9"/>
  <c r="Z13" i="9"/>
  <c r="Z12" i="9"/>
  <c r="Z4" i="9"/>
  <c r="Z21" i="8"/>
  <c r="Z22" i="8"/>
  <c r="Z23" i="8"/>
  <c r="Z24" i="8"/>
  <c r="Z25" i="8"/>
  <c r="Z3" i="9"/>
  <c r="Z26" i="8"/>
  <c r="Z18" i="8"/>
  <c r="Z5" i="9"/>
  <c r="Z2" i="9"/>
  <c r="Z19" i="8"/>
  <c r="Z16" i="8"/>
  <c r="Z8" i="8"/>
  <c r="Z9" i="8"/>
  <c r="Z10" i="8"/>
  <c r="Z11" i="8"/>
  <c r="Z20" i="8"/>
  <c r="Z12" i="8"/>
  <c r="Z13" i="8"/>
  <c r="Z5" i="8"/>
  <c r="Z17" i="8"/>
  <c r="Z14" i="8"/>
  <c r="Z6" i="8"/>
  <c r="Z15" i="8"/>
  <c r="Z22" i="7"/>
  <c r="Z23" i="7"/>
  <c r="Z24" i="7"/>
  <c r="Z4" i="8"/>
  <c r="Z25" i="7"/>
  <c r="Z17" i="7"/>
  <c r="Z3" i="8"/>
  <c r="Z26" i="7"/>
  <c r="Z18" i="7"/>
  <c r="Z2" i="8"/>
  <c r="Z19" i="7"/>
  <c r="Z20" i="7"/>
  <c r="AA25" i="9"/>
  <c r="AA17" i="9"/>
  <c r="AA26" i="9"/>
  <c r="AA19" i="9"/>
  <c r="AA20" i="9"/>
  <c r="AA21" i="9"/>
  <c r="AA13" i="9"/>
  <c r="AA22" i="9"/>
  <c r="AA24" i="9"/>
  <c r="AA7" i="9"/>
  <c r="AA14" i="9"/>
  <c r="AA8" i="9"/>
  <c r="AA15" i="9"/>
  <c r="AA9" i="9"/>
  <c r="AA10" i="9"/>
  <c r="AA18" i="9"/>
  <c r="AA11" i="9"/>
  <c r="AA23" i="9"/>
  <c r="AA12" i="9"/>
  <c r="AA5" i="9"/>
  <c r="AA22" i="8"/>
  <c r="AA23" i="8"/>
  <c r="AA6" i="9"/>
  <c r="AA24" i="8"/>
  <c r="AA4" i="9"/>
  <c r="AA25" i="8"/>
  <c r="AA3" i="9"/>
  <c r="AA26" i="8"/>
  <c r="AA16" i="9"/>
  <c r="AA2" i="9"/>
  <c r="AA19" i="8"/>
  <c r="AA20" i="8"/>
  <c r="AA9" i="8"/>
  <c r="AA10" i="8"/>
  <c r="AA11" i="8"/>
  <c r="AA18" i="8"/>
  <c r="AA12" i="8"/>
  <c r="AA13" i="8"/>
  <c r="AA5" i="8"/>
  <c r="AA17" i="8"/>
  <c r="AA14" i="8"/>
  <c r="AA6" i="8"/>
  <c r="AA21" i="8"/>
  <c r="AA15" i="8"/>
  <c r="AA7" i="8"/>
  <c r="AA23" i="7"/>
  <c r="AA8" i="8"/>
  <c r="AA24" i="7"/>
  <c r="AA16" i="8"/>
  <c r="AA4" i="8"/>
  <c r="AA25" i="7"/>
  <c r="AA3" i="8"/>
  <c r="AA26" i="7"/>
  <c r="AA18" i="7"/>
  <c r="AA2" i="8"/>
  <c r="AA19" i="7"/>
  <c r="AA20" i="7"/>
  <c r="AA21" i="7"/>
  <c r="AB26" i="9"/>
  <c r="AB18" i="9"/>
  <c r="AB20" i="9"/>
  <c r="AB21" i="9"/>
  <c r="AB13" i="9"/>
  <c r="AB22" i="9"/>
  <c r="AB14" i="9"/>
  <c r="AB23" i="9"/>
  <c r="AB24" i="9"/>
  <c r="AB25" i="9"/>
  <c r="AB8" i="9"/>
  <c r="AB15" i="9"/>
  <c r="AB9" i="9"/>
  <c r="AB19" i="9"/>
  <c r="AB10" i="9"/>
  <c r="AB11" i="9"/>
  <c r="AB12" i="9"/>
  <c r="AB17" i="9"/>
  <c r="AB16" i="9"/>
  <c r="AB6" i="9"/>
  <c r="AB23" i="8"/>
  <c r="AB24" i="8"/>
  <c r="AB4" i="9"/>
  <c r="AB25" i="8"/>
  <c r="AB3" i="9"/>
  <c r="AB26" i="8"/>
  <c r="AB18" i="8"/>
  <c r="AB2" i="9"/>
  <c r="AB19" i="8"/>
  <c r="AB5" i="9"/>
  <c r="AB20" i="8"/>
  <c r="AB21" i="8"/>
  <c r="AB22" i="8"/>
  <c r="AB10" i="8"/>
  <c r="AB11" i="8"/>
  <c r="AB12" i="8"/>
  <c r="AB13" i="8"/>
  <c r="AB5" i="8"/>
  <c r="AB17" i="8"/>
  <c r="AB14" i="8"/>
  <c r="AB6" i="8"/>
  <c r="AB15" i="8"/>
  <c r="AB7" i="8"/>
  <c r="AB7" i="9"/>
  <c r="AB16" i="8"/>
  <c r="AB8" i="8"/>
  <c r="AB24" i="7"/>
  <c r="AB4" i="8"/>
  <c r="AB25" i="7"/>
  <c r="AB17" i="7"/>
  <c r="AB3" i="8"/>
  <c r="AB26" i="7"/>
  <c r="AB9" i="8"/>
  <c r="AB2" i="8"/>
  <c r="AB19" i="7"/>
  <c r="AB20" i="7"/>
  <c r="AB21" i="7"/>
  <c r="AB22" i="7"/>
  <c r="AB14" i="7"/>
  <c r="AC19" i="9"/>
  <c r="AC21" i="9"/>
  <c r="AC13" i="9"/>
  <c r="AC22" i="9"/>
  <c r="AC14" i="9"/>
  <c r="AC23" i="9"/>
  <c r="AC15" i="9"/>
  <c r="AC24" i="9"/>
  <c r="AC16" i="9"/>
  <c r="AC25" i="9"/>
  <c r="AC26" i="9"/>
  <c r="AC20" i="9"/>
  <c r="AC9" i="9"/>
  <c r="AC10" i="9"/>
  <c r="AC11" i="9"/>
  <c r="AC18" i="9"/>
  <c r="AC12" i="9"/>
  <c r="AC17" i="9"/>
  <c r="AC6" i="9"/>
  <c r="AC7" i="9"/>
  <c r="AC24" i="8"/>
  <c r="AC8" i="9"/>
  <c r="AC4" i="9"/>
  <c r="AC25" i="8"/>
  <c r="AC3" i="9"/>
  <c r="AC26" i="8"/>
  <c r="AC18" i="8"/>
  <c r="AC2" i="9"/>
  <c r="AC19" i="8"/>
  <c r="AC5" i="9"/>
  <c r="AC20" i="8"/>
  <c r="AC21" i="8"/>
  <c r="AC22" i="8"/>
  <c r="AC11" i="8"/>
  <c r="AC12" i="8"/>
  <c r="AC23" i="8"/>
  <c r="AC13" i="8"/>
  <c r="AC5" i="8"/>
  <c r="AC17" i="8"/>
  <c r="AC14" i="8"/>
  <c r="AC6" i="8"/>
  <c r="AC15" i="8"/>
  <c r="AC7" i="8"/>
  <c r="AC16" i="8"/>
  <c r="AC8" i="8"/>
  <c r="AC9" i="8"/>
  <c r="AC4" i="8"/>
  <c r="AC25" i="7"/>
  <c r="AC3" i="8"/>
  <c r="AC26" i="7"/>
  <c r="AC18" i="7"/>
  <c r="AC2" i="8"/>
  <c r="AC19" i="7"/>
  <c r="AC20" i="7"/>
  <c r="AC21" i="7"/>
  <c r="AC10" i="8"/>
  <c r="AC22" i="7"/>
  <c r="AC23" i="7"/>
  <c r="AC15" i="7"/>
  <c r="AD20" i="9"/>
  <c r="AD22" i="9"/>
  <c r="AD14" i="9"/>
  <c r="AD23" i="9"/>
  <c r="AD15" i="9"/>
  <c r="AD24" i="9"/>
  <c r="AD16" i="9"/>
  <c r="AD25" i="9"/>
  <c r="AD17" i="9"/>
  <c r="AD26" i="9"/>
  <c r="AD10" i="9"/>
  <c r="AD19" i="9"/>
  <c r="AD11" i="9"/>
  <c r="AD18" i="9"/>
  <c r="AD12" i="9"/>
  <c r="AD6" i="9"/>
  <c r="AD13" i="9"/>
  <c r="AD7" i="9"/>
  <c r="AD21" i="9"/>
  <c r="AD8" i="9"/>
  <c r="AD4" i="9"/>
  <c r="AD25" i="8"/>
  <c r="AD3" i="9"/>
  <c r="AD26" i="8"/>
  <c r="AD18" i="8"/>
  <c r="AD2" i="9"/>
  <c r="AD19" i="8"/>
  <c r="AD9" i="9"/>
  <c r="AD5" i="9"/>
  <c r="AD20" i="8"/>
  <c r="AD21" i="8"/>
  <c r="AD22" i="8"/>
  <c r="AD23" i="8"/>
  <c r="AD12" i="8"/>
  <c r="AD13" i="8"/>
  <c r="AD5" i="8"/>
  <c r="AD17" i="8"/>
  <c r="AD14" i="8"/>
  <c r="AD6" i="8"/>
  <c r="AD15" i="8"/>
  <c r="AD7" i="8"/>
  <c r="AD24" i="8"/>
  <c r="AD16" i="8"/>
  <c r="AD8" i="8"/>
  <c r="AD9" i="8"/>
  <c r="AD10" i="8"/>
  <c r="AD2" i="8"/>
  <c r="AD3" i="8"/>
  <c r="AD26" i="7"/>
  <c r="AD18" i="7"/>
  <c r="AD19" i="7"/>
  <c r="AD20" i="7"/>
  <c r="AD21" i="7"/>
  <c r="AD22" i="7"/>
  <c r="AD23" i="7"/>
  <c r="AD24" i="7"/>
  <c r="AD16" i="7"/>
  <c r="AE21" i="9"/>
  <c r="AE22" i="9"/>
  <c r="AE23" i="9"/>
  <c r="AE15" i="9"/>
  <c r="AE24" i="9"/>
  <c r="AE16" i="9"/>
  <c r="AE25" i="9"/>
  <c r="AE17" i="9"/>
  <c r="AE26" i="9"/>
  <c r="AE18" i="9"/>
  <c r="AE19" i="9"/>
  <c r="AE14" i="9"/>
  <c r="AE11" i="9"/>
  <c r="AE12" i="9"/>
  <c r="AE6" i="9"/>
  <c r="AE13" i="9"/>
  <c r="AE7" i="9"/>
  <c r="AE8" i="9"/>
  <c r="AE9" i="9"/>
  <c r="AE3" i="9"/>
  <c r="AE26" i="8"/>
  <c r="AE18" i="8"/>
  <c r="AE2" i="9"/>
  <c r="AE19" i="8"/>
  <c r="AE5" i="9"/>
  <c r="AE20" i="8"/>
  <c r="AE21" i="8"/>
  <c r="AE20" i="9"/>
  <c r="AE22" i="8"/>
  <c r="AE10" i="9"/>
  <c r="AE23" i="8"/>
  <c r="AE24" i="8"/>
  <c r="AE4" i="9"/>
  <c r="AE13" i="8"/>
  <c r="AE5" i="8"/>
  <c r="AE17" i="8"/>
  <c r="AE14" i="8"/>
  <c r="AE6" i="8"/>
  <c r="AE15" i="8"/>
  <c r="AE7" i="8"/>
  <c r="AE16" i="8"/>
  <c r="AE8" i="8"/>
  <c r="AE9" i="8"/>
  <c r="AE10" i="8"/>
  <c r="AE25" i="8"/>
  <c r="AE11" i="8"/>
  <c r="AE3" i="8"/>
  <c r="AE19" i="7"/>
  <c r="AE12" i="8"/>
  <c r="AE2" i="8"/>
  <c r="AE20" i="7"/>
  <c r="AE21" i="7"/>
  <c r="AE22" i="7"/>
  <c r="AE23" i="7"/>
  <c r="AE24" i="7"/>
  <c r="AE4" i="8"/>
  <c r="AE25" i="7"/>
  <c r="AE17" i="7"/>
  <c r="AF22" i="9"/>
  <c r="AF14" i="9"/>
  <c r="AF23" i="9"/>
  <c r="AF24" i="9"/>
  <c r="AF16" i="9"/>
  <c r="AF25" i="9"/>
  <c r="AF17" i="9"/>
  <c r="AF26" i="9"/>
  <c r="AF18" i="9"/>
  <c r="AF19" i="9"/>
  <c r="AF15" i="9"/>
  <c r="AF12" i="9"/>
  <c r="AF13" i="9"/>
  <c r="AF7" i="9"/>
  <c r="AF8" i="9"/>
  <c r="AF21" i="9"/>
  <c r="AF9" i="9"/>
  <c r="AF20" i="9"/>
  <c r="AF10" i="9"/>
  <c r="AF2" i="9"/>
  <c r="AF19" i="8"/>
  <c r="AF6" i="9"/>
  <c r="AF5" i="9"/>
  <c r="AF20" i="8"/>
  <c r="AF21" i="8"/>
  <c r="AF22" i="8"/>
  <c r="AF23" i="8"/>
  <c r="AF24" i="8"/>
  <c r="AF4" i="9"/>
  <c r="AF25" i="8"/>
  <c r="AF17" i="8"/>
  <c r="AF26" i="8"/>
  <c r="AF14" i="8"/>
  <c r="AF6" i="8"/>
  <c r="AF15" i="8"/>
  <c r="AF7" i="8"/>
  <c r="AF18" i="8"/>
  <c r="AF16" i="8"/>
  <c r="AF8" i="8"/>
  <c r="AF11" i="9"/>
  <c r="AF9" i="8"/>
  <c r="AF10" i="8"/>
  <c r="AF3" i="9"/>
  <c r="AF11" i="8"/>
  <c r="AF12" i="8"/>
  <c r="AF4" i="8"/>
  <c r="AF2" i="8"/>
  <c r="AF20" i="7"/>
  <c r="AF21" i="7"/>
  <c r="AF5" i="8"/>
  <c r="AF22" i="7"/>
  <c r="AF13" i="8"/>
  <c r="AF23" i="7"/>
  <c r="AF24" i="7"/>
  <c r="AF25" i="7"/>
  <c r="AF26" i="7"/>
  <c r="AF18" i="7"/>
  <c r="AG23" i="9"/>
  <c r="AG15" i="9"/>
  <c r="AG24" i="9"/>
  <c r="AG25" i="9"/>
  <c r="AG17" i="9"/>
  <c r="AG26" i="9"/>
  <c r="AG18" i="9"/>
  <c r="AG19" i="9"/>
  <c r="AG20" i="9"/>
  <c r="AG22" i="9"/>
  <c r="AG5" i="9"/>
  <c r="AG13" i="9"/>
  <c r="AG7" i="9"/>
  <c r="AG8" i="9"/>
  <c r="AG21" i="9"/>
  <c r="AG9" i="9"/>
  <c r="AG16" i="9"/>
  <c r="AG10" i="9"/>
  <c r="AG11" i="9"/>
  <c r="AG3" i="9"/>
  <c r="AG6" i="9"/>
  <c r="AG2" i="9"/>
  <c r="AG20" i="8"/>
  <c r="AG12" i="9"/>
  <c r="AG21" i="8"/>
  <c r="AG14" i="9"/>
  <c r="AG22" i="8"/>
  <c r="AG23" i="8"/>
  <c r="AG24" i="8"/>
  <c r="AG4" i="9"/>
  <c r="AG25" i="8"/>
  <c r="AG26" i="8"/>
  <c r="AG18" i="8"/>
  <c r="AG17" i="8"/>
  <c r="AG15" i="8"/>
  <c r="AG7" i="8"/>
  <c r="AG19" i="8"/>
  <c r="AG16" i="8"/>
  <c r="AG8" i="8"/>
  <c r="AG9" i="8"/>
  <c r="AG10" i="8"/>
  <c r="AG11" i="8"/>
  <c r="AG12" i="8"/>
  <c r="AG13" i="8"/>
  <c r="AG5" i="8"/>
  <c r="AG21" i="7"/>
  <c r="AG22" i="7"/>
  <c r="AG23" i="7"/>
  <c r="AG24" i="7"/>
  <c r="AG6" i="8"/>
  <c r="AG25" i="7"/>
  <c r="AG14" i="8"/>
  <c r="AG4" i="8"/>
  <c r="AG26" i="7"/>
  <c r="AG18" i="7"/>
  <c r="AG3" i="8"/>
  <c r="AG19" i="7"/>
  <c r="AH24" i="9"/>
  <c r="AH16" i="9"/>
  <c r="AH25" i="9"/>
  <c r="AH26" i="9"/>
  <c r="AH18" i="9"/>
  <c r="AH19" i="9"/>
  <c r="AH20" i="9"/>
  <c r="AH12" i="9"/>
  <c r="AH21" i="9"/>
  <c r="AH23" i="9"/>
  <c r="AH6" i="9"/>
  <c r="AH13" i="9"/>
  <c r="AH7" i="9"/>
  <c r="AH22" i="9"/>
  <c r="AH8" i="9"/>
  <c r="AH17" i="9"/>
  <c r="AH9" i="9"/>
  <c r="AH10" i="9"/>
  <c r="AH11" i="9"/>
  <c r="AH14" i="9"/>
  <c r="AH4" i="9"/>
  <c r="AH5" i="9"/>
  <c r="AH21" i="8"/>
  <c r="AH22" i="8"/>
  <c r="AH23" i="8"/>
  <c r="AH24" i="8"/>
  <c r="AH25" i="8"/>
  <c r="AH26" i="8"/>
  <c r="AH18" i="8"/>
  <c r="AH3" i="9"/>
  <c r="AH19" i="8"/>
  <c r="AH16" i="8"/>
  <c r="AH8" i="8"/>
  <c r="AH15" i="9"/>
  <c r="AH9" i="8"/>
  <c r="AH2" i="9"/>
  <c r="AH10" i="8"/>
  <c r="AH20" i="8"/>
  <c r="AH11" i="8"/>
  <c r="AH12" i="8"/>
  <c r="AH13" i="8"/>
  <c r="AH5" i="8"/>
  <c r="AH14" i="8"/>
  <c r="AH6" i="8"/>
  <c r="AH22" i="7"/>
  <c r="AH23" i="7"/>
  <c r="AH24" i="7"/>
  <c r="AH25" i="7"/>
  <c r="AH17" i="7"/>
  <c r="AH17" i="8"/>
  <c r="AH4" i="8"/>
  <c r="AH26" i="7"/>
  <c r="AH18" i="7"/>
  <c r="AH3" i="8"/>
  <c r="AH19" i="7"/>
  <c r="AH7" i="8"/>
  <c r="AH2" i="8"/>
  <c r="AH20" i="7"/>
  <c r="AI25" i="9"/>
  <c r="AI17" i="9"/>
  <c r="AI26" i="9"/>
  <c r="AI19" i="9"/>
  <c r="AI20" i="9"/>
  <c r="AI12" i="9"/>
  <c r="AI21" i="9"/>
  <c r="AI13" i="9"/>
  <c r="AI22" i="9"/>
  <c r="AI24" i="9"/>
  <c r="AI7" i="9"/>
  <c r="AI18" i="9"/>
  <c r="AI8" i="9"/>
  <c r="AI9" i="9"/>
  <c r="AI10" i="9"/>
  <c r="AI23" i="9"/>
  <c r="AI16" i="9"/>
  <c r="AI11" i="9"/>
  <c r="AI14" i="9"/>
  <c r="AI15" i="9"/>
  <c r="AI5" i="9"/>
  <c r="AI22" i="8"/>
  <c r="AI23" i="8"/>
  <c r="AI24" i="8"/>
  <c r="AI25" i="8"/>
  <c r="AI17" i="8"/>
  <c r="AI4" i="9"/>
  <c r="AI26" i="8"/>
  <c r="AI3" i="9"/>
  <c r="AI19" i="8"/>
  <c r="AI2" i="9"/>
  <c r="AI20" i="8"/>
  <c r="AI9" i="8"/>
  <c r="AI18" i="8"/>
  <c r="AI10" i="8"/>
  <c r="AI11" i="8"/>
  <c r="AI12" i="8"/>
  <c r="AI13" i="8"/>
  <c r="AI5" i="8"/>
  <c r="AI21" i="8"/>
  <c r="AI14" i="8"/>
  <c r="AI6" i="8"/>
  <c r="AI15" i="8"/>
  <c r="AI7" i="8"/>
  <c r="AI6" i="9"/>
  <c r="AI8" i="8"/>
  <c r="AI23" i="7"/>
  <c r="AI16" i="8"/>
  <c r="AI24" i="7"/>
  <c r="AI25" i="7"/>
  <c r="AI4" i="8"/>
  <c r="AI26" i="7"/>
  <c r="AI18" i="7"/>
  <c r="AI3" i="8"/>
  <c r="AI19" i="7"/>
  <c r="AI2" i="8"/>
  <c r="AI20" i="7"/>
  <c r="AI21" i="7"/>
  <c r="AJ26" i="9"/>
  <c r="AJ18" i="9"/>
  <c r="AJ20" i="9"/>
  <c r="AJ12" i="9"/>
  <c r="AJ21" i="9"/>
  <c r="AJ13" i="9"/>
  <c r="AJ22" i="9"/>
  <c r="AJ14" i="9"/>
  <c r="AJ23" i="9"/>
  <c r="AJ24" i="9"/>
  <c r="AJ25" i="9"/>
  <c r="AJ8" i="9"/>
  <c r="AJ9" i="9"/>
  <c r="AJ17" i="9"/>
  <c r="AJ10" i="9"/>
  <c r="AJ16" i="9"/>
  <c r="AJ11" i="9"/>
  <c r="AJ15" i="9"/>
  <c r="AJ6" i="9"/>
  <c r="AJ23" i="8"/>
  <c r="AJ24" i="8"/>
  <c r="AJ25" i="8"/>
  <c r="AJ4" i="9"/>
  <c r="AJ26" i="8"/>
  <c r="AJ18" i="8"/>
  <c r="AJ3" i="9"/>
  <c r="AJ19" i="8"/>
  <c r="AJ2" i="9"/>
  <c r="AJ20" i="8"/>
  <c r="AJ19" i="9"/>
  <c r="AJ7" i="9"/>
  <c r="AJ21" i="8"/>
  <c r="AJ10" i="8"/>
  <c r="AJ11" i="8"/>
  <c r="AJ12" i="8"/>
  <c r="AJ4" i="8"/>
  <c r="AJ5" i="9"/>
  <c r="AJ13" i="8"/>
  <c r="AJ5" i="8"/>
  <c r="AJ14" i="8"/>
  <c r="AJ6" i="8"/>
  <c r="AJ15" i="8"/>
  <c r="AJ7" i="8"/>
  <c r="AJ17" i="8"/>
  <c r="AJ16" i="8"/>
  <c r="AJ8" i="8"/>
  <c r="AJ24" i="7"/>
  <c r="AJ25" i="7"/>
  <c r="AJ17" i="7"/>
  <c r="AJ9" i="8"/>
  <c r="AJ26" i="7"/>
  <c r="AJ3" i="8"/>
  <c r="AJ19" i="7"/>
  <c r="AJ2" i="8"/>
  <c r="AJ20" i="7"/>
  <c r="AJ21" i="7"/>
  <c r="AJ22" i="8"/>
  <c r="AJ22" i="7"/>
  <c r="AJ14" i="7"/>
  <c r="AK19" i="9"/>
  <c r="AK21" i="9"/>
  <c r="AK13" i="9"/>
  <c r="AK22" i="9"/>
  <c r="AK14" i="9"/>
  <c r="AK23" i="9"/>
  <c r="AK15" i="9"/>
  <c r="AK24" i="9"/>
  <c r="AK16" i="9"/>
  <c r="AK25" i="9"/>
  <c r="AK26" i="9"/>
  <c r="AK18" i="9"/>
  <c r="AK9" i="9"/>
  <c r="AK17" i="9"/>
  <c r="AK10" i="9"/>
  <c r="AK11" i="9"/>
  <c r="AK20" i="9"/>
  <c r="AK6" i="9"/>
  <c r="AK12" i="9"/>
  <c r="AK7" i="9"/>
  <c r="AK8" i="9"/>
  <c r="AK24" i="8"/>
  <c r="AK25" i="8"/>
  <c r="AK4" i="9"/>
  <c r="AK26" i="8"/>
  <c r="AK18" i="8"/>
  <c r="AK3" i="9"/>
  <c r="AK19" i="8"/>
  <c r="AK2" i="9"/>
  <c r="AK20" i="8"/>
  <c r="AK21" i="8"/>
  <c r="AK5" i="9"/>
  <c r="AK22" i="8"/>
  <c r="AK11" i="8"/>
  <c r="AK23" i="8"/>
  <c r="AK12" i="8"/>
  <c r="AK13" i="8"/>
  <c r="AK5" i="8"/>
  <c r="AK14" i="8"/>
  <c r="AK6" i="8"/>
  <c r="AK15" i="8"/>
  <c r="AK7" i="8"/>
  <c r="AK17" i="8"/>
  <c r="AK16" i="8"/>
  <c r="AK8" i="8"/>
  <c r="AK9" i="8"/>
  <c r="AK25" i="7"/>
  <c r="AK26" i="7"/>
  <c r="AK18" i="7"/>
  <c r="AK4" i="8"/>
  <c r="AK3" i="8"/>
  <c r="AK19" i="7"/>
  <c r="AK2" i="8"/>
  <c r="AK20" i="7"/>
  <c r="AK10" i="8"/>
  <c r="AK21" i="7"/>
  <c r="AK22" i="7"/>
  <c r="AK23" i="7"/>
  <c r="AK15" i="7"/>
  <c r="AL20" i="9"/>
  <c r="AL21" i="9"/>
  <c r="AL22" i="9"/>
  <c r="AL14" i="9"/>
  <c r="AL23" i="9"/>
  <c r="AL15" i="9"/>
  <c r="AL24" i="9"/>
  <c r="AL16" i="9"/>
  <c r="AL25" i="9"/>
  <c r="AL17" i="9"/>
  <c r="AL26" i="9"/>
  <c r="AL13" i="9"/>
  <c r="AL10" i="9"/>
  <c r="AL11" i="9"/>
  <c r="AL6" i="9"/>
  <c r="AL12" i="9"/>
  <c r="AL7" i="9"/>
  <c r="AL19" i="9"/>
  <c r="AL8" i="9"/>
  <c r="AL18" i="9"/>
  <c r="AL25" i="8"/>
  <c r="AL4" i="9"/>
  <c r="AL26" i="8"/>
  <c r="AL18" i="8"/>
  <c r="AL9" i="9"/>
  <c r="AL3" i="9"/>
  <c r="AL19" i="8"/>
  <c r="AL2" i="9"/>
  <c r="AL20" i="8"/>
  <c r="AL21" i="8"/>
  <c r="AL5" i="9"/>
  <c r="AL22" i="8"/>
  <c r="AL23" i="8"/>
  <c r="AL12" i="8"/>
  <c r="AL13" i="8"/>
  <c r="AL5" i="8"/>
  <c r="AL14" i="8"/>
  <c r="AL6" i="8"/>
  <c r="AL24" i="8"/>
  <c r="AL15" i="8"/>
  <c r="AL7" i="8"/>
  <c r="AL17" i="8"/>
  <c r="AL16" i="8"/>
  <c r="AL8" i="8"/>
  <c r="AL9" i="8"/>
  <c r="AL10" i="8"/>
  <c r="AL2" i="8"/>
  <c r="AL26" i="7"/>
  <c r="AL18" i="7"/>
  <c r="AL4" i="8"/>
  <c r="AL3" i="8"/>
  <c r="AL19" i="7"/>
  <c r="AL20" i="7"/>
  <c r="AL21" i="7"/>
  <c r="AL22" i="7"/>
  <c r="AL23" i="7"/>
  <c r="AL11" i="8"/>
  <c r="AL24" i="7"/>
  <c r="AL16" i="7"/>
  <c r="AM21" i="9"/>
  <c r="AM22" i="9"/>
  <c r="AM23" i="9"/>
  <c r="AM15" i="9"/>
  <c r="AM24" i="9"/>
  <c r="AM16" i="9"/>
  <c r="AM25" i="9"/>
  <c r="AM17" i="9"/>
  <c r="AM26" i="9"/>
  <c r="AM18" i="9"/>
  <c r="AM11" i="9"/>
  <c r="AM6" i="9"/>
  <c r="AM20" i="9"/>
  <c r="AM14" i="9"/>
  <c r="AM12" i="9"/>
  <c r="AM7" i="9"/>
  <c r="AM19" i="9"/>
  <c r="AM8" i="9"/>
  <c r="AM9" i="9"/>
  <c r="AM4" i="9"/>
  <c r="AM26" i="8"/>
  <c r="AM18" i="8"/>
  <c r="AM3" i="9"/>
  <c r="AM19" i="8"/>
  <c r="AM2" i="9"/>
  <c r="AM20" i="8"/>
  <c r="AM21" i="8"/>
  <c r="AM10" i="9"/>
  <c r="AM5" i="9"/>
  <c r="AM22" i="8"/>
  <c r="AM13" i="9"/>
  <c r="AM23" i="8"/>
  <c r="AM24" i="8"/>
  <c r="AM16" i="8"/>
  <c r="AM13" i="8"/>
  <c r="AM5" i="8"/>
  <c r="AM14" i="8"/>
  <c r="AM6" i="8"/>
  <c r="AM15" i="8"/>
  <c r="AM7" i="8"/>
  <c r="AM17" i="8"/>
  <c r="AM8" i="8"/>
  <c r="AM9" i="8"/>
  <c r="AM25" i="8"/>
  <c r="AM10" i="8"/>
  <c r="AM11" i="8"/>
  <c r="AM3" i="8"/>
  <c r="AM12" i="8"/>
  <c r="AM4" i="8"/>
  <c r="AM19" i="7"/>
  <c r="AM20" i="7"/>
  <c r="AM2" i="8"/>
  <c r="AM21" i="7"/>
  <c r="AM22" i="7"/>
  <c r="AM23" i="7"/>
  <c r="AM24" i="7"/>
  <c r="AM25" i="7"/>
  <c r="AM17" i="7"/>
  <c r="AN22" i="9"/>
  <c r="AN14" i="9"/>
  <c r="AN23" i="9"/>
  <c r="AN24" i="9"/>
  <c r="AN16" i="9"/>
  <c r="AN25" i="9"/>
  <c r="AN17" i="9"/>
  <c r="AN26" i="9"/>
  <c r="AN18" i="9"/>
  <c r="AN19" i="9"/>
  <c r="AN21" i="9"/>
  <c r="AN20" i="9"/>
  <c r="AN12" i="9"/>
  <c r="AN7" i="9"/>
  <c r="AN15" i="9"/>
  <c r="AN8" i="9"/>
  <c r="AN9" i="9"/>
  <c r="AN13" i="9"/>
  <c r="AN10" i="9"/>
  <c r="AN2" i="9"/>
  <c r="AN3" i="9"/>
  <c r="AN19" i="8"/>
  <c r="AN20" i="8"/>
  <c r="AN21" i="8"/>
  <c r="AN5" i="9"/>
  <c r="AN22" i="8"/>
  <c r="AN23" i="8"/>
  <c r="AN24" i="8"/>
  <c r="AN11" i="9"/>
  <c r="AN6" i="9"/>
  <c r="AN25" i="8"/>
  <c r="AN17" i="8"/>
  <c r="AN18" i="8"/>
  <c r="AN14" i="8"/>
  <c r="AN6" i="8"/>
  <c r="AN15" i="8"/>
  <c r="AN7" i="8"/>
  <c r="AN8" i="8"/>
  <c r="AN16" i="8"/>
  <c r="AN9" i="8"/>
  <c r="AN10" i="8"/>
  <c r="AN11" i="8"/>
  <c r="AN12" i="8"/>
  <c r="AN4" i="8"/>
  <c r="AN3" i="8"/>
  <c r="AN20" i="7"/>
  <c r="AN4" i="9"/>
  <c r="AN5" i="8"/>
  <c r="AN2" i="8"/>
  <c r="AN21" i="7"/>
  <c r="AN13" i="8"/>
  <c r="AN22" i="7"/>
  <c r="AN26" i="8"/>
  <c r="AN23" i="7"/>
  <c r="AN24" i="7"/>
  <c r="AN25" i="7"/>
  <c r="AN26" i="7"/>
  <c r="AN18" i="7"/>
  <c r="AO23" i="9"/>
  <c r="AO15" i="9"/>
  <c r="AO24" i="9"/>
  <c r="AO25" i="9"/>
  <c r="AO17" i="9"/>
  <c r="AO26" i="9"/>
  <c r="AO18" i="9"/>
  <c r="AO19" i="9"/>
  <c r="AO20" i="9"/>
  <c r="AO22" i="9"/>
  <c r="AO5" i="9"/>
  <c r="AO21" i="9"/>
  <c r="AO16" i="9"/>
  <c r="AO12" i="9"/>
  <c r="AO7" i="9"/>
  <c r="AO14" i="9"/>
  <c r="AO8" i="9"/>
  <c r="AO9" i="9"/>
  <c r="AO13" i="9"/>
  <c r="AO10" i="9"/>
  <c r="AO11" i="9"/>
  <c r="AO3" i="9"/>
  <c r="AO20" i="8"/>
  <c r="AO2" i="9"/>
  <c r="AO21" i="8"/>
  <c r="AO22" i="8"/>
  <c r="AO23" i="8"/>
  <c r="AO24" i="8"/>
  <c r="AO6" i="9"/>
  <c r="AO25" i="8"/>
  <c r="AO4" i="9"/>
  <c r="AO26" i="8"/>
  <c r="AO18" i="8"/>
  <c r="AO19" i="8"/>
  <c r="AO15" i="8"/>
  <c r="AO7" i="8"/>
  <c r="AO8" i="8"/>
  <c r="AO17" i="8"/>
  <c r="AO16" i="8"/>
  <c r="AO9" i="8"/>
  <c r="AO10" i="8"/>
  <c r="AO11" i="8"/>
  <c r="AO12" i="8"/>
  <c r="AO13" i="8"/>
  <c r="AO5" i="8"/>
  <c r="AO2" i="8"/>
  <c r="AO21" i="7"/>
  <c r="AO22" i="7"/>
  <c r="AO23" i="7"/>
  <c r="AO6" i="8"/>
  <c r="AO24" i="7"/>
  <c r="AO14" i="8"/>
  <c r="AO25" i="7"/>
  <c r="AO26" i="7"/>
  <c r="AO18" i="7"/>
  <c r="AO19" i="7"/>
  <c r="AP24" i="9"/>
  <c r="AP16" i="9"/>
  <c r="AP25" i="9"/>
  <c r="AP26" i="9"/>
  <c r="AP18" i="9"/>
  <c r="AP19" i="9"/>
  <c r="AP20" i="9"/>
  <c r="AP12" i="9"/>
  <c r="AP21" i="9"/>
  <c r="AP23" i="9"/>
  <c r="AP17" i="9"/>
  <c r="AP6" i="9"/>
  <c r="AP22" i="9"/>
  <c r="AP7" i="9"/>
  <c r="AP14" i="9"/>
  <c r="AP8" i="9"/>
  <c r="AP15" i="9"/>
  <c r="AP9" i="9"/>
  <c r="AP13" i="9"/>
  <c r="AP10" i="9"/>
  <c r="AP11" i="9"/>
  <c r="AP4" i="9"/>
  <c r="AP2" i="9"/>
  <c r="AP21" i="8"/>
  <c r="AP22" i="8"/>
  <c r="AP5" i="9"/>
  <c r="AP23" i="8"/>
  <c r="AP24" i="8"/>
  <c r="AP25" i="8"/>
  <c r="AP26" i="8"/>
  <c r="AP18" i="8"/>
  <c r="AP19" i="8"/>
  <c r="AP8" i="8"/>
  <c r="AP17" i="8"/>
  <c r="AP16" i="8"/>
  <c r="AP9" i="8"/>
  <c r="AP20" i="8"/>
  <c r="AP10" i="8"/>
  <c r="AP11" i="8"/>
  <c r="AP3" i="9"/>
  <c r="AP12" i="8"/>
  <c r="AP4" i="8"/>
  <c r="AP13" i="8"/>
  <c r="AP5" i="8"/>
  <c r="AP14" i="8"/>
  <c r="AP6" i="8"/>
  <c r="AP22" i="7"/>
  <c r="AP23" i="7"/>
  <c r="AP24" i="7"/>
  <c r="AP25" i="7"/>
  <c r="AP17" i="7"/>
  <c r="AP26" i="7"/>
  <c r="AP18" i="7"/>
  <c r="AP7" i="8"/>
  <c r="AP19" i="7"/>
  <c r="AP15" i="8"/>
  <c r="AP3" i="8"/>
  <c r="AP20" i="7"/>
  <c r="AQ25" i="9"/>
  <c r="AQ17" i="9"/>
  <c r="AQ26" i="9"/>
  <c r="AQ19" i="9"/>
  <c r="AQ20" i="9"/>
  <c r="AQ12" i="9"/>
  <c r="AQ21" i="9"/>
  <c r="AQ13" i="9"/>
  <c r="AQ22" i="9"/>
  <c r="AQ24" i="9"/>
  <c r="AQ7" i="9"/>
  <c r="AQ16" i="9"/>
  <c r="AQ14" i="9"/>
  <c r="AQ8" i="9"/>
  <c r="AQ15" i="9"/>
  <c r="AQ9" i="9"/>
  <c r="AQ23" i="9"/>
  <c r="AQ10" i="9"/>
  <c r="AQ11" i="9"/>
  <c r="AQ18" i="9"/>
  <c r="AQ5" i="9"/>
  <c r="AQ22" i="8"/>
  <c r="AQ23" i="8"/>
  <c r="AQ24" i="8"/>
  <c r="AQ25" i="8"/>
  <c r="AQ17" i="8"/>
  <c r="AQ6" i="9"/>
  <c r="AQ26" i="8"/>
  <c r="AQ4" i="9"/>
  <c r="AQ19" i="8"/>
  <c r="AQ3" i="9"/>
  <c r="AQ20" i="8"/>
  <c r="AQ16" i="8"/>
  <c r="AQ9" i="8"/>
  <c r="AQ2" i="9"/>
  <c r="AQ10" i="8"/>
  <c r="AQ11" i="8"/>
  <c r="AQ12" i="8"/>
  <c r="AQ21" i="8"/>
  <c r="AQ13" i="8"/>
  <c r="AQ5" i="8"/>
  <c r="AQ14" i="8"/>
  <c r="AQ6" i="8"/>
  <c r="AQ15" i="8"/>
  <c r="AQ7" i="8"/>
  <c r="AQ23" i="7"/>
  <c r="AQ18" i="8"/>
  <c r="AQ24" i="7"/>
  <c r="AQ25" i="7"/>
  <c r="AQ26" i="7"/>
  <c r="AQ18" i="7"/>
  <c r="AQ19" i="7"/>
  <c r="AQ3" i="8"/>
  <c r="AQ20" i="7"/>
  <c r="AQ4" i="8"/>
  <c r="AQ2" i="8"/>
  <c r="AQ21" i="7"/>
  <c r="AR26" i="9"/>
  <c r="AR18" i="9"/>
  <c r="AR20" i="9"/>
  <c r="AR12" i="9"/>
  <c r="AR21" i="9"/>
  <c r="AR13" i="9"/>
  <c r="AR22" i="9"/>
  <c r="AR14" i="9"/>
  <c r="AR23" i="9"/>
  <c r="AR15" i="9"/>
  <c r="AR24" i="9"/>
  <c r="AR25" i="9"/>
  <c r="AR16" i="9"/>
  <c r="AR8" i="9"/>
  <c r="AR9" i="9"/>
  <c r="AR10" i="9"/>
  <c r="AR11" i="9"/>
  <c r="AR19" i="9"/>
  <c r="AR6" i="9"/>
  <c r="AR23" i="8"/>
  <c r="AR5" i="9"/>
  <c r="AR24" i="8"/>
  <c r="AR17" i="9"/>
  <c r="AR25" i="8"/>
  <c r="AR26" i="8"/>
  <c r="AR18" i="8"/>
  <c r="AR4" i="9"/>
  <c r="AR19" i="8"/>
  <c r="AR7" i="9"/>
  <c r="AR3" i="9"/>
  <c r="AR20" i="8"/>
  <c r="AR2" i="9"/>
  <c r="AR21" i="8"/>
  <c r="AR17" i="8"/>
  <c r="AR10" i="8"/>
  <c r="AR11" i="8"/>
  <c r="AR12" i="8"/>
  <c r="AR4" i="8"/>
  <c r="AR13" i="8"/>
  <c r="AR5" i="8"/>
  <c r="AR14" i="8"/>
  <c r="AR6" i="8"/>
  <c r="AR15" i="8"/>
  <c r="AR7" i="8"/>
  <c r="AR22" i="8"/>
  <c r="AR8" i="8"/>
  <c r="AR16" i="8"/>
  <c r="AR24" i="7"/>
  <c r="AR9" i="8"/>
  <c r="AR25" i="7"/>
  <c r="AR17" i="7"/>
  <c r="AR26" i="7"/>
  <c r="AR18" i="7"/>
  <c r="AR19" i="7"/>
  <c r="AR3" i="8"/>
  <c r="AR20" i="7"/>
  <c r="AR2" i="8"/>
  <c r="AR21" i="7"/>
  <c r="AR22" i="7"/>
  <c r="AR14" i="7"/>
  <c r="AS19" i="9"/>
  <c r="AS21" i="9"/>
  <c r="AS13" i="9"/>
  <c r="AS22" i="9"/>
  <c r="AS14" i="9"/>
  <c r="AS23" i="9"/>
  <c r="AS15" i="9"/>
  <c r="AS24" i="9"/>
  <c r="AS16" i="9"/>
  <c r="AS25" i="9"/>
  <c r="AS26" i="9"/>
  <c r="AS9" i="9"/>
  <c r="AS12" i="9"/>
  <c r="AS10" i="9"/>
  <c r="AS20" i="9"/>
  <c r="AS11" i="9"/>
  <c r="AS18" i="9"/>
  <c r="AS6" i="9"/>
  <c r="AS17" i="9"/>
  <c r="AS7" i="9"/>
  <c r="AS5" i="9"/>
  <c r="AS24" i="8"/>
  <c r="AS25" i="8"/>
  <c r="AS26" i="8"/>
  <c r="AS18" i="8"/>
  <c r="AS4" i="9"/>
  <c r="AS19" i="8"/>
  <c r="AS3" i="9"/>
  <c r="AS20" i="8"/>
  <c r="AS2" i="9"/>
  <c r="AS21" i="8"/>
  <c r="AS22" i="8"/>
  <c r="AS23" i="8"/>
  <c r="AS11" i="8"/>
  <c r="AS12" i="8"/>
  <c r="AS13" i="8"/>
  <c r="AS5" i="8"/>
  <c r="AS14" i="8"/>
  <c r="AS6" i="8"/>
  <c r="AS15" i="8"/>
  <c r="AS7" i="8"/>
  <c r="AS8" i="9"/>
  <c r="AS8" i="8"/>
  <c r="AS16" i="8"/>
  <c r="AS9" i="8"/>
  <c r="AS25" i="7"/>
  <c r="AS26" i="7"/>
  <c r="AS18" i="7"/>
  <c r="AS19" i="7"/>
  <c r="AS17" i="8"/>
  <c r="AS10" i="8"/>
  <c r="AS3" i="8"/>
  <c r="AS20" i="7"/>
  <c r="AS2" i="8"/>
  <c r="AS21" i="7"/>
  <c r="AS4" i="8"/>
  <c r="AS22" i="7"/>
  <c r="AS23" i="7"/>
  <c r="AS15" i="7"/>
  <c r="AT20" i="9"/>
  <c r="AT21" i="9"/>
  <c r="AT22" i="9"/>
  <c r="AT14" i="9"/>
  <c r="AT23" i="9"/>
  <c r="AT15" i="9"/>
  <c r="AT24" i="9"/>
  <c r="AT16" i="9"/>
  <c r="AT25" i="9"/>
  <c r="AT17" i="9"/>
  <c r="AT26" i="9"/>
  <c r="AT12" i="9"/>
  <c r="AT10" i="9"/>
  <c r="AT11" i="9"/>
  <c r="AT19" i="9"/>
  <c r="AT13" i="9"/>
  <c r="AT18" i="9"/>
  <c r="AT6" i="9"/>
  <c r="AT7" i="9"/>
  <c r="AT8" i="9"/>
  <c r="AT25" i="8"/>
  <c r="AT17" i="8"/>
  <c r="AT9" i="9"/>
  <c r="AT26" i="8"/>
  <c r="AT18" i="8"/>
  <c r="AT4" i="9"/>
  <c r="AT19" i="8"/>
  <c r="AT3" i="9"/>
  <c r="AT20" i="8"/>
  <c r="AT2" i="9"/>
  <c r="AT21" i="8"/>
  <c r="AT22" i="8"/>
  <c r="AT23" i="8"/>
  <c r="AT12" i="8"/>
  <c r="AT13" i="8"/>
  <c r="AT5" i="8"/>
  <c r="AT5" i="9"/>
  <c r="AT24" i="8"/>
  <c r="AT14" i="8"/>
  <c r="AT6" i="8"/>
  <c r="AT15" i="8"/>
  <c r="AT7" i="8"/>
  <c r="AT8" i="8"/>
  <c r="AT16" i="8"/>
  <c r="AT9" i="8"/>
  <c r="AT10" i="8"/>
  <c r="AT2" i="8"/>
  <c r="AT26" i="7"/>
  <c r="AT18" i="7"/>
  <c r="AT19" i="7"/>
  <c r="AT3" i="8"/>
  <c r="AT20" i="7"/>
  <c r="AT21" i="7"/>
  <c r="AT4" i="8"/>
  <c r="AT22" i="7"/>
  <c r="AT11" i="8"/>
  <c r="AT23" i="7"/>
  <c r="AT24" i="7"/>
  <c r="AT16" i="7"/>
  <c r="AU21" i="9"/>
  <c r="AU22" i="9"/>
  <c r="AU23" i="9"/>
  <c r="AU15" i="9"/>
  <c r="AU24" i="9"/>
  <c r="AU16" i="9"/>
  <c r="AU25" i="9"/>
  <c r="AU17" i="9"/>
  <c r="AU26" i="9"/>
  <c r="AU18" i="9"/>
  <c r="AU14" i="9"/>
  <c r="AU11" i="9"/>
  <c r="AU20" i="9"/>
  <c r="AU19" i="9"/>
  <c r="AU13" i="9"/>
  <c r="AU6" i="9"/>
  <c r="AU7" i="9"/>
  <c r="AU8" i="9"/>
  <c r="AU9" i="9"/>
  <c r="AU12" i="9"/>
  <c r="AU26" i="8"/>
  <c r="AU18" i="8"/>
  <c r="AU4" i="9"/>
  <c r="AU19" i="8"/>
  <c r="AU3" i="9"/>
  <c r="AU20" i="8"/>
  <c r="AU10" i="9"/>
  <c r="AU2" i="9"/>
  <c r="AU21" i="8"/>
  <c r="AU22" i="8"/>
  <c r="AU23" i="8"/>
  <c r="AU5" i="9"/>
  <c r="AU24" i="8"/>
  <c r="AU16" i="8"/>
  <c r="AU13" i="8"/>
  <c r="AU5" i="8"/>
  <c r="AU14" i="8"/>
  <c r="AU6" i="8"/>
  <c r="AU15" i="8"/>
  <c r="AU7" i="8"/>
  <c r="AU8" i="8"/>
  <c r="AU25" i="8"/>
  <c r="AU9" i="8"/>
  <c r="AU10" i="8"/>
  <c r="AU17" i="8"/>
  <c r="AU11" i="8"/>
  <c r="AU3" i="8"/>
  <c r="AU19" i="7"/>
  <c r="AU20" i="7"/>
  <c r="AU21" i="7"/>
  <c r="AU4" i="8"/>
  <c r="AU2" i="8"/>
  <c r="AU22" i="7"/>
  <c r="AU23" i="7"/>
  <c r="AU24" i="7"/>
  <c r="AU25" i="7"/>
  <c r="AU17" i="7"/>
  <c r="AV22" i="9"/>
  <c r="AV14" i="9"/>
  <c r="AV23" i="9"/>
  <c r="AV24" i="9"/>
  <c r="AV16" i="9"/>
  <c r="AV25" i="9"/>
  <c r="AV17" i="9"/>
  <c r="AV26" i="9"/>
  <c r="AV18" i="9"/>
  <c r="AV19" i="9"/>
  <c r="AV20" i="9"/>
  <c r="AV4" i="9"/>
  <c r="AV21" i="9"/>
  <c r="AV15" i="9"/>
  <c r="AV13" i="9"/>
  <c r="AV7" i="9"/>
  <c r="AV8" i="9"/>
  <c r="AV9" i="9"/>
  <c r="AV12" i="9"/>
  <c r="AV10" i="9"/>
  <c r="AV2" i="9"/>
  <c r="AV19" i="8"/>
  <c r="AV3" i="9"/>
  <c r="AV20" i="8"/>
  <c r="AV21" i="8"/>
  <c r="AV6" i="9"/>
  <c r="AV22" i="8"/>
  <c r="AV23" i="8"/>
  <c r="AV11" i="9"/>
  <c r="AV5" i="9"/>
  <c r="AV24" i="8"/>
  <c r="AV25" i="8"/>
  <c r="AV17" i="8"/>
  <c r="AV14" i="8"/>
  <c r="AV6" i="8"/>
  <c r="AV15" i="8"/>
  <c r="AV7" i="8"/>
  <c r="AV8" i="8"/>
  <c r="AV9" i="8"/>
  <c r="AV16" i="8"/>
  <c r="AV10" i="8"/>
  <c r="AV11" i="8"/>
  <c r="AV26" i="8"/>
  <c r="AV18" i="8"/>
  <c r="AV12" i="8"/>
  <c r="AV4" i="8"/>
  <c r="AV5" i="8"/>
  <c r="AV20" i="7"/>
  <c r="AV13" i="8"/>
  <c r="AV3" i="8"/>
  <c r="AV21" i="7"/>
  <c r="AV2" i="8"/>
  <c r="AV22" i="7"/>
  <c r="AV23" i="7"/>
  <c r="AV24" i="7"/>
  <c r="AV25" i="7"/>
  <c r="AV26" i="7"/>
  <c r="AV18" i="7"/>
  <c r="AW23" i="9"/>
  <c r="AW15" i="9"/>
  <c r="AW24" i="9"/>
  <c r="AW25" i="9"/>
  <c r="AW17" i="9"/>
  <c r="AW26" i="9"/>
  <c r="AW18" i="9"/>
  <c r="AW19" i="9"/>
  <c r="AW20" i="9"/>
  <c r="AW22" i="9"/>
  <c r="AW21" i="9"/>
  <c r="AW13" i="9"/>
  <c r="AW5" i="9"/>
  <c r="AW6" i="9"/>
  <c r="AW7" i="9"/>
  <c r="AW8" i="9"/>
  <c r="AW9" i="9"/>
  <c r="AW12" i="9"/>
  <c r="AW10" i="9"/>
  <c r="AW11" i="9"/>
  <c r="AW3" i="9"/>
  <c r="AW4" i="9"/>
  <c r="AW20" i="8"/>
  <c r="AW14" i="9"/>
  <c r="AW21" i="8"/>
  <c r="AW2" i="9"/>
  <c r="AW22" i="8"/>
  <c r="AW23" i="8"/>
  <c r="AW16" i="9"/>
  <c r="AW24" i="8"/>
  <c r="AW25" i="8"/>
  <c r="AW17" i="8"/>
  <c r="AW26" i="8"/>
  <c r="AW18" i="8"/>
  <c r="AW15" i="8"/>
  <c r="AW7" i="8"/>
  <c r="AW8" i="8"/>
  <c r="AW9" i="8"/>
  <c r="AW16" i="8"/>
  <c r="AW10" i="8"/>
  <c r="AW11" i="8"/>
  <c r="AW12" i="8"/>
  <c r="AW13" i="8"/>
  <c r="AW5" i="8"/>
  <c r="AW19" i="8"/>
  <c r="AW3" i="8"/>
  <c r="AW21" i="7"/>
  <c r="AW2" i="8"/>
  <c r="AW22" i="7"/>
  <c r="AW6" i="8"/>
  <c r="AW4" i="8"/>
  <c r="AW23" i="7"/>
  <c r="AW14" i="8"/>
  <c r="AW24" i="7"/>
  <c r="AW16" i="7"/>
  <c r="AW25" i="7"/>
  <c r="AW26" i="7"/>
  <c r="AW18" i="7"/>
  <c r="AW19" i="7"/>
  <c r="AX24" i="9"/>
  <c r="AX16" i="9"/>
  <c r="AX25" i="9"/>
  <c r="AX26" i="9"/>
  <c r="AX18" i="9"/>
  <c r="AX19" i="9"/>
  <c r="AX20" i="9"/>
  <c r="AX12" i="9"/>
  <c r="AX21" i="9"/>
  <c r="AX23" i="9"/>
  <c r="AX22" i="9"/>
  <c r="AX15" i="9"/>
  <c r="AX6" i="9"/>
  <c r="AX7" i="9"/>
  <c r="AX8" i="9"/>
  <c r="AX9" i="9"/>
  <c r="AX10" i="9"/>
  <c r="AX17" i="9"/>
  <c r="AX11" i="9"/>
  <c r="AX14" i="9"/>
  <c r="AX4" i="9"/>
  <c r="AX3" i="9"/>
  <c r="AX21" i="8"/>
  <c r="AX2" i="9"/>
  <c r="AX22" i="8"/>
  <c r="AX23" i="8"/>
  <c r="AX24" i="8"/>
  <c r="AX13" i="9"/>
  <c r="AX5" i="9"/>
  <c r="AX25" i="8"/>
  <c r="AX26" i="8"/>
  <c r="AX18" i="8"/>
  <c r="AX19" i="8"/>
  <c r="AX8" i="8"/>
  <c r="AX20" i="8"/>
  <c r="AX9" i="8"/>
  <c r="AX16" i="8"/>
  <c r="AX10" i="8"/>
  <c r="AX11" i="8"/>
  <c r="AX12" i="8"/>
  <c r="AX4" i="8"/>
  <c r="AX17" i="8"/>
  <c r="AX13" i="8"/>
  <c r="AX5" i="8"/>
  <c r="AX14" i="8"/>
  <c r="AX6" i="8"/>
  <c r="AX2" i="8"/>
  <c r="AX22" i="7"/>
  <c r="AX23" i="7"/>
  <c r="AX24" i="7"/>
  <c r="AX25" i="7"/>
  <c r="AX17" i="7"/>
  <c r="AX7" i="8"/>
  <c r="AX26" i="7"/>
  <c r="AX18" i="7"/>
  <c r="AX15" i="8"/>
  <c r="AX19" i="7"/>
  <c r="AX20" i="7"/>
  <c r="AY25" i="9"/>
  <c r="AY17" i="9"/>
  <c r="AY26" i="9"/>
  <c r="AY19" i="9"/>
  <c r="AY20" i="9"/>
  <c r="AY12" i="9"/>
  <c r="AY21" i="9"/>
  <c r="AY13" i="9"/>
  <c r="AY22" i="9"/>
  <c r="AY24" i="9"/>
  <c r="AY7" i="9"/>
  <c r="AY8" i="9"/>
  <c r="AY23" i="9"/>
  <c r="AY9" i="9"/>
  <c r="AY18" i="9"/>
  <c r="AY10" i="9"/>
  <c r="AY11" i="9"/>
  <c r="AY14" i="9"/>
  <c r="AY16" i="9"/>
  <c r="AY5" i="9"/>
  <c r="AY2" i="9"/>
  <c r="AY22" i="8"/>
  <c r="AY23" i="8"/>
  <c r="AY6" i="9"/>
  <c r="AY24" i="8"/>
  <c r="AY25" i="8"/>
  <c r="AY17" i="8"/>
  <c r="AY26" i="8"/>
  <c r="AY19" i="8"/>
  <c r="AY15" i="9"/>
  <c r="AY20" i="8"/>
  <c r="AY9" i="8"/>
  <c r="AY16" i="8"/>
  <c r="AY10" i="8"/>
  <c r="AY11" i="8"/>
  <c r="AY3" i="9"/>
  <c r="AY21" i="8"/>
  <c r="AY12" i="8"/>
  <c r="AY4" i="8"/>
  <c r="AY13" i="8"/>
  <c r="AY5" i="8"/>
  <c r="AY18" i="8"/>
  <c r="AY14" i="8"/>
  <c r="AY6" i="8"/>
  <c r="AY4" i="9"/>
  <c r="AY15" i="8"/>
  <c r="AY7" i="8"/>
  <c r="AY23" i="7"/>
  <c r="AY24" i="7"/>
  <c r="AY25" i="7"/>
  <c r="AY26" i="7"/>
  <c r="AY18" i="7"/>
  <c r="AY19" i="7"/>
  <c r="AY20" i="7"/>
  <c r="AY8" i="8"/>
  <c r="AY3" i="8"/>
  <c r="AY21" i="7"/>
  <c r="BE2" i="4"/>
  <c r="BE10" i="4"/>
  <c r="BE26" i="4"/>
  <c r="BE9" i="5"/>
  <c r="BE17" i="5"/>
  <c r="BE25" i="5"/>
  <c r="BE8" i="6"/>
  <c r="BE16" i="6"/>
  <c r="BE24" i="6"/>
  <c r="J2" i="7"/>
  <c r="V2" i="7"/>
  <c r="AD2" i="7"/>
  <c r="AL2" i="7"/>
  <c r="AT2" i="7"/>
  <c r="M3" i="7"/>
  <c r="W3" i="7"/>
  <c r="AE3" i="7"/>
  <c r="AM3" i="7"/>
  <c r="AU3" i="7"/>
  <c r="D4" i="7"/>
  <c r="N4" i="7"/>
  <c r="X4" i="7"/>
  <c r="AF4" i="7"/>
  <c r="AN4" i="7"/>
  <c r="AV4" i="7"/>
  <c r="E5" i="7"/>
  <c r="O5" i="7"/>
  <c r="Y5" i="7"/>
  <c r="AG5" i="7"/>
  <c r="AO5" i="7"/>
  <c r="AW5" i="7"/>
  <c r="F6" i="7"/>
  <c r="P6" i="7"/>
  <c r="Z6" i="7"/>
  <c r="AH6" i="7"/>
  <c r="AP6" i="7"/>
  <c r="AX6" i="7"/>
  <c r="G7" i="7"/>
  <c r="Q7" i="7"/>
  <c r="AA7" i="7"/>
  <c r="AI7" i="7"/>
  <c r="AQ7" i="7"/>
  <c r="AY7" i="7"/>
  <c r="H8" i="7"/>
  <c r="R8" i="7"/>
  <c r="AB8" i="7"/>
  <c r="AJ8" i="7"/>
  <c r="AR8" i="7"/>
  <c r="I9" i="7"/>
  <c r="S9" i="7"/>
  <c r="AC9" i="7"/>
  <c r="AK9" i="7"/>
  <c r="AS9" i="7"/>
  <c r="J10" i="7"/>
  <c r="V10" i="7"/>
  <c r="AD10" i="7"/>
  <c r="AL10" i="7"/>
  <c r="AT10" i="7"/>
  <c r="M11" i="7"/>
  <c r="W11" i="7"/>
  <c r="AE11" i="7"/>
  <c r="AM11" i="7"/>
  <c r="AU11" i="7"/>
  <c r="D12" i="7"/>
  <c r="N12" i="7"/>
  <c r="X12" i="7"/>
  <c r="AF12" i="7"/>
  <c r="AN12" i="7"/>
  <c r="AV12" i="7"/>
  <c r="E13" i="7"/>
  <c r="O13" i="7"/>
  <c r="Y13" i="7"/>
  <c r="AG13" i="7"/>
  <c r="AO13" i="7"/>
  <c r="AW13" i="7"/>
  <c r="F14" i="7"/>
  <c r="P14" i="7"/>
  <c r="AA14" i="7"/>
  <c r="AK14" i="7"/>
  <c r="AT14" i="7"/>
  <c r="D15" i="7"/>
  <c r="O15" i="7"/>
  <c r="Z15" i="7"/>
  <c r="AI15" i="7"/>
  <c r="AR15" i="7"/>
  <c r="N16" i="7"/>
  <c r="Y16" i="7"/>
  <c r="AH16" i="7"/>
  <c r="AQ16" i="7"/>
  <c r="Q17" i="7"/>
  <c r="AF17" i="7"/>
  <c r="AS17" i="7"/>
  <c r="F18" i="7"/>
  <c r="AE18" i="7"/>
  <c r="AN19" i="7"/>
  <c r="F21" i="7"/>
  <c r="AA22" i="7"/>
  <c r="AR23" i="7"/>
  <c r="J25" i="7"/>
  <c r="AE26" i="7"/>
  <c r="AY2" i="8"/>
  <c r="AD4" i="8"/>
  <c r="AU12" i="8"/>
  <c r="D6" i="3"/>
  <c r="D9" i="3" s="1"/>
  <c r="N6" i="3"/>
  <c r="N9" i="3" s="1"/>
  <c r="X6" i="3"/>
  <c r="X9" i="3" s="1"/>
  <c r="AO6" i="3"/>
  <c r="AO9" i="3" s="1"/>
  <c r="AW6" i="3"/>
  <c r="AW9" i="3" s="1"/>
  <c r="BE5" i="4"/>
  <c r="BE13" i="4"/>
  <c r="BE21" i="4"/>
  <c r="BE4" i="5"/>
  <c r="BE12" i="5"/>
  <c r="BE20" i="5"/>
  <c r="BE3" i="6"/>
  <c r="BE11" i="6"/>
  <c r="BE19" i="6"/>
  <c r="M2" i="7"/>
  <c r="W2" i="7"/>
  <c r="AE2" i="7"/>
  <c r="AM2" i="7"/>
  <c r="AU2" i="7"/>
  <c r="D3" i="7"/>
  <c r="N3" i="7"/>
  <c r="X3" i="7"/>
  <c r="AF3" i="7"/>
  <c r="AN3" i="7"/>
  <c r="AV3" i="7"/>
  <c r="E4" i="7"/>
  <c r="O4" i="7"/>
  <c r="Y4" i="7"/>
  <c r="AG4" i="7"/>
  <c r="AO4" i="7"/>
  <c r="AW4" i="7"/>
  <c r="F5" i="7"/>
  <c r="P5" i="7"/>
  <c r="Z5" i="7"/>
  <c r="AH5" i="7"/>
  <c r="AP5" i="7"/>
  <c r="AX5" i="7"/>
  <c r="G6" i="7"/>
  <c r="Q6" i="7"/>
  <c r="AA6" i="7"/>
  <c r="AI6" i="7"/>
  <c r="AQ6" i="7"/>
  <c r="AY6" i="7"/>
  <c r="H7" i="7"/>
  <c r="R7" i="7"/>
  <c r="AB7" i="7"/>
  <c r="AJ7" i="7"/>
  <c r="AR7" i="7"/>
  <c r="I8" i="7"/>
  <c r="S8" i="7"/>
  <c r="AC8" i="7"/>
  <c r="AK8" i="7"/>
  <c r="AS8" i="7"/>
  <c r="J9" i="7"/>
  <c r="V9" i="7"/>
  <c r="AD9" i="7"/>
  <c r="AL9" i="7"/>
  <c r="AT9" i="7"/>
  <c r="M10" i="7"/>
  <c r="W10" i="7"/>
  <c r="AE10" i="7"/>
  <c r="AM10" i="7"/>
  <c r="AU10" i="7"/>
  <c r="D11" i="7"/>
  <c r="N11" i="7"/>
  <c r="X11" i="7"/>
  <c r="AF11" i="7"/>
  <c r="AN11" i="7"/>
  <c r="AV11" i="7"/>
  <c r="E12" i="7"/>
  <c r="O12" i="7"/>
  <c r="Y12" i="7"/>
  <c r="AG12" i="7"/>
  <c r="AO12" i="7"/>
  <c r="AW12" i="7"/>
  <c r="F13" i="7"/>
  <c r="P13" i="7"/>
  <c r="Z13" i="7"/>
  <c r="AH13" i="7"/>
  <c r="AP13" i="7"/>
  <c r="AX13" i="7"/>
  <c r="G14" i="7"/>
  <c r="Q14" i="7"/>
  <c r="AC14" i="7"/>
  <c r="AL14" i="7"/>
  <c r="AU14" i="7"/>
  <c r="E15" i="7"/>
  <c r="P15" i="7"/>
  <c r="AA15" i="7"/>
  <c r="AJ15" i="7"/>
  <c r="AT15" i="7"/>
  <c r="D16" i="7"/>
  <c r="O16" i="7"/>
  <c r="Z16" i="7"/>
  <c r="AI16" i="7"/>
  <c r="AR16" i="7"/>
  <c r="D17" i="7"/>
  <c r="S17" i="7"/>
  <c r="AG17" i="7"/>
  <c r="AT17" i="7"/>
  <c r="H18" i="7"/>
  <c r="AJ18" i="7"/>
  <c r="AV19" i="7"/>
  <c r="P21" i="7"/>
  <c r="AI22" i="7"/>
  <c r="V25" i="7"/>
  <c r="AM26" i="7"/>
  <c r="I3" i="8"/>
  <c r="AO4" i="8"/>
  <c r="O14" i="8"/>
  <c r="AG9" i="3"/>
  <c r="BE8" i="4"/>
  <c r="BE16" i="4"/>
  <c r="BE24" i="4"/>
  <c r="BE7" i="5"/>
  <c r="BE15" i="5"/>
  <c r="BE23" i="5"/>
  <c r="BE6" i="6"/>
  <c r="BE14" i="6"/>
  <c r="BE22" i="6"/>
  <c r="D2" i="7"/>
  <c r="N2" i="7"/>
  <c r="X2" i="7"/>
  <c r="AF2" i="7"/>
  <c r="AN2" i="7"/>
  <c r="AV2" i="7"/>
  <c r="E3" i="7"/>
  <c r="O3" i="7"/>
  <c r="Y3" i="7"/>
  <c r="AG3" i="7"/>
  <c r="AO3" i="7"/>
  <c r="AW3" i="7"/>
  <c r="F4" i="7"/>
  <c r="P4" i="7"/>
  <c r="Z4" i="7"/>
  <c r="AH4" i="7"/>
  <c r="AP4" i="7"/>
  <c r="AX4" i="7"/>
  <c r="G5" i="7"/>
  <c r="Q5" i="7"/>
  <c r="AA5" i="7"/>
  <c r="AI5" i="7"/>
  <c r="AQ5" i="7"/>
  <c r="AY5" i="7"/>
  <c r="H6" i="7"/>
  <c r="R6" i="7"/>
  <c r="AB6" i="7"/>
  <c r="AJ6" i="7"/>
  <c r="AR6" i="7"/>
  <c r="I7" i="7"/>
  <c r="S7" i="7"/>
  <c r="AC7" i="7"/>
  <c r="AK7" i="7"/>
  <c r="AS7" i="7"/>
  <c r="J8" i="7"/>
  <c r="V8" i="7"/>
  <c r="AD8" i="7"/>
  <c r="AL8" i="7"/>
  <c r="AT8" i="7"/>
  <c r="M9" i="7"/>
  <c r="W9" i="7"/>
  <c r="AE9" i="7"/>
  <c r="AM9" i="7"/>
  <c r="AU9" i="7"/>
  <c r="D10" i="7"/>
  <c r="N10" i="7"/>
  <c r="X10" i="7"/>
  <c r="AF10" i="7"/>
  <c r="AN10" i="7"/>
  <c r="AV10" i="7"/>
  <c r="E11" i="7"/>
  <c r="O11" i="7"/>
  <c r="Y11" i="7"/>
  <c r="AG11" i="7"/>
  <c r="AO11" i="7"/>
  <c r="AW11" i="7"/>
  <c r="F12" i="7"/>
  <c r="P12" i="7"/>
  <c r="Z12" i="7"/>
  <c r="AH12" i="7"/>
  <c r="AP12" i="7"/>
  <c r="AX12" i="7"/>
  <c r="G13" i="7"/>
  <c r="Q13" i="7"/>
  <c r="AA13" i="7"/>
  <c r="AI13" i="7"/>
  <c r="AQ13" i="7"/>
  <c r="AY13" i="7"/>
  <c r="H14" i="7"/>
  <c r="S14" i="7"/>
  <c r="AD14" i="7"/>
  <c r="AM14" i="7"/>
  <c r="AV14" i="7"/>
  <c r="F15" i="7"/>
  <c r="Q15" i="7"/>
  <c r="AB15" i="7"/>
  <c r="AL15" i="7"/>
  <c r="AU15" i="7"/>
  <c r="E16" i="7"/>
  <c r="P16" i="7"/>
  <c r="AA16" i="7"/>
  <c r="AJ16" i="7"/>
  <c r="AS16" i="7"/>
  <c r="E17" i="7"/>
  <c r="V17" i="7"/>
  <c r="AI17" i="7"/>
  <c r="AV17" i="7"/>
  <c r="J18" i="7"/>
  <c r="AM18" i="7"/>
  <c r="E20" i="7"/>
  <c r="Z21" i="7"/>
  <c r="AQ22" i="7"/>
  <c r="I24" i="7"/>
  <c r="AD25" i="7"/>
  <c r="AU26" i="7"/>
  <c r="V3" i="8"/>
  <c r="F5" i="8"/>
  <c r="AH15" i="8"/>
  <c r="F6" i="3"/>
  <c r="F9" i="3" s="1"/>
  <c r="P6" i="3"/>
  <c r="P9" i="3" s="1"/>
  <c r="Z6" i="3"/>
  <c r="Z9" i="3" s="1"/>
  <c r="AI6" i="3"/>
  <c r="AI9" i="3" s="1"/>
  <c r="AQ6" i="3"/>
  <c r="AQ9" i="3" s="1"/>
  <c r="AY6" i="3"/>
  <c r="AY9" i="3" s="1"/>
  <c r="BE3" i="4"/>
  <c r="BE11" i="4"/>
  <c r="BE19" i="4"/>
  <c r="BE2" i="5"/>
  <c r="BE10" i="5"/>
  <c r="BE26" i="5"/>
  <c r="BE9" i="6"/>
  <c r="BE17" i="6"/>
  <c r="BE25" i="6"/>
  <c r="E2" i="7"/>
  <c r="O2" i="7"/>
  <c r="Y2" i="7"/>
  <c r="AG2" i="7"/>
  <c r="AO2" i="7"/>
  <c r="AW2" i="7"/>
  <c r="F3" i="7"/>
  <c r="P3" i="7"/>
  <c r="Z3" i="7"/>
  <c r="AH3" i="7"/>
  <c r="AP3" i="7"/>
  <c r="AX3" i="7"/>
  <c r="G4" i="7"/>
  <c r="Q4" i="7"/>
  <c r="AA4" i="7"/>
  <c r="AI4" i="7"/>
  <c r="AQ4" i="7"/>
  <c r="AY4" i="7"/>
  <c r="H5" i="7"/>
  <c r="R5" i="7"/>
  <c r="AB5" i="7"/>
  <c r="AJ5" i="7"/>
  <c r="AR5" i="7"/>
  <c r="I6" i="7"/>
  <c r="S6" i="7"/>
  <c r="AC6" i="7"/>
  <c r="AK6" i="7"/>
  <c r="AS6" i="7"/>
  <c r="J7" i="7"/>
  <c r="V7" i="7"/>
  <c r="AD7" i="7"/>
  <c r="AL7" i="7"/>
  <c r="AT7" i="7"/>
  <c r="M8" i="7"/>
  <c r="W8" i="7"/>
  <c r="AE8" i="7"/>
  <c r="AM8" i="7"/>
  <c r="AU8" i="7"/>
  <c r="D9" i="7"/>
  <c r="N9" i="7"/>
  <c r="X9" i="7"/>
  <c r="AF9" i="7"/>
  <c r="AN9" i="7"/>
  <c r="AV9" i="7"/>
  <c r="E10" i="7"/>
  <c r="O10" i="7"/>
  <c r="Y10" i="7"/>
  <c r="AG10" i="7"/>
  <c r="AO10" i="7"/>
  <c r="AW10" i="7"/>
  <c r="F11" i="7"/>
  <c r="P11" i="7"/>
  <c r="Z11" i="7"/>
  <c r="AH11" i="7"/>
  <c r="AP11" i="7"/>
  <c r="AX11" i="7"/>
  <c r="G12" i="7"/>
  <c r="Q12" i="7"/>
  <c r="AA12" i="7"/>
  <c r="AI12" i="7"/>
  <c r="AQ12" i="7"/>
  <c r="AY12" i="7"/>
  <c r="H13" i="7"/>
  <c r="R13" i="7"/>
  <c r="AB13" i="7"/>
  <c r="AJ13" i="7"/>
  <c r="AR13" i="7"/>
  <c r="I14" i="7"/>
  <c r="V14" i="7"/>
  <c r="AE14" i="7"/>
  <c r="AN14" i="7"/>
  <c r="AW14" i="7"/>
  <c r="G15" i="7"/>
  <c r="R15" i="7"/>
  <c r="AD15" i="7"/>
  <c r="AM15" i="7"/>
  <c r="AV15" i="7"/>
  <c r="F16" i="7"/>
  <c r="Q16" i="7"/>
  <c r="AB16" i="7"/>
  <c r="AK16" i="7"/>
  <c r="AU16" i="7"/>
  <c r="G17" i="7"/>
  <c r="X17" i="7"/>
  <c r="AK17" i="7"/>
  <c r="AW17" i="7"/>
  <c r="M18" i="7"/>
  <c r="AU18" i="7"/>
  <c r="O20" i="7"/>
  <c r="AH21" i="7"/>
  <c r="AY22" i="7"/>
  <c r="S24" i="7"/>
  <c r="AL25" i="7"/>
  <c r="D2" i="8"/>
  <c r="AF3" i="8"/>
  <c r="E6" i="8"/>
  <c r="G6" i="3"/>
  <c r="G9" i="3" s="1"/>
  <c r="Q6" i="3"/>
  <c r="Q9" i="3" s="1"/>
  <c r="AA6" i="3"/>
  <c r="AA9" i="3" s="1"/>
  <c r="AJ6" i="3"/>
  <c r="AJ9" i="3" s="1"/>
  <c r="AR6" i="3"/>
  <c r="AR9" i="3" s="1"/>
  <c r="AZ6" i="3"/>
  <c r="AZ9" i="3" s="1"/>
  <c r="BE6" i="4"/>
  <c r="BE14" i="4"/>
  <c r="BE22" i="4"/>
  <c r="BE5" i="5"/>
  <c r="BE13" i="5"/>
  <c r="BE21" i="5"/>
  <c r="BE4" i="6"/>
  <c r="BE12" i="6"/>
  <c r="F2" i="7"/>
  <c r="P2" i="7"/>
  <c r="Z2" i="7"/>
  <c r="AH2" i="7"/>
  <c r="AP2" i="7"/>
  <c r="AX2" i="7"/>
  <c r="G3" i="7"/>
  <c r="Q3" i="7"/>
  <c r="AA3" i="7"/>
  <c r="AI3" i="7"/>
  <c r="AQ3" i="7"/>
  <c r="AY3" i="7"/>
  <c r="H4" i="7"/>
  <c r="R4" i="7"/>
  <c r="AB4" i="7"/>
  <c r="AJ4" i="7"/>
  <c r="AR4" i="7"/>
  <c r="I5" i="7"/>
  <c r="S5" i="7"/>
  <c r="AC5" i="7"/>
  <c r="AK5" i="7"/>
  <c r="AS5" i="7"/>
  <c r="J6" i="7"/>
  <c r="V6" i="7"/>
  <c r="AD6" i="7"/>
  <c r="AL6" i="7"/>
  <c r="AT6" i="7"/>
  <c r="M7" i="7"/>
  <c r="W7" i="7"/>
  <c r="AE7" i="7"/>
  <c r="AM7" i="7"/>
  <c r="AU7" i="7"/>
  <c r="D8" i="7"/>
  <c r="N8" i="7"/>
  <c r="X8" i="7"/>
  <c r="AF8" i="7"/>
  <c r="AN8" i="7"/>
  <c r="AV8" i="7"/>
  <c r="E9" i="7"/>
  <c r="O9" i="7"/>
  <c r="Y9" i="7"/>
  <c r="AG9" i="7"/>
  <c r="AO9" i="7"/>
  <c r="AW9" i="7"/>
  <c r="F10" i="7"/>
  <c r="P10" i="7"/>
  <c r="Z10" i="7"/>
  <c r="AH10" i="7"/>
  <c r="AP10" i="7"/>
  <c r="AX10" i="7"/>
  <c r="G11" i="7"/>
  <c r="Q11" i="7"/>
  <c r="AA11" i="7"/>
  <c r="AI11" i="7"/>
  <c r="AQ11" i="7"/>
  <c r="AY11" i="7"/>
  <c r="H12" i="7"/>
  <c r="R12" i="7"/>
  <c r="AB12" i="7"/>
  <c r="AJ12" i="7"/>
  <c r="AR12" i="7"/>
  <c r="I13" i="7"/>
  <c r="S13" i="7"/>
  <c r="AC13" i="7"/>
  <c r="AK13" i="7"/>
  <c r="AS13" i="7"/>
  <c r="J14" i="7"/>
  <c r="W14" i="7"/>
  <c r="AF14" i="7"/>
  <c r="AO14" i="7"/>
  <c r="AX14" i="7"/>
  <c r="H15" i="7"/>
  <c r="V15" i="7"/>
  <c r="AE15" i="7"/>
  <c r="AN15" i="7"/>
  <c r="AW15" i="7"/>
  <c r="G16" i="7"/>
  <c r="R16" i="7"/>
  <c r="AC16" i="7"/>
  <c r="AM16" i="7"/>
  <c r="AV16" i="7"/>
  <c r="I17" i="7"/>
  <c r="Y17" i="7"/>
  <c r="AL17" i="7"/>
  <c r="AY17" i="7"/>
  <c r="P18" i="7"/>
  <c r="D19" i="7"/>
  <c r="Y20" i="7"/>
  <c r="AP21" i="7"/>
  <c r="H23" i="7"/>
  <c r="AC24" i="7"/>
  <c r="AT25" i="7"/>
  <c r="N2" i="8"/>
  <c r="AO3" i="8"/>
  <c r="Z7" i="8"/>
  <c r="Q21" i="8"/>
  <c r="H58" i="9" l="1"/>
  <c r="T59" i="9"/>
  <c r="H56" i="7"/>
  <c r="H27" i="8"/>
  <c r="H56" i="8"/>
  <c r="H57" i="7"/>
  <c r="T57" i="8"/>
  <c r="H57" i="8"/>
  <c r="H22" i="7"/>
  <c r="T43" i="8"/>
  <c r="T57" i="7"/>
  <c r="T59" i="7"/>
  <c r="T58" i="7"/>
  <c r="T59" i="8"/>
  <c r="H56" i="9"/>
  <c r="T56" i="7"/>
  <c r="H25" i="7"/>
  <c r="T56" i="9"/>
  <c r="H57" i="9"/>
  <c r="T58" i="9"/>
  <c r="H14" i="8"/>
  <c r="B57" i="9"/>
  <c r="B56" i="9"/>
  <c r="AZ56" i="9" s="1"/>
  <c r="B59" i="8"/>
  <c r="B58" i="8"/>
  <c r="B56" i="8"/>
  <c r="B56" i="7"/>
  <c r="B59" i="7"/>
  <c r="AZ59" i="7" s="1"/>
  <c r="B59" i="9"/>
  <c r="B58" i="7"/>
  <c r="B57" i="8"/>
  <c r="B57" i="7"/>
  <c r="B58" i="9"/>
  <c r="AZ58" i="9" s="1"/>
  <c r="H59" i="8"/>
  <c r="H58" i="8"/>
  <c r="H58" i="7"/>
  <c r="T57" i="9"/>
  <c r="T56" i="8"/>
  <c r="H45" i="7"/>
  <c r="H53" i="7"/>
  <c r="H51" i="8"/>
  <c r="H49" i="8"/>
  <c r="H53" i="9"/>
  <c r="T51" i="7"/>
  <c r="T55" i="7"/>
  <c r="T52" i="8"/>
  <c r="T49" i="9"/>
  <c r="H48" i="7"/>
  <c r="H21" i="7"/>
  <c r="H24" i="7"/>
  <c r="H5" i="8"/>
  <c r="H20" i="8"/>
  <c r="H5" i="9"/>
  <c r="H17" i="9"/>
  <c r="H23" i="9"/>
  <c r="H48" i="8"/>
  <c r="H52" i="8"/>
  <c r="H47" i="9"/>
  <c r="T45" i="8"/>
  <c r="T47" i="7"/>
  <c r="T45" i="7"/>
  <c r="T48" i="8"/>
  <c r="T45" i="9"/>
  <c r="T53" i="8"/>
  <c r="T50" i="9"/>
  <c r="H9" i="8"/>
  <c r="H3" i="8"/>
  <c r="H13" i="8"/>
  <c r="H19" i="8"/>
  <c r="H7" i="9"/>
  <c r="H10" i="9"/>
  <c r="H14" i="9"/>
  <c r="H54" i="7"/>
  <c r="H53" i="8"/>
  <c r="H55" i="9"/>
  <c r="H49" i="7"/>
  <c r="T55" i="8"/>
  <c r="T49" i="8"/>
  <c r="T54" i="8"/>
  <c r="H20" i="7"/>
  <c r="H8" i="8"/>
  <c r="H12" i="8"/>
  <c r="H2" i="9"/>
  <c r="H23" i="8"/>
  <c r="H9" i="9"/>
  <c r="H22" i="9"/>
  <c r="H50" i="8"/>
  <c r="H46" i="9"/>
  <c r="H48" i="9"/>
  <c r="T52" i="7"/>
  <c r="T47" i="9"/>
  <c r="T52" i="9"/>
  <c r="H19" i="7"/>
  <c r="H16" i="8"/>
  <c r="H17" i="8"/>
  <c r="H18" i="8"/>
  <c r="H4" i="9"/>
  <c r="H15" i="9"/>
  <c r="H13" i="9"/>
  <c r="B51" i="9"/>
  <c r="B50" i="9"/>
  <c r="B49" i="9"/>
  <c r="B55" i="9"/>
  <c r="B54" i="9"/>
  <c r="B53" i="9"/>
  <c r="B47" i="9"/>
  <c r="B55" i="8"/>
  <c r="B54" i="8"/>
  <c r="B46" i="9"/>
  <c r="B53" i="8"/>
  <c r="B48" i="9"/>
  <c r="B52" i="8"/>
  <c r="B51" i="8"/>
  <c r="B50" i="8"/>
  <c r="B45" i="9"/>
  <c r="B49" i="8"/>
  <c r="B46" i="8"/>
  <c r="B45" i="8"/>
  <c r="B48" i="8"/>
  <c r="B55" i="7"/>
  <c r="B54" i="7"/>
  <c r="B53" i="7"/>
  <c r="B52" i="7"/>
  <c r="B51" i="7"/>
  <c r="B47" i="8"/>
  <c r="B50" i="7"/>
  <c r="B48" i="7"/>
  <c r="B52" i="9"/>
  <c r="B49" i="7"/>
  <c r="B47" i="7"/>
  <c r="B46" i="7"/>
  <c r="B45" i="7"/>
  <c r="H55" i="7"/>
  <c r="H54" i="8"/>
  <c r="H49" i="9"/>
  <c r="H51" i="7"/>
  <c r="T53" i="7"/>
  <c r="T50" i="8"/>
  <c r="T53" i="9"/>
  <c r="H46" i="7"/>
  <c r="H2" i="8"/>
  <c r="H7" i="8"/>
  <c r="H22" i="8"/>
  <c r="H26" i="8"/>
  <c r="H6" i="9"/>
  <c r="H24" i="9"/>
  <c r="H21" i="9"/>
  <c r="H46" i="8"/>
  <c r="H55" i="8"/>
  <c r="H50" i="9"/>
  <c r="T54" i="7"/>
  <c r="T46" i="9"/>
  <c r="T54" i="9"/>
  <c r="H47" i="7"/>
  <c r="H26" i="7"/>
  <c r="H15" i="8"/>
  <c r="H11" i="8"/>
  <c r="H25" i="8"/>
  <c r="H12" i="9"/>
  <c r="H8" i="9"/>
  <c r="H20" i="9"/>
  <c r="H11" i="7"/>
  <c r="T50" i="7"/>
  <c r="H45" i="8"/>
  <c r="H54" i="9"/>
  <c r="H51" i="9"/>
  <c r="T46" i="7"/>
  <c r="T46" i="8"/>
  <c r="T51" i="8"/>
  <c r="T55" i="9"/>
  <c r="H17" i="7"/>
  <c r="H6" i="8"/>
  <c r="H10" i="8"/>
  <c r="H24" i="8"/>
  <c r="H16" i="9"/>
  <c r="H19" i="9"/>
  <c r="H18" i="9"/>
  <c r="H50" i="7"/>
  <c r="H52" i="7"/>
  <c r="H47" i="8"/>
  <c r="H45" i="9"/>
  <c r="H52" i="9"/>
  <c r="T49" i="7"/>
  <c r="T47" i="8"/>
  <c r="T51" i="9"/>
  <c r="T48" i="9"/>
  <c r="T48" i="7"/>
  <c r="H30" i="7"/>
  <c r="H35" i="7"/>
  <c r="H32" i="8"/>
  <c r="H42" i="8"/>
  <c r="H34" i="9"/>
  <c r="H36" i="9"/>
  <c r="H42" i="9"/>
  <c r="H38" i="7"/>
  <c r="H34" i="7"/>
  <c r="H31" i="8"/>
  <c r="H41" i="8"/>
  <c r="H32" i="9"/>
  <c r="H44" i="8"/>
  <c r="B44" i="9"/>
  <c r="B37" i="9"/>
  <c r="B41" i="9"/>
  <c r="B42" i="9"/>
  <c r="B43" i="9"/>
  <c r="B29" i="9"/>
  <c r="B30" i="9"/>
  <c r="B38" i="9"/>
  <c r="B31" i="9"/>
  <c r="B39" i="9"/>
  <c r="B32" i="9"/>
  <c r="B33" i="9"/>
  <c r="B34" i="9"/>
  <c r="B43" i="8"/>
  <c r="B44" i="8"/>
  <c r="B39" i="8"/>
  <c r="B40" i="9"/>
  <c r="B40" i="8"/>
  <c r="B36" i="9"/>
  <c r="B28" i="9"/>
  <c r="B41" i="8"/>
  <c r="B42" i="8"/>
  <c r="B35" i="8"/>
  <c r="B35" i="9"/>
  <c r="B36" i="8"/>
  <c r="B37" i="8"/>
  <c r="B30" i="8"/>
  <c r="B31" i="8"/>
  <c r="B34" i="8"/>
  <c r="B32" i="8"/>
  <c r="AZ32" i="8" s="1"/>
  <c r="B41" i="7"/>
  <c r="B42" i="7"/>
  <c r="B43" i="7"/>
  <c r="B44" i="7"/>
  <c r="B28" i="8"/>
  <c r="B33" i="8"/>
  <c r="B34" i="7"/>
  <c r="B39" i="7"/>
  <c r="B35" i="7"/>
  <c r="B40" i="7"/>
  <c r="B36" i="7"/>
  <c r="B28" i="7"/>
  <c r="B37" i="7"/>
  <c r="B38" i="7"/>
  <c r="AZ38" i="7" s="1"/>
  <c r="B30" i="7"/>
  <c r="B31" i="7"/>
  <c r="B38" i="8"/>
  <c r="B32" i="7"/>
  <c r="B33" i="7"/>
  <c r="B29" i="8"/>
  <c r="B29" i="7"/>
  <c r="H40" i="7"/>
  <c r="H44" i="7"/>
  <c r="H30" i="8"/>
  <c r="H40" i="8"/>
  <c r="H44" i="9"/>
  <c r="H35" i="9"/>
  <c r="H29" i="7"/>
  <c r="H33" i="7"/>
  <c r="H33" i="8"/>
  <c r="H33" i="9"/>
  <c r="H31" i="9"/>
  <c r="H38" i="9"/>
  <c r="H37" i="7"/>
  <c r="H32" i="7"/>
  <c r="H36" i="8"/>
  <c r="H39" i="8"/>
  <c r="H30" i="9"/>
  <c r="H41" i="9"/>
  <c r="H36" i="7"/>
  <c r="H43" i="7"/>
  <c r="H29" i="8"/>
  <c r="H38" i="8"/>
  <c r="H37" i="9"/>
  <c r="H40" i="9"/>
  <c r="T17" i="9"/>
  <c r="T25" i="9"/>
  <c r="T3" i="8"/>
  <c r="T37" i="7"/>
  <c r="H39" i="7"/>
  <c r="H42" i="7"/>
  <c r="H28" i="8"/>
  <c r="H43" i="8"/>
  <c r="H29" i="9"/>
  <c r="H39" i="9"/>
  <c r="T21" i="7"/>
  <c r="H34" i="8"/>
  <c r="H41" i="7"/>
  <c r="H35" i="8"/>
  <c r="H37" i="8"/>
  <c r="H28" i="9"/>
  <c r="H43" i="9"/>
  <c r="H31" i="7"/>
  <c r="H28" i="7"/>
  <c r="H27" i="7"/>
  <c r="H9" i="7"/>
  <c r="H27" i="9"/>
  <c r="H4" i="8"/>
  <c r="H3" i="7"/>
  <c r="H2" i="7"/>
  <c r="H16" i="7"/>
  <c r="B27" i="7"/>
  <c r="B27" i="9"/>
  <c r="B27" i="8"/>
  <c r="AZ27" i="8" s="1"/>
  <c r="B22" i="9"/>
  <c r="AZ22" i="9" s="1"/>
  <c r="B25" i="7"/>
  <c r="B11" i="9"/>
  <c r="AZ11" i="9" s="1"/>
  <c r="B4" i="7"/>
  <c r="AZ4" i="7" s="1"/>
  <c r="B10" i="7"/>
  <c r="AZ10" i="7" s="1"/>
  <c r="B16" i="7"/>
  <c r="B20" i="7"/>
  <c r="AZ20" i="7" s="1"/>
  <c r="B8" i="8"/>
  <c r="AZ8" i="8" s="1"/>
  <c r="B12" i="8"/>
  <c r="AZ12" i="8" s="1"/>
  <c r="B20" i="8"/>
  <c r="B7" i="9"/>
  <c r="AZ7" i="9" s="1"/>
  <c r="B17" i="9"/>
  <c r="B20" i="9"/>
  <c r="B6" i="8"/>
  <c r="B12" i="7"/>
  <c r="AZ12" i="7" s="1"/>
  <c r="B17" i="7"/>
  <c r="AZ17" i="7" s="1"/>
  <c r="B24" i="7"/>
  <c r="AZ24" i="7" s="1"/>
  <c r="B11" i="8"/>
  <c r="B16" i="8"/>
  <c r="AZ16" i="8" s="1"/>
  <c r="B23" i="8"/>
  <c r="AZ23" i="8" s="1"/>
  <c r="B21" i="9"/>
  <c r="AZ21" i="9" s="1"/>
  <c r="B13" i="9"/>
  <c r="AZ13" i="9" s="1"/>
  <c r="B25" i="9"/>
  <c r="B26" i="8"/>
  <c r="B15" i="7"/>
  <c r="AZ15" i="7" s="1"/>
  <c r="B9" i="7"/>
  <c r="B23" i="7"/>
  <c r="AZ23" i="7" s="1"/>
  <c r="B19" i="7"/>
  <c r="AZ19" i="7" s="1"/>
  <c r="B7" i="8"/>
  <c r="AZ7" i="8" s="1"/>
  <c r="B3" i="9"/>
  <c r="AZ3" i="9" s="1"/>
  <c r="B19" i="8"/>
  <c r="B18" i="9"/>
  <c r="AZ18" i="9" s="1"/>
  <c r="B16" i="9"/>
  <c r="B3" i="7"/>
  <c r="B8" i="7"/>
  <c r="AZ8" i="7" s="1"/>
  <c r="B3" i="8"/>
  <c r="AZ3" i="8" s="1"/>
  <c r="B2" i="8"/>
  <c r="AZ2" i="8" s="1"/>
  <c r="B15" i="8"/>
  <c r="B9" i="9"/>
  <c r="B2" i="9"/>
  <c r="AZ2" i="9" s="1"/>
  <c r="B12" i="9"/>
  <c r="B24" i="9"/>
  <c r="AZ24" i="9" s="1"/>
  <c r="B4" i="9"/>
  <c r="B11" i="7"/>
  <c r="AZ11" i="7" s="1"/>
  <c r="B7" i="7"/>
  <c r="AZ7" i="7" s="1"/>
  <c r="B24" i="8"/>
  <c r="AZ24" i="8" s="1"/>
  <c r="B5" i="8"/>
  <c r="AZ5" i="8" s="1"/>
  <c r="B18" i="8"/>
  <c r="B22" i="8"/>
  <c r="AZ22" i="8" s="1"/>
  <c r="B6" i="9"/>
  <c r="B19" i="9"/>
  <c r="B15" i="9"/>
  <c r="B17" i="8"/>
  <c r="AZ17" i="8" s="1"/>
  <c r="B22" i="7"/>
  <c r="B26" i="7"/>
  <c r="AZ26" i="7" s="1"/>
  <c r="B23" i="9"/>
  <c r="AZ23" i="9" s="1"/>
  <c r="B13" i="7"/>
  <c r="AZ13" i="7" s="1"/>
  <c r="B5" i="7"/>
  <c r="AZ5" i="7" s="1"/>
  <c r="B6" i="7"/>
  <c r="AZ6" i="7" s="1"/>
  <c r="B4" i="8"/>
  <c r="B10" i="8"/>
  <c r="AZ10" i="8" s="1"/>
  <c r="B14" i="8"/>
  <c r="B5" i="9"/>
  <c r="B25" i="8"/>
  <c r="AZ25" i="8" s="1"/>
  <c r="B10" i="9"/>
  <c r="B14" i="9"/>
  <c r="B18" i="7"/>
  <c r="AZ18" i="7" s="1"/>
  <c r="B2" i="7"/>
  <c r="AZ2" i="7" s="1"/>
  <c r="B14" i="7"/>
  <c r="AZ14" i="7" s="1"/>
  <c r="B21" i="7"/>
  <c r="B9" i="8"/>
  <c r="AZ9" i="8" s="1"/>
  <c r="B13" i="8"/>
  <c r="AZ13" i="8" s="1"/>
  <c r="B21" i="8"/>
  <c r="AZ21" i="8" s="1"/>
  <c r="B8" i="9"/>
  <c r="B26" i="9"/>
  <c r="AZ26" i="9" s="1"/>
  <c r="AZ57" i="7" l="1"/>
  <c r="AZ20" i="9"/>
  <c r="AZ15" i="9"/>
  <c r="AZ17" i="9"/>
  <c r="AZ59" i="9"/>
  <c r="AZ42" i="9"/>
  <c r="AZ14" i="9"/>
  <c r="AZ10" i="9"/>
  <c r="AZ12" i="9"/>
  <c r="AZ16" i="9"/>
  <c r="AZ48" i="8"/>
  <c r="AZ57" i="8"/>
  <c r="AZ59" i="8"/>
  <c r="AZ19" i="9"/>
  <c r="AZ8" i="9"/>
  <c r="AZ56" i="7"/>
  <c r="AZ18" i="8"/>
  <c r="AZ26" i="8"/>
  <c r="AZ58" i="8"/>
  <c r="AZ4" i="9"/>
  <c r="AZ6" i="9"/>
  <c r="AZ11" i="8"/>
  <c r="AZ20" i="8"/>
  <c r="AZ25" i="7"/>
  <c r="AZ45" i="7"/>
  <c r="AZ56" i="8"/>
  <c r="AZ9" i="9"/>
  <c r="AZ19" i="8"/>
  <c r="AZ25" i="9"/>
  <c r="AZ55" i="7"/>
  <c r="AZ52" i="8"/>
  <c r="AZ5" i="9"/>
  <c r="AZ21" i="7"/>
  <c r="AZ14" i="8"/>
  <c r="AZ22" i="7"/>
  <c r="AZ15" i="8"/>
  <c r="AZ6" i="8"/>
  <c r="AZ16" i="7"/>
  <c r="AZ35" i="7"/>
  <c r="AZ58" i="7"/>
  <c r="AZ57" i="9"/>
  <c r="AZ53" i="7"/>
  <c r="AZ50" i="8"/>
  <c r="AZ47" i="9"/>
  <c r="AZ49" i="7"/>
  <c r="AZ53" i="9"/>
  <c r="AZ44" i="8"/>
  <c r="AZ48" i="7"/>
  <c r="AZ48" i="9"/>
  <c r="AZ42" i="8"/>
  <c r="AZ45" i="8"/>
  <c r="AZ53" i="8"/>
  <c r="AZ46" i="7"/>
  <c r="AZ52" i="7"/>
  <c r="AZ45" i="9"/>
  <c r="AZ55" i="8"/>
  <c r="AZ47" i="7"/>
  <c r="AZ54" i="7"/>
  <c r="AZ51" i="8"/>
  <c r="AZ52" i="9"/>
  <c r="AZ54" i="9"/>
  <c r="AZ55" i="9"/>
  <c r="AZ50" i="7"/>
  <c r="AZ49" i="9"/>
  <c r="AZ31" i="8"/>
  <c r="AZ47" i="8"/>
  <c r="AZ46" i="8"/>
  <c r="AZ46" i="9"/>
  <c r="AZ50" i="9"/>
  <c r="AZ9" i="7"/>
  <c r="AZ51" i="7"/>
  <c r="AZ49" i="8"/>
  <c r="AZ54" i="8"/>
  <c r="AZ51" i="9"/>
  <c r="AZ37" i="7"/>
  <c r="AZ28" i="8"/>
  <c r="AZ30" i="8"/>
  <c r="AZ36" i="9"/>
  <c r="AZ32" i="9"/>
  <c r="AZ41" i="9"/>
  <c r="AZ29" i="8"/>
  <c r="AZ28" i="7"/>
  <c r="AZ44" i="7"/>
  <c r="AZ37" i="8"/>
  <c r="AZ33" i="8"/>
  <c r="AZ33" i="9"/>
  <c r="AZ40" i="8"/>
  <c r="AZ39" i="9"/>
  <c r="AZ37" i="9"/>
  <c r="AZ3" i="7"/>
  <c r="AZ29" i="7"/>
  <c r="AZ33" i="7"/>
  <c r="AZ36" i="7"/>
  <c r="AZ43" i="7"/>
  <c r="AZ36" i="8"/>
  <c r="AZ40" i="9"/>
  <c r="AZ31" i="9"/>
  <c r="AZ44" i="9"/>
  <c r="AZ32" i="7"/>
  <c r="AZ40" i="7"/>
  <c r="AZ42" i="7"/>
  <c r="AZ35" i="9"/>
  <c r="AZ39" i="8"/>
  <c r="AZ38" i="9"/>
  <c r="AZ38" i="8"/>
  <c r="AZ41" i="7"/>
  <c r="AZ35" i="8"/>
  <c r="AZ30" i="9"/>
  <c r="AZ31" i="7"/>
  <c r="AZ39" i="7"/>
  <c r="AZ43" i="8"/>
  <c r="AZ29" i="9"/>
  <c r="AZ30" i="7"/>
  <c r="AZ34" i="7"/>
  <c r="AZ34" i="8"/>
  <c r="AZ41" i="8"/>
  <c r="AZ34" i="9"/>
  <c r="AZ43" i="9"/>
  <c r="AZ28" i="9"/>
  <c r="AZ27" i="7"/>
  <c r="AZ4" i="8"/>
  <c r="AZ2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Prochazka</author>
  </authors>
  <commentList>
    <comment ref="C27" authorId="0" shapeId="0" xr:uid="{F0DB085B-8D68-4D20-80DD-214812323578}">
      <text>
        <r>
          <rPr>
            <b/>
            <sz val="9"/>
            <color indexed="81"/>
            <rFont val="Tahoma"/>
            <charset val="1"/>
          </rPr>
          <t>David Prochazka:</t>
        </r>
        <r>
          <rPr>
            <sz val="9"/>
            <color indexed="81"/>
            <rFont val="Tahoma"/>
            <charset val="1"/>
          </rPr>
          <t xml:space="preserve">
Source: Handbook of Mineralogy, Albite, anal. (1) Alp Rischuna, Switzerland, https://handbookofmineralogy.org/wp-content/uploads/2022/07/albite.pdf</t>
        </r>
      </text>
    </comment>
    <comment ref="H27" authorId="0" shapeId="0" xr:uid="{85530522-577A-444B-893F-2180B9937CCA}">
      <text>
        <r>
          <rPr>
            <b/>
            <sz val="9"/>
            <color indexed="81"/>
            <rFont val="Tahoma"/>
            <charset val="1"/>
          </rPr>
          <t>David Prochazka:</t>
        </r>
        <r>
          <rPr>
            <sz val="9"/>
            <color indexed="81"/>
            <rFont val="Tahoma"/>
            <charset val="1"/>
          </rPr>
          <t xml:space="preserve">
Source: Handbook of Mineralogy, Albite, anal. (1) Alp Rischuna, Switzerland, https://handbookofmineralogy.org/wp-content/uploads/2022/07/albite.pdf</t>
        </r>
      </text>
    </comment>
    <comment ref="O27" authorId="0" shapeId="0" xr:uid="{281DA273-80AB-4DBF-81BB-802BB714A165}">
      <text>
        <r>
          <rPr>
            <b/>
            <sz val="9"/>
            <color indexed="81"/>
            <rFont val="Tahoma"/>
            <charset val="1"/>
          </rPr>
          <t>David Prochazka:</t>
        </r>
        <r>
          <rPr>
            <sz val="9"/>
            <color indexed="81"/>
            <rFont val="Tahoma"/>
            <charset val="1"/>
          </rPr>
          <t xml:space="preserve">
Source: Handbook of Mineralogy, Albite, anal. (1) Alp Rischuna, Switzerland, https://handbookofmineralogy.org/wp-content/uploads/2022/07/albite.pdf</t>
        </r>
      </text>
    </comment>
    <comment ref="S27" authorId="0" shapeId="0" xr:uid="{3B4D2532-2988-4C35-A583-2ADEEA70A760}">
      <text>
        <r>
          <rPr>
            <b/>
            <sz val="9"/>
            <color indexed="81"/>
            <rFont val="Tahoma"/>
            <charset val="1"/>
          </rPr>
          <t>David Prochazka:</t>
        </r>
        <r>
          <rPr>
            <sz val="9"/>
            <color indexed="81"/>
            <rFont val="Tahoma"/>
            <charset val="1"/>
          </rPr>
          <t xml:space="preserve">
Source: Handbook of Mineralogy, Albite, anal. (1) Alp Rischuna, Switzerland, https://handbookofmineralogy.org/wp-content/uploads/2022/07/albite.pdf</t>
        </r>
      </text>
    </comment>
    <comment ref="T27" authorId="0" shapeId="0" xr:uid="{ABEB8A78-A8E1-4384-A983-694AEF3669B2}">
      <text>
        <r>
          <rPr>
            <b/>
            <sz val="9"/>
            <color indexed="81"/>
            <rFont val="Tahoma"/>
            <charset val="1"/>
          </rPr>
          <t>David Prochazka:</t>
        </r>
        <r>
          <rPr>
            <sz val="9"/>
            <color indexed="81"/>
            <rFont val="Tahoma"/>
            <charset val="1"/>
          </rPr>
          <t xml:space="preserve">
Source: Handbook of Mineralogy, Albite, anal. (1) Alp Rischuna, Switzerland, https://handbookofmineralogy.org/wp-content/uploads/2022/07/albite.pdf</t>
        </r>
      </text>
    </comment>
    <comment ref="C28" authorId="0" shapeId="0" xr:uid="{9AFEBEE7-60E4-44EC-B86C-843814C1C42E}">
      <text>
        <r>
          <rPr>
            <b/>
            <sz val="9"/>
            <color indexed="81"/>
            <rFont val="Tahoma"/>
            <charset val="1"/>
          </rPr>
          <t>David Prochazka:</t>
        </r>
        <r>
          <rPr>
            <sz val="9"/>
            <color indexed="81"/>
            <rFont val="Tahoma"/>
            <charset val="1"/>
          </rPr>
          <t xml:space="preserve">
Source: Handbook of Mineralogy, Zircon, anal. (1) Sitarampuram, India; U3O8 0.027 -&gt; UO2, https://handbookofmineralogy.org/wp-content/uploads/2022/07/zircon.pdf</t>
        </r>
      </text>
    </comment>
    <comment ref="E28" authorId="0" shapeId="0" xr:uid="{4DF3E762-1C2D-47E8-886F-1DF873D3285A}">
      <text>
        <r>
          <rPr>
            <b/>
            <sz val="9"/>
            <color indexed="81"/>
            <rFont val="Tahoma"/>
            <charset val="1"/>
          </rPr>
          <t>David Prochazka:</t>
        </r>
        <r>
          <rPr>
            <sz val="9"/>
            <color indexed="81"/>
            <rFont val="Tahoma"/>
            <charset val="1"/>
          </rPr>
          <t xml:space="preserve">
Source: Handbook of Mineralogy, Zircon, anal. (1) Sitarampuram, India; U3O8 0.027 -&gt; UO2, https://handbookofmineralogy.org/wp-content/uploads/2022/07/zircon.pdf</t>
        </r>
      </text>
    </comment>
    <comment ref="F28" authorId="0" shapeId="0" xr:uid="{AB77DA14-552D-494F-8338-B76E1E11EE5F}">
      <text>
        <r>
          <rPr>
            <b/>
            <sz val="9"/>
            <color indexed="81"/>
            <rFont val="Tahoma"/>
            <charset val="1"/>
          </rPr>
          <t>David Prochazka:</t>
        </r>
        <r>
          <rPr>
            <sz val="9"/>
            <color indexed="81"/>
            <rFont val="Tahoma"/>
            <charset val="1"/>
          </rPr>
          <t xml:space="preserve">
Source: Handbook of Mineralogy, Zircon, anal. (1) Sitarampuram, India; U3O8 0.027 -&gt; UO2, https://handbookofmineralogy.org/wp-content/uploads/2022/07/zircon.pdf</t>
        </r>
      </text>
    </comment>
    <comment ref="AI28" authorId="0" shapeId="0" xr:uid="{035DBC0B-1952-406D-8C50-ADFA03F9EBEE}">
      <text>
        <r>
          <rPr>
            <b/>
            <sz val="9"/>
            <color indexed="81"/>
            <rFont val="Tahoma"/>
            <charset val="1"/>
          </rPr>
          <t>David Prochazka:</t>
        </r>
        <r>
          <rPr>
            <sz val="9"/>
            <color indexed="81"/>
            <rFont val="Tahoma"/>
            <charset val="1"/>
          </rPr>
          <t xml:space="preserve">
Source: Handbook of Mineralogy, Zircon, anal. (1) Sitarampuram, India; U3O8 0.027 -&gt; UO2, https://handbookofmineralogy.org/wp-content/uploads/2022/07/zircon.pdf</t>
        </r>
      </text>
    </comment>
    <comment ref="AJ28" authorId="0" shapeId="0" xr:uid="{C1F873D3-CCC3-4EF3-A100-090F713ABCBF}">
      <text>
        <r>
          <rPr>
            <b/>
            <sz val="9"/>
            <color indexed="81"/>
            <rFont val="Tahoma"/>
            <charset val="1"/>
          </rPr>
          <t>David Prochazka:</t>
        </r>
        <r>
          <rPr>
            <sz val="9"/>
            <color indexed="81"/>
            <rFont val="Tahoma"/>
            <charset val="1"/>
          </rPr>
          <t xml:space="preserve">
Source: Handbook of Mineralogy, Zircon, anal. (1) Sitarampuram, India; U3O8 0.027 -&gt; UO2, https://handbookofmineralogy.org/wp-content/uploads/2022/07/zircon.pdf</t>
        </r>
      </text>
    </comment>
    <comment ref="C29" authorId="0" shapeId="0" xr:uid="{BFD75A04-20C1-43A2-8BEE-BDB5DF4005AE}">
      <text>
        <r>
          <rPr>
            <b/>
            <sz val="9"/>
            <color indexed="81"/>
            <rFont val="Tahoma"/>
            <charset val="1"/>
          </rPr>
          <t>David Prochazka:</t>
        </r>
        <r>
          <rPr>
            <sz val="9"/>
            <color indexed="81"/>
            <rFont val="Tahoma"/>
            <charset val="1"/>
          </rPr>
          <t xml:space="preserve">
Source: Handbook of Mineralogy, Muscovite, anal. (1) Blue Mountain, Methuen Twp., Canada, https://www.handbookofmineralogy.org/pdfs/muscovite.pdf</t>
        </r>
      </text>
    </comment>
    <comment ref="H29" authorId="0" shapeId="0" xr:uid="{1DFF7EF5-1BBC-4819-89DC-160B032DA05A}">
      <text>
        <r>
          <rPr>
            <b/>
            <sz val="9"/>
            <color indexed="81"/>
            <rFont val="Tahoma"/>
            <charset val="1"/>
          </rPr>
          <t>David Prochazka:</t>
        </r>
        <r>
          <rPr>
            <sz val="9"/>
            <color indexed="81"/>
            <rFont val="Tahoma"/>
            <charset val="1"/>
          </rPr>
          <t xml:space="preserve">
Source: Handbook of Mineralogy, Muscovite, anal. (1) Blue Mountain, Methuen Twp., Canada, https://www.handbookofmineralogy.org/pdfs/muscovite.pdf</t>
        </r>
      </text>
    </comment>
    <comment ref="N29" authorId="0" shapeId="0" xr:uid="{56001E0F-D7DD-43AA-A94E-C3F34558C266}">
      <text>
        <r>
          <rPr>
            <b/>
            <sz val="9"/>
            <color indexed="81"/>
            <rFont val="Tahoma"/>
            <charset val="1"/>
          </rPr>
          <t>David Prochazka:</t>
        </r>
        <r>
          <rPr>
            <sz val="9"/>
            <color indexed="81"/>
            <rFont val="Tahoma"/>
            <charset val="1"/>
          </rPr>
          <t xml:space="preserve">
Source: Handbook of Mineralogy, Muscovite, anal. (1) Blue Mountain, Methuen Twp., Canada, https://www.handbookofmineralogy.org/pdfs/muscovite.pdf</t>
        </r>
      </text>
    </comment>
    <comment ref="S29" authorId="0" shapeId="0" xr:uid="{F2D9DD2E-ADAE-4B55-AAC3-FD135C70056B}">
      <text>
        <r>
          <rPr>
            <b/>
            <sz val="9"/>
            <color indexed="81"/>
            <rFont val="Tahoma"/>
            <charset val="1"/>
          </rPr>
          <t>David Prochazka:</t>
        </r>
        <r>
          <rPr>
            <sz val="9"/>
            <color indexed="81"/>
            <rFont val="Tahoma"/>
            <charset val="1"/>
          </rPr>
          <t xml:space="preserve">
Source: Handbook of Mineralogy, Muscovite, anal. (1) Blue Mountain, Methuen Twp., Canada, https://www.handbookofmineralogy.org/pdfs/muscovite.pdf</t>
        </r>
      </text>
    </comment>
    <comment ref="T29" authorId="0" shapeId="0" xr:uid="{363528A0-EB15-4EC4-AF90-951396A1CE5A}">
      <text>
        <r>
          <rPr>
            <b/>
            <sz val="9"/>
            <color indexed="81"/>
            <rFont val="Tahoma"/>
            <charset val="1"/>
          </rPr>
          <t>David Prochazka:</t>
        </r>
        <r>
          <rPr>
            <sz val="9"/>
            <color indexed="81"/>
            <rFont val="Tahoma"/>
            <charset val="1"/>
          </rPr>
          <t xml:space="preserve">
Source: Handbook of Mineralogy, Muscovite, anal. (1) Blue Mountain, Methuen Twp., Canada, https://www.handbookofmineralogy.org/pdfs/muscovite.pdf</t>
        </r>
      </text>
    </comment>
    <comment ref="AE29" authorId="0" shapeId="0" xr:uid="{D2D793F6-831C-4789-AA0D-F66281523640}">
      <text>
        <r>
          <rPr>
            <b/>
            <sz val="9"/>
            <color indexed="81"/>
            <rFont val="Tahoma"/>
            <charset val="1"/>
          </rPr>
          <t>David Prochazka:</t>
        </r>
        <r>
          <rPr>
            <sz val="9"/>
            <color indexed="81"/>
            <rFont val="Tahoma"/>
            <charset val="1"/>
          </rPr>
          <t xml:space="preserve">
Source: Handbook of Mineralogy, Muscovite, anal. (1) Blue Mountain, Methuen Twp., Canada, https://www.handbookofmineralogy.org/pdfs/muscovite.pdf</t>
        </r>
      </text>
    </comment>
    <comment ref="C30" authorId="0" shapeId="0" xr:uid="{B2C063D5-1000-4634-B784-21EAC1A15F1E}">
      <text>
        <r>
          <rPr>
            <b/>
            <sz val="9"/>
            <color indexed="81"/>
            <rFont val="Tahoma"/>
            <charset val="1"/>
          </rPr>
          <t>David Prochazka:</t>
        </r>
        <r>
          <rPr>
            <sz val="9"/>
            <color indexed="81"/>
            <rFont val="Tahoma"/>
            <charset val="1"/>
          </rPr>
          <t xml:space="preserve">
Source: Handbook of Mineralogy, Quartz, Ideal SiO2 (source gives 'SiO2 with traces of other elements'), https://handbookofmineralogy.org/wp-content/uploads/2022/07/quartz.pdf</t>
        </r>
      </text>
    </comment>
    <comment ref="C31" authorId="0" shapeId="0" xr:uid="{B809B8F2-388A-4771-BB7F-CA7A9A081136}">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D31" authorId="0" shapeId="0" xr:uid="{E4860C42-29E7-4319-89F7-000C9DE77647}">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H31" authorId="0" shapeId="0" xr:uid="{3E50DA5C-DF13-4E90-965B-809092C532B0}">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I31" authorId="0" shapeId="0" xr:uid="{E4E68DC6-C1CF-43EB-9914-B972F6888418}">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J31" authorId="0" shapeId="0" xr:uid="{065450CA-BEDD-4B72-B423-F8FDB82EBB85}">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N31" authorId="0" shapeId="0" xr:uid="{800B21A1-3991-4896-9934-5196410C4859}">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O31" authorId="0" shapeId="0" xr:uid="{BB621C15-0E94-4978-BE30-0240914FC4E4}">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S31" authorId="0" shapeId="0" xr:uid="{C0634AF4-0F57-4B20-A0DE-BE4E30DB0716}">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T31" authorId="0" shapeId="0" xr:uid="{A2D49EEE-0A0A-4411-8020-D888F25D7110}">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AE31" authorId="0" shapeId="0" xr:uid="{10D06459-3068-481E-8C97-B091F8CB96A2}">
      <text>
        <r>
          <rPr>
            <b/>
            <sz val="9"/>
            <color indexed="81"/>
            <rFont val="Tahoma"/>
            <charset val="1"/>
          </rPr>
          <t>David Prochazka:</t>
        </r>
        <r>
          <rPr>
            <sz val="9"/>
            <color indexed="81"/>
            <rFont val="Tahoma"/>
            <charset val="1"/>
          </rPr>
          <t xml:space="preserve">
Source: Handbook of Mineralogy, Aegirine, anal. (1) Itapirapuã, São Paulo, Brazil; H2O+ + H2O- summed, https://handbookofmineralogy.org/wp-content/uploads/2022/07/aegirine.pdf</t>
        </r>
      </text>
    </comment>
    <comment ref="H32" authorId="0" shapeId="0" xr:uid="{1896551F-CA9F-4CD8-88C0-3AFBB27DBCF8}">
      <text>
        <r>
          <rPr>
            <b/>
            <sz val="9"/>
            <color indexed="81"/>
            <rFont val="Tahoma"/>
            <charset val="1"/>
          </rPr>
          <t>David Prochazka:</t>
        </r>
        <r>
          <rPr>
            <sz val="9"/>
            <color indexed="81"/>
            <rFont val="Tahoma"/>
            <charset val="1"/>
          </rPr>
          <t xml:space="preserve">
Source: Handbook of Mineralogy, Thomsenolite (dimorph of pachnolite), Ideal NaCaAlF6·H2O (anal. 2 of the thomsenolite page; pachnolite is its dimorph with identical composition). Element wt% converted: Na-&gt;Na2O, Ca-&gt;CaO, Al-&gt;Al2O3; F kept as element, https://www.handbookofmineralogy.org/pdfs/thomsenolite.pdf</t>
        </r>
      </text>
    </comment>
    <comment ref="O32" authorId="0" shapeId="0" xr:uid="{29929B34-1DE5-4851-8D7B-0A10158D6DDB}">
      <text>
        <r>
          <rPr>
            <b/>
            <sz val="9"/>
            <color indexed="81"/>
            <rFont val="Tahoma"/>
            <charset val="1"/>
          </rPr>
          <t>David Prochazka:</t>
        </r>
        <r>
          <rPr>
            <sz val="9"/>
            <color indexed="81"/>
            <rFont val="Tahoma"/>
            <charset val="1"/>
          </rPr>
          <t xml:space="preserve">
Source: Handbook of Mineralogy, Thomsenolite (dimorph of pachnolite), Ideal NaCaAlF6·H2O (anal. 2 of the thomsenolite page; pachnolite is its dimorph with identical composition). Element wt% converted: Na-&gt;Na2O, Ca-&gt;CaO, Al-&gt;Al2O3; F kept as element, https://www.handbookofmineralogy.org/pdfs/thomsenolite.pdf</t>
        </r>
      </text>
    </comment>
    <comment ref="S32" authorId="0" shapeId="0" xr:uid="{78BB67B2-ED0E-4141-A8FB-80EDA8C8E2F1}">
      <text>
        <r>
          <rPr>
            <b/>
            <sz val="9"/>
            <color indexed="81"/>
            <rFont val="Tahoma"/>
            <charset val="1"/>
          </rPr>
          <t>David Prochazka:</t>
        </r>
        <r>
          <rPr>
            <sz val="9"/>
            <color indexed="81"/>
            <rFont val="Tahoma"/>
            <charset val="1"/>
          </rPr>
          <t xml:space="preserve">
Source: Handbook of Mineralogy, Thomsenolite (dimorph of pachnolite), Ideal NaCaAlF6·H2O (anal. 2 of the thomsenolite page; pachnolite is its dimorph with identical composition). Element wt% converted: Na-&gt;Na2O, Ca-&gt;CaO, Al-&gt;Al2O3; F kept as element, https://www.handbookofmineralogy.org/pdfs/thomsenolite.pdf</t>
        </r>
      </text>
    </comment>
    <comment ref="AE32" authorId="0" shapeId="0" xr:uid="{A79C9635-846B-4630-9AFB-1770D1D3A5FF}">
      <text>
        <r>
          <rPr>
            <b/>
            <sz val="9"/>
            <color indexed="81"/>
            <rFont val="Tahoma"/>
            <charset val="1"/>
          </rPr>
          <t>David Prochazka:</t>
        </r>
        <r>
          <rPr>
            <sz val="9"/>
            <color indexed="81"/>
            <rFont val="Tahoma"/>
            <charset val="1"/>
          </rPr>
          <t xml:space="preserve">
Source: Handbook of Mineralogy, Thomsenolite (dimorph of pachnolite), Ideal NaCaAlF6·H2O (anal. 2 of the thomsenolite page; pachnolite is its dimorph with identical composition). Element wt% converted: Na-&gt;Na2O, Ca-&gt;CaO, Al-&gt;Al2O3; F kept as element, https://www.handbookofmineralogy.org/pdfs/thomsenolite.pdf</t>
        </r>
      </text>
    </comment>
    <comment ref="AF32" authorId="0" shapeId="0" xr:uid="{B0EA1BF9-C945-43E8-B51A-23D526B2BDF4}">
      <text>
        <r>
          <rPr>
            <b/>
            <sz val="9"/>
            <color indexed="81"/>
            <rFont val="Tahoma"/>
            <charset val="1"/>
          </rPr>
          <t>David Prochazka:</t>
        </r>
        <r>
          <rPr>
            <sz val="9"/>
            <color indexed="81"/>
            <rFont val="Tahoma"/>
            <charset val="1"/>
          </rPr>
          <t xml:space="preserve">
Source: Handbook of Mineralogy, Thomsenolite (dimorph of pachnolite), Ideal NaCaAlF6·H2O (anal. 2 of the thomsenolite page; pachnolite is its dimorph with identical composition). Element wt% converted: Na-&gt;Na2O, Ca-&gt;CaO, Al-&gt;Al2O3; F kept as element, https://www.handbookofmineralogy.org/pdfs/thomsenolite.pdf</t>
        </r>
      </text>
    </comment>
    <comment ref="C33" authorId="0" shapeId="0" xr:uid="{E2B5743F-1CA6-40B7-900A-76974729DB83}">
      <text>
        <r>
          <rPr>
            <b/>
            <sz val="9"/>
            <color indexed="81"/>
            <rFont val="Tahoma"/>
            <charset val="1"/>
          </rPr>
          <t>David Prochazka:</t>
        </r>
        <r>
          <rPr>
            <sz val="9"/>
            <color indexed="81"/>
            <rFont val="Tahoma"/>
            <charset val="1"/>
          </rPr>
          <t xml:space="preserve">
Source: Handbook of Mineralogy, Orthoclase, anal. (1) Himalaya mine, Mesa Grande, California, EPMA; Rb2O 0.49 omitted (no Rb column), https://www.handbookofmineralogy.org/pdfs/orthoclase.pdf</t>
        </r>
      </text>
    </comment>
    <comment ref="H33" authorId="0" shapeId="0" xr:uid="{F1708975-50DD-45D9-AD94-7A57078802F4}">
      <text>
        <r>
          <rPr>
            <b/>
            <sz val="9"/>
            <color indexed="81"/>
            <rFont val="Tahoma"/>
            <charset val="1"/>
          </rPr>
          <t>David Prochazka:</t>
        </r>
        <r>
          <rPr>
            <sz val="9"/>
            <color indexed="81"/>
            <rFont val="Tahoma"/>
            <charset val="1"/>
          </rPr>
          <t xml:space="preserve">
Source: Handbook of Mineralogy, Orthoclase, anal. (1) Himalaya mine, Mesa Grande, California, EPMA; Rb2O 0.49 omitted (no Rb column), https://www.handbookofmineralogy.org/pdfs/orthoclase.pdf</t>
        </r>
      </text>
    </comment>
    <comment ref="Q33" authorId="0" shapeId="0" xr:uid="{CF0CA85F-8276-4F97-A1E9-C8E6DDBB6BC9}">
      <text>
        <r>
          <rPr>
            <b/>
            <sz val="9"/>
            <color indexed="81"/>
            <rFont val="Tahoma"/>
            <charset val="1"/>
          </rPr>
          <t>David Prochazka:</t>
        </r>
        <r>
          <rPr>
            <sz val="9"/>
            <color indexed="81"/>
            <rFont val="Tahoma"/>
            <charset val="1"/>
          </rPr>
          <t xml:space="preserve">
Source: Handbook of Mineralogy, Orthoclase, anal. (1) Himalaya mine, Mesa Grande, California, EPMA; Rb2O 0.49 omitted (no Rb column), https://www.handbookofmineralogy.org/pdfs/orthoclase.pdf</t>
        </r>
      </text>
    </comment>
    <comment ref="S33" authorId="0" shapeId="0" xr:uid="{0778C230-65B6-4F09-B6FF-7435D126E1D6}">
      <text>
        <r>
          <rPr>
            <b/>
            <sz val="9"/>
            <color indexed="81"/>
            <rFont val="Tahoma"/>
            <charset val="1"/>
          </rPr>
          <t>David Prochazka:</t>
        </r>
        <r>
          <rPr>
            <sz val="9"/>
            <color indexed="81"/>
            <rFont val="Tahoma"/>
            <charset val="1"/>
          </rPr>
          <t xml:space="preserve">
Source: Handbook of Mineralogy, Orthoclase, anal. (1) Himalaya mine, Mesa Grande, California, EPMA; Rb2O 0.49 omitted (no Rb column), https://www.handbookofmineralogy.org/pdfs/orthoclase.pdf</t>
        </r>
      </text>
    </comment>
    <comment ref="T33" authorId="0" shapeId="0" xr:uid="{883B54DE-8DB4-473A-BDA5-B64852325796}">
      <text>
        <r>
          <rPr>
            <b/>
            <sz val="9"/>
            <color indexed="81"/>
            <rFont val="Tahoma"/>
            <charset val="1"/>
          </rPr>
          <t>David Prochazka:</t>
        </r>
        <r>
          <rPr>
            <sz val="9"/>
            <color indexed="81"/>
            <rFont val="Tahoma"/>
            <charset val="1"/>
          </rPr>
          <t xml:space="preserve">
Source: Handbook of Mineralogy, Orthoclase, anal. (1) Himalaya mine, Mesa Grande, California, EPMA; Rb2O 0.49 omitted (no Rb column), https://www.handbookofmineralogy.org/pdfs/orthoclase.pdf</t>
        </r>
      </text>
    </comment>
    <comment ref="I34" authorId="0" shapeId="0" xr:uid="{46849719-0905-403D-91DB-4CFE2A2D47C8}">
      <text>
        <r>
          <rPr>
            <b/>
            <sz val="9"/>
            <color indexed="81"/>
            <rFont val="Tahoma"/>
            <charset val="1"/>
          </rPr>
          <t>David Prochazka:</t>
        </r>
        <r>
          <rPr>
            <sz val="9"/>
            <color indexed="81"/>
            <rFont val="Tahoma"/>
            <charset val="1"/>
          </rPr>
          <t xml:space="preserve">
Source: Handbook of Mineralogy, Hematite, anal. (1) Franklin, New Jersey; Mn2O3 0.54 -&gt; MnO 0.49, added to MnO 0.38, https://www.handbookofmineralogy.org/pdfs/hematite.pdf</t>
        </r>
      </text>
    </comment>
    <comment ref="J34" authorId="0" shapeId="0" xr:uid="{1AC34C8A-BBDE-4103-BD2D-6F2C1D6D9CE8}">
      <text>
        <r>
          <rPr>
            <b/>
            <sz val="9"/>
            <color indexed="81"/>
            <rFont val="Tahoma"/>
            <charset val="1"/>
          </rPr>
          <t>David Prochazka:</t>
        </r>
        <r>
          <rPr>
            <sz val="9"/>
            <color indexed="81"/>
            <rFont val="Tahoma"/>
            <charset val="1"/>
          </rPr>
          <t xml:space="preserve">
Source: Handbook of Mineralogy, Hematite, anal. (1) Franklin, New Jersey; Mn2O3 0.54 -&gt; MnO 0.49, added to MnO 0.38, https://www.handbookofmineralogy.org/pdfs/hematite.pdf</t>
        </r>
      </text>
    </comment>
    <comment ref="K34" authorId="0" shapeId="0" xr:uid="{7CB6C365-D53A-494B-A1D3-97D8F44537A5}">
      <text>
        <r>
          <rPr>
            <b/>
            <sz val="9"/>
            <color indexed="81"/>
            <rFont val="Tahoma"/>
            <charset val="1"/>
          </rPr>
          <t>David Prochazka:</t>
        </r>
        <r>
          <rPr>
            <sz val="9"/>
            <color indexed="81"/>
            <rFont val="Tahoma"/>
            <charset val="1"/>
          </rPr>
          <t xml:space="preserve">
Source: Handbook of Mineralogy, Hematite, anal. (1) Franklin, New Jersey; Mn2O3 0.54 -&gt; MnO 0.49, added to MnO 0.38, https://www.handbookofmineralogy.org/pdfs/hematite.pdf</t>
        </r>
      </text>
    </comment>
    <comment ref="C35" authorId="0" shapeId="0" xr:uid="{092E7835-A642-4BCB-8521-048FEA382CB9}">
      <text>
        <r>
          <rPr>
            <b/>
            <sz val="9"/>
            <color indexed="81"/>
            <rFont val="Tahoma"/>
            <charset val="1"/>
          </rPr>
          <t>David Prochazka:
Source: Handbook of Mineralogy, Magnetite, anal. (1) Lovers Pit, Mineville, New York, https://handbookofmineralogy.org/pdfs/magnetite.pdf</t>
        </r>
      </text>
    </comment>
    <comment ref="H35" authorId="0" shapeId="0" xr:uid="{AA3BAB4F-3ED1-4348-B9BD-8B56303416FC}">
      <text>
        <r>
          <rPr>
            <b/>
            <sz val="9"/>
            <color indexed="81"/>
            <rFont val="Tahoma"/>
            <charset val="1"/>
          </rPr>
          <t>David Prochazka:
Source: Handbook of Mineralogy, Magnetite, anal. (1) Lovers Pit, Mineville, New York, https://handbookofmineralogy.org/pdfs/magnetite.pdf</t>
        </r>
      </text>
    </comment>
    <comment ref="I35" authorId="0" shapeId="0" xr:uid="{BBCEFD15-69F0-4991-A11C-B55889F24DEE}">
      <text>
        <r>
          <rPr>
            <b/>
            <sz val="9"/>
            <color indexed="81"/>
            <rFont val="Tahoma"/>
            <charset val="1"/>
          </rPr>
          <t>David Prochazka:
Source: Handbook of Mineralogy, Magnetite, anal. (1) Lovers Pit, Mineville, New York, https://handbookofmineralogy.org/pdfs/magnetite.pdf</t>
        </r>
      </text>
    </comment>
    <comment ref="J35" authorId="0" shapeId="0" xr:uid="{82722D7A-9030-46B8-81E8-B0AFA6E2621E}">
      <text>
        <r>
          <rPr>
            <b/>
            <sz val="9"/>
            <color indexed="81"/>
            <rFont val="Tahoma"/>
            <charset val="1"/>
          </rPr>
          <t>David Prochazka:
Source: Handbook of Mineralogy, Magnetite, anal. (1) Lovers Pit, Mineville, New York, https://handbookofmineralogy.org/pdfs/magnetite.pdf</t>
        </r>
      </text>
    </comment>
    <comment ref="C36" authorId="0" shapeId="0" xr:uid="{FEB86EBF-1C30-4B55-9921-CCF9DB26AAEB}">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D36" authorId="0" shapeId="0" xr:uid="{D22F7CA9-0641-44AA-904A-436CEC6D4E3A}">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H36" authorId="0" shapeId="0" xr:uid="{0DD0A002-4117-4C23-9E1C-4DD785B387EB}">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J36" authorId="0" shapeId="0" xr:uid="{B75DE850-424B-4859-B8AD-2E3BC7809278}">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N36" authorId="0" shapeId="0" xr:uid="{3E609D6C-E388-4F80-88A3-5096EBEED0E4}">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R36" authorId="0" shapeId="0" xr:uid="{BBB7C9EF-B2D7-4617-AF10-D45DE8493FEC}">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AE36" authorId="0" shapeId="0" xr:uid="{08AEF8C8-6AB0-45E0-8E2C-2723F7881008}">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AI36" authorId="0" shapeId="0" xr:uid="{7E8E4434-462F-4074-A9F1-5C90D5C811F7}">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AJ36" authorId="0" shapeId="0" xr:uid="{F5D07C31-EFE9-47A8-A18C-9995517A3620}">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AN36" authorId="0" shapeId="0" xr:uid="{9F46A12A-20AD-4458-A8DE-D3F6D69255BB}">
      <text>
        <r>
          <rPr>
            <b/>
            <sz val="9"/>
            <color indexed="81"/>
            <rFont val="Tahoma"/>
            <charset val="1"/>
          </rPr>
          <t>David Prochazka:</t>
        </r>
        <r>
          <rPr>
            <sz val="9"/>
            <color indexed="81"/>
            <rFont val="Tahoma"/>
            <charset val="1"/>
          </rPr>
          <t xml:space="preserve">
Source: Handbook of Mineralogy, Thorite, anal. (1) Tuolumne River, California (recalculated to 100%); RE2O3 0.54 entered as Ce2O3, https://www.handbookofmineralogy.org/pdfs/thorite.pdf</t>
        </r>
      </text>
    </comment>
    <comment ref="H37" authorId="0" shapeId="0" xr:uid="{691792C9-6F56-40EF-8BF5-9A6512531EA2}">
      <text>
        <r>
          <rPr>
            <b/>
            <sz val="9"/>
            <color indexed="81"/>
            <rFont val="Tahoma"/>
            <charset val="1"/>
          </rPr>
          <t>David Prochazka:</t>
        </r>
        <r>
          <rPr>
            <sz val="9"/>
            <color indexed="81"/>
            <rFont val="Tahoma"/>
            <charset val="1"/>
          </rPr>
          <t xml:space="preserve">
Source: Handbook of Mineralogy, Cryolite, anal. (1) Ivigtut, Greenland; element wt% converted: Na-&gt;Na2O, Al-&gt;Al2O3; F kept as element, https://www.handbookofmineralogy.org/pdfs/cryolite.pdf</t>
        </r>
      </text>
    </comment>
    <comment ref="S37" authorId="0" shapeId="0" xr:uid="{C2F6F80A-4AB2-4EDD-915F-573AAF164935}">
      <text>
        <r>
          <rPr>
            <b/>
            <sz val="9"/>
            <color indexed="81"/>
            <rFont val="Tahoma"/>
            <charset val="1"/>
          </rPr>
          <t>David Prochazka:</t>
        </r>
        <r>
          <rPr>
            <sz val="9"/>
            <color indexed="81"/>
            <rFont val="Tahoma"/>
            <charset val="1"/>
          </rPr>
          <t xml:space="preserve">
Source: Handbook of Mineralogy, Cryolite, anal. (1) Ivigtut, Greenland; element wt% converted: Na-&gt;Na2O, Al-&gt;Al2O3; F kept as element, https://www.handbookofmineralogy.org/pdfs/cryolite.pdf</t>
        </r>
      </text>
    </comment>
    <comment ref="AF37" authorId="0" shapeId="0" xr:uid="{59317B4F-6170-4533-AB70-E94A8F37BC32}">
      <text>
        <r>
          <rPr>
            <b/>
            <sz val="9"/>
            <color indexed="81"/>
            <rFont val="Tahoma"/>
            <charset val="1"/>
          </rPr>
          <t>David Prochazka:</t>
        </r>
        <r>
          <rPr>
            <sz val="9"/>
            <color indexed="81"/>
            <rFont val="Tahoma"/>
            <charset val="1"/>
          </rPr>
          <t xml:space="preserve">
Source: Handbook of Mineralogy, Cryolite, anal. (1) Ivigtut, Greenland; element wt% converted: Na-&gt;Na2O, Al-&gt;Al2O3; F kept as element, https://www.handbookofmineralogy.org/pdfs/cryolite.pdf</t>
        </r>
      </text>
    </comment>
    <comment ref="C38" authorId="0" shapeId="0" xr:uid="{BEDE5617-DAB8-440E-898C-3901744DE539}">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D38" authorId="0" shapeId="0" xr:uid="{F696210A-6E26-40ED-9A54-A04CA1E47A6C}">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G38" authorId="0" shapeId="0" xr:uid="{3F60D17F-F0C7-4A20-BA2A-EE7CEC157C8D}">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J38" authorId="0" shapeId="0" xr:uid="{EF4A9BB9-3ADD-404A-A0EB-A4B932E67E6C}">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X38" authorId="0" shapeId="0" xr:uid="{6DA8D83B-C05E-40F5-8FD2-DC86C5A939FD}">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Y38" authorId="0" shapeId="0" xr:uid="{7FFF0425-310C-4776-AA95-958E01B1C96A}">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Z38" authorId="0" shapeId="0" xr:uid="{E39C21D5-94D2-4CCE-B3DC-CC1EF8BA2CBF}">
      <text>
        <r>
          <rPr>
            <b/>
            <sz val="9"/>
            <color indexed="81"/>
            <rFont val="Tahoma"/>
            <charset val="1"/>
          </rPr>
          <t>David Prochazka:</t>
        </r>
        <r>
          <rPr>
            <sz val="9"/>
            <color indexed="81"/>
            <rFont val="Tahoma"/>
            <charset val="1"/>
          </rPr>
          <t xml:space="preserve">
Source: Handbook of Mineralogy, Cassiterite, anal. (1) St. Michael's Mount, Cornwall, EPMA; remnant FeO 0.11, Nb2O5 0.03, WO3/TiO2/Ta2O5 0.01 each entered; In2O3, IrO2 omitted, https://www.handbookofmineralogy.org/pdfs/cassiterite.pdf</t>
        </r>
      </text>
    </comment>
    <comment ref="C39" authorId="0" shapeId="0" xr:uid="{D40A8AF1-762C-4944-A6D7-69498620507C}">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H39" authorId="0" shapeId="0" xr:uid="{872516E2-0695-4670-B49F-5DB60F5F6F70}">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N39" authorId="0" shapeId="0" xr:uid="{729D7060-291B-49D0-B581-1DCF8F7C78C3}">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O39" authorId="0" shapeId="0" xr:uid="{BA92F132-75BF-4ED1-B80C-74FDAC82321A}">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S39" authorId="0" shapeId="0" xr:uid="{106543CC-B059-4959-AA7D-D2664DFB4EA9}">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T39" authorId="0" shapeId="0" xr:uid="{1A3E97B7-16FF-4927-8B65-BBF0FA18DD11}">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AE39" authorId="0" shapeId="0" xr:uid="{4B246D91-1515-4DF2-9F19-9BF817A860F9}">
      <text>
        <r>
          <rPr>
            <b/>
            <sz val="9"/>
            <color indexed="81"/>
            <rFont val="Tahoma"/>
            <charset val="1"/>
          </rPr>
          <t>David Prochazka:</t>
        </r>
        <r>
          <rPr>
            <sz val="9"/>
            <color indexed="81"/>
            <rFont val="Tahoma"/>
            <charset val="1"/>
          </rPr>
          <t xml:space="preserve">
Source: Handbook of Mineralogy, Nepheline, anal. (1) Monte Somma, Italy; H2O+ + H2O- summed, https://www.handbookofmineralogy.org/pdfs/nepheline.pdf</t>
        </r>
      </text>
    </comment>
    <comment ref="C40" authorId="0" shapeId="0" xr:uid="{452E1446-E434-46A7-938C-955604F95BDA}">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D40" authorId="0" shapeId="0" xr:uid="{CC58F738-CF47-4414-9252-B75EB672E201}">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H40" authorId="0" shapeId="0" xr:uid="{8258A6F0-EAD9-49C1-8D11-8BDDAAA9CAEE}">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I40" authorId="0" shapeId="0" xr:uid="{9081E032-9D04-482A-B25B-35EF02E22725}">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J40" authorId="0" shapeId="0" xr:uid="{AE29AB73-F7C0-4AC8-A3D2-21522B8196A0}">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K40" authorId="0" shapeId="0" xr:uid="{EFE043B7-9977-48A6-BC87-367521EE2364}">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L40" authorId="0" shapeId="0" xr:uid="{BCA4923E-DEBA-4352-B096-9931CC727C44}">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N40" authorId="0" shapeId="0" xr:uid="{AF95B995-603E-4772-80F1-3FE648CA946C}">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O40" authorId="0" shapeId="0" xr:uid="{A32C3E01-B419-464E-A2C0-B213E6C27C78}">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Q40" authorId="0" shapeId="0" xr:uid="{C975C5BF-8F3C-4548-8A13-ED71323AD658}">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S40" authorId="0" shapeId="0" xr:uid="{8422BBC3-5EA2-493F-9289-CC543C658CE0}">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T40" authorId="0" shapeId="0" xr:uid="{D939961D-B11B-499B-BD7E-6D4ABC922E89}">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AE40" authorId="0" shapeId="0" xr:uid="{6B085B5A-D88B-493F-8184-26A31E8F1D4D}">
      <text>
        <r>
          <rPr>
            <b/>
            <sz val="9"/>
            <color indexed="81"/>
            <rFont val="Tahoma"/>
            <charset val="1"/>
          </rPr>
          <t>David Prochazka:</t>
        </r>
        <r>
          <rPr>
            <sz val="9"/>
            <color indexed="81"/>
            <rFont val="Tahoma"/>
            <charset val="1"/>
          </rPr>
          <t xml:space="preserve">
Source: Handbook of Mineralogy, Hendricksite, anal. (1) Franklin, New Jersey; 'H2O+ + F' 3.95 entered as H2O, https://www.handbookofmineralogy.org/pdfs/hendricksite.pdf</t>
        </r>
      </text>
    </comment>
    <comment ref="C41" authorId="0" shapeId="0" xr:uid="{7C23B9FF-165F-425E-99BA-CD54B17DFCE4}">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D41" authorId="0" shapeId="0" xr:uid="{91D31FD4-39F0-4E48-95BA-11204F82C898}">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J41" authorId="0" shapeId="0" xr:uid="{E03BB18C-B5E0-4247-9D4E-9618FC00B958}">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O41" authorId="0" shapeId="0" xr:uid="{0E07AE97-AF2E-4B34-B24A-4A42FB8A7BB9}">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P41" authorId="0" shapeId="0" xr:uid="{54C4E209-CBDF-4DDD-9FE0-781250CF55B1}">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R41" authorId="0" shapeId="0" xr:uid="{4CB01B85-45B7-4CFE-970E-6857E52FDFF8}">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X41" authorId="0" shapeId="0" xr:uid="{AEB54D7D-CE97-49EB-8177-79DB39600077}">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Y41" authorId="0" shapeId="0" xr:uid="{BA3A6B97-5E24-499F-8FB0-CDFF6D0FD564}">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AE41" authorId="0" shapeId="0" xr:uid="{E5A1FD71-12D5-4D3D-ADE0-69D32A084A92}">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AN41" authorId="0" shapeId="0" xr:uid="{5A326151-2699-4AB1-AFA0-E1AB21C9FF4C}">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AP41" authorId="0" shapeId="0" xr:uid="{F09B24F7-7C10-4406-A923-E06AB9F74EF5}">
      <text>
        <r>
          <rPr>
            <b/>
            <sz val="9"/>
            <color indexed="81"/>
            <rFont val="Tahoma"/>
            <charset val="1"/>
          </rPr>
          <t>David Prochazka:</t>
        </r>
        <r>
          <rPr>
            <sz val="9"/>
            <color indexed="81"/>
            <rFont val="Tahoma"/>
            <charset val="1"/>
          </rPr>
          <t xml:space="preserve">
Source: Handbook of Mineralogy, Hydroxyplumbopyrochlore, Hydroxyplumbopyrochlore anal. (1) Jabal Sayid, Saudi Arabia, EPMA; H2O calculated, https://www.handbookofmineralogy.org/pdfs/Hydroxyplumbopyrochlore.pdf</t>
        </r>
      </text>
    </comment>
    <comment ref="C42" authorId="0" shapeId="0" xr:uid="{31E31B0E-4856-4D52-AC69-74ECEB87FAA2}">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H42" authorId="0" shapeId="0" xr:uid="{C6680533-CA1A-4864-909D-1C2C8A7E5D8D}">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J42" authorId="0" shapeId="0" xr:uid="{53C40A0A-9E45-4468-B65C-EA4EA15D0192}">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K42" authorId="0" shapeId="0" xr:uid="{763DA909-931D-41F5-8980-0619161F448D}">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N42" authorId="0" shapeId="0" xr:uid="{C0B3DB2F-A74D-413F-8AD0-0F2199022FA6}">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O42" authorId="0" shapeId="0" xr:uid="{8C3B04F6-9FB6-4DDE-AEF2-19543F26B235}">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T42" authorId="0" shapeId="0" xr:uid="{469DDFB1-ECE7-43A1-8323-921BBA0160B6}">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AF42" authorId="0" shapeId="0" xr:uid="{8450F4DD-EDDF-48D1-B13E-BCE3161C479E}">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AG42" authorId="0" shapeId="0" xr:uid="{B6597098-B8DE-4E24-9CEE-4C22BD638E04}">
      <text>
        <r>
          <rPr>
            <b/>
            <sz val="9"/>
            <color indexed="81"/>
            <rFont val="Tahoma"/>
            <charset val="1"/>
          </rPr>
          <t>David Prochazka:</t>
        </r>
        <r>
          <rPr>
            <sz val="9"/>
            <color indexed="81"/>
            <rFont val="Tahoma"/>
            <charset val="1"/>
          </rPr>
          <t xml:space="preserve">
Source: Handbook of Mineralogy, Annite, Annite anal. (1) Moina skarn, Tasmania, EPMA, https://www.handbookofmineralogy.org/pdfs/annite.pdf</t>
        </r>
      </text>
    </comment>
    <comment ref="G43" authorId="0" shapeId="0" xr:uid="{D671BC5D-3462-4B39-B587-EA7876AE040D}">
      <text>
        <r>
          <rPr>
            <b/>
            <sz val="9"/>
            <color indexed="81"/>
            <rFont val="Tahoma"/>
            <charset val="1"/>
          </rPr>
          <t>David Prochazka:</t>
        </r>
        <r>
          <rPr>
            <sz val="9"/>
            <color indexed="81"/>
            <rFont val="Tahoma"/>
            <charset val="1"/>
          </rPr>
          <t xml:space="preserve">
Source: Handbook of Mineralogy, Ferrocolumbite, anal. (1) Ånneröd, Norway, https://www.handbookofmineralogy.org/pdfs/ferrocolumbite.pdf</t>
        </r>
      </text>
    </comment>
    <comment ref="J43" authorId="0" shapeId="0" xr:uid="{0C17F2F8-FA38-45DE-B414-2D54421FCFE1}">
      <text>
        <r>
          <rPr>
            <b/>
            <sz val="9"/>
            <color indexed="81"/>
            <rFont val="Tahoma"/>
            <charset val="1"/>
          </rPr>
          <t>David Prochazka:</t>
        </r>
        <r>
          <rPr>
            <sz val="9"/>
            <color indexed="81"/>
            <rFont val="Tahoma"/>
            <charset val="1"/>
          </rPr>
          <t xml:space="preserve">
Source: Handbook of Mineralogy, Ferrocolumbite, anal. (1) Ånneröd, Norway, https://www.handbookofmineralogy.org/pdfs/ferrocolumbite.pdf</t>
        </r>
      </text>
    </comment>
    <comment ref="K43" authorId="0" shapeId="0" xr:uid="{EF23C729-4393-49D0-AE13-9FDF5D748173}">
      <text>
        <r>
          <rPr>
            <b/>
            <sz val="9"/>
            <color indexed="81"/>
            <rFont val="Tahoma"/>
            <charset val="1"/>
          </rPr>
          <t>David Prochazka:</t>
        </r>
        <r>
          <rPr>
            <sz val="9"/>
            <color indexed="81"/>
            <rFont val="Tahoma"/>
            <charset val="1"/>
          </rPr>
          <t xml:space="preserve">
Source: Handbook of Mineralogy, Ferrocolumbite, anal. (1) Ånneröd, Norway, https://www.handbookofmineralogy.org/pdfs/ferrocolumbite.pdf</t>
        </r>
      </text>
    </comment>
    <comment ref="O43" authorId="0" shapeId="0" xr:uid="{3BA9935A-3C2C-420E-A6FA-5DC35E1AF511}">
      <text>
        <r>
          <rPr>
            <b/>
            <sz val="9"/>
            <color indexed="81"/>
            <rFont val="Tahoma"/>
            <charset val="1"/>
          </rPr>
          <t>David Prochazka:</t>
        </r>
        <r>
          <rPr>
            <sz val="9"/>
            <color indexed="81"/>
            <rFont val="Tahoma"/>
            <charset val="1"/>
          </rPr>
          <t xml:space="preserve">
Source: Handbook of Mineralogy, Ferrocolumbite, anal. (1) Ånneröd, Norway, https://www.handbookofmineralogy.org/pdfs/ferrocolumbite.pdf</t>
        </r>
      </text>
    </comment>
    <comment ref="X43" authorId="0" shapeId="0" xr:uid="{2835F996-F42E-42AC-A0F8-916AE08472D1}">
      <text>
        <r>
          <rPr>
            <b/>
            <sz val="9"/>
            <color indexed="81"/>
            <rFont val="Tahoma"/>
            <charset val="1"/>
          </rPr>
          <t>David Prochazka:</t>
        </r>
        <r>
          <rPr>
            <sz val="9"/>
            <color indexed="81"/>
            <rFont val="Tahoma"/>
            <charset val="1"/>
          </rPr>
          <t xml:space="preserve">
Source: Handbook of Mineralogy, Ferrocolumbite, anal. (1) Ånneröd, Norway, https://www.handbookofmineralogy.org/pdfs/ferrocolumbite.pdf</t>
        </r>
      </text>
    </comment>
    <comment ref="Y43" authorId="0" shapeId="0" xr:uid="{DA2011DB-2AAA-4A85-943D-4B9BEB0103DA}">
      <text>
        <r>
          <rPr>
            <b/>
            <sz val="9"/>
            <color indexed="81"/>
            <rFont val="Tahoma"/>
            <charset val="1"/>
          </rPr>
          <t>David Prochazka:</t>
        </r>
        <r>
          <rPr>
            <sz val="9"/>
            <color indexed="81"/>
            <rFont val="Tahoma"/>
            <charset val="1"/>
          </rPr>
          <t xml:space="preserve">
Source: Handbook of Mineralogy, Ferrocolumbite, anal. (1) Ånneröd, Norway, https://www.handbookofmineralogy.org/pdfs/ferrocolumbite.pdf</t>
        </r>
      </text>
    </comment>
    <comment ref="D44" authorId="0" shapeId="0" xr:uid="{89B1A205-79BD-4B66-88E8-2E034664D31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44" authorId="0" shapeId="0" xr:uid="{E72A046F-A511-4A46-9AF8-7B45007351B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J44" authorId="0" shapeId="0" xr:uid="{7C08386B-1DDD-4BDE-889D-4C02A773EC2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44" authorId="0" shapeId="0" xr:uid="{0EE276F5-6444-4A41-8A25-3EF1A0D4E3F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S44" authorId="0" shapeId="0" xr:uid="{6077D72B-B208-476E-B976-5BAE12645BA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X44" authorId="0" shapeId="0" xr:uid="{7AF4AEA8-AE3D-427E-A0FE-5A385917C97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44" authorId="0" shapeId="0" xr:uid="{1888AA74-BC75-4154-BCFE-66B9CDF1C05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C45" authorId="0" shapeId="0" xr:uid="{7D4D80E0-791A-4835-967F-D63D90EDE6D6}">
      <text>
        <r>
          <rPr>
            <b/>
            <sz val="9"/>
            <color indexed="81"/>
            <rFont val="Tahoma"/>
            <charset val="1"/>
          </rPr>
          <t>David Prochazka:</t>
        </r>
        <r>
          <rPr>
            <sz val="9"/>
            <color indexed="81"/>
            <rFont val="Tahoma"/>
            <charset val="1"/>
          </rPr>
          <t xml:space="preserve">
Source: Handbook of Mineralogy, Spessartine, anal. (1) Kinko mine, Yamaguchi, Japan, https://www.handbookofmineralogy.org/pdfs/spessartine.pdf</t>
        </r>
      </text>
    </comment>
    <comment ref="D45" authorId="0" shapeId="0" xr:uid="{962F1A59-48AF-4D80-AB59-58D9E99294F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45" authorId="0" shapeId="0" xr:uid="{5955911E-ACE8-4894-8714-1C06267BB31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45" authorId="0" shapeId="0" xr:uid="{D98E8DBB-48F9-426F-B155-DA60D66F3A77}">
      <text>
        <r>
          <rPr>
            <b/>
            <sz val="9"/>
            <color indexed="81"/>
            <rFont val="Tahoma"/>
            <charset val="1"/>
          </rPr>
          <t>David Prochazka:</t>
        </r>
        <r>
          <rPr>
            <sz val="9"/>
            <color indexed="81"/>
            <rFont val="Tahoma"/>
            <charset val="1"/>
          </rPr>
          <t xml:space="preserve">
Source: Handbook of Mineralogy, Spessartine, anal. (1) Kinko mine, Yamaguchi, Japan, https://www.handbookofmineralogy.org/pdfs/spessartine.pdf</t>
        </r>
      </text>
    </comment>
    <comment ref="J45" authorId="0" shapeId="0" xr:uid="{B62687AE-B04F-478F-B958-F50F645474A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45" authorId="0" shapeId="0" xr:uid="{2E0E08BB-2A04-428D-8320-F16E1D11C2A6}">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45" authorId="0" shapeId="0" xr:uid="{EEAF0C44-F58E-4202-AFB9-81845A22BF21}">
      <text>
        <r>
          <rPr>
            <b/>
            <sz val="9"/>
            <color indexed="81"/>
            <rFont val="Tahoma"/>
            <charset val="1"/>
          </rPr>
          <t>David Prochazka:</t>
        </r>
        <r>
          <rPr>
            <sz val="9"/>
            <color indexed="81"/>
            <rFont val="Tahoma"/>
            <charset val="1"/>
          </rPr>
          <t xml:space="preserve">
Source: Handbook of Mineralogy, Spessartine, anal. (1) Kinko mine, Yamaguchi, Japan https://www.handbookofmineralogy.org/pdfs/spessartine.pdf</t>
        </r>
      </text>
    </comment>
    <comment ref="S45" authorId="0" shapeId="0" xr:uid="{7CE19B06-B205-466A-B68F-C992719FDB56}">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X45" authorId="0" shapeId="0" xr:uid="{D9DA5813-8DF4-4FED-A331-35E9400C4BD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45" authorId="0" shapeId="0" xr:uid="{58739532-8147-4435-8C23-B8793D54A57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45" authorId="0" shapeId="0" xr:uid="{6E71F20A-00F1-4AEC-9DE9-6A4ACDC2308A}">
      <text>
        <r>
          <rPr>
            <b/>
            <sz val="9"/>
            <color indexed="81"/>
            <rFont val="Tahoma"/>
            <charset val="1"/>
          </rPr>
          <t>David Prochazka:</t>
        </r>
        <r>
          <rPr>
            <sz val="9"/>
            <color indexed="81"/>
            <rFont val="Tahoma"/>
            <charset val="1"/>
          </rPr>
          <t xml:space="preserve">
Source: Handbook of Mineralogy, Spessartine, anal. (1) Kinko mine, Yamaguchi, Japan https://www.handbookofmineralogy.org/pdfs/spessartine.pdf</t>
        </r>
      </text>
    </comment>
    <comment ref="C46" authorId="0" shapeId="0" xr:uid="{A236795D-979F-42D2-AE2F-8A5FEA165D2C}">
      <text>
        <r>
          <rPr>
            <b/>
            <sz val="9"/>
            <color indexed="81"/>
            <rFont val="Tahoma"/>
            <charset val="1"/>
          </rPr>
          <t>David Prochazka:</t>
        </r>
        <r>
          <rPr>
            <sz val="9"/>
            <color indexed="81"/>
            <rFont val="Tahoma"/>
            <charset val="1"/>
          </rPr>
          <t xml:space="preserve">
Source: Handbook of Mineralogy, Schorl, anal. (1) St. Andreasberg, Germany, EPMA; B2O3 calculated; Fe2O3+FeO 17.59 entered as FeO https://www.handbookofmineralogy.org/pdfs/schorl.pdf</t>
        </r>
      </text>
    </comment>
    <comment ref="D46" authorId="0" shapeId="0" xr:uid="{A335BB0B-4486-4DFE-BB20-5086AA9E5F5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46" authorId="0" shapeId="0" xr:uid="{402C77CC-CA8D-4DD6-904A-DE2852D76B2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46" authorId="0" shapeId="0" xr:uid="{170B30E9-AD09-4981-83C5-EA52F83A75F2}">
      <text>
        <r>
          <rPr>
            <b/>
            <sz val="9"/>
            <color indexed="81"/>
            <rFont val="Tahoma"/>
            <charset val="1"/>
          </rPr>
          <t>David Prochazka:</t>
        </r>
        <r>
          <rPr>
            <sz val="9"/>
            <color indexed="81"/>
            <rFont val="Tahoma"/>
            <charset val="1"/>
          </rPr>
          <t xml:space="preserve">
Source: Handbook of Mineralogy, Schorl, anal. (1) St. Andreasberg, Germany, EPMA; B2O3 calculated; Fe2O3+FeO 17.59 entered as FeO https://www.handbookofmineralogy.org/pdfs/schorl.pdf</t>
        </r>
      </text>
    </comment>
    <comment ref="J46" authorId="0" shapeId="0" xr:uid="{A2D71507-4F5E-474C-97D9-42906F4ECC5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46" authorId="0" shapeId="0" xr:uid="{F917927D-7AF7-4957-9D06-D39B42DDB29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N46" authorId="0" shapeId="0" xr:uid="{468CC671-7DF7-48F5-8643-FBDD1EB99148}">
      <text>
        <r>
          <rPr>
            <b/>
            <sz val="9"/>
            <color indexed="81"/>
            <rFont val="Tahoma"/>
            <charset val="1"/>
          </rPr>
          <t>David Prochazka:</t>
        </r>
        <r>
          <rPr>
            <sz val="9"/>
            <color indexed="81"/>
            <rFont val="Tahoma"/>
            <charset val="1"/>
          </rPr>
          <t xml:space="preserve">
Source: Handbook of Mineralogy, Schorl, anal. (1) St. Andreasberg, Germany, EPMA; B2O3 calculated; Fe2O3+FeO 17.59 entered as FeO https://www.handbookofmineralogy.org/pdfs/schorl.pdf</t>
        </r>
      </text>
    </comment>
    <comment ref="O46" authorId="0" shapeId="0" xr:uid="{62005E02-7A9B-4EB4-AF8E-39470F4FBCEB}">
      <text>
        <r>
          <rPr>
            <b/>
            <sz val="9"/>
            <color indexed="81"/>
            <rFont val="Tahoma"/>
            <charset val="1"/>
          </rPr>
          <t>David Prochazka:</t>
        </r>
        <r>
          <rPr>
            <sz val="9"/>
            <color indexed="81"/>
            <rFont val="Tahoma"/>
            <charset val="1"/>
          </rPr>
          <t xml:space="preserve">
Source: Handbook of Mineralogy, Schorl, anal. (1) St. Andreasberg, Germany, EPMA; B2O3 calculated; Fe2O3+FeO 17.59 entered as FeO https://www.handbookofmineralogy.org/pdfs/schorl.pdf</t>
        </r>
      </text>
    </comment>
    <comment ref="S46" authorId="0" shapeId="0" xr:uid="{F6509F91-9DF0-4882-B709-6414A57C9F1A}">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46" authorId="0" shapeId="0" xr:uid="{1CEC5034-F862-4B05-B72D-5683215427E0}">
      <text>
        <r>
          <rPr>
            <b/>
            <sz val="9"/>
            <color indexed="81"/>
            <rFont val="Tahoma"/>
            <charset val="1"/>
          </rPr>
          <t>David Prochazka:</t>
        </r>
        <r>
          <rPr>
            <sz val="9"/>
            <color indexed="81"/>
            <rFont val="Tahoma"/>
            <charset val="1"/>
          </rPr>
          <t xml:space="preserve">
Source: Handbook of Mineralogy, Schorl, anal. (1) St. Andreasberg, Germany, EPMA; B2O3 calculated; Fe2O3+FeO 17.59 entered as FeO https://www.handbookofmineralogy.org/pdfs/schorl.pdf</t>
        </r>
      </text>
    </comment>
    <comment ref="V46" authorId="0" shapeId="0" xr:uid="{6A550199-42C6-4DAB-8F98-DE46662E2703}">
      <text>
        <r>
          <rPr>
            <b/>
            <sz val="9"/>
            <color indexed="81"/>
            <rFont val="Tahoma"/>
            <charset val="1"/>
          </rPr>
          <t>David Prochazka:</t>
        </r>
        <r>
          <rPr>
            <sz val="9"/>
            <color indexed="81"/>
            <rFont val="Tahoma"/>
            <charset val="1"/>
          </rPr>
          <t xml:space="preserve">
Source: Handbook of Mineralogy, Schorl, anal. (1) St. Andreasberg, Germany, EPMA; B2O3 calculated; Fe2O3+FeO 17.59 entered as FeO https://www.handbookofmineralogy.org/pdfs/schorl.pdf</t>
        </r>
      </text>
    </comment>
    <comment ref="X46" authorId="0" shapeId="0" xr:uid="{753F638F-56B5-4A49-9534-8F6619E850F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46" authorId="0" shapeId="0" xr:uid="{3D751968-E2A5-49F7-B4BD-3E6C559F439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C47" authorId="0" shapeId="0" xr:uid="{EC941713-3E7A-496F-896D-DCD8A8985304}">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D47" authorId="0" shapeId="0" xr:uid="{9CDF2B73-3B4E-486B-9635-76EFFE6676C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47" authorId="0" shapeId="0" xr:uid="{A3F00122-E254-42B3-A0B2-25283F29163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47" authorId="0" shapeId="0" xr:uid="{840142B2-F68A-4474-ABFB-8638513051B9}">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I47" authorId="0" shapeId="0" xr:uid="{D7C0FC73-DF3A-42EB-8FE0-AB5DD8F1141E}">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J47" authorId="0" shapeId="0" xr:uid="{6EA07CD5-A153-42A5-B4C3-B9D0309059C6}">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47" authorId="0" shapeId="0" xr:uid="{4648A091-DFC6-4BD7-84CB-1BD5A6AB6985}">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N47" authorId="0" shapeId="0" xr:uid="{E19E8649-BD70-406D-80BA-6396660B82A1}">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O47" authorId="0" shapeId="0" xr:uid="{3536F9EE-7AAD-4CC0-8936-CD27D84915DE}">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S47" authorId="0" shapeId="0" xr:uid="{2D2FFC02-549F-4A24-9FF2-57685013740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47" authorId="0" shapeId="0" xr:uid="{7ED6B47C-4C9F-406D-9EFA-2C9FE93C660E}">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X47" authorId="0" shapeId="0" xr:uid="{29DB223B-3C03-434B-BEE9-CBF7B9817AE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47" authorId="0" shapeId="0" xr:uid="{5B3BEFA4-5A82-499F-861C-9C004D2EC1D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47" authorId="0" shapeId="0" xr:uid="{106365C8-9ED9-48E8-A158-32B6B5976864}">
      <text>
        <r>
          <rPr>
            <b/>
            <sz val="9"/>
            <color indexed="81"/>
            <rFont val="Tahoma"/>
            <charset val="1"/>
          </rPr>
          <t>David Prochazka:</t>
        </r>
        <r>
          <rPr>
            <sz val="9"/>
            <color indexed="81"/>
            <rFont val="Tahoma"/>
            <charset val="1"/>
          </rPr>
          <t xml:space="preserve">
Source: Handbook of Mineralogy, Kaolinite, anal. (1) Mikawo mine, Niigata, Japan; H2O+ + H2O- summed https://www.handbookofmineralogy.org/pdfs/kaolinite.pdf</t>
        </r>
      </text>
    </comment>
    <comment ref="C48" authorId="0" shapeId="0" xr:uid="{0BF05618-7C71-4115-B249-0D46208A1F74}">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D48" authorId="0" shapeId="0" xr:uid="{7F3DF3F7-D51E-4A97-884B-5419CDAACC6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48" authorId="0" shapeId="0" xr:uid="{21943B86-F56A-4F23-9B38-757427D4FC5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48" authorId="0" shapeId="0" xr:uid="{979A7044-0F9D-4A54-A2AE-25D2C94DC587}">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J48" authorId="0" shapeId="0" xr:uid="{302BEE2B-A90B-450D-930C-ADBA9A76831B}">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48" authorId="0" shapeId="0" xr:uid="{913084B8-C873-4686-9E95-F4CD8B56489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48" authorId="0" shapeId="0" xr:uid="{61B7D910-4F52-49B3-81CB-F37A1B745E6A}">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S48" authorId="0" shapeId="0" xr:uid="{6CB543E1-CF18-4C58-B8A2-2C2B608B51C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U48" authorId="0" shapeId="0" xr:uid="{DB4D7C45-9A43-41A6-8AEA-73E9B593F522}">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V48" authorId="0" shapeId="0" xr:uid="{B4314201-5B27-4CB2-855E-5933D551A77B}">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X48" authorId="0" shapeId="0" xr:uid="{60836FD2-9B8D-45DE-A94B-5B506498CC7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48" authorId="0" shapeId="0" xr:uid="{5CCF6C8B-0825-4F9A-B55C-0145513B76B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48" authorId="0" shapeId="0" xr:uid="{816682A1-A4AC-4031-848D-65DFEB7C8904}">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AF48" authorId="0" shapeId="0" xr:uid="{3033544C-F29D-423A-BFD8-3E5B398161B4}">
      <text>
        <r>
          <rPr>
            <b/>
            <sz val="9"/>
            <color indexed="81"/>
            <rFont val="Tahoma"/>
            <charset val="1"/>
          </rPr>
          <t>David Prochazka:</t>
        </r>
        <r>
          <rPr>
            <sz val="9"/>
            <color indexed="81"/>
            <rFont val="Tahoma"/>
            <charset val="1"/>
          </rPr>
          <t xml:space="preserve">
Source: Handbook of Mineralogy, Elbaite, anal. (1) Elba, Italy https://handbookofmineralogy.org/pdfs/elbaite.pdf</t>
        </r>
      </text>
    </comment>
    <comment ref="C49" authorId="0" shapeId="0" xr:uid="{2CFA654F-7228-4964-9B01-E4B31CD11B91}">
      <text>
        <r>
          <rPr>
            <b/>
            <sz val="9"/>
            <color indexed="81"/>
            <rFont val="Tahoma"/>
            <charset val="1"/>
          </rPr>
          <t>David Prochazka:</t>
        </r>
        <r>
          <rPr>
            <sz val="9"/>
            <color indexed="81"/>
            <rFont val="Tahoma"/>
            <charset val="1"/>
          </rPr>
          <t xml:space="preserve">
Source: Handbook of Mineralogy, Clinochlore, anal. (1) Zillertal, Austria https://www.handbookofmineralogy.org/pdfs/clinochlore.pdf</t>
        </r>
      </text>
    </comment>
    <comment ref="D49" authorId="0" shapeId="0" xr:uid="{3107D400-A751-4199-8708-A179FC4FCB3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49" authorId="0" shapeId="0" xr:uid="{B1513303-8586-4BBD-B277-AF9138F0E36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49" authorId="0" shapeId="0" xr:uid="{9E752F99-A411-426D-9197-F14E714D4F69}">
      <text>
        <r>
          <rPr>
            <b/>
            <sz val="9"/>
            <color indexed="81"/>
            <rFont val="Tahoma"/>
            <charset val="1"/>
          </rPr>
          <t>David Prochazka:</t>
        </r>
        <r>
          <rPr>
            <sz val="9"/>
            <color indexed="81"/>
            <rFont val="Tahoma"/>
            <charset val="1"/>
          </rPr>
          <t xml:space="preserve">
Source: Handbook of Mineralogy, Clinochlore, anal. (1) Zillertal, Austria https://www.handbookofmineralogy.org/pdfs/clinochlore.pdf</t>
        </r>
      </text>
    </comment>
    <comment ref="I49" authorId="0" shapeId="0" xr:uid="{B4449700-2694-4539-8265-B1BC5C159422}">
      <text>
        <r>
          <rPr>
            <b/>
            <sz val="9"/>
            <color indexed="81"/>
            <rFont val="Tahoma"/>
            <charset val="1"/>
          </rPr>
          <t>David Prochazka:</t>
        </r>
        <r>
          <rPr>
            <sz val="9"/>
            <color indexed="81"/>
            <rFont val="Tahoma"/>
            <charset val="1"/>
          </rPr>
          <t xml:space="preserve">
Source: Handbook of Mineralogy, Clinochlore, anal. (1) Zillertal, Austria https://www.handbookofmineralogy.org/pdfs/clinochlore.pdf</t>
        </r>
      </text>
    </comment>
    <comment ref="J49" authorId="0" shapeId="0" xr:uid="{2860EC9A-285C-4D91-A36D-42D95844070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49" authorId="0" shapeId="0" xr:uid="{2AFDAD12-4359-4FCA-89B2-38D77198A02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N49" authorId="0" shapeId="0" xr:uid="{B9015A85-DA88-487D-AA21-3122DAB11D86}">
      <text>
        <r>
          <rPr>
            <b/>
            <sz val="9"/>
            <color indexed="81"/>
            <rFont val="Tahoma"/>
            <charset val="1"/>
          </rPr>
          <t>David Prochazka:</t>
        </r>
        <r>
          <rPr>
            <sz val="9"/>
            <color indexed="81"/>
            <rFont val="Tahoma"/>
            <charset val="1"/>
          </rPr>
          <t xml:space="preserve">
Source: Handbook of Mineralogy, Clinochlore, anal. (1) Zillertal, Austria https://www.handbookofmineralogy.org/pdfs/clinochlore.pdf</t>
        </r>
      </text>
    </comment>
    <comment ref="S49" authorId="0" shapeId="0" xr:uid="{9E39F5C7-A757-496B-9378-E921CDEFB0F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X49" authorId="0" shapeId="0" xr:uid="{0ADD7192-0D9D-400B-9F73-6714DB386A9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49" authorId="0" shapeId="0" xr:uid="{8A7B3D78-8799-468B-9B63-8179DC4EFBB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49" authorId="0" shapeId="0" xr:uid="{F9BAAF1D-0053-4B83-AA1B-6DC32AE45F5F}">
      <text>
        <r>
          <rPr>
            <b/>
            <sz val="9"/>
            <color indexed="81"/>
            <rFont val="Tahoma"/>
            <charset val="1"/>
          </rPr>
          <t>David Prochazka:</t>
        </r>
        <r>
          <rPr>
            <sz val="9"/>
            <color indexed="81"/>
            <rFont val="Tahoma"/>
            <charset val="1"/>
          </rPr>
          <t xml:space="preserve">
Source: Handbook of Mineralogy, Clinochlore, anal. (1) Zillertal, Austria https://www.handbookofmineralogy.org/pdfs/clinochlore.pdf</t>
        </r>
      </text>
    </comment>
    <comment ref="C50" authorId="0" shapeId="0" xr:uid="{A71FBE29-8F02-467C-9DDF-4F46C92E2E4F}">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D50" authorId="0" shapeId="0" xr:uid="{09F9295D-72CE-40EA-9C99-988966F4884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0" authorId="0" shapeId="0" xr:uid="{DB012CA4-9DDF-467D-B0AC-2F67C5DC3C5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0" authorId="0" shapeId="0" xr:uid="{A4A9B5D2-8427-496F-A52A-42C8F2FB5283}">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I50" authorId="0" shapeId="0" xr:uid="{624E07E1-FEB7-4E5E-9239-A1192DB53667}">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J50" authorId="0" shapeId="0" xr:uid="{880B8923-F04A-47C0-88F5-696823ED4DE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0" authorId="0" shapeId="0" xr:uid="{A4B2715A-209E-44ED-94BD-C78F9FD6D1B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N50" authorId="0" shapeId="0" xr:uid="{0BF9003C-1630-426A-BF2D-9A2DBB0ABEA7}">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O50" authorId="0" shapeId="0" xr:uid="{4F37B486-A51A-44E6-B9C1-9905225A5EEE}">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S50" authorId="0" shapeId="0" xr:uid="{A0C5612F-BC2E-472A-83B6-FF669F3306D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0" authorId="0" shapeId="0" xr:uid="{0FD37503-00DD-40E1-9929-830B0E2D75A9}">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X50" authorId="0" shapeId="0" xr:uid="{3A9EA6BA-D67A-472B-B4A6-24C7F2CC08C7}">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0" authorId="0" shapeId="0" xr:uid="{019E8979-8796-43C9-826D-F892AABC83E7}">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0" authorId="0" shapeId="0" xr:uid="{ACB84656-F640-41A1-AFFC-D971600CCD2B}">
      <text>
        <r>
          <rPr>
            <b/>
            <sz val="9"/>
            <color indexed="81"/>
            <rFont val="Tahoma"/>
            <charset val="1"/>
          </rPr>
          <t>David Prochazka:</t>
        </r>
        <r>
          <rPr>
            <sz val="9"/>
            <color indexed="81"/>
            <rFont val="Tahoma"/>
            <charset val="1"/>
          </rPr>
          <t xml:space="preserve">
Source: Handbook of Mineralogy, Chamosite, anal. (1) Wickwar, England (recalculated to 100%); H2O+ + H2O- summed https://www.handbookofmineralogy.org/pdfs/chamosite.pdf</t>
        </r>
      </text>
    </comment>
    <comment ref="C51" authorId="0" shapeId="0" xr:uid="{53600882-E49B-4AF1-9F37-D9668AB93F72}">
      <text>
        <r>
          <rPr>
            <b/>
            <sz val="9"/>
            <color indexed="81"/>
            <rFont val="Tahoma"/>
            <charset val="1"/>
          </rPr>
          <t>David Prochazka:</t>
        </r>
        <r>
          <rPr>
            <sz val="9"/>
            <color indexed="81"/>
            <rFont val="Tahoma"/>
            <charset val="1"/>
          </rPr>
          <t xml:space="preserve">
Source: Handbook of Mineralogy, Lepidolite, anal. (1) Stewart mine, Pala, California; H2O+ + H2O- summed; Rb2O 0.91, Cs2O 0.16 omitted https://www.handbookofmineralogy.org/pdfs/lepidolite.pdf</t>
        </r>
      </text>
    </comment>
    <comment ref="D51" authorId="0" shapeId="0" xr:uid="{DFC52896-FD9B-4E4F-806E-690959F55CF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1" authorId="0" shapeId="0" xr:uid="{18520269-001E-41BA-BDA2-B4FE2246148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1" authorId="0" shapeId="0" xr:uid="{E7DFDB17-976C-4D4D-85FF-1D3ABBDA1A95}">
      <text>
        <r>
          <rPr>
            <b/>
            <sz val="9"/>
            <color indexed="81"/>
            <rFont val="Tahoma"/>
            <charset val="1"/>
          </rPr>
          <t>David Prochazka:</t>
        </r>
        <r>
          <rPr>
            <sz val="9"/>
            <color indexed="81"/>
            <rFont val="Tahoma"/>
            <charset val="1"/>
          </rPr>
          <t xml:space="preserve">
Source: Handbook of Mineralogy, Lepidolite, anal. (1) Stewart mine, Pala, California; H2O+ + H2O- summed; Rb2O 0.91, Cs2O 0.16 omitted https://www.handbookofmineralogy.org/pdfs/lepidolite.pdf</t>
        </r>
      </text>
    </comment>
    <comment ref="J51" authorId="0" shapeId="0" xr:uid="{801CBDA4-BF21-46D0-B50C-3F1CC57448B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1" authorId="0" shapeId="0" xr:uid="{3ABB89A9-7A61-44D5-A239-A805D9AEC13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S51" authorId="0" shapeId="0" xr:uid="{77B0E177-C227-4FCE-AD6E-9DFC8FBF0F7A}">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1" authorId="0" shapeId="0" xr:uid="{5C7EF7A2-0C08-4F8D-A402-2312A2A15766}">
      <text>
        <r>
          <rPr>
            <b/>
            <sz val="9"/>
            <color indexed="81"/>
            <rFont val="Tahoma"/>
            <charset val="1"/>
          </rPr>
          <t>David Prochazka:</t>
        </r>
        <r>
          <rPr>
            <sz val="9"/>
            <color indexed="81"/>
            <rFont val="Tahoma"/>
            <charset val="1"/>
          </rPr>
          <t xml:space="preserve">
Source: Handbook of Mineralogy, Lepidolite, anal. (1) Stewart mine, Pala, California; H2O+ + H2O- summed; Rb2O 0.91, Cs2O 0.16 omitted https://www.handbookofmineralogy.org/pdfs/lepidolite.pdf</t>
        </r>
      </text>
    </comment>
    <comment ref="U51" authorId="0" shapeId="0" xr:uid="{E173BADB-1CC4-4E98-B052-82CF9D45AFF5}">
      <text>
        <r>
          <rPr>
            <b/>
            <sz val="9"/>
            <color indexed="81"/>
            <rFont val="Tahoma"/>
            <charset val="1"/>
          </rPr>
          <t>David Prochazka:</t>
        </r>
        <r>
          <rPr>
            <sz val="9"/>
            <color indexed="81"/>
            <rFont val="Tahoma"/>
            <charset val="1"/>
          </rPr>
          <t xml:space="preserve">
Source: Handbook of Mineralogy, Lepidolite, anal. (1) Stewart mine, Pala, California; H2O+ + H2O- summed; Rb2O 0.91, Cs2O 0.16 omitted https://www.handbookofmineralogy.org/pdfs/lepidolite.pdf</t>
        </r>
      </text>
    </comment>
    <comment ref="X51" authorId="0" shapeId="0" xr:uid="{8E5C0C65-65D7-491F-8155-EF66992B559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1" authorId="0" shapeId="0" xr:uid="{9BE54E7A-ACDC-4882-88D0-48525AE46EBA}">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1" authorId="0" shapeId="0" xr:uid="{BBBBB9A1-11AA-4164-8C91-E9731EB56C34}">
      <text>
        <r>
          <rPr>
            <b/>
            <sz val="9"/>
            <color indexed="81"/>
            <rFont val="Tahoma"/>
            <charset val="1"/>
          </rPr>
          <t>David Prochazka:</t>
        </r>
        <r>
          <rPr>
            <sz val="9"/>
            <color indexed="81"/>
            <rFont val="Tahoma"/>
            <charset val="1"/>
          </rPr>
          <t xml:space="preserve">
Source: Handbook of Mineralogy, Lepidolite, anal. (1) Stewart mine, Pala, California; H2O+ + H2O- summed; Rb2O 0.91, Cs2O 0.16 omitted https://www.handbookofmineralogy.org/pdfs/lepidolite.pdf</t>
        </r>
      </text>
    </comment>
    <comment ref="AF51" authorId="0" shapeId="0" xr:uid="{D639CF02-D6E7-42A9-87E9-EBA3F0B17FCF}">
      <text>
        <r>
          <rPr>
            <b/>
            <sz val="9"/>
            <color indexed="81"/>
            <rFont val="Tahoma"/>
            <charset val="1"/>
          </rPr>
          <t>David Prochazka:</t>
        </r>
        <r>
          <rPr>
            <sz val="9"/>
            <color indexed="81"/>
            <rFont val="Tahoma"/>
            <charset val="1"/>
          </rPr>
          <t xml:space="preserve">
Source: Handbook of Mineralogy, Lepidolite, anal. (1) Stewart mine, Pala, California; H2O+ + H2O- summed; Rb2O 0.91, Cs2O 0.16 omitted https://www.handbookofmineralogy.org/pdfs/lepidolite.pdf</t>
        </r>
      </text>
    </comment>
    <comment ref="D52" authorId="0" shapeId="0" xr:uid="{22677E28-E931-4314-8D96-106473C159D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2" authorId="0" shapeId="0" xr:uid="{390AF3C6-755D-4EC6-B6AB-620F4FD2736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J52" authorId="0" shapeId="0" xr:uid="{61A4DD09-37EF-4B6A-AB7F-9526B75D5D2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2" authorId="0" shapeId="0" xr:uid="{7EF50AFA-1814-48C8-8123-9BB1E488518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52" authorId="0" shapeId="0" xr:uid="{80858E52-3F42-49F6-ABB2-56A4A989A030}">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S52" authorId="0" shapeId="0" xr:uid="{658387D9-881C-4F4F-8371-5BC6A93BAEFB}">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X52" authorId="0" shapeId="0" xr:uid="{9E2071C0-E70D-47A9-81FE-8CB65EC51BF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2" authorId="0" shapeId="0" xr:uid="{4ACF2715-336C-4271-9671-11D82F8CA9C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A52" authorId="0" shapeId="0" xr:uid="{F538F7BA-1773-467F-94CA-4F519D51DB3D}">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AF52" authorId="0" shapeId="0" xr:uid="{1A230E59-2611-42A9-A489-4A6EE7D344DA}">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AL52" authorId="0" shapeId="0" xr:uid="{F982B054-A1B3-4BA9-B799-594EB2454090}">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AQ52" authorId="0" shapeId="0" xr:uid="{02DF58A3-BCCE-4191-8DC7-E7A5D5D570EB}">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AT52" authorId="0" shapeId="0" xr:uid="{0DAC56D9-E22B-4379-82B1-91944BE22FEE}">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AZ52" authorId="0" shapeId="0" xr:uid="{AAF2967E-CC9F-4410-BA2F-D96C19348391}">
      <text>
        <r>
          <rPr>
            <b/>
            <sz val="9"/>
            <color indexed="81"/>
            <rFont val="Tahoma"/>
            <charset val="1"/>
          </rPr>
          <t>David Prochazka:</t>
        </r>
        <r>
          <rPr>
            <sz val="9"/>
            <color indexed="81"/>
            <rFont val="Tahoma"/>
            <charset val="1"/>
          </rPr>
          <t xml:space="preserve">
Source: Handbook of Mineralogy, Fluorapatite, anal. (1) Gloserheia pegmatite, Froland, Norway; RE2O3 0.28 entered as Y2O3 0.10, Nd2O3 0.06, Gd2O3 0.06, Yb2O3 0.06 https://www.handbookofmineralogy.org/pdfs/fluorapatite.pdf</t>
        </r>
      </text>
    </comment>
    <comment ref="C53" authorId="0" shapeId="0" xr:uid="{32A3A82C-6DA4-4E66-B801-0DA3F368B38E}">
      <text>
        <r>
          <rPr>
            <b/>
            <sz val="9"/>
            <color indexed="81"/>
            <rFont val="Tahoma"/>
            <charset val="1"/>
          </rPr>
          <t>David Prochazka:</t>
        </r>
        <r>
          <rPr>
            <sz val="9"/>
            <color indexed="81"/>
            <rFont val="Tahoma"/>
            <charset val="1"/>
          </rPr>
          <t xml:space="preserve">
Source: Handbook of Mineralogy, Beryl, anal. (1) Mursinka, Russia, EPMA; LOI 0.70 entered as H2O https://handbookofmineralogy.org/pdfs/beryl.pdf</t>
        </r>
      </text>
    </comment>
    <comment ref="D53" authorId="0" shapeId="0" xr:uid="{35A7C4DD-727B-44B9-9D92-649CF6BDD9C6}">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3" authorId="0" shapeId="0" xr:uid="{8872E1E5-D5C5-4570-B43D-F7341DF7D955}">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3" authorId="0" shapeId="0" xr:uid="{453B89EA-01F2-4539-8BD9-3661A2B50BE1}">
      <text>
        <r>
          <rPr>
            <b/>
            <sz val="9"/>
            <color indexed="81"/>
            <rFont val="Tahoma"/>
            <charset val="1"/>
          </rPr>
          <t>David Prochazka:</t>
        </r>
        <r>
          <rPr>
            <sz val="9"/>
            <color indexed="81"/>
            <rFont val="Tahoma"/>
            <charset val="1"/>
          </rPr>
          <t xml:space="preserve">
Source: Handbook of Mineralogy, Beryl, anal. (1) Mursinka, Russia, EPMA; LOI 0.70 entered as H2O https://handbookofmineralogy.org/pdfs/beryl.pdf</t>
        </r>
      </text>
    </comment>
    <comment ref="J53" authorId="0" shapeId="0" xr:uid="{D0AD3B20-7D01-4BCE-8C0C-C1EF18470B0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3" authorId="0" shapeId="0" xr:uid="{2FB771B3-88B0-430C-92A5-5706F3809BA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S53" authorId="0" shapeId="0" xr:uid="{87D74E7D-5374-4656-B083-29DA385CCC37}">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W53" authorId="0" shapeId="0" xr:uid="{56C1D532-DAC5-405B-A804-1E8E76B25C72}">
      <text>
        <r>
          <rPr>
            <b/>
            <sz val="9"/>
            <color indexed="81"/>
            <rFont val="Tahoma"/>
            <charset val="1"/>
          </rPr>
          <t>David Prochazka:</t>
        </r>
        <r>
          <rPr>
            <sz val="9"/>
            <color indexed="81"/>
            <rFont val="Tahoma"/>
            <charset val="1"/>
          </rPr>
          <t xml:space="preserve">
Source: Handbook of Mineralogy, Beryl, anal. (1) Mursinka, Russia, EPMA; LOI 0.70 entered as H2O https://handbookofmineralogy.org/pdfs/beryl.pdf</t>
        </r>
      </text>
    </comment>
    <comment ref="X53" authorId="0" shapeId="0" xr:uid="{2EED2A05-7A20-443E-89F1-8DDBC51C215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3" authorId="0" shapeId="0" xr:uid="{A7EDE6C9-9E06-4242-A392-29C8A67563A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3" authorId="0" shapeId="0" xr:uid="{E7888CB2-C28C-4D5B-8015-DBD78EFB58C3}">
      <text>
        <r>
          <rPr>
            <b/>
            <sz val="9"/>
            <color indexed="81"/>
            <rFont val="Tahoma"/>
            <charset val="1"/>
          </rPr>
          <t>David Prochazka:</t>
        </r>
        <r>
          <rPr>
            <sz val="9"/>
            <color indexed="81"/>
            <rFont val="Tahoma"/>
            <charset val="1"/>
          </rPr>
          <t xml:space="preserve">
Source: Handbook of Mineralogy, Beryl, anal. (1) Mursinka, Russia, EPMA; LOI 0.70 entered as H2O https://handbookofmineralogy.org/pdfs/beryl.pdf</t>
        </r>
      </text>
    </comment>
    <comment ref="D54" authorId="0" shapeId="0" xr:uid="{64C7F704-A3FA-4824-AB65-A5551F68540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4" authorId="0" shapeId="0" xr:uid="{847D0424-1DF6-4711-8283-248711B410F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4" authorId="0" shapeId="0" xr:uid="{03899622-2B84-4551-A5BE-8F5EBFC70AD0}">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J54" authorId="0" shapeId="0" xr:uid="{9DF6231F-7C6C-4764-9C62-AFC8A8B0AC3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4" authorId="0" shapeId="0" xr:uid="{D5E20C21-D0D1-451F-8C18-F521E653EBB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54" authorId="0" shapeId="0" xr:uid="{05A7442B-B14F-419E-BC31-21BD1539E414}">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S54" authorId="0" shapeId="0" xr:uid="{3DC2841B-C4A1-459D-8B4A-FE80B84ACB6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4" authorId="0" shapeId="0" xr:uid="{171C9E20-DDC7-4379-AECB-9B43F3E786C5}">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U54" authorId="0" shapeId="0" xr:uid="{DAD3C4B3-C984-4DD0-A44D-01DDCD9C4443}">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X54" authorId="0" shapeId="0" xr:uid="{4FA948BC-5E5B-4C96-952F-36320100AEF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4" authorId="0" shapeId="0" xr:uid="{A35D4D65-9CEF-4969-B529-8F34A953E43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A54" authorId="0" shapeId="0" xr:uid="{C004D3DC-6429-4A16-AD32-4731E9B69A6B}">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AE54" authorId="0" shapeId="0" xr:uid="{A85FF1F0-E394-459E-94BB-0FAC4C037411}">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AF54" authorId="0" shapeId="0" xr:uid="{A2F5F8DE-C241-40DD-9FE9-435619D5EC40}">
      <text>
        <r>
          <rPr>
            <b/>
            <sz val="9"/>
            <color indexed="81"/>
            <rFont val="Tahoma"/>
            <charset val="1"/>
          </rPr>
          <t>David Prochazka:</t>
        </r>
        <r>
          <rPr>
            <sz val="9"/>
            <color indexed="81"/>
            <rFont val="Tahoma"/>
            <charset val="1"/>
          </rPr>
          <t xml:space="preserve">
Source: Handbook of Mineralogy, Montebrasite, anal. (1) Tanco pegmatite, Canada; H2O+ + H2O- summed https://www.handbookofmineralogy.org/pdfs/montebrasite.pdf</t>
        </r>
      </text>
    </comment>
    <comment ref="C55" authorId="0" shapeId="0" xr:uid="{EB57AB08-3A82-4736-9017-DC8177463690}">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55" authorId="0" shapeId="0" xr:uid="{1B835D34-D0B4-4939-BA20-B20EEED2FC3E}">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5" authorId="0" shapeId="0" xr:uid="{413CD17F-1605-4879-8FDD-450F8E0B0A5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5" authorId="0" shapeId="0" xr:uid="{1CEED364-4174-4597-A48A-51E2201B619D}">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J55" authorId="0" shapeId="0" xr:uid="{26A69D79-00C6-439F-A18B-BB4C65E56AE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5" authorId="0" shapeId="0" xr:uid="{3EDE97BD-D3E3-4DA6-9059-1841F97530F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55" authorId="0" shapeId="0" xr:uid="{B2E85A72-BA6A-4DF8-B340-63305A787DF2}">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S55" authorId="0" shapeId="0" xr:uid="{FFD657D0-5963-4B15-A56E-CD082AD71775}">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5" authorId="0" shapeId="0" xr:uid="{45D3DADB-AB9B-443A-9063-53A56D393D1F}">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X55" authorId="0" shapeId="0" xr:uid="{15FA977D-3343-424E-8F47-1562E9415F7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5" authorId="0" shapeId="0" xr:uid="{275AFF16-645D-4C65-9001-E4EC630B845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5" authorId="0" shapeId="0" xr:uid="{EAD922E8-307A-4DE4-B372-438755756D9E}">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C56" authorId="0" shapeId="0" xr:uid="{FA5F74D8-EFEE-4840-A168-E0B191C2E897}">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56" authorId="0" shapeId="0" xr:uid="{51D1A08A-74AC-4509-AF79-00D46265704B}">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6" authorId="0" shapeId="0" xr:uid="{0BF51676-E0C1-4150-A0A1-9725F04ED31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6" authorId="0" shapeId="0" xr:uid="{BAEE2561-1AF3-4D01-BD5F-40682106DDF2}">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J56" authorId="0" shapeId="0" xr:uid="{7271B09C-7D36-44CB-AD04-46CEC46EF51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6" authorId="0" shapeId="0" xr:uid="{678FD442-209E-4D54-84D8-0F1C0C15C0E5}">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56" authorId="0" shapeId="0" xr:uid="{1B96BCA3-4F29-40B0-959E-C708373C6AC9}">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S56" authorId="0" shapeId="0" xr:uid="{9161D76C-5043-449F-AB9C-4F81B6BE168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6" authorId="0" shapeId="0" xr:uid="{AA7A94B7-E961-4238-BF83-01CE59477BF6}">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X56" authorId="0" shapeId="0" xr:uid="{6FFA3FD5-00C4-4078-AC94-0F01A2E5002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6" authorId="0" shapeId="0" xr:uid="{FECB0D4A-BBD1-4D19-B19B-8652FAE5AA8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6" authorId="0" shapeId="0" xr:uid="{4A9B7B2C-15AD-44CF-A15C-71270C45DB09}">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C57" authorId="0" shapeId="0" xr:uid="{7562924E-5D8F-451C-BAB4-B41CE821F811}">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57" authorId="0" shapeId="0" xr:uid="{A5D88B2B-E5A2-44A2-A19F-2B0E3399DCB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7" authorId="0" shapeId="0" xr:uid="{8B5593D2-A3D1-477B-9822-7D19BCF9224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7" authorId="0" shapeId="0" xr:uid="{31A9047C-BD4A-45F0-B9F2-017225D2E055}">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I57" authorId="0" shapeId="0" xr:uid="{81A78A02-536A-4013-8613-F826E3650FE3}">
      <text>
        <r>
          <rPr>
            <b/>
            <sz val="9"/>
            <color indexed="81"/>
            <rFont val="Tahoma"/>
            <charset val="1"/>
          </rPr>
          <t>David Prochazka:</t>
        </r>
        <r>
          <rPr>
            <sz val="9"/>
            <color indexed="81"/>
            <rFont val="Tahoma"/>
            <charset val="1"/>
          </rPr>
          <t xml:space="preserve">
Source: Handbook of Mineralogy, Spodumene, anal. (1) Pala, California; '&lt;0.02' MgO, CaO treated as 0 https://www.handbookofmineralogy.org/pdfs/spodumene.pdf</t>
        </r>
      </text>
    </comment>
    <comment ref="J57" authorId="0" shapeId="0" xr:uid="{5E170F4C-B1ED-4368-931A-D572FCE2A4B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7" authorId="0" shapeId="0" xr:uid="{3A1EF005-D1D6-40E7-ABB1-43030F025C9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O57" authorId="0" shapeId="0" xr:uid="{6C49B489-A95E-47D4-8687-D877D829B168}">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S57" authorId="0" shapeId="0" xr:uid="{9399EB1A-225D-4E8C-BF0A-ED1242BA2B06}">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7" authorId="0" shapeId="0" xr:uid="{F549E2F5-A2CE-470F-8937-5EFB11FEA294}">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U57" authorId="0" shapeId="0" xr:uid="{CF8193C7-CCF1-42F3-A355-31F1EF9A4C37}">
      <text>
        <r>
          <rPr>
            <b/>
            <sz val="9"/>
            <color indexed="81"/>
            <rFont val="Tahoma"/>
            <charset val="1"/>
          </rPr>
          <t>David Prochazka:</t>
        </r>
        <r>
          <rPr>
            <sz val="9"/>
            <color indexed="81"/>
            <rFont val="Tahoma"/>
            <charset val="1"/>
          </rPr>
          <t xml:space="preserve">
Source: Handbook of Mineralogy, Spodumene, anal. (1) Pala, California; '&lt;0.02' MgO, CaO treated as 0 https://www.handbookofmineralogy.org/pdfs/spodumene.pdf</t>
        </r>
      </text>
    </comment>
    <comment ref="X57" authorId="0" shapeId="0" xr:uid="{29EF5B76-7828-41CB-AB16-8249A716FAB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7" authorId="0" shapeId="0" xr:uid="{F7650E0B-2299-4D86-BEE1-F104EF9B14C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7" authorId="0" shapeId="0" xr:uid="{1C10D4EB-86F0-44BC-A026-2F05C7D20D5F}">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C58" authorId="0" shapeId="0" xr:uid="{A46560D3-12D4-418D-9E15-6F8F69FC58E0}">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58" authorId="0" shapeId="0" xr:uid="{ACF742B4-4F34-4BCD-BED0-25418CDBBBE7}">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8" authorId="0" shapeId="0" xr:uid="{931035F3-9D95-4070-A851-6C8A6767891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8" authorId="0" shapeId="0" xr:uid="{99F42FD6-2DEB-4025-82D1-A124E671898C}">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J58" authorId="0" shapeId="0" xr:uid="{D9AB2EF1-3E71-4A8D-BEFF-A670AB7D742B}">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8" authorId="0" shapeId="0" xr:uid="{B5353B56-0926-4458-99CE-9EA2B3532D0B}">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N58" authorId="0" shapeId="0" xr:uid="{11D73198-B52A-4544-8F66-8D12CE1268B7}">
      <text>
        <r>
          <rPr>
            <b/>
            <sz val="9"/>
            <color indexed="81"/>
            <rFont val="Tahoma"/>
            <charset val="1"/>
          </rPr>
          <t>David Prochazka:</t>
        </r>
        <r>
          <rPr>
            <sz val="9"/>
            <color indexed="81"/>
            <rFont val="Tahoma"/>
            <charset val="1"/>
          </rPr>
          <t xml:space="preserve">
Source: Handbook of Mineralogy, Calcite, anal. (1) Monterey Formation, California; CO2 calculated https://www.handbookofmineralogy.org/pdfs/calcite.pdf</t>
        </r>
      </text>
    </comment>
    <comment ref="O58" authorId="0" shapeId="0" xr:uid="{0175A180-31DD-4B48-A157-C4056AB19866}">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S58" authorId="0" shapeId="0" xr:uid="{5231D5FC-52C7-4AD2-9DED-D2AD5602326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8" authorId="0" shapeId="0" xr:uid="{77597741-203A-440A-9277-741902CEC095}">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X58" authorId="0" shapeId="0" xr:uid="{13F60234-82F9-4390-A385-7488C8AA88D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8" authorId="0" shapeId="0" xr:uid="{122AB107-704B-4384-B521-61072E974C2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D58" authorId="0" shapeId="0" xr:uid="{0E8AEBF1-1E17-48CC-8D81-388CF9601044}">
      <text>
        <r>
          <rPr>
            <b/>
            <sz val="9"/>
            <color indexed="81"/>
            <rFont val="Tahoma"/>
            <charset val="1"/>
          </rPr>
          <t>David Prochazka:</t>
        </r>
        <r>
          <rPr>
            <sz val="9"/>
            <color indexed="81"/>
            <rFont val="Tahoma"/>
            <charset val="1"/>
          </rPr>
          <t xml:space="preserve">
Source: Handbook of Mineralogy, Calcite, anal. (1) Monterey Formation, California; CO2 calculated https://www.handbookofmineralogy.org/pdfs/calcite.pdf</t>
        </r>
      </text>
    </comment>
    <comment ref="AE58" authorId="0" shapeId="0" xr:uid="{1A9784A4-D96B-46FB-8DCC-C03C842ADB78}">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C59" authorId="0" shapeId="0" xr:uid="{971C2C27-DE3E-4807-A2D7-EAC60BEC7EDE}">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59" authorId="0" shapeId="0" xr:uid="{36D638EE-9696-4D01-BA7E-E252D2EDF11B}">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59" authorId="0" shapeId="0" xr:uid="{B44CFDF7-D46C-49CB-AAB7-2350C4B7394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59" authorId="0" shapeId="0" xr:uid="{2E51BD19-2276-4B80-B5BF-4ED70A42CEA7}">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J59" authorId="0" shapeId="0" xr:uid="{8EBA82DF-9347-49DB-A666-6AE41174E50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59" authorId="0" shapeId="0" xr:uid="{D110F3AB-AA76-474A-A650-93007BF6E3F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L59" authorId="0" shapeId="0" xr:uid="{2F8FBD79-528D-45A1-B81B-4EDE2D162792}">
      <text>
        <r>
          <rPr>
            <b/>
            <sz val="9"/>
            <color indexed="81"/>
            <rFont val="Tahoma"/>
            <charset val="1"/>
          </rPr>
          <t>David Prochazka:</t>
        </r>
        <r>
          <rPr>
            <sz val="9"/>
            <color indexed="81"/>
            <rFont val="Tahoma"/>
            <charset val="1"/>
          </rPr>
          <t xml:space="preserve">
Source: Handbook of Mineralogy, Sphalerite, anal. (1) Sonora, Mexico; element wt% converted Zn-&gt;ZnO, Fe-&gt;FeO; S as sulfide S with O≡S correction https://www.handbookofmineralogy.org/pdfs/sphalerite.pdf</t>
        </r>
      </text>
    </comment>
    <comment ref="O59" authorId="0" shapeId="0" xr:uid="{525DE182-3BC9-4C14-951F-5D4A271E777E}">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S59" authorId="0" shapeId="0" xr:uid="{C8CFADC7-B93D-4CEA-A714-77D2135C451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59" authorId="0" shapeId="0" xr:uid="{9F6D259B-3F8F-44E7-87CA-F4F2F25323A6}">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X59" authorId="0" shapeId="0" xr:uid="{714F8E2F-EE47-43A3-94EA-D1A2F1B3EE7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59" authorId="0" shapeId="0" xr:uid="{E9E46E71-B625-4288-81AA-6DE7FFB292DC}">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59" authorId="0" shapeId="0" xr:uid="{EEEF3A12-3CD7-4E28-96B0-46856A8002DB}">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AH59" authorId="0" shapeId="0" xr:uid="{3319EF31-D76B-4400-BB6D-F6AC4E75017B}">
      <text>
        <r>
          <rPr>
            <b/>
            <sz val="9"/>
            <color indexed="81"/>
            <rFont val="Tahoma"/>
            <charset val="1"/>
          </rPr>
          <t>David Prochazka:</t>
        </r>
        <r>
          <rPr>
            <sz val="9"/>
            <color indexed="81"/>
            <rFont val="Tahoma"/>
            <charset val="1"/>
          </rPr>
          <t xml:space="preserve">
Source: Handbook of Mineralogy, Sphalerite, anal. (1) Sonora, Mexico; element wt% converted Zn-&gt;ZnO, Fe-&gt;FeO; S as sulfide S with O≡S correction https://www.handbookofmineralogy.org/pdfs/sphalerite.pdf</t>
        </r>
      </text>
    </comment>
    <comment ref="C60" authorId="0" shapeId="0" xr:uid="{B83A1F37-4A64-4C6A-A35E-D308384A1BE3}">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60" authorId="0" shapeId="0" xr:uid="{7F385824-D9CC-4D0D-B75B-7080B0B7870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60" authorId="0" shapeId="0" xr:uid="{498D2E6A-F434-4931-8CAA-44CAADB972C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60" authorId="0" shapeId="0" xr:uid="{2D3D3BB0-0AB1-4E0A-A844-306E457D8D64}">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J60" authorId="0" shapeId="0" xr:uid="{D29B8614-0760-4D74-943C-3B9254DFE1D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60" authorId="0" shapeId="0" xr:uid="{AAB178CE-AA8D-4042-84A0-FFFDD9AFD591}">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L60" authorId="0" shapeId="0" xr:uid="{B1F60A26-C309-4B0C-8CA7-E84B5758C4EB}">
      <text>
        <r>
          <rPr>
            <b/>
            <sz val="9"/>
            <color indexed="81"/>
            <rFont val="Tahoma"/>
            <charset val="1"/>
          </rPr>
          <t>David Prochazka:</t>
        </r>
        <r>
          <rPr>
            <sz val="9"/>
            <color indexed="81"/>
            <rFont val="Tahoma"/>
            <charset val="1"/>
          </rPr>
          <t xml:space="preserve">
Source: Handbook of Mineralogy, Sphalerite, anal. (1) Sonora, Mexico; element wt% converted Zn-&gt;ZnO, Fe-&gt;FeO; S as sulfide S with O≡S correction https://www.handbookofmineralogy.org/pdfs/sphalerite.pdf</t>
        </r>
      </text>
    </comment>
    <comment ref="N60" authorId="0" shapeId="0" xr:uid="{78C58527-A6AE-44C6-B653-049CB2339425}">
      <text>
        <r>
          <rPr>
            <b/>
            <sz val="9"/>
            <color indexed="81"/>
            <rFont val="Tahoma"/>
            <charset val="1"/>
          </rPr>
          <t>David Prochazka:</t>
        </r>
        <r>
          <rPr>
            <sz val="9"/>
            <color indexed="81"/>
            <rFont val="Tahoma"/>
            <charset val="1"/>
          </rPr>
          <t xml:space="preserve">
Source: Handbook of Mineralogy, Crandallite, anal. (1) Brooklyn mine, Utah (after deduction of 35.13% insolubles); H2O+ + H2O- summed https://www.handbookofmineralogy.org/pdfs/crandallite.pdf</t>
        </r>
      </text>
    </comment>
    <comment ref="O60" authorId="0" shapeId="0" xr:uid="{9BCA25CC-4AF0-4ACE-A1CB-E110767BC524}">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P60" authorId="0" shapeId="0" xr:uid="{511ACE75-7002-49FF-83DF-0EA40B54A232}">
      <text>
        <r>
          <rPr>
            <b/>
            <sz val="9"/>
            <color indexed="81"/>
            <rFont val="Tahoma"/>
            <charset val="1"/>
          </rPr>
          <t>David Prochazka:</t>
        </r>
        <r>
          <rPr>
            <sz val="9"/>
            <color indexed="81"/>
            <rFont val="Tahoma"/>
            <charset val="1"/>
          </rPr>
          <t xml:space="preserve">
Source: Handbook of Mineralogy, Crandallite, anal. (1) Brooklyn mine, Utah (after deduction of 35.13% insolubles); H2O+ + H2O- summed https://www.handbookofmineralogy.org/pdfs/crandallite.pdf</t>
        </r>
      </text>
    </comment>
    <comment ref="S60" authorId="0" shapeId="0" xr:uid="{136CD507-926D-43F8-B1D7-691BE7D97294}">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60" authorId="0" shapeId="0" xr:uid="{ED58173F-593A-4571-9EA7-627BC108CB0C}">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X60" authorId="0" shapeId="0" xr:uid="{41359908-F4D1-4316-8C35-7412BE200CA2}">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60" authorId="0" shapeId="0" xr:uid="{602F58F1-8792-4707-83BC-CAD480F1E9DD}">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A60" authorId="0" shapeId="0" xr:uid="{E0FED1C4-C4C9-4C2C-ABA6-91A8947103DD}">
      <text>
        <r>
          <rPr>
            <b/>
            <sz val="9"/>
            <color indexed="81"/>
            <rFont val="Tahoma"/>
            <charset val="1"/>
          </rPr>
          <t>David Prochazka:</t>
        </r>
        <r>
          <rPr>
            <sz val="9"/>
            <color indexed="81"/>
            <rFont val="Tahoma"/>
            <charset val="1"/>
          </rPr>
          <t xml:space="preserve">
Source: Handbook of Mineralogy, Crandallite, anal. (1) Brooklyn mine, Utah (after deduction of 35.13% insolubles); H2O+ + H2O- summed, https://www.handbookofmineralogy.org/pdfs/crandallite.pdf</t>
        </r>
      </text>
    </comment>
    <comment ref="AC60" authorId="0" shapeId="0" xr:uid="{83CBB252-A82F-40C3-B605-A13C4FA25727}">
      <text>
        <r>
          <rPr>
            <b/>
            <sz val="9"/>
            <color indexed="81"/>
            <rFont val="Tahoma"/>
            <charset val="1"/>
          </rPr>
          <t>David Prochazka:</t>
        </r>
        <r>
          <rPr>
            <sz val="9"/>
            <color indexed="81"/>
            <rFont val="Tahoma"/>
            <charset val="1"/>
          </rPr>
          <t xml:space="preserve">
Source: Handbook of Mineralogy, Crandallite, anal. (1) Brooklyn mine, Utah (after deduction of 35.13% insolubles); H2O+ + H2O- summed, https://www.handbookofmineralogy.org/pdfs/crandallite.pdf</t>
        </r>
      </text>
    </comment>
    <comment ref="AE60" authorId="0" shapeId="0" xr:uid="{2A054954-596C-4720-AE6B-BFD5834E6C66}">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AH60" authorId="0" shapeId="0" xr:uid="{5F521D05-49C5-4B23-853B-5459EC593B4A}">
      <text>
        <r>
          <rPr>
            <b/>
            <sz val="9"/>
            <color indexed="81"/>
            <rFont val="Tahoma"/>
            <charset val="1"/>
          </rPr>
          <t>David Prochazka:</t>
        </r>
        <r>
          <rPr>
            <sz val="9"/>
            <color indexed="81"/>
            <rFont val="Tahoma"/>
            <charset val="1"/>
          </rPr>
          <t xml:space="preserve">
Source: Handbook of Mineralogy, Sphalerite, anal. (1) Sonora, Mexico; element wt% converted Zn-&gt;ZnO, Fe-&gt;FeO; S as sulfide S with O≡S correction https://www.handbookofmineralogy.org/pdfs/sphalerite.pdf</t>
        </r>
      </text>
    </comment>
    <comment ref="C61" authorId="0" shapeId="0" xr:uid="{AB27F407-43B7-44B1-8A60-2C1B85CA62B3}">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D61" authorId="0" shapeId="0" xr:uid="{4349E1E2-E71B-456F-853E-79699BD19D1F}">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G61" authorId="0" shapeId="0" xr:uid="{E477D35F-383E-4F40-B16F-E5DEA137BDE0}">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H61" authorId="0" shapeId="0" xr:uid="{D8D9CB1B-FD37-45D7-8FF0-2AB4A6188A24}">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J61" authorId="0" shapeId="0" xr:uid="{32A38277-60FE-4192-A727-F893D459EDC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K61" authorId="0" shapeId="0" xr:uid="{BC8625A1-EA6D-4795-B742-B76151DACBD9}">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L61" authorId="0" shapeId="0" xr:uid="{9845B960-1268-4AA1-9F92-4AC9C97D9E05}">
      <text>
        <r>
          <rPr>
            <b/>
            <sz val="9"/>
            <color indexed="81"/>
            <rFont val="Tahoma"/>
            <charset val="1"/>
          </rPr>
          <t>David Prochazka:</t>
        </r>
        <r>
          <rPr>
            <sz val="9"/>
            <color indexed="81"/>
            <rFont val="Tahoma"/>
            <charset val="1"/>
          </rPr>
          <t xml:space="preserve">
Source: Handbook of Mineralogy, Sphalerite, anal. (1) Sonora, Mexico; element wt% converted Zn-&gt;ZnO, Fe-&gt;FeO; S as sulfide S with O≡S correction https://www.handbookofmineralogy.org/pdfs/sphalerite.pdf</t>
        </r>
      </text>
    </comment>
    <comment ref="M61" authorId="0" shapeId="0" xr:uid="{BCAA6E5B-8820-42E3-9787-ACB936646969}">
      <text>
        <r>
          <rPr>
            <b/>
            <sz val="9"/>
            <color indexed="81"/>
            <rFont val="Tahoma"/>
            <charset val="1"/>
          </rPr>
          <t>David Prochazka:</t>
        </r>
        <r>
          <rPr>
            <sz val="9"/>
            <color indexed="81"/>
            <rFont val="Tahoma"/>
            <charset val="1"/>
          </rPr>
          <t xml:space="preserve">
Source: Handbook of Mineralogy, Kesterite, anal. (1) Kester deposit, Russia; element wt% converted Cu-&gt;Cu2O, Zn-&gt;ZnO, Fe-&gt;FeO, Sn-&gt;SnO2; S as sulfide S with O≡S correction; remainder (Sb 0.90, Mn 0.07, Se 0.01) omitted https://www.handbookofmineralogy.org/pdfs/kesterite.pdf</t>
        </r>
      </text>
    </comment>
    <comment ref="O61" authorId="0" shapeId="0" xr:uid="{AE9F2CE9-048B-4E57-9D6E-52D733D81E66}">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S61" authorId="0" shapeId="0" xr:uid="{8B9405F1-F98A-416D-817A-06AB798FAB16}">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T61" authorId="0" shapeId="0" xr:uid="{4D97E638-7C38-46C6-9E33-B585830F107F}">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X61" authorId="0" shapeId="0" xr:uid="{0F2CB249-56B6-418D-A849-225C1A3D3993}">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Y61" authorId="0" shapeId="0" xr:uid="{D6B368A3-4928-4748-88A9-BEFFA86C3A58}">
      <text>
        <r>
          <rPr>
            <b/>
            <sz val="9"/>
            <color indexed="81"/>
            <rFont val="Tahoma"/>
            <charset val="1"/>
          </rPr>
          <t>David Prochazka:</t>
        </r>
        <r>
          <rPr>
            <sz val="9"/>
            <color indexed="81"/>
            <rFont val="Tahoma"/>
            <charset val="1"/>
          </rPr>
          <t xml:space="preserve">
Source: Handbook of Mineralogy, Manganocolumbite, anal. (1) Old Mike mine, South Dakota; SnO2+WO3 0.88 entered as SnO2, https://www.handbookofmineralogy.org/pdfs/manganocolumbite.pdf</t>
        </r>
      </text>
    </comment>
    <comment ref="AE61" authorId="0" shapeId="0" xr:uid="{9786527A-08BD-4C5B-AD16-2561BC6BF1AD}">
      <text>
        <r>
          <rPr>
            <b/>
            <sz val="9"/>
            <color indexed="81"/>
            <rFont val="Tahoma"/>
            <charset val="1"/>
          </rPr>
          <t>David Prochazka:</t>
        </r>
        <r>
          <rPr>
            <sz val="9"/>
            <color indexed="81"/>
            <rFont val="Tahoma"/>
            <charset val="1"/>
          </rPr>
          <t xml:space="preserve">
Source: Handbook of Mineralogy, Oligoclase, anal. (1) Monteagle, Ontario, Canada http://www.handbookofmineralogy.org/pdfs/oligoclase</t>
        </r>
      </text>
    </comment>
    <comment ref="AH61" authorId="0" shapeId="0" xr:uid="{72907403-3425-44BF-829D-BABCCDC4CD92}">
      <text>
        <r>
          <rPr>
            <b/>
            <sz val="9"/>
            <color indexed="81"/>
            <rFont val="Tahoma"/>
            <charset val="1"/>
          </rPr>
          <t>David Prochazka:</t>
        </r>
        <r>
          <rPr>
            <sz val="9"/>
            <color indexed="81"/>
            <rFont val="Tahoma"/>
            <charset val="1"/>
          </rPr>
          <t xml:space="preserve">
Source: Handbook of Mineralogy, Sphalerite, anal. (1) Sonora, Mexico; element wt% converted Zn-&gt;ZnO, Fe-&gt;FeO; S as sulfide S with O≡S correction https://www.handbookofmineralogy.org/pdfs/sphalerite.pdf</t>
        </r>
      </text>
    </comment>
    <comment ref="C62" authorId="0" shapeId="0" xr:uid="{A80BCA91-DD34-4FC9-AA47-20AB8FA40FE2}">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H62" authorId="0" shapeId="0" xr:uid="{64203B0F-8458-4F46-9619-6E600BB66954}">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J62" authorId="0" shapeId="0" xr:uid="{D3F84E7A-BE4E-4392-BAD4-0D4E94073940}">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K62" authorId="0" shapeId="0" xr:uid="{23E872BC-34D8-4A14-88A9-2A72D289EA4D}">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S62" authorId="0" shapeId="0" xr:uid="{6BC50C45-A965-4C37-8E27-4E4D38303430}">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U62" authorId="0" shapeId="0" xr:uid="{02C89433-348A-49CE-A0A9-68A7F5B164EF}">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AA62" authorId="0" shapeId="0" xr:uid="{23A0D8B4-834C-46A9-8700-A4E9C42E6863}">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AE62" authorId="0" shapeId="0" xr:uid="{178C4BDB-D19B-4170-A42E-520BF8E584E4}">
      <text>
        <r>
          <rPr>
            <b/>
            <sz val="9"/>
            <color indexed="81"/>
            <rFont val="Tahoma"/>
            <charset val="1"/>
          </rPr>
          <t>David Prochazka:</t>
        </r>
        <r>
          <rPr>
            <sz val="9"/>
            <color indexed="81"/>
            <rFont val="Tahoma"/>
            <charset val="1"/>
          </rPr>
          <t xml:space="preserve">
Source: Handbook of Mineralogy, Lithiophilite, anal. (1) Buckfield, Maine; 'insol.' 0.16 omitted, https://handbookofmineralogy.org/pdfs/lithiophilite.pdf</t>
        </r>
      </text>
    </comment>
    <comment ref="J63" authorId="0" shapeId="0" xr:uid="{7747621F-58DF-4BD6-925B-AC0B021F7A94}">
      <text>
        <r>
          <rPr>
            <b/>
            <sz val="9"/>
            <color indexed="81"/>
            <rFont val="Tahoma"/>
            <charset val="1"/>
          </rPr>
          <t>David Prochazka:</t>
        </r>
        <r>
          <rPr>
            <sz val="9"/>
            <color indexed="81"/>
            <rFont val="Tahoma"/>
            <charset val="1"/>
          </rPr>
          <t xml:space="preserve">
Source: Handbook of Mineralogy, Rhodochrosite, anal. (1) Ljubija district, Bosnia-Herzegovina, https://www.handbookofmineralogy.org/pdfs/rhodochrosite.pdf</t>
        </r>
      </text>
    </comment>
    <comment ref="K63" authorId="0" shapeId="0" xr:uid="{5B9E7701-88C1-438D-98EA-B4C6CB4B2FF1}">
      <text>
        <r>
          <rPr>
            <b/>
            <sz val="9"/>
            <color indexed="81"/>
            <rFont val="Tahoma"/>
            <charset val="1"/>
          </rPr>
          <t>David Prochazka:</t>
        </r>
        <r>
          <rPr>
            <sz val="9"/>
            <color indexed="81"/>
            <rFont val="Tahoma"/>
            <charset val="1"/>
          </rPr>
          <t xml:space="preserve">
Source: Handbook of Mineralogy, Rhodochrosite, anal. (1) Ljubija district, Bosnia-Herzegovina, https://www.handbookofmineralogy.org/pdfs/rhodochrosite.pdf</t>
        </r>
      </text>
    </comment>
    <comment ref="O63" authorId="0" shapeId="0" xr:uid="{8EF278C2-BBB3-4B90-8A6B-F94F2BBC4401}">
      <text>
        <r>
          <rPr>
            <b/>
            <sz val="9"/>
            <color indexed="81"/>
            <rFont val="Tahoma"/>
            <charset val="1"/>
          </rPr>
          <t>David Prochazka:</t>
        </r>
        <r>
          <rPr>
            <sz val="9"/>
            <color indexed="81"/>
            <rFont val="Tahoma"/>
            <charset val="1"/>
          </rPr>
          <t xml:space="preserve">
Source: Handbook of Mineralogy, Rhodochrosite, anal. (1) Ljubija district, Bosnia-Herzegovina, https://www.handbookofmineralogy.org/pdfs/rhodochrosite.pdf</t>
        </r>
      </text>
    </comment>
    <comment ref="AD63" authorId="0" shapeId="0" xr:uid="{035EDD88-913C-4449-894A-534124A74A44}">
      <text>
        <r>
          <rPr>
            <b/>
            <sz val="9"/>
            <color indexed="81"/>
            <rFont val="Tahoma"/>
            <charset val="1"/>
          </rPr>
          <t>David Prochazka:</t>
        </r>
        <r>
          <rPr>
            <sz val="9"/>
            <color indexed="81"/>
            <rFont val="Tahoma"/>
            <charset val="1"/>
          </rPr>
          <t xml:space="preserve">
Source: Handbook of Mineralogy, Rhodochrosite, anal. (1) Ljubija district, Bosnia-Herzegovina, https://www.handbookofmineralogy.org/pdfs/rhodochrosite.pdf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Prochazka</author>
  </authors>
  <commentList>
    <comment ref="C27" authorId="0" shapeId="0" xr:uid="{2965DD1E-6B50-4934-A348-20AFE90B2553}">
      <text>
        <r>
          <rPr>
            <b/>
            <sz val="9"/>
            <color indexed="81"/>
            <rFont val="Tahoma"/>
            <charset val="1"/>
          </rPr>
          <t>David Prochazka:</t>
        </r>
        <r>
          <rPr>
            <sz val="9"/>
            <color indexed="81"/>
            <rFont val="Tahoma"/>
            <charset val="1"/>
          </rPr>
          <t xml:space="preserve">
Source: Handbook of Mineralogy, Albite, anal. (3) Na0.9Ca0.1 (An10 limit), https://handbookofmineralogy.org/wp-content/uploads/2022/07/albite.pdf</t>
        </r>
      </text>
    </comment>
    <comment ref="H27" authorId="0" shapeId="0" xr:uid="{0A23B326-DC8C-4CCC-A3A9-48EED586549C}">
      <text>
        <r>
          <rPr>
            <b/>
            <sz val="9"/>
            <color indexed="81"/>
            <rFont val="Tahoma"/>
            <charset val="1"/>
          </rPr>
          <t>David Prochazka:</t>
        </r>
        <r>
          <rPr>
            <sz val="9"/>
            <color indexed="81"/>
            <rFont val="Tahoma"/>
            <charset val="1"/>
          </rPr>
          <t xml:space="preserve">
Source: Handbook of Mineralogy, Albite, anal. (2) ideal NaAlSi3O8, https://handbookofmineralogy.org/wp-content/uploads/2022/07/albite.pdf</t>
        </r>
      </text>
    </comment>
    <comment ref="O27" authorId="0" shapeId="0" xr:uid="{FE4706A3-C6FB-48DC-8059-BF13476A8560}">
      <text>
        <r>
          <rPr>
            <b/>
            <sz val="9"/>
            <color indexed="81"/>
            <rFont val="Tahoma"/>
            <charset val="1"/>
          </rPr>
          <t>David Prochazka:</t>
        </r>
        <r>
          <rPr>
            <sz val="9"/>
            <color indexed="81"/>
            <rFont val="Tahoma"/>
            <charset val="1"/>
          </rPr>
          <t xml:space="preserve">
Source: Handbook of Mineralogy, Albite, anal. (2) ideal NaAlSi3O8, https://handbookofmineralogy.org/wp-content/uploads/2022/07/albite.pdf</t>
        </r>
      </text>
    </comment>
    <comment ref="S27" authorId="0" shapeId="0" xr:uid="{5A5E25B3-F928-4311-BF08-3D0A44F95875}">
      <text>
        <r>
          <rPr>
            <b/>
            <sz val="9"/>
            <color indexed="81"/>
            <rFont val="Tahoma"/>
            <charset val="1"/>
          </rPr>
          <t>David Prochazka:</t>
        </r>
        <r>
          <rPr>
            <sz val="9"/>
            <color indexed="81"/>
            <rFont val="Tahoma"/>
            <charset val="1"/>
          </rPr>
          <t xml:space="preserve">
Source: Handbook of Mineralogy, Albite, anal. (3) Na0.9Ca0.1 (An10 limit), https://handbookofmineralogy.org/wp-content/uploads/2022/07/albite.pdf</t>
        </r>
      </text>
    </comment>
    <comment ref="T27" authorId="0" shapeId="0" xr:uid="{47ADC5A6-D3FF-4B98-A7DA-7EB518DF27FB}">
      <text>
        <r>
          <rPr>
            <b/>
            <sz val="9"/>
            <color indexed="81"/>
            <rFont val="Tahoma"/>
            <charset val="1"/>
          </rPr>
          <t>David Prochazka:</t>
        </r>
        <r>
          <rPr>
            <sz val="9"/>
            <color indexed="81"/>
            <rFont val="Tahoma"/>
            <charset val="1"/>
          </rPr>
          <t xml:space="preserve">
Source: Handbook of Mineralogy, Albite, anal. (2) ideal NaAlSi3O8, https://handbookofmineralogy.org/wp-content/uploads/2022/07/albite.pdf</t>
        </r>
      </text>
    </comment>
    <comment ref="C28" authorId="0" shapeId="0" xr:uid="{04ACECC6-1DB4-414D-9DE1-D3CB6D8B39FB}">
      <text>
        <r>
          <rPr>
            <b/>
            <sz val="9"/>
            <color indexed="81"/>
            <rFont val="Tahoma"/>
            <charset val="1"/>
          </rPr>
          <t>David Prochazka:</t>
        </r>
        <r>
          <rPr>
            <sz val="9"/>
            <color indexed="81"/>
            <rFont val="Tahoma"/>
            <charset val="1"/>
          </rPr>
          <t xml:space="preserve">
Source: Handbook of Mineralogy, Zircon, minimum across: (1); ideal ZrSiO4, https://handbookofmineralogy.org/wp-content/uploads/2022/07/zircon.pdf</t>
        </r>
      </text>
    </comment>
    <comment ref="E28" authorId="0" shapeId="0" xr:uid="{242EF1F8-F976-4F2D-8263-C6ED9A6CF757}">
      <text>
        <r>
          <rPr>
            <b/>
            <sz val="9"/>
            <color indexed="81"/>
            <rFont val="Tahoma"/>
            <charset val="1"/>
          </rPr>
          <t>David Prochazka:</t>
        </r>
        <r>
          <rPr>
            <sz val="9"/>
            <color indexed="81"/>
            <rFont val="Tahoma"/>
            <charset val="1"/>
          </rPr>
          <t xml:space="preserve">
Source: Handbook of Mineralogy, Zircon, minimum across: (1); ideal ZrSiO4, https://handbookofmineralogy.org/wp-content/uploads/2022/07/zircon.pdf</t>
        </r>
      </text>
    </comment>
    <comment ref="F28" authorId="0" shapeId="0" xr:uid="{34C8C617-6D53-477D-9776-897B313C7087}">
      <text>
        <r>
          <rPr>
            <b/>
            <sz val="9"/>
            <color indexed="81"/>
            <rFont val="Tahoma"/>
            <charset val="1"/>
          </rPr>
          <t>David Prochazka:</t>
        </r>
        <r>
          <rPr>
            <sz val="9"/>
            <color indexed="81"/>
            <rFont val="Tahoma"/>
            <charset val="1"/>
          </rPr>
          <t xml:space="preserve">
Source: Handbook of Mineralogy, Zircon, minimum across: (1); ideal ZrSiO4, https://handbookofmineralogy.org/wp-content/uploads/2022/07/zircon.pdf</t>
        </r>
      </text>
    </comment>
    <comment ref="AI28" authorId="0" shapeId="0" xr:uid="{CC2CEF1F-AA62-461E-B98C-609152439740}">
      <text>
        <r>
          <rPr>
            <b/>
            <sz val="9"/>
            <color indexed="81"/>
            <rFont val="Tahoma"/>
            <charset val="1"/>
          </rPr>
          <t>David Prochazka:</t>
        </r>
        <r>
          <rPr>
            <sz val="9"/>
            <color indexed="81"/>
            <rFont val="Tahoma"/>
            <charset val="1"/>
          </rPr>
          <t xml:space="preserve">
Source: Handbook of Mineralogy, Zircon, minimum across: (1); ideal ZrSiO4, https://handbookofmineralogy.org/wp-content/uploads/2022/07/zircon.pdf</t>
        </r>
      </text>
    </comment>
    <comment ref="AJ28" authorId="0" shapeId="0" xr:uid="{132E6452-EDC7-471A-B771-3C0544518D58}">
      <text>
        <r>
          <rPr>
            <b/>
            <sz val="9"/>
            <color indexed="81"/>
            <rFont val="Tahoma"/>
            <charset val="1"/>
          </rPr>
          <t>David Prochazka:</t>
        </r>
        <r>
          <rPr>
            <sz val="9"/>
            <color indexed="81"/>
            <rFont val="Tahoma"/>
            <charset val="1"/>
          </rPr>
          <t xml:space="preserve">
Source: Handbook of Mineralogy, Zircon, minimum across: (1); ideal ZrSiO4, https://handbookofmineralogy.org/wp-content/uploads/2022/07/zircon.pdf</t>
        </r>
      </text>
    </comment>
    <comment ref="C29" authorId="0" shapeId="0" xr:uid="{B25CC62B-D7CE-4958-88B7-DC754DDF4ADF}">
      <text>
        <r>
          <rPr>
            <b/>
            <sz val="9"/>
            <color indexed="81"/>
            <rFont val="Tahoma"/>
            <charset val="1"/>
          </rPr>
          <t>David Prochazka:</t>
        </r>
        <r>
          <rPr>
            <sz val="9"/>
            <color indexed="81"/>
            <rFont val="Tahoma"/>
            <charset val="1"/>
          </rPr>
          <t xml:space="preserve">
Source: Handbook of Mineralogy, Muscovite, minimum across: (1); (2), https://www.handbookofmineralogy.org/pdfs/muscovite.pdf</t>
        </r>
      </text>
    </comment>
    <comment ref="H29" authorId="0" shapeId="0" xr:uid="{3D1C47FD-6DE2-4D2B-8AE0-8B496663AB48}">
      <text>
        <r>
          <rPr>
            <b/>
            <sz val="9"/>
            <color indexed="81"/>
            <rFont val="Tahoma"/>
            <charset val="1"/>
          </rPr>
          <t>David Prochazka:</t>
        </r>
        <r>
          <rPr>
            <sz val="9"/>
            <color indexed="81"/>
            <rFont val="Tahoma"/>
            <charset val="1"/>
          </rPr>
          <t xml:space="preserve">
Source: Handbook of Mineralogy, Muscovite, minimum across: (1); (2), https://www.handbookofmineralogy.org/pdfs/muscovite.pdf</t>
        </r>
      </text>
    </comment>
    <comment ref="N29" authorId="0" shapeId="0" xr:uid="{D2025890-1214-42BD-894F-D56AA2FCAB94}">
      <text>
        <r>
          <rPr>
            <b/>
            <sz val="9"/>
            <color indexed="81"/>
            <rFont val="Tahoma"/>
            <charset val="1"/>
          </rPr>
          <t>David Prochazka:</t>
        </r>
        <r>
          <rPr>
            <sz val="9"/>
            <color indexed="81"/>
            <rFont val="Tahoma"/>
            <charset val="1"/>
          </rPr>
          <t xml:space="preserve">
Source: Handbook of Mineralogy, Muscovite, minimum across: (1); (2), https://www.handbookofmineralogy.org/pdfs/muscovite.pdf</t>
        </r>
      </text>
    </comment>
    <comment ref="S29" authorId="0" shapeId="0" xr:uid="{98434E0D-BBEA-4AB0-A005-B349299B6CC1}">
      <text>
        <r>
          <rPr>
            <b/>
            <sz val="9"/>
            <color indexed="81"/>
            <rFont val="Tahoma"/>
            <charset val="1"/>
          </rPr>
          <t>David Prochazka:</t>
        </r>
        <r>
          <rPr>
            <sz val="9"/>
            <color indexed="81"/>
            <rFont val="Tahoma"/>
            <charset val="1"/>
          </rPr>
          <t xml:space="preserve">
Source: Handbook of Mineralogy, Muscovite, minimum across: (1); (2), https://www.handbookofmineralogy.org/pdfs/muscovite.pdf</t>
        </r>
      </text>
    </comment>
    <comment ref="T29" authorId="0" shapeId="0" xr:uid="{37AAAD6D-6529-48BF-93ED-548D27B2804E}">
      <text>
        <r>
          <rPr>
            <b/>
            <sz val="9"/>
            <color indexed="81"/>
            <rFont val="Tahoma"/>
            <charset val="1"/>
          </rPr>
          <t>David Prochazka:</t>
        </r>
        <r>
          <rPr>
            <sz val="9"/>
            <color indexed="81"/>
            <rFont val="Tahoma"/>
            <charset val="1"/>
          </rPr>
          <t xml:space="preserve">
Source: Handbook of Mineralogy, Muscovite, minimum across: (1); (2), https://www.handbookofmineralogy.org/pdfs/muscovite.pdf</t>
        </r>
      </text>
    </comment>
    <comment ref="AE29" authorId="0" shapeId="0" xr:uid="{5853B009-05A8-4F05-805A-E84A711278AC}">
      <text>
        <r>
          <rPr>
            <b/>
            <sz val="9"/>
            <color indexed="81"/>
            <rFont val="Tahoma"/>
            <charset val="1"/>
          </rPr>
          <t>David Prochazka:</t>
        </r>
        <r>
          <rPr>
            <sz val="9"/>
            <color indexed="81"/>
            <rFont val="Tahoma"/>
            <charset val="1"/>
          </rPr>
          <t xml:space="preserve">
Source: Handbook of Mineralogy, Muscovite, minimum across: (1); (2), https://www.handbookofmineralogy.org/pdfs/muscovite.pdf</t>
        </r>
      </text>
    </comment>
    <comment ref="C30" authorId="0" shapeId="0" xr:uid="{24B5DE40-771B-4FF5-979A-15D01090DA4D}">
      <text>
        <r>
          <rPr>
            <b/>
            <sz val="9"/>
            <color indexed="81"/>
            <rFont val="Tahoma"/>
            <charset val="1"/>
          </rPr>
          <t>David Prochazka:</t>
        </r>
        <r>
          <rPr>
            <sz val="9"/>
            <color indexed="81"/>
            <rFont val="Tahoma"/>
            <charset val="1"/>
          </rPr>
          <t xml:space="preserve">
Source: Handbook of Mineralogy, Quartz, minimum across: ideal, https://handbookofmineralogy.org/wp-content/uploads/2022/07/quartz.pdf</t>
        </r>
      </text>
    </comment>
    <comment ref="C31" authorId="0" shapeId="0" xr:uid="{F1BED396-0B8B-4303-89B0-86BDAA311A7F}">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D31" authorId="0" shapeId="0" xr:uid="{58F2259E-3C9D-4097-9214-E44835660E4D}">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H31" authorId="0" shapeId="0" xr:uid="{6D4DDBCF-94BE-4A89-8DE7-7D4EDA8D2B7F}">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I31" authorId="0" shapeId="0" xr:uid="{F6E3EC48-A857-46D7-967C-5CA57455985A}">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J31" authorId="0" shapeId="0" xr:uid="{65AD4DB1-CB4C-4339-8F34-9F48A6244AD1}">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N31" authorId="0" shapeId="0" xr:uid="{96326E69-F25E-43C6-A7DC-19FA171B6572}">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O31" authorId="0" shapeId="0" xr:uid="{89C2F410-67E9-4068-9433-C5CDA1632CC3}">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S31" authorId="0" shapeId="0" xr:uid="{B61FEA8B-B017-4847-AA05-41B3E095E55A}">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T31" authorId="0" shapeId="0" xr:uid="{C22254FE-505A-4D47-826B-EBA93E95B153}">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AE31" authorId="0" shapeId="0" xr:uid="{24890823-BD69-4B84-8579-4ADC0DA34BFE}">
      <text>
        <r>
          <rPr>
            <b/>
            <sz val="9"/>
            <color indexed="81"/>
            <rFont val="Tahoma"/>
            <charset val="1"/>
          </rPr>
          <t>David Prochazka:</t>
        </r>
        <r>
          <rPr>
            <sz val="9"/>
            <color indexed="81"/>
            <rFont val="Tahoma"/>
            <charset val="1"/>
          </rPr>
          <t xml:space="preserve">
Source: Handbook of Mineralogy, Aegirine, minimum across: (1); ideal NaFeSi2O6, https://handbookofmineralogy.org/wp-content/uploads/2022/07/aegirine.pdf</t>
        </r>
      </text>
    </comment>
    <comment ref="H32" authorId="0" shapeId="0" xr:uid="{861AF8C5-835E-405B-BADE-4AA87CFC9D7A}">
      <text>
        <r>
          <rPr>
            <b/>
            <sz val="9"/>
            <color indexed="81"/>
            <rFont val="Tahoma"/>
            <charset val="1"/>
          </rPr>
          <t>David Prochazka:</t>
        </r>
        <r>
          <rPr>
            <sz val="9"/>
            <color indexed="81"/>
            <rFont val="Tahoma"/>
            <charset val="1"/>
          </rPr>
          <t xml:space="preserve">
Source: Handbook of Mineralogy, Thomsenolite (dimorph of pachnolite), minimum across: ideal; thomsenolite Ivigtut, https://www.handbookofmineralogy.org/pdfs/thomsenolite.pdf</t>
        </r>
      </text>
    </comment>
    <comment ref="O32" authorId="0" shapeId="0" xr:uid="{5441205C-C3F1-47AA-A207-928B94E1C552}">
      <text>
        <r>
          <rPr>
            <b/>
            <sz val="9"/>
            <color indexed="81"/>
            <rFont val="Tahoma"/>
            <charset val="1"/>
          </rPr>
          <t>David Prochazka:</t>
        </r>
        <r>
          <rPr>
            <sz val="9"/>
            <color indexed="81"/>
            <rFont val="Tahoma"/>
            <charset val="1"/>
          </rPr>
          <t xml:space="preserve">
Source: Handbook of Mineralogy, Thomsenolite (dimorph of pachnolite), minimum across: ideal; thomsenolite Ivigtut, https://www.handbookofmineralogy.org/pdfs/thomsenolite.pdf</t>
        </r>
      </text>
    </comment>
    <comment ref="S32" authorId="0" shapeId="0" xr:uid="{A4BCF6DD-C918-43CC-9211-FE8E37F5500C}">
      <text>
        <r>
          <rPr>
            <b/>
            <sz val="9"/>
            <color indexed="81"/>
            <rFont val="Tahoma"/>
            <charset val="1"/>
          </rPr>
          <t>David Prochazka:</t>
        </r>
        <r>
          <rPr>
            <sz val="9"/>
            <color indexed="81"/>
            <rFont val="Tahoma"/>
            <charset val="1"/>
          </rPr>
          <t xml:space="preserve">
Source: Handbook of Mineralogy, Thomsenolite (dimorph of pachnolite), minimum across: ideal; thomsenolite Ivigtut, https://www.handbookofmineralogy.org/pdfs/thomsenolite.pdf</t>
        </r>
      </text>
    </comment>
    <comment ref="AE32" authorId="0" shapeId="0" xr:uid="{3D4B5559-4D81-45F0-86DC-AC489E47D33F}">
      <text>
        <r>
          <rPr>
            <b/>
            <sz val="9"/>
            <color indexed="81"/>
            <rFont val="Tahoma"/>
            <charset val="1"/>
          </rPr>
          <t>David Prochazka:</t>
        </r>
        <r>
          <rPr>
            <sz val="9"/>
            <color indexed="81"/>
            <rFont val="Tahoma"/>
            <charset val="1"/>
          </rPr>
          <t xml:space="preserve">
Source: Handbook of Mineralogy, Thomsenolite (dimorph of pachnolite), minimum across: ideal; thomsenolite Ivigtut, https://www.handbookofmineralogy.org/pdfs/thomsenolite.pdf</t>
        </r>
      </text>
    </comment>
    <comment ref="AF32" authorId="0" shapeId="0" xr:uid="{D5371DB8-27D7-4FA2-B1E2-6B0999BE1664}">
      <text>
        <r>
          <rPr>
            <b/>
            <sz val="9"/>
            <color indexed="81"/>
            <rFont val="Tahoma"/>
            <charset val="1"/>
          </rPr>
          <t>David Prochazka:</t>
        </r>
        <r>
          <rPr>
            <sz val="9"/>
            <color indexed="81"/>
            <rFont val="Tahoma"/>
            <charset val="1"/>
          </rPr>
          <t xml:space="preserve">
Source: Handbook of Mineralogy, Thomsenolite (dimorph of pachnolite), minimum across: ideal; thomsenolite Ivigtut, https://www.handbookofmineralogy.org/pdfs/thomsenolite.pdf</t>
        </r>
      </text>
    </comment>
    <comment ref="C33" authorId="0" shapeId="0" xr:uid="{9E500BA0-4474-40B8-A308-A30D5D7CAF46}">
      <text>
        <r>
          <rPr>
            <b/>
            <sz val="9"/>
            <color indexed="81"/>
            <rFont val="Tahoma"/>
            <charset val="1"/>
          </rPr>
          <t>David Prochazka:</t>
        </r>
        <r>
          <rPr>
            <sz val="9"/>
            <color indexed="81"/>
            <rFont val="Tahoma"/>
            <charset val="1"/>
          </rPr>
          <t xml:space="preserve">
Source: Handbook of Mineralogy, Orthoclase, minimum across: (1); (2), https://www.handbookofmineralogy.org/pdfs/orthoclase.pdf</t>
        </r>
      </text>
    </comment>
    <comment ref="H33" authorId="0" shapeId="0" xr:uid="{5122E426-2D18-495E-9B18-65A6C5CD68B0}">
      <text>
        <r>
          <rPr>
            <b/>
            <sz val="9"/>
            <color indexed="81"/>
            <rFont val="Tahoma"/>
            <charset val="1"/>
          </rPr>
          <t>David Prochazka:</t>
        </r>
        <r>
          <rPr>
            <sz val="9"/>
            <color indexed="81"/>
            <rFont val="Tahoma"/>
            <charset val="1"/>
          </rPr>
          <t xml:space="preserve">
Source: Handbook of Mineralogy, Orthoclase, minimum across: (1); (2), https://www.handbookofmineralogy.org/pdfs/orthoclase.pdf</t>
        </r>
      </text>
    </comment>
    <comment ref="Q33" authorId="0" shapeId="0" xr:uid="{FEAF83B0-C1C4-4C89-A175-89A2D3375005}">
      <text>
        <r>
          <rPr>
            <b/>
            <sz val="9"/>
            <color indexed="81"/>
            <rFont val="Tahoma"/>
            <charset val="1"/>
          </rPr>
          <t>David Prochazka:</t>
        </r>
        <r>
          <rPr>
            <sz val="9"/>
            <color indexed="81"/>
            <rFont val="Tahoma"/>
            <charset val="1"/>
          </rPr>
          <t xml:space="preserve">
Source: Handbook of Mineralogy, Orthoclase, minimum across: (1); (2), https://www.handbookofmineralogy.org/pdfs/orthoclase.pdf</t>
        </r>
      </text>
    </comment>
    <comment ref="S33" authorId="0" shapeId="0" xr:uid="{57B0EC7D-BCC9-4908-8D74-07CDCFBC2CEC}">
      <text>
        <r>
          <rPr>
            <b/>
            <sz val="9"/>
            <color indexed="81"/>
            <rFont val="Tahoma"/>
            <charset val="1"/>
          </rPr>
          <t>David Prochazka:</t>
        </r>
        <r>
          <rPr>
            <sz val="9"/>
            <color indexed="81"/>
            <rFont val="Tahoma"/>
            <charset val="1"/>
          </rPr>
          <t xml:space="preserve">
Source: Handbook of Mineralogy, Orthoclase, minimum across: (1); (2), https://www.handbookofmineralogy.org/pdfs/orthoclase.pdf</t>
        </r>
      </text>
    </comment>
    <comment ref="T33" authorId="0" shapeId="0" xr:uid="{046D5767-4F90-4B74-BC63-819692AA1F52}">
      <text>
        <r>
          <rPr>
            <b/>
            <sz val="9"/>
            <color indexed="81"/>
            <rFont val="Tahoma"/>
            <charset val="1"/>
          </rPr>
          <t>David Prochazka:</t>
        </r>
        <r>
          <rPr>
            <sz val="9"/>
            <color indexed="81"/>
            <rFont val="Tahoma"/>
            <charset val="1"/>
          </rPr>
          <t xml:space="preserve">
Source: Handbook of Mineralogy, Orthoclase, minimum across: (1); (2), https://www.handbookofmineralogy.org/pdfs/orthoclase.pdf</t>
        </r>
      </text>
    </comment>
    <comment ref="I34" authorId="0" shapeId="0" xr:uid="{109B58DE-F0F4-43B4-9697-395FCD67C12A}">
      <text>
        <r>
          <rPr>
            <b/>
            <sz val="9"/>
            <color indexed="81"/>
            <rFont val="Tahoma"/>
            <charset val="1"/>
          </rPr>
          <t>David Prochazka:</t>
        </r>
        <r>
          <rPr>
            <sz val="9"/>
            <color indexed="81"/>
            <rFont val="Tahoma"/>
            <charset val="1"/>
          </rPr>
          <t xml:space="preserve">
Source: Handbook of Mineralogy, Hematite, minimum across: (1); ideal Fe2O3, https://www.handbookofmineralogy.org/pdfs/hematite.pdf</t>
        </r>
      </text>
    </comment>
    <comment ref="J34" authorId="0" shapeId="0" xr:uid="{DD7D1753-A644-47A8-B603-C218C28F91FD}">
      <text>
        <r>
          <rPr>
            <b/>
            <sz val="9"/>
            <color indexed="81"/>
            <rFont val="Tahoma"/>
            <charset val="1"/>
          </rPr>
          <t>David Prochazka:</t>
        </r>
        <r>
          <rPr>
            <sz val="9"/>
            <color indexed="81"/>
            <rFont val="Tahoma"/>
            <charset val="1"/>
          </rPr>
          <t xml:space="preserve">
Source: Handbook of Mineralogy, Hematite, minimum across: (1); ideal Fe2O3, https://www.handbookofmineralogy.org/pdfs/hematite.pdf</t>
        </r>
      </text>
    </comment>
    <comment ref="K34" authorId="0" shapeId="0" xr:uid="{33AD4641-5C30-4C68-A277-3D8404256C73}">
      <text>
        <r>
          <rPr>
            <b/>
            <sz val="9"/>
            <color indexed="81"/>
            <rFont val="Tahoma"/>
            <charset val="1"/>
          </rPr>
          <t>David Prochazka:</t>
        </r>
        <r>
          <rPr>
            <sz val="9"/>
            <color indexed="81"/>
            <rFont val="Tahoma"/>
            <charset val="1"/>
          </rPr>
          <t xml:space="preserve">
Source: Handbook of Mineralogy, Hematite, minimum across: (1); ideal Fe2O3, https://www.handbookofmineralogy.org/pdfs/hematite.pdf</t>
        </r>
      </text>
    </comment>
    <comment ref="C35" authorId="0" shapeId="0" xr:uid="{04576955-88A1-45B6-A272-51C326E088EC}">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D35" authorId="0" shapeId="0" xr:uid="{AD37E729-DF62-4E7C-B015-47CA16ED8FFB}">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H35" authorId="0" shapeId="0" xr:uid="{A2100F4D-BFBC-4CEE-8274-7B9388A352EA}">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I35" authorId="0" shapeId="0" xr:uid="{8CF2E9F7-18FB-4B67-977F-D648AE5052EE}">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J35" authorId="0" shapeId="0" xr:uid="{04F72335-3DF5-4FDF-ADCA-2B35C92C2FD1}">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K35" authorId="0" shapeId="0" xr:uid="{5217456F-2867-44A1-B9DA-6F9CCF0A3B9C}">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N35" authorId="0" shapeId="0" xr:uid="{6DDA2638-DBBA-40BF-AB97-2C0E01E3922D}">
      <text>
        <r>
          <rPr>
            <b/>
            <sz val="9"/>
            <color indexed="81"/>
            <rFont val="Tahoma"/>
            <charset val="1"/>
          </rPr>
          <t>David Prochazka:</t>
        </r>
        <r>
          <rPr>
            <sz val="9"/>
            <color indexed="81"/>
            <rFont val="Tahoma"/>
            <charset val="1"/>
          </rPr>
          <t xml:space="preserve">
Source: Handbook of Mineralogy, Magnetite, minimum across: (1); (2); (3), https://handbookofmineralogy.org/pdfs/magnetite.pdf</t>
        </r>
      </text>
    </comment>
    <comment ref="C36" authorId="0" shapeId="0" xr:uid="{037ECE48-5D56-4D19-8A19-A7FEA59E8847}">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D36" authorId="0" shapeId="0" xr:uid="{1D3732E4-A4DA-4A12-965C-DC5BE9B61BCD}">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H36" authorId="0" shapeId="0" xr:uid="{86E3A294-AB1F-4FA7-99B1-E17A1EF3AF79}">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J36" authorId="0" shapeId="0" xr:uid="{E97B1DA9-F6FA-44A7-8BF3-2B0F89C2131A}">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N36" authorId="0" shapeId="0" xr:uid="{75D7B9FA-D51A-459F-9FB0-9A7DCD3F2E44}">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R36" authorId="0" shapeId="0" xr:uid="{18E594A2-B5DF-4776-9F3D-ADEA5DD352EC}">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AE36" authorId="0" shapeId="0" xr:uid="{0D6F61E7-5E37-4AFB-A015-A7A0BFDBD3D5}">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AI36" authorId="0" shapeId="0" xr:uid="{2AE40CFB-D168-4DB4-8E9F-1FB3DC24ACC8}">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AJ36" authorId="0" shapeId="0" xr:uid="{F6962F15-9DAE-4EFD-A124-C692244ADCB3}">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AN36" authorId="0" shapeId="0" xr:uid="{54826461-0B76-4B6F-B9F9-23F3BC58366D}">
      <text>
        <r>
          <rPr>
            <b/>
            <sz val="9"/>
            <color indexed="81"/>
            <rFont val="Tahoma"/>
            <charset val="1"/>
          </rPr>
          <t>David Prochazka:</t>
        </r>
        <r>
          <rPr>
            <sz val="9"/>
            <color indexed="81"/>
            <rFont val="Tahoma"/>
            <charset val="1"/>
          </rPr>
          <t xml:space="preserve">
Source: Handbook of Mineralogy, Thorite, minimum across: (1); (2), https://www.handbookofmineralogy.org/pdfs/thorite.pdf</t>
        </r>
      </text>
    </comment>
    <comment ref="H37" authorId="0" shapeId="0" xr:uid="{7B8C78B2-1DA8-4940-9411-1C79422F3BB9}">
      <text>
        <r>
          <rPr>
            <b/>
            <sz val="9"/>
            <color indexed="81"/>
            <rFont val="Tahoma"/>
            <charset val="1"/>
          </rPr>
          <t>David Prochazka:</t>
        </r>
        <r>
          <rPr>
            <sz val="9"/>
            <color indexed="81"/>
            <rFont val="Tahoma"/>
            <charset val="1"/>
          </rPr>
          <t xml:space="preserve">
Source: Handbook of Mineralogy, Cryolite, minimum across: (1); (2), https://www.handbookofmineralogy.org/pdfs/cryolite.pdf</t>
        </r>
      </text>
    </comment>
    <comment ref="S37" authorId="0" shapeId="0" xr:uid="{B8F0AC8D-3589-4308-9B94-AF13EB52F14C}">
      <text>
        <r>
          <rPr>
            <b/>
            <sz val="9"/>
            <color indexed="81"/>
            <rFont val="Tahoma"/>
            <charset val="1"/>
          </rPr>
          <t>David Prochazka:</t>
        </r>
        <r>
          <rPr>
            <sz val="9"/>
            <color indexed="81"/>
            <rFont val="Tahoma"/>
            <charset val="1"/>
          </rPr>
          <t xml:space="preserve">
Source: Handbook of Mineralogy, Cryolite, minimum across: (1); (2), https://www.handbookofmineralogy.org/pdfs/cryolite.pdf</t>
        </r>
      </text>
    </comment>
    <comment ref="AF37" authorId="0" shapeId="0" xr:uid="{797EC50F-D807-4F6D-8DC4-3233E2C9E182}">
      <text>
        <r>
          <rPr>
            <b/>
            <sz val="9"/>
            <color indexed="81"/>
            <rFont val="Tahoma"/>
            <charset val="1"/>
          </rPr>
          <t>David Prochazka:</t>
        </r>
        <r>
          <rPr>
            <sz val="9"/>
            <color indexed="81"/>
            <rFont val="Tahoma"/>
            <charset val="1"/>
          </rPr>
          <t xml:space="preserve">
Source: Handbook of Mineralogy, Cryolite, minimum across: (1); (2), https://www.handbookofmineralogy.org/pdfs/cryolite.pdf</t>
        </r>
      </text>
    </comment>
    <comment ref="C38" authorId="0" shapeId="0" xr:uid="{DB6AB1E8-B401-4433-A337-54E5EF8C1185}">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D38" authorId="0" shapeId="0" xr:uid="{47649831-642A-4444-B47E-D7AC706DB599}">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G38" authorId="0" shapeId="0" xr:uid="{AD52221C-3495-4CC3-BC54-C75CD8F5D3D5}">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J38" authorId="0" shapeId="0" xr:uid="{DC660465-ED54-4EC4-B02B-886A29793217}">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X38" authorId="0" shapeId="0" xr:uid="{BFAE7FEF-CBCA-4A3A-A45A-C8A3812EFBC7}">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Y38" authorId="0" shapeId="0" xr:uid="{E596E71C-6DC9-45A2-B3E4-EDADA1C0045D}">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Z38" authorId="0" shapeId="0" xr:uid="{4F6FFB44-DA26-4066-B26A-6A22FB4DD74B}">
      <text>
        <r>
          <rPr>
            <b/>
            <sz val="9"/>
            <color indexed="81"/>
            <rFont val="Tahoma"/>
            <charset val="1"/>
          </rPr>
          <t>David Prochazka:</t>
        </r>
        <r>
          <rPr>
            <sz val="9"/>
            <color indexed="81"/>
            <rFont val="Tahoma"/>
            <charset val="1"/>
          </rPr>
          <t xml:space="preserve">
Source: Handbook of Mineralogy, Cassiterite, minimum across: (1); ideal SnO2, https://www.handbookofmineralogy.org/pdfs/cassiterite.pdf</t>
        </r>
      </text>
    </comment>
    <comment ref="C39" authorId="0" shapeId="0" xr:uid="{775EB8B1-887E-4F61-923F-2036C755B126}">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H39" authorId="0" shapeId="0" xr:uid="{67E9D3FA-B64C-44D0-8BFD-6843303B8C05}">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N39" authorId="0" shapeId="0" xr:uid="{555F291E-5AEF-406D-8121-126C4559FBB4}">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O39" authorId="0" shapeId="0" xr:uid="{66194129-94CF-4D11-AF84-C3094B47858C}">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S39" authorId="0" shapeId="0" xr:uid="{FFA29EA7-AA06-44FA-8B3C-ADDB1CBEB5EE}">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T39" authorId="0" shapeId="0" xr:uid="{CCA114E1-6041-481D-9214-EC2A22CC1D3B}">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AE39" authorId="0" shapeId="0" xr:uid="{D206150D-71AD-422C-8877-A931C77D79B1}">
      <text>
        <r>
          <rPr>
            <b/>
            <sz val="9"/>
            <color indexed="81"/>
            <rFont val="Tahoma"/>
            <charset val="1"/>
          </rPr>
          <t>David Prochazka:</t>
        </r>
        <r>
          <rPr>
            <sz val="9"/>
            <color indexed="81"/>
            <rFont val="Tahoma"/>
            <charset val="1"/>
          </rPr>
          <t xml:space="preserve">
Source: Handbook of Mineralogy, Nepheline, minimum across: (1), https://www.handbookofmineralogy.org/pdfs/nepheline.pdf</t>
        </r>
      </text>
    </comment>
    <comment ref="C40" authorId="0" shapeId="0" xr:uid="{31AB0E91-F84B-414E-BD83-9462ACDF8516}">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D40" authorId="0" shapeId="0" xr:uid="{D4F2C58D-F233-48F5-9320-E15FE1207856}">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H40" authorId="0" shapeId="0" xr:uid="{F9C6A711-4CA6-40ED-9E48-3C512DBCBB7C}">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I40" authorId="0" shapeId="0" xr:uid="{D31F337C-D0BD-4D89-A2EA-C00A46C35C47}">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J40" authorId="0" shapeId="0" xr:uid="{DD9CFDD9-DCA1-44EF-8713-3E065D0074D1}">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K40" authorId="0" shapeId="0" xr:uid="{258C7B8E-869E-4A90-9282-644041CD8966}">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L40" authorId="0" shapeId="0" xr:uid="{B0B4DAD4-A5DC-4FF5-A0F4-BC89E6D81D26}">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N40" authorId="0" shapeId="0" xr:uid="{8D3BEE54-57B8-4072-9353-188604A7B55B}">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O40" authorId="0" shapeId="0" xr:uid="{08B139EF-0B45-4B1E-BDD1-9436BAF799AD}">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Q40" authorId="0" shapeId="0" xr:uid="{97BDE9A9-104B-4E59-A463-CB4FD441BDB3}">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S40" authorId="0" shapeId="0" xr:uid="{822D5E5C-DF1E-48D2-AF15-8F2CE8707536}">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T40" authorId="0" shapeId="0" xr:uid="{DE971518-E5A0-4898-81D9-A4B10D97DD9C}">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AE40" authorId="0" shapeId="0" xr:uid="{6E159E4B-1954-4207-94EB-FB39A5211954}">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AF40" authorId="0" shapeId="0" xr:uid="{D4DE60C7-4E8E-4381-91D5-FF977B7026FC}">
      <text>
        <r>
          <rPr>
            <b/>
            <sz val="9"/>
            <color indexed="81"/>
            <rFont val="Tahoma"/>
            <charset val="1"/>
          </rPr>
          <t>David Prochazka:</t>
        </r>
        <r>
          <rPr>
            <sz val="9"/>
            <color indexed="81"/>
            <rFont val="Tahoma"/>
            <charset val="1"/>
          </rPr>
          <t xml:space="preserve">
Source: Handbook of Mineralogy, Hendricksite, minimum across: (1); (2), https://www.handbookofmineralogy.org/pdfs/hendricksite.pdf</t>
        </r>
      </text>
    </comment>
    <comment ref="C41" authorId="0" shapeId="0" xr:uid="{DE85F640-9D85-42BD-91BF-7EB933673998}">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D41" authorId="0" shapeId="0" xr:uid="{CEFC41C8-71F7-49B7-A90F-D0D9C467E17A}">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J41" authorId="0" shapeId="0" xr:uid="{67DA12F0-3087-492F-9A22-1926921DFDFA}">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O41" authorId="0" shapeId="0" xr:uid="{71D61DA3-951A-46CE-8EF7-5E2B82E6425A}">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P41" authorId="0" shapeId="0" xr:uid="{6777F495-A81E-4481-9D07-E3CBA967628D}">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R41" authorId="0" shapeId="0" xr:uid="{530753B1-8785-4DC7-9941-4603FC18872B}">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X41" authorId="0" shapeId="0" xr:uid="{58D82C63-2C9B-4A9E-8BC9-AEF3CAED61E1}">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Y41" authorId="0" shapeId="0" xr:uid="{0486C740-B272-4B93-B785-70E5F4779D5B}">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AE41" authorId="0" shapeId="0" xr:uid="{8626F8E8-A0BD-4E26-86FD-FF5E0F143F7C}">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AN41" authorId="0" shapeId="0" xr:uid="{B22B70AD-FD42-4C72-B959-5A1150362D5C}">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AP41" authorId="0" shapeId="0" xr:uid="{3A246FAD-D116-4038-BC91-F81CE4B75D10}">
      <text>
        <r>
          <rPr>
            <b/>
            <sz val="9"/>
            <color indexed="81"/>
            <rFont val="Tahoma"/>
            <charset val="1"/>
          </rPr>
          <t>David Prochazka:</t>
        </r>
        <r>
          <rPr>
            <sz val="9"/>
            <color indexed="81"/>
            <rFont val="Tahoma"/>
            <charset val="1"/>
          </rPr>
          <t xml:space="preserve">
Source: Handbook of Mineralogy, Hydroxyplumbopyrochlore, minimum across: (1), https://www.handbookofmineralogy.org/pdfs/Hydroxyplumbopyrochlore.pdf</t>
        </r>
      </text>
    </comment>
    <comment ref="C42" authorId="0" shapeId="0" xr:uid="{F643677A-C3B5-4E92-BCB1-794AB2B22AEC}">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D42" authorId="0" shapeId="0" xr:uid="{E7E06390-C586-47D4-9108-FA47BECE20A7}">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H42" authorId="0" shapeId="0" xr:uid="{51981585-2B91-44F0-84A2-49915354B818}">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J42" authorId="0" shapeId="0" xr:uid="{0D50982F-5448-47A8-BEBD-82998006EAC4}">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K42" authorId="0" shapeId="0" xr:uid="{0902D511-2EA8-4A86-8961-61D5F1DC4F60}">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N42" authorId="0" shapeId="0" xr:uid="{8A4A5FE1-4F89-47A6-970A-8FF0207ED7EE}">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O42" authorId="0" shapeId="0" xr:uid="{CA634129-C601-4216-950D-B686D8FC0D7A}">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S42" authorId="0" shapeId="0" xr:uid="{6C91BA85-CDB0-4A88-8725-EC2235EEDB24}">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T42" authorId="0" shapeId="0" xr:uid="{479EED00-3625-4583-B208-F9D949F42036}">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AE42" authorId="0" shapeId="0" xr:uid="{71610DF9-C0A2-41C3-911B-BB119EC7C4F0}">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AF42" authorId="0" shapeId="0" xr:uid="{B8854954-F8C3-4C84-93E5-E4921F332C39}">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AG42" authorId="0" shapeId="0" xr:uid="{1EA0032F-D7AC-4B22-826E-6DE6307E615E}">
      <text>
        <r>
          <rPr>
            <b/>
            <sz val="9"/>
            <color indexed="81"/>
            <rFont val="Tahoma"/>
            <charset val="1"/>
          </rPr>
          <t>David Prochazka:</t>
        </r>
        <r>
          <rPr>
            <sz val="9"/>
            <color indexed="81"/>
            <rFont val="Tahoma"/>
            <charset val="1"/>
          </rPr>
          <t xml:space="preserve">
Source: Handbook of Mineralogy, Annite, minimum across: (1); (2); (3), https://www.handbookofmineralogy.org/pdfs/annite.pdf</t>
        </r>
      </text>
    </comment>
    <comment ref="D43" authorId="0" shapeId="0" xr:uid="{5FFE4D60-02BA-4098-9714-DA31F0FC8F9E}">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G43" authorId="0" shapeId="0" xr:uid="{21D2774F-1695-49A3-8DCF-7829640F4399}">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J43" authorId="0" shapeId="0" xr:uid="{82EA35D1-50B6-4B1C-9E29-8333DB406257}">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K43" authorId="0" shapeId="0" xr:uid="{3A285EF2-8D44-45FD-B612-8F829A582FB8}">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O43" authorId="0" shapeId="0" xr:uid="{FE032634-060A-4CD2-897E-567D28C8C821}">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X43" authorId="0" shapeId="0" xr:uid="{52C86277-702E-481E-A52D-58D56DEA9A25}">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Y43" authorId="0" shapeId="0" xr:uid="{947AEDC6-DE2C-4D05-B504-D2DC22A2BF28}">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Z43" authorId="0" shapeId="0" xr:uid="{3518C457-63EC-4B42-BDB5-EE3D84BCA711}">
      <text>
        <r>
          <rPr>
            <b/>
            <sz val="9"/>
            <color indexed="81"/>
            <rFont val="Tahoma"/>
            <charset val="1"/>
          </rPr>
          <t>David Prochazka:</t>
        </r>
        <r>
          <rPr>
            <sz val="9"/>
            <color indexed="81"/>
            <rFont val="Tahoma"/>
            <charset val="1"/>
          </rPr>
          <t xml:space="preserve">
Source: Handbook of Mineralogy, Ferrocolumbite, minimum across: (1); (2); (3), https://www.handbookofmineralogy.org/pdfs/ferrocolumbite.pdf</t>
        </r>
      </text>
    </comment>
    <comment ref="D44" authorId="0" shapeId="0" xr:uid="{55910082-765E-46ED-862D-33E55151FBC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44" authorId="0" shapeId="0" xr:uid="{D587E127-865A-411A-8AF1-4BAD89F0E01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J44" authorId="0" shapeId="0" xr:uid="{3A43A6EB-DC42-4D87-81A1-FA6AC93C5D8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44" authorId="0" shapeId="0" xr:uid="{CF1DA918-5F0F-4967-BEC9-056DB552B82F}">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S44" authorId="0" shapeId="0" xr:uid="{2ECF90FA-C2A6-488E-B8E5-699A3C3578C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X44" authorId="0" shapeId="0" xr:uid="{6F426684-CD0D-4E5B-B1E2-14D4BC496533}">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44" authorId="0" shapeId="0" xr:uid="{D5EE04DB-E8BE-43C6-A4C0-0A20AB696BD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C45" authorId="0" shapeId="0" xr:uid="{B2445240-EA69-4692-89D1-ACA0716BFE1B}">
      <text>
        <r>
          <rPr>
            <b/>
            <sz val="9"/>
            <color indexed="81"/>
            <rFont val="Tahoma"/>
            <charset val="1"/>
          </rPr>
          <t>David Prochazka:</t>
        </r>
        <r>
          <rPr>
            <sz val="9"/>
            <color indexed="81"/>
            <rFont val="Tahoma"/>
            <charset val="1"/>
          </rPr>
          <t xml:space="preserve">
Source: Handbook of Mineralogy, Spessartine, minimum across the analyses listed in Sources!G45, https://www.handbookofmineralogy.org/pdfs/spessartine.pdf</t>
        </r>
      </text>
    </comment>
    <comment ref="D45" authorId="0" shapeId="0" xr:uid="{2DFC88F7-BE63-4147-946B-F5CF5EBAAAF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45" authorId="0" shapeId="0" xr:uid="{5B48CB1D-9970-465B-A966-F588481A8D08}">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45" authorId="0" shapeId="0" xr:uid="{BC2E836D-41B9-40F0-A836-A6E5A4F6AB60}">
      <text>
        <r>
          <rPr>
            <b/>
            <sz val="9"/>
            <color indexed="81"/>
            <rFont val="Tahoma"/>
            <charset val="1"/>
          </rPr>
          <t>David Prochazka:</t>
        </r>
        <r>
          <rPr>
            <sz val="9"/>
            <color indexed="81"/>
            <rFont val="Tahoma"/>
            <charset val="1"/>
          </rPr>
          <t xml:space="preserve">
Source: Handbook of Mineralogy, Spessartine, minimum across the analyses listed in Sources!G45, https://www.handbookofmineralogy.org/pdfs/spessartine.pdf</t>
        </r>
      </text>
    </comment>
    <comment ref="J45" authorId="0" shapeId="0" xr:uid="{27FFDEB9-3A20-4422-895A-06ED201A0F7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45" authorId="0" shapeId="0" xr:uid="{9335C5C2-2003-4D05-98E7-2BF831BCC54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45" authorId="0" shapeId="0" xr:uid="{FB234C12-F1DC-4F54-ADB5-0738A3E064AC}">
      <text>
        <r>
          <rPr>
            <b/>
            <sz val="9"/>
            <color indexed="81"/>
            <rFont val="Tahoma"/>
            <charset val="1"/>
          </rPr>
          <t>David Prochazka:</t>
        </r>
        <r>
          <rPr>
            <sz val="9"/>
            <color indexed="81"/>
            <rFont val="Tahoma"/>
            <charset val="1"/>
          </rPr>
          <t xml:space="preserve">
Source: Handbook of Mineralogy, Spessartine, minimum across the analyses listed in Sources!G45, https://www.handbookofmineralogy.org/pdfs/spessartine.pdf</t>
        </r>
      </text>
    </comment>
    <comment ref="S45" authorId="0" shapeId="0" xr:uid="{897C7BFE-0FFF-4836-8445-1A41FB7B825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X45" authorId="0" shapeId="0" xr:uid="{093D32DE-D557-49D2-8A25-6E5D8A7766D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45" authorId="0" shapeId="0" xr:uid="{3A7C8085-C8DD-492A-951E-5B29E53AA87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45" authorId="0" shapeId="0" xr:uid="{E0333BC6-81AC-4B81-A262-716C5FB5CB35}">
      <text>
        <r>
          <rPr>
            <b/>
            <sz val="9"/>
            <color indexed="81"/>
            <rFont val="Tahoma"/>
            <charset val="1"/>
          </rPr>
          <t>David Prochazka:</t>
        </r>
        <r>
          <rPr>
            <sz val="9"/>
            <color indexed="81"/>
            <rFont val="Tahoma"/>
            <charset val="1"/>
          </rPr>
          <t xml:space="preserve">
Source: Handbook of Mineralogy, Spessartine, minimum across the analyses listed in Sources!G45, https://www.handbookofmineralogy.org/pdfs/spessartine.pdf</t>
        </r>
      </text>
    </comment>
    <comment ref="C46" authorId="0" shapeId="0" xr:uid="{99071213-8D28-4BF7-8FE9-E8398A3DF7C4}">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D46" authorId="0" shapeId="0" xr:uid="{82F77A39-CF76-4D2D-A538-CC55739B015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46" authorId="0" shapeId="0" xr:uid="{C4A25E74-DA2D-41A5-8DA5-830D276F1BA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46" authorId="0" shapeId="0" xr:uid="{F6E61392-61E8-4558-A545-E0C065F59CEA}">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J46" authorId="0" shapeId="0" xr:uid="{A90595AA-907E-44AE-8207-0C5CC7F7D585}">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46" authorId="0" shapeId="0" xr:uid="{4C4AE68E-E484-449D-861C-FF6C1527DA2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N46" authorId="0" shapeId="0" xr:uid="{DA49ABF3-3A9D-4068-95F2-31EB63462440}">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O46" authorId="0" shapeId="0" xr:uid="{0EC06312-9BDA-4A87-BE29-03EFC364B731}">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S46" authorId="0" shapeId="0" xr:uid="{F6B3999D-2AE3-40B1-939B-3ED9800B9BE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46" authorId="0" shapeId="0" xr:uid="{CC6E9597-7834-4699-B404-76D2A84F1E2E}">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V46" authorId="0" shapeId="0" xr:uid="{595CEE11-1299-4AE6-9A3A-4009D0FE9880}">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X46" authorId="0" shapeId="0" xr:uid="{AAB28087-DE81-4E56-B267-170E7FEFE17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46" authorId="0" shapeId="0" xr:uid="{2786AF14-A88D-4465-BFAD-C01710AF50D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46" authorId="0" shapeId="0" xr:uid="{B9317ADC-ACC3-48E5-A217-B3520815C8F0}">
      <text>
        <r>
          <rPr>
            <b/>
            <sz val="9"/>
            <color indexed="81"/>
            <rFont val="Tahoma"/>
            <charset val="1"/>
          </rPr>
          <t>David Prochazka:</t>
        </r>
        <r>
          <rPr>
            <sz val="9"/>
            <color indexed="81"/>
            <rFont val="Tahoma"/>
            <charset val="1"/>
          </rPr>
          <t xml:space="preserve">
Source: Handbook of Mineralogy, Schorl, minimum across the analyses listed in Sources!G46, https://www.handbookofmineralogy.org/pdfs/schorl.pdf</t>
        </r>
      </text>
    </comment>
    <comment ref="C47" authorId="0" shapeId="0" xr:uid="{0BBE1A93-6B92-4B21-A946-1FA4370292C2}">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D47" authorId="0" shapeId="0" xr:uid="{C79C2A48-9780-46A6-BE8B-D116099A048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47" authorId="0" shapeId="0" xr:uid="{34CE4AC0-CE95-4189-B0BF-261694D7495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47" authorId="0" shapeId="0" xr:uid="{8863BD86-F9D1-4165-A1DF-E69B7FE92296}">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I47" authorId="0" shapeId="0" xr:uid="{8E1830F7-D1D2-4CE2-8577-BF124242B5A2}">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J47" authorId="0" shapeId="0" xr:uid="{F15B10AF-68B0-4C59-A2B8-DB1502F35CA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47" authorId="0" shapeId="0" xr:uid="{FE1E686A-3CF4-49DC-83BE-BBAC66299683}">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N47" authorId="0" shapeId="0" xr:uid="{02E6E1F2-171D-4394-9FB7-003AAEB0798B}">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O47" authorId="0" shapeId="0" xr:uid="{81E6549D-57D9-4735-8EB8-1C7C2F31A8D4}">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S47" authorId="0" shapeId="0" xr:uid="{88FE06EB-58B4-41D7-A425-92076C31864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47" authorId="0" shapeId="0" xr:uid="{606AAB17-CFD9-43FD-9E70-59BC5A18092C}">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X47" authorId="0" shapeId="0" xr:uid="{A0DD6116-F16F-4B56-BCB8-EB218976794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47" authorId="0" shapeId="0" xr:uid="{B523E434-DD09-4349-8CC6-DDBC86AB02D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47" authorId="0" shapeId="0" xr:uid="{240377A7-87CB-4042-AEFB-CC7B2F219BCC}">
      <text>
        <r>
          <rPr>
            <b/>
            <sz val="9"/>
            <color indexed="81"/>
            <rFont val="Tahoma"/>
            <charset val="1"/>
          </rPr>
          <t>David Prochazka:</t>
        </r>
        <r>
          <rPr>
            <sz val="9"/>
            <color indexed="81"/>
            <rFont val="Tahoma"/>
            <charset val="1"/>
          </rPr>
          <t xml:space="preserve">
Source: Handbook of Mineralogy, Kaolinite, minimum across the analyses listed in Sources!G47, https://www.handbookofmineralogy.org/pdfs/kaolinite.pdf</t>
        </r>
      </text>
    </comment>
    <comment ref="C48" authorId="0" shapeId="0" xr:uid="{F13E0AD9-3957-4E9E-9C14-4853F4296607}">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D48" authorId="0" shapeId="0" xr:uid="{FDBB7DB9-E874-480C-A9A1-2E42CCA6582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48" authorId="0" shapeId="0" xr:uid="{74FEB7BD-0D0F-4DFD-9DA0-81BBBF22B53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48" authorId="0" shapeId="0" xr:uid="{96108350-82A3-40A5-B4D8-0B055B33743C}">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J48" authorId="0" shapeId="0" xr:uid="{B515AE08-D667-422D-98E0-A44CEC8FED7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48" authorId="0" shapeId="0" xr:uid="{625E696E-7A69-44F7-B5B3-6737134C5D2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48" authorId="0" shapeId="0" xr:uid="{9129D42E-AFFA-4C4A-B639-C79213B4693C}">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S48" authorId="0" shapeId="0" xr:uid="{3CE16886-91A4-4C65-B7BB-584E2950A5B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U48" authorId="0" shapeId="0" xr:uid="{A4ADBF80-9C69-404B-A8C6-DB1FE105A670}">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V48" authorId="0" shapeId="0" xr:uid="{9E69FAE9-00C0-4FCC-8D14-2E8EAD7F6718}">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X48" authorId="0" shapeId="0" xr:uid="{B1D7D020-8865-4665-A3B2-CFB5FF86419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48" authorId="0" shapeId="0" xr:uid="{A8DB8CBA-98CC-4C2E-8435-73FA67F3AF6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48" authorId="0" shapeId="0" xr:uid="{5AFACF35-F0C6-4061-A43E-D89544294307}">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AF48" authorId="0" shapeId="0" xr:uid="{6DAC0CB4-5676-4D65-8CF0-A2DE3DD5D850}">
      <text>
        <r>
          <rPr>
            <b/>
            <sz val="9"/>
            <color indexed="81"/>
            <rFont val="Tahoma"/>
            <charset val="1"/>
          </rPr>
          <t>David Prochazka:</t>
        </r>
        <r>
          <rPr>
            <sz val="9"/>
            <color indexed="81"/>
            <rFont val="Tahoma"/>
            <charset val="1"/>
          </rPr>
          <t xml:space="preserve">
Source: Handbook of Mineralogy, Elbaite (Li-tourmaline), minimum across the analyses listed in Sources!G48, https://handbookofmineralogy.org/pdfs/elbaite.pdf</t>
        </r>
      </text>
    </comment>
    <comment ref="C49" authorId="0" shapeId="0" xr:uid="{2D5109A0-06B4-4DD2-8A0C-136C8AD50EF0}">
      <text>
        <r>
          <rPr>
            <b/>
            <sz val="9"/>
            <color indexed="81"/>
            <rFont val="Tahoma"/>
            <charset val="1"/>
          </rPr>
          <t>David Prochazka:</t>
        </r>
        <r>
          <rPr>
            <sz val="9"/>
            <color indexed="81"/>
            <rFont val="Tahoma"/>
            <charset val="1"/>
          </rPr>
          <t xml:space="preserve">
Source: Handbook of Mineralogy, Clinochlore (Mg-chlorite), minimum across the analyses listed in Sources!G49, https://www.handbookofmineralogy.org/pdfs/clinochlore.pdf</t>
        </r>
      </text>
    </comment>
    <comment ref="D49" authorId="0" shapeId="0" xr:uid="{17B74920-6C11-411A-A352-6F7F2E0A15F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49" authorId="0" shapeId="0" xr:uid="{9F534A84-8896-425B-A839-958B76070BE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49" authorId="0" shapeId="0" xr:uid="{DEB683B4-8B55-43BA-9B80-6157CE1E4038}">
      <text>
        <r>
          <rPr>
            <b/>
            <sz val="9"/>
            <color indexed="81"/>
            <rFont val="Tahoma"/>
            <charset val="1"/>
          </rPr>
          <t>David Prochazka:</t>
        </r>
        <r>
          <rPr>
            <sz val="9"/>
            <color indexed="81"/>
            <rFont val="Tahoma"/>
            <charset val="1"/>
          </rPr>
          <t xml:space="preserve">
Source: Handbook of Mineralogy, Clinochlore (Mg-chlorite), minimum across the analyses listed in Sources!G49, https://www.handbookofmineralogy.org/pdfs/clinochlore.pdf</t>
        </r>
      </text>
    </comment>
    <comment ref="I49" authorId="0" shapeId="0" xr:uid="{BF8E5047-D780-4DD0-BEF8-53C332F6190B}">
      <text>
        <r>
          <rPr>
            <b/>
            <sz val="9"/>
            <color indexed="81"/>
            <rFont val="Tahoma"/>
            <charset val="1"/>
          </rPr>
          <t>David Prochazka:</t>
        </r>
        <r>
          <rPr>
            <sz val="9"/>
            <color indexed="81"/>
            <rFont val="Tahoma"/>
            <charset val="1"/>
          </rPr>
          <t xml:space="preserve">
Source: Handbook of Mineralogy, Clinochlore (Mg-chlorite), minimum across the analyses listed in Sources!G49, https://www.handbookofmineralogy.org/pdfs/clinochlore.pdf</t>
        </r>
      </text>
    </comment>
    <comment ref="J49" authorId="0" shapeId="0" xr:uid="{F0297544-6F22-494F-BAE1-AC3A084F61A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49" authorId="0" shapeId="0" xr:uid="{753A3841-2D43-46BC-B258-F4DD2D88EB55}">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N49" authorId="0" shapeId="0" xr:uid="{13F1BE6A-154E-424E-BAFB-D9DB708A15F4}">
      <text>
        <r>
          <rPr>
            <b/>
            <sz val="9"/>
            <color indexed="81"/>
            <rFont val="Tahoma"/>
            <charset val="1"/>
          </rPr>
          <t>David Prochazka:</t>
        </r>
        <r>
          <rPr>
            <sz val="9"/>
            <color indexed="81"/>
            <rFont val="Tahoma"/>
            <charset val="1"/>
          </rPr>
          <t xml:space="preserve">
Source: Handbook of Mineralogy, Clinochlore (Mg-chlorite), minimum across the analyses listed in Sources!G49, https://www.handbookofmineralogy.org/pdfs/clinochlore.pdf</t>
        </r>
      </text>
    </comment>
    <comment ref="O49" authorId="0" shapeId="0" xr:uid="{89660D93-1806-449A-A61D-8460F6BF1E5B}">
      <text>
        <r>
          <rPr>
            <b/>
            <sz val="9"/>
            <color indexed="81"/>
            <rFont val="Tahoma"/>
            <charset val="1"/>
          </rPr>
          <t>David Prochazka:</t>
        </r>
        <r>
          <rPr>
            <sz val="9"/>
            <color indexed="81"/>
            <rFont val="Tahoma"/>
            <charset val="1"/>
          </rPr>
          <t xml:space="preserve">
Source: Handbook of Mineralogy, Clinochlore (Mg-chlorite), minimum across the analyses listed in Sources!G49, https://www.handbookofmineralogy.org/pdfs/clinochlore.pdf</t>
        </r>
      </text>
    </comment>
    <comment ref="S49" authorId="0" shapeId="0" xr:uid="{7657FF90-7E5E-49CC-BC90-F6E59B4C5136}">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X49" authorId="0" shapeId="0" xr:uid="{56F6DEFE-FF89-42F1-8E1B-9C86AB87EA1F}">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49" authorId="0" shapeId="0" xr:uid="{2AE627AA-E473-4E67-8F69-D2330BAA4EB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49" authorId="0" shapeId="0" xr:uid="{0FDD2C9D-E614-463B-A5F2-BA90A17BB4A8}">
      <text>
        <r>
          <rPr>
            <b/>
            <sz val="9"/>
            <color indexed="81"/>
            <rFont val="Tahoma"/>
            <charset val="1"/>
          </rPr>
          <t>David Prochazka:</t>
        </r>
        <r>
          <rPr>
            <sz val="9"/>
            <color indexed="81"/>
            <rFont val="Tahoma"/>
            <charset val="1"/>
          </rPr>
          <t xml:space="preserve">
Source: Handbook of Mineralogy, Clinochlore (Mg-chlorite), minimum across the analyses listed in Sources!G49, https://www.handbookofmineralogy.org/pdfs/clinochlore.pdf</t>
        </r>
      </text>
    </comment>
    <comment ref="C50" authorId="0" shapeId="0" xr:uid="{0881B3A6-8836-4243-ACE4-27E57896744E}">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D50" authorId="0" shapeId="0" xr:uid="{602C0FC1-24B0-4272-8A08-FC7A30CD5E5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0" authorId="0" shapeId="0" xr:uid="{A7CE9BA7-2493-465A-A8D0-F8E03195D82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0" authorId="0" shapeId="0" xr:uid="{A6779070-18A2-4E56-814B-EC092A40B8C5}">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I50" authorId="0" shapeId="0" xr:uid="{E4805A45-A0F5-4B7D-80BE-798A9D36C1BD}">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J50" authorId="0" shapeId="0" xr:uid="{3606C0A0-2E86-4315-9334-54DC36891EA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0" authorId="0" shapeId="0" xr:uid="{81BB495A-7C15-4F28-9613-5F85406DF70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N50" authorId="0" shapeId="0" xr:uid="{A62CA162-DC0B-4740-B1AA-4459110DF6E2}">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O50" authorId="0" shapeId="0" xr:uid="{BD5E3E18-10E0-4A64-86F6-97628D97D65B}">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S50" authorId="0" shapeId="0" xr:uid="{569C64AE-4C86-41DB-ADCE-5752740A0DC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0" authorId="0" shapeId="0" xr:uid="{D35F1C2B-2BFC-44EB-BB2F-8F71D481A831}">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X50" authorId="0" shapeId="0" xr:uid="{BE66AE43-1C29-4ED9-804F-2D3107A4EF28}">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0" authorId="0" shapeId="0" xr:uid="{4D96298E-B099-421D-8A47-EC9E850B2B6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0" authorId="0" shapeId="0" xr:uid="{98218B03-BAE5-4097-A70E-7F35CB3396CF}">
      <text>
        <r>
          <rPr>
            <b/>
            <sz val="9"/>
            <color indexed="81"/>
            <rFont val="Tahoma"/>
            <charset val="1"/>
          </rPr>
          <t>David Prochazka:</t>
        </r>
        <r>
          <rPr>
            <sz val="9"/>
            <color indexed="81"/>
            <rFont val="Tahoma"/>
            <charset val="1"/>
          </rPr>
          <t xml:space="preserve">
Source: Handbook of Mineralogy, Chamosite (Fe-chlorite), minimum across the analyses listed in Sources!G50, https://www.handbookofmineralogy.org/pdfs/chamosite.pdf</t>
        </r>
      </text>
    </comment>
    <comment ref="C51" authorId="0" shapeId="0" xr:uid="{8FA389C2-F6B0-4B3E-9647-81F3C7B01034}">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D51" authorId="0" shapeId="0" xr:uid="{CE9F9BBA-F19D-48B9-92D5-38DAADF3B5F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1" authorId="0" shapeId="0" xr:uid="{09F91961-934F-4ECF-9481-1D898808BA23}">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1" authorId="0" shapeId="0" xr:uid="{C247FDD9-E697-4771-B5EC-8E86410628D0}">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I51" authorId="0" shapeId="0" xr:uid="{57230AEA-CCFA-4316-A4CA-37E8C2E14C43}">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J51" authorId="0" shapeId="0" xr:uid="{0B4D7634-C893-4B4B-9D39-394523005B8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1" authorId="0" shapeId="0" xr:uid="{A591B7DE-431A-41BF-9635-04660CB71FD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N51" authorId="0" shapeId="0" xr:uid="{5CA461E1-7A08-444F-8617-B83B17682366}">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O51" authorId="0" shapeId="0" xr:uid="{0E568008-A5FF-48DE-A4BB-9388B4B6778F}">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S51" authorId="0" shapeId="0" xr:uid="{51AB031A-6E1E-4969-93B1-01E47FFA8A7F}">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1" authorId="0" shapeId="0" xr:uid="{783FF770-6EC4-4E0F-83C4-8F76A292974A}">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U51" authorId="0" shapeId="0" xr:uid="{2C77D0E4-E42C-4943-9C0D-DEE78048A737}">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X51" authorId="0" shapeId="0" xr:uid="{8B86626F-CF67-4E54-B95C-50E8F2B084F6}">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1" authorId="0" shapeId="0" xr:uid="{302125E9-DC29-4BA8-BF6D-7BAB25ECFBEF}">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1" authorId="0" shapeId="0" xr:uid="{C23CA166-6889-43F0-9219-386B36D8F7C2}">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AF51" authorId="0" shapeId="0" xr:uid="{BC3D776F-C4BC-44C4-8A79-D920CDED383B}">
      <text>
        <r>
          <rPr>
            <b/>
            <sz val="9"/>
            <color indexed="81"/>
            <rFont val="Tahoma"/>
            <charset val="1"/>
          </rPr>
          <t>David Prochazka:</t>
        </r>
        <r>
          <rPr>
            <sz val="9"/>
            <color indexed="81"/>
            <rFont val="Tahoma"/>
            <charset val="1"/>
          </rPr>
          <t xml:space="preserve">
Source: Handbook of Mineralogy, Lepidolite, minimum across the analyses listed in Sources!G51, https://www.handbookofmineralogy.org/pdfs/lepidolite.pdf</t>
        </r>
      </text>
    </comment>
    <comment ref="D52" authorId="0" shapeId="0" xr:uid="{BFF276F8-A5CF-4E6B-9B0C-52FD4ADDDF1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2" authorId="0" shapeId="0" xr:uid="{99BE900E-2523-4B27-83D3-68AE378BF75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J52" authorId="0" shapeId="0" xr:uid="{89F17D17-AE09-432E-A851-47B676CB344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2" authorId="0" shapeId="0" xr:uid="{E81D12B7-F5FD-4634-A5B0-7B396F4EBE6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52" authorId="0" shapeId="0" xr:uid="{BFD8EC7A-2E41-4F4B-802A-76DA15A8B879}">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S52" authorId="0" shapeId="0" xr:uid="{59A454C5-F3DC-4900-B05B-C645EEE098A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X52" authorId="0" shapeId="0" xr:uid="{0188E262-5719-440F-BA75-B078C97E97F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2" authorId="0" shapeId="0" xr:uid="{2829CD32-15D0-421C-973F-D4E9745E59F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A52" authorId="0" shapeId="0" xr:uid="{67E1887B-860D-4130-B3BE-098BC507BA58}">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AF52" authorId="0" shapeId="0" xr:uid="{8BD502EF-A6F8-4F9B-822A-B13EDCFFA5A5}">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AL52" authorId="0" shapeId="0" xr:uid="{86D167DB-D26C-4924-8333-88D6615EBAEA}">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AQ52" authorId="0" shapeId="0" xr:uid="{67F6D958-9BAF-4DEE-8174-AB59F0A81B23}">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AT52" authorId="0" shapeId="0" xr:uid="{55476280-4AD7-415C-BD16-6325AC8386EC}">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AZ52" authorId="0" shapeId="0" xr:uid="{850DC004-9FA6-4D1F-A0C2-3C7EFCBD13C7}">
      <text>
        <r>
          <rPr>
            <b/>
            <sz val="9"/>
            <color indexed="81"/>
            <rFont val="Tahoma"/>
            <charset val="1"/>
          </rPr>
          <t>David Prochazka:</t>
        </r>
        <r>
          <rPr>
            <sz val="9"/>
            <color indexed="81"/>
            <rFont val="Tahoma"/>
            <charset val="1"/>
          </rPr>
          <t xml:space="preserve">
Source: Handbook of Mineralogy, Fluorapatite, minimum across the analyses listed in Sources!G52, https://www.handbookofmineralogy.org/pdfs/fluorapatite.pdf</t>
        </r>
      </text>
    </comment>
    <comment ref="C53" authorId="0" shapeId="0" xr:uid="{12472A92-56DE-462A-A41E-DF72298F49EB}">
      <text>
        <r>
          <rPr>
            <b/>
            <sz val="9"/>
            <color indexed="81"/>
            <rFont val="Tahoma"/>
            <charset val="1"/>
          </rPr>
          <t>David Prochazka:</t>
        </r>
        <r>
          <rPr>
            <sz val="9"/>
            <color indexed="81"/>
            <rFont val="Tahoma"/>
            <charset val="1"/>
          </rPr>
          <t xml:space="preserve">
Source: Handbook of Mineralogy, Beryl, minimum across the analyses listed in Sources!G53, https://handbookofmineralogy.org/pdfs/beryl.pdf</t>
        </r>
      </text>
    </comment>
    <comment ref="D53" authorId="0" shapeId="0" xr:uid="{CCD7CC81-78A2-468B-B72E-386B9FA32E8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3" authorId="0" shapeId="0" xr:uid="{CD0CC9C3-CBB5-4ADE-8F06-902040C6663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3" authorId="0" shapeId="0" xr:uid="{1AF66EFC-CB3B-42E9-B615-3D605C6E8032}">
      <text>
        <r>
          <rPr>
            <b/>
            <sz val="9"/>
            <color indexed="81"/>
            <rFont val="Tahoma"/>
            <charset val="1"/>
          </rPr>
          <t>David Prochazka:</t>
        </r>
        <r>
          <rPr>
            <sz val="9"/>
            <color indexed="81"/>
            <rFont val="Tahoma"/>
            <charset val="1"/>
          </rPr>
          <t xml:space="preserve">
Source: Handbook of Mineralogy, Beryl, minimum across the analyses listed in Sources!G53, https://handbookofmineralogy.org/pdfs/beryl.pdf</t>
        </r>
      </text>
    </comment>
    <comment ref="J53" authorId="0" shapeId="0" xr:uid="{A63F443A-E8AB-413E-867C-C9F66EB42926}">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3" authorId="0" shapeId="0" xr:uid="{EE14B275-7B37-45FA-819C-4FE7C6A00E85}">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S53" authorId="0" shapeId="0" xr:uid="{132AC187-BC8E-4CED-B082-D079D278CFC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U53" authorId="0" shapeId="0" xr:uid="{23C2886F-D346-4ED6-BA90-AC634CA02158}">
      <text>
        <r>
          <rPr>
            <b/>
            <sz val="9"/>
            <color indexed="81"/>
            <rFont val="Tahoma"/>
            <charset val="1"/>
          </rPr>
          <t>David Prochazka:</t>
        </r>
        <r>
          <rPr>
            <sz val="9"/>
            <color indexed="81"/>
            <rFont val="Tahoma"/>
            <charset val="1"/>
          </rPr>
          <t xml:space="preserve">
Source: Handbook of Mineralogy, Beryl, minimum across the analyses listed in Sources!G53, https://handbookofmineralogy.org/pdfs/beryl.pdf</t>
        </r>
      </text>
    </comment>
    <comment ref="W53" authorId="0" shapeId="0" xr:uid="{CA0761BC-976F-418E-BBFC-447C9A16A46F}">
      <text>
        <r>
          <rPr>
            <b/>
            <sz val="9"/>
            <color indexed="81"/>
            <rFont val="Tahoma"/>
            <charset val="1"/>
          </rPr>
          <t>David Prochazka:</t>
        </r>
        <r>
          <rPr>
            <sz val="9"/>
            <color indexed="81"/>
            <rFont val="Tahoma"/>
            <charset val="1"/>
          </rPr>
          <t xml:space="preserve">
Source: Handbook of Mineralogy, Beryl, minimum across the analyses listed in Sources!G53, https://handbookofmineralogy.org/pdfs/beryl.pdf</t>
        </r>
      </text>
    </comment>
    <comment ref="X53" authorId="0" shapeId="0" xr:uid="{2E3631D5-C2AE-4C21-AB46-CA38279E988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3" authorId="0" shapeId="0" xr:uid="{068C43EB-4B9F-42AE-9346-748CB8802995}">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3" authorId="0" shapeId="0" xr:uid="{DF46EE36-B364-4E13-B52B-AA40E76A2B15}">
      <text>
        <r>
          <rPr>
            <b/>
            <sz val="9"/>
            <color indexed="81"/>
            <rFont val="Tahoma"/>
            <charset val="1"/>
          </rPr>
          <t>David Prochazka:</t>
        </r>
        <r>
          <rPr>
            <sz val="9"/>
            <color indexed="81"/>
            <rFont val="Tahoma"/>
            <charset val="1"/>
          </rPr>
          <t xml:space="preserve">
Source: Handbook of Mineralogy, Beryl, minimum across the analyses listed in Sources!G53, https://handbookofmineralogy.org/pdfs/beryl.pdf</t>
        </r>
      </text>
    </comment>
    <comment ref="D54" authorId="0" shapeId="0" xr:uid="{6C4CCE5C-160B-4F81-A538-D7E4639EA63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4" authorId="0" shapeId="0" xr:uid="{23F9AF6C-89F5-4BD2-B47A-9A35543F082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4" authorId="0" shapeId="0" xr:uid="{E8A9AE0D-4F47-434D-BFC8-0B877A1BEA74}">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J54" authorId="0" shapeId="0" xr:uid="{8356896A-8E92-49E4-82A0-FB06C807425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4" authorId="0" shapeId="0" xr:uid="{F37220D1-BF35-4037-B67A-B8633727902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54" authorId="0" shapeId="0" xr:uid="{0608DD52-5696-4B26-845F-269EE4D3E13F}">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S54" authorId="0" shapeId="0" xr:uid="{3ED82670-12F1-4DAC-8C00-080A7800FF08}">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4" authorId="0" shapeId="0" xr:uid="{2A268466-D092-409A-9523-CA6D1CC24871}">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U54" authorId="0" shapeId="0" xr:uid="{A2A17F37-D4B9-4EB5-954B-84D173AFDAD0}">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X54" authorId="0" shapeId="0" xr:uid="{9F05BC7F-83B1-46C0-8F13-C56D1714414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4" authorId="0" shapeId="0" xr:uid="{684A2323-0178-4841-BDC3-95880190E2E3}">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A54" authorId="0" shapeId="0" xr:uid="{41123A65-2AA6-41F0-9BD4-BCEB900FA57B}">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AE54" authorId="0" shapeId="0" xr:uid="{AEA6B6A5-B8CE-40E8-B69E-1FC249A9A785}">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AF54" authorId="0" shapeId="0" xr:uid="{C932720A-9FB9-4E49-AABA-1AABB7938EE8}">
      <text>
        <r>
          <rPr>
            <b/>
            <sz val="9"/>
            <color indexed="81"/>
            <rFont val="Tahoma"/>
            <charset val="1"/>
          </rPr>
          <t>David Prochazka:</t>
        </r>
        <r>
          <rPr>
            <sz val="9"/>
            <color indexed="81"/>
            <rFont val="Tahoma"/>
            <charset val="1"/>
          </rPr>
          <t xml:space="preserve">
Source: Handbook of Mineralogy, Montebrasite, minimum across the analyses listed in Sources!G54, https://www.handbookofmineralogy.org/pdfs/montebrasite.pdf</t>
        </r>
      </text>
    </comment>
    <comment ref="C55" authorId="0" shapeId="0" xr:uid="{6135B606-5F0F-4C71-BA5A-E3D71E584711}">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55" authorId="0" shapeId="0" xr:uid="{6F8C7C2B-B616-41F2-8D4D-CA63C9D66BC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5" authorId="0" shapeId="0" xr:uid="{67BB7A21-388A-4335-845A-E899E3A0F6E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5" authorId="0" shapeId="0" xr:uid="{16AB5E4E-23EF-44A3-B07F-4E7FC6568AEF}">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J55" authorId="0" shapeId="0" xr:uid="{17E46B23-81CC-4DDB-BD42-2516600C88D6}">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5" authorId="0" shapeId="0" xr:uid="{BDA03A2E-012E-45EE-A593-B9BFD54CDE2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55" authorId="0" shapeId="0" xr:uid="{931087AE-F3CC-4E4A-934F-0C5693591B2E}">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S55" authorId="0" shapeId="0" xr:uid="{5F1B183A-8303-4E82-8752-A38F186B86D8}">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5" authorId="0" shapeId="0" xr:uid="{27F7A965-B92E-465A-B607-BDFE3F0E1F49}">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X55" authorId="0" shapeId="0" xr:uid="{1C190ABB-4A82-402E-9657-4DA533CAE498}">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5" authorId="0" shapeId="0" xr:uid="{E7CD32D5-E291-48C3-B7E5-BAA9BD76399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5" authorId="0" shapeId="0" xr:uid="{CAC6DABF-85F8-4C20-88D9-0BC68559831F}">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C56" authorId="0" shapeId="0" xr:uid="{8DE6DF76-B81F-4F6A-BDA0-5A9065725661}">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56" authorId="0" shapeId="0" xr:uid="{E692A864-4720-4A88-8EDE-2ABD0428B07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6" authorId="0" shapeId="0" xr:uid="{316A3894-E218-48AD-8EB8-D346D3C1EE8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6" authorId="0" shapeId="0" xr:uid="{68123337-F641-41E1-9C25-915149F45366}">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J56" authorId="0" shapeId="0" xr:uid="{72461F51-2A7F-4ED4-8413-1DA31A57EA3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6" authorId="0" shapeId="0" xr:uid="{75015F29-3898-440A-9C06-124163CB15E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56" authorId="0" shapeId="0" xr:uid="{7DD60A26-B1E1-4A31-906E-76D6E5D231A1}">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S56" authorId="0" shapeId="0" xr:uid="{B6C8F154-AD36-43B6-AF99-1B9BE043BED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6" authorId="0" shapeId="0" xr:uid="{DD63E798-417A-4A00-8D07-748C7BE6AE46}">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X56" authorId="0" shapeId="0" xr:uid="{BF040915-DB88-44E6-81F2-9C3F9D391BF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6" authorId="0" shapeId="0" xr:uid="{088F6D8E-1DC0-4CCE-8E91-565E84092A0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6" authorId="0" shapeId="0" xr:uid="{92D200D1-CE2D-49E0-A80D-E2369546302D}">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C57" authorId="0" shapeId="0" xr:uid="{CB87013C-2B15-4C9B-BCA0-BA188DB1A3EE}">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57" authorId="0" shapeId="0" xr:uid="{F9463E2E-E513-4CB5-86D7-F185E4ECDA8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7" authorId="0" shapeId="0" xr:uid="{7662BF8C-B624-4EB5-95D6-E873FE25BD3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7" authorId="0" shapeId="0" xr:uid="{DF2427C7-CB93-4F23-B0E8-4F233F5F5149}">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I57" authorId="0" shapeId="0" xr:uid="{26F9A090-3F5F-458C-9240-3EB754C8A016}">
      <text>
        <r>
          <rPr>
            <b/>
            <sz val="9"/>
            <color indexed="81"/>
            <rFont val="Tahoma"/>
            <charset val="1"/>
          </rPr>
          <t>David Prochazka:</t>
        </r>
        <r>
          <rPr>
            <sz val="9"/>
            <color indexed="81"/>
            <rFont val="Tahoma"/>
            <charset val="1"/>
          </rPr>
          <t xml:space="preserve">
Source: Handbook of Mineralogy, Spodumene, minimum across the analyses listed in Sources!G57, https://www.handbookofmineralogy.org/pdfs/spodumene.pdf</t>
        </r>
      </text>
    </comment>
    <comment ref="J57" authorId="0" shapeId="0" xr:uid="{2ABC95C7-C24A-4667-826D-A3998A364D8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7" authorId="0" shapeId="0" xr:uid="{126B83E1-DD24-4632-9D29-72FD280DB1B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O57" authorId="0" shapeId="0" xr:uid="{16F2C505-923F-4F88-9989-510CCA76E915}">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S57" authorId="0" shapeId="0" xr:uid="{55B971B7-291A-4254-9BCB-03943EEB9EF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7" authorId="0" shapeId="0" xr:uid="{C24D698E-5028-4AFE-8069-CDBBC9DFE73C}">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U57" authorId="0" shapeId="0" xr:uid="{870DFFCA-BA5A-499B-A15A-11694F44B778}">
      <text>
        <r>
          <rPr>
            <b/>
            <sz val="9"/>
            <color indexed="81"/>
            <rFont val="Tahoma"/>
            <charset val="1"/>
          </rPr>
          <t>David Prochazka:</t>
        </r>
        <r>
          <rPr>
            <sz val="9"/>
            <color indexed="81"/>
            <rFont val="Tahoma"/>
            <charset val="1"/>
          </rPr>
          <t xml:space="preserve">
Source: Handbook of Mineralogy, Spodumene, minimum across the analyses listed in Sources!G57, https://www.handbookofmineralogy.org/pdfs/spodumene.pdf</t>
        </r>
      </text>
    </comment>
    <comment ref="X57" authorId="0" shapeId="0" xr:uid="{D5B3A1BC-B579-4915-8A3B-FF31DC8A6F7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7" authorId="0" shapeId="0" xr:uid="{8C97C69F-003B-49C6-AB85-A059B90FA9E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7" authorId="0" shapeId="0" xr:uid="{9DECE147-B37F-45ED-94BE-D597FBEF6796}">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C58" authorId="0" shapeId="0" xr:uid="{FEB5851F-812D-499D-80F5-C722B92D7C4A}">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58" authorId="0" shapeId="0" xr:uid="{F0BE0DAB-97C8-40C1-AC35-0D988189946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8" authorId="0" shapeId="0" xr:uid="{E7C446DF-26AA-45DD-BA5D-4856ACE88C1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8" authorId="0" shapeId="0" xr:uid="{480129AA-75FC-4487-BF23-0CA82C1A522E}">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J58" authorId="0" shapeId="0" xr:uid="{F1CAEDEF-8FF4-4EDD-9BB0-65125E9C7A5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8" authorId="0" shapeId="0" xr:uid="{00718F0E-D2F5-44E3-8DDB-ECAAFCC9816B}">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N58" authorId="0" shapeId="0" xr:uid="{E5B156BB-9BED-499E-9F3A-0E60C6F82E2B}">
      <text>
        <r>
          <rPr>
            <b/>
            <sz val="9"/>
            <color indexed="81"/>
            <rFont val="Tahoma"/>
            <charset val="1"/>
          </rPr>
          <t>David Prochazka:</t>
        </r>
        <r>
          <rPr>
            <sz val="9"/>
            <color indexed="81"/>
            <rFont val="Tahoma"/>
            <charset val="1"/>
          </rPr>
          <t xml:space="preserve">
Source: Handbook of Mineralogy, Calcite, minimum across the analyses listed in Sources!G58, https://www.handbookofmineralogy.org/pdfs/calcite.pdf</t>
        </r>
      </text>
    </comment>
    <comment ref="O58" authorId="0" shapeId="0" xr:uid="{02698FBD-B8BF-422E-9E04-1A2E5F068889}">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S58" authorId="0" shapeId="0" xr:uid="{9FE3D181-A399-451F-94EA-239D43FB0FD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8" authorId="0" shapeId="0" xr:uid="{7B92E9E1-9603-4F59-9067-4117398816F4}">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X58" authorId="0" shapeId="0" xr:uid="{2D0685FC-74EC-4994-9719-8CBF5036C16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8" authorId="0" shapeId="0" xr:uid="{55A4D242-F0C2-49FD-8164-705D17D5416F}">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D58" authorId="0" shapeId="0" xr:uid="{EE0FCE3F-DFCD-4C78-84C1-C8B10AE24E65}">
      <text>
        <r>
          <rPr>
            <b/>
            <sz val="9"/>
            <color indexed="81"/>
            <rFont val="Tahoma"/>
            <charset val="1"/>
          </rPr>
          <t>David Prochazka:</t>
        </r>
        <r>
          <rPr>
            <sz val="9"/>
            <color indexed="81"/>
            <rFont val="Tahoma"/>
            <charset val="1"/>
          </rPr>
          <t xml:space="preserve">
Source: Handbook of Mineralogy, Calcite, minimum across the analyses listed in Sources!G58, https://www.handbookofmineralogy.org/pdfs/calcite.pdf</t>
        </r>
      </text>
    </comment>
    <comment ref="AE58" authorId="0" shapeId="0" xr:uid="{D79DBD70-E599-4224-BE12-08B540A262A2}">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C59" authorId="0" shapeId="0" xr:uid="{F50A87CA-9D9B-40AF-8059-7271EA0C66F8}">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59" authorId="0" shapeId="0" xr:uid="{E65D2878-ACEE-40D7-A4B5-E985738B09B5}">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59" authorId="0" shapeId="0" xr:uid="{CFCB44E7-3DD2-487C-8F94-104ACEBD529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59" authorId="0" shapeId="0" xr:uid="{FFBBFD72-DB57-460D-953A-0711FE6F10A6}">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J59" authorId="0" shapeId="0" xr:uid="{F9984454-0DC5-4D8A-8B2F-581FD924AE2D}">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59" authorId="0" shapeId="0" xr:uid="{0985FC21-A95D-4814-A684-6144F3A0A44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L59" authorId="0" shapeId="0" xr:uid="{41DA0056-0553-4FD7-BF8E-AEE102BA3A11}">
      <text>
        <r>
          <rPr>
            <b/>
            <sz val="9"/>
            <color indexed="81"/>
            <rFont val="Tahoma"/>
            <charset val="1"/>
          </rPr>
          <t>David Prochazka:</t>
        </r>
        <r>
          <rPr>
            <sz val="9"/>
            <color indexed="81"/>
            <rFont val="Tahoma"/>
            <charset val="1"/>
          </rPr>
          <t xml:space="preserve">
Source: Handbook of Mineralogy, Sphalerite, minimum across the analyses listed in Sources!G59, https://www.handbookofmineralogy.org/pdfs/sphalerite.pdf</t>
        </r>
      </text>
    </comment>
    <comment ref="O59" authorId="0" shapeId="0" xr:uid="{94F4B764-E4AD-4F0F-A409-3803B962F89E}">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S59" authorId="0" shapeId="0" xr:uid="{3493B98A-5BA6-4A5E-822A-01EE78B3EFD0}">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59" authorId="0" shapeId="0" xr:uid="{0CD7E482-1D74-41DF-BFFC-BD7C13D932DE}">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X59" authorId="0" shapeId="0" xr:uid="{0382A2B0-A40C-47B2-8E07-19378CA31C72}">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59" authorId="0" shapeId="0" xr:uid="{56C91C41-F926-4BE4-A22F-966E59D32D3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59" authorId="0" shapeId="0" xr:uid="{14E31574-58AD-451F-92A0-EA6D1D84E089}">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AH59" authorId="0" shapeId="0" xr:uid="{460C632D-FED5-4B2B-A6F7-CA38BD39F99A}">
      <text>
        <r>
          <rPr>
            <b/>
            <sz val="9"/>
            <color indexed="81"/>
            <rFont val="Tahoma"/>
            <charset val="1"/>
          </rPr>
          <t>David Prochazka:</t>
        </r>
        <r>
          <rPr>
            <sz val="9"/>
            <color indexed="81"/>
            <rFont val="Tahoma"/>
            <charset val="1"/>
          </rPr>
          <t xml:space="preserve">
Source: Handbook of Mineralogy, Sphalerite, minimum across the analyses listed in Sources!G59, https://www.handbookofmineralogy.org/pdfs/sphalerite.pdf</t>
        </r>
      </text>
    </comment>
    <comment ref="C60" authorId="0" shapeId="0" xr:uid="{DAEAD574-88A1-461F-9771-220A5BBBDFEB}">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60" authorId="0" shapeId="0" xr:uid="{C2F7050F-8CD3-4BA5-AC21-D163D41C8D86}">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60" authorId="0" shapeId="0" xr:uid="{F2E6546D-EF58-4792-8C0A-FD2EA0FFED1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60" authorId="0" shapeId="0" xr:uid="{624CF666-A738-4309-B32A-30EDC0406697}">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J60" authorId="0" shapeId="0" xr:uid="{266BFCC3-34F4-4437-8BC2-2456DEABED2F}">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60" authorId="0" shapeId="0" xr:uid="{D9615615-6CD2-4A87-B81A-2557AEEBFBB1}">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L60" authorId="0" shapeId="0" xr:uid="{0C39D17D-48CD-4A53-BBDA-E77A5A01B62E}">
      <text>
        <r>
          <rPr>
            <b/>
            <sz val="9"/>
            <color indexed="81"/>
            <rFont val="Tahoma"/>
            <charset val="1"/>
          </rPr>
          <t>David Prochazka:</t>
        </r>
        <r>
          <rPr>
            <sz val="9"/>
            <color indexed="81"/>
            <rFont val="Tahoma"/>
            <charset val="1"/>
          </rPr>
          <t xml:space="preserve">
Source: Handbook of Mineralogy, Sphalerite, minimum across the analyses listed in Sources!G59, https://www.handbookofmineralogy.org/pdfs/sphalerite.pdf</t>
        </r>
      </text>
    </comment>
    <comment ref="N60" authorId="0" shapeId="0" xr:uid="{4BCB9696-2A4C-49FE-A8F3-4DC7514926A2}">
      <text>
        <r>
          <rPr>
            <b/>
            <sz val="9"/>
            <color indexed="81"/>
            <rFont val="Tahoma"/>
            <charset val="1"/>
          </rPr>
          <t>David Prochazka:</t>
        </r>
        <r>
          <rPr>
            <sz val="9"/>
            <color indexed="81"/>
            <rFont val="Tahoma"/>
            <charset val="1"/>
          </rPr>
          <t xml:space="preserve">
Source: Handbook of Mineralogy, Crandallite, minimum across the analyses listed in Sources!G60, https://www.handbookofmineralogy.org/pdfs/crandallite.pdf</t>
        </r>
      </text>
    </comment>
    <comment ref="O60" authorId="0" shapeId="0" xr:uid="{3F64D117-FC80-4066-8237-973B5BD05C02}">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P60" authorId="0" shapeId="0" xr:uid="{58A3CD36-C170-4652-9C98-D38990A1CE81}">
      <text>
        <r>
          <rPr>
            <b/>
            <sz val="9"/>
            <color indexed="81"/>
            <rFont val="Tahoma"/>
            <charset val="1"/>
          </rPr>
          <t>David Prochazka:</t>
        </r>
        <r>
          <rPr>
            <sz val="9"/>
            <color indexed="81"/>
            <rFont val="Tahoma"/>
            <charset val="1"/>
          </rPr>
          <t xml:space="preserve">
Source: Handbook of Mineralogy, Crandallite, minimum across the analyses listed in Sources!G60, https://www.handbookofmineralogy.org/pdfs/crandallite.pdf</t>
        </r>
      </text>
    </comment>
    <comment ref="S60" authorId="0" shapeId="0" xr:uid="{1107DE0F-C444-4F22-BBDB-2964A1F79C49}">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60" authorId="0" shapeId="0" xr:uid="{73832F0C-CFBB-410A-9105-6C5E86A8CA59}">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X60" authorId="0" shapeId="0" xr:uid="{7CE486FF-3A3F-4CCE-9776-13667921D21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60" authorId="0" shapeId="0" xr:uid="{966446D6-0F6B-4684-AD0B-541A4EB098FE}">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A60" authorId="0" shapeId="0" xr:uid="{792C6941-C147-4817-A166-CED1F7688549}">
      <text>
        <r>
          <rPr>
            <b/>
            <sz val="9"/>
            <color indexed="81"/>
            <rFont val="Tahoma"/>
            <charset val="1"/>
          </rPr>
          <t>David Prochazka:</t>
        </r>
        <r>
          <rPr>
            <sz val="9"/>
            <color indexed="81"/>
            <rFont val="Tahoma"/>
            <charset val="1"/>
          </rPr>
          <t xml:space="preserve">
Source: Handbook of Mineralogy, Crandallite, minimum across the analyses listed in Sources!G60, https://www.handbookofmineralogy.org/pdfs/crandallite.pdf</t>
        </r>
      </text>
    </comment>
    <comment ref="AC60" authorId="0" shapeId="0" xr:uid="{77D109D4-A38F-477F-B124-0739322786ED}">
      <text>
        <r>
          <rPr>
            <b/>
            <sz val="9"/>
            <color indexed="81"/>
            <rFont val="Tahoma"/>
            <charset val="1"/>
          </rPr>
          <t>David Prochazka:</t>
        </r>
        <r>
          <rPr>
            <sz val="9"/>
            <color indexed="81"/>
            <rFont val="Tahoma"/>
            <charset val="1"/>
          </rPr>
          <t xml:space="preserve">
Source: Handbook of Mineralogy, Crandallite, minimum across the analyses listed in Sources!G60, https://www.handbookofmineralogy.org/pdfs/crandallite.pdf</t>
        </r>
      </text>
    </comment>
    <comment ref="AE60" authorId="0" shapeId="0" xr:uid="{3251CDB4-A9CC-45F8-AB43-D36A6ADD8E36}">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AH60" authorId="0" shapeId="0" xr:uid="{61FA03EB-D2D4-4E6B-B991-98609A0211F8}">
      <text>
        <r>
          <rPr>
            <b/>
            <sz val="9"/>
            <color indexed="81"/>
            <rFont val="Tahoma"/>
            <charset val="1"/>
          </rPr>
          <t>David Prochazka:</t>
        </r>
        <r>
          <rPr>
            <sz val="9"/>
            <color indexed="81"/>
            <rFont val="Tahoma"/>
            <charset val="1"/>
          </rPr>
          <t xml:space="preserve">
Source: Handbook of Mineralogy, Sphalerite, minimum across the analyses listed in Sources!G59, https://www.handbookofmineralogy.org/pdfs/sphalerite.pdf</t>
        </r>
      </text>
    </comment>
    <comment ref="C61" authorId="0" shapeId="0" xr:uid="{E01F13B4-7551-4642-AB0E-199C41AF1B89}">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D61" authorId="0" shapeId="0" xr:uid="{BF1126C9-8F54-4155-A776-1984BB08DE63}">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G61" authorId="0" shapeId="0" xr:uid="{4C5963B7-CB56-4260-9F18-294A6F5F2095}">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H61" authorId="0" shapeId="0" xr:uid="{F685820F-BDAD-4E99-9327-47E2C883E364}">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J61" authorId="0" shapeId="0" xr:uid="{B18CA24D-9540-4E78-91C8-F9ACE74C3414}">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K61" authorId="0" shapeId="0" xr:uid="{41919DD4-3622-4EF1-AF17-FB9A880ACDF7}">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L61" authorId="0" shapeId="0" xr:uid="{283771DE-1331-494E-A498-BF839BFB37E3}">
      <text>
        <r>
          <rPr>
            <b/>
            <sz val="9"/>
            <color indexed="81"/>
            <rFont val="Tahoma"/>
            <charset val="1"/>
          </rPr>
          <t>David Prochazka:</t>
        </r>
        <r>
          <rPr>
            <sz val="9"/>
            <color indexed="81"/>
            <rFont val="Tahoma"/>
            <charset val="1"/>
          </rPr>
          <t xml:space="preserve">
Source: Handbook of Mineralogy, Sphalerite, minimum across the analyses listed in Sources!G59, https://www.handbookofmineralogy.org/pdfs/sphalerite.pdf</t>
        </r>
      </text>
    </comment>
    <comment ref="M61" authorId="0" shapeId="0" xr:uid="{6FC20710-4370-43AD-A922-ECAC663B4A1F}">
      <text>
        <r>
          <rPr>
            <b/>
            <sz val="9"/>
            <color indexed="81"/>
            <rFont val="Tahoma"/>
            <charset val="1"/>
          </rPr>
          <t>David Prochazka:</t>
        </r>
        <r>
          <rPr>
            <sz val="9"/>
            <color indexed="81"/>
            <rFont val="Tahoma"/>
            <charset val="1"/>
          </rPr>
          <t xml:space="preserve">
Source: Handbook of Mineralogy, Kesterite, minimum across the analyses listed in Sources!G61, https://www.handbookofmineralogy.org/pdfs/kesterite.pdf</t>
        </r>
      </text>
    </comment>
    <comment ref="O61" authorId="0" shapeId="0" xr:uid="{E92AA094-5395-45FC-8C90-8CBD01A97E65}">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S61" authorId="0" shapeId="0" xr:uid="{94D626CF-E2EC-4500-B563-2A55C7B572C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T61" authorId="0" shapeId="0" xr:uid="{1D1AC63A-7F63-475D-9288-37BE7960313D}">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X61" authorId="0" shapeId="0" xr:uid="{C8C14D71-F56E-4C94-ADE8-E6AC40CE4B5C}">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Y61" authorId="0" shapeId="0" xr:uid="{0365B1C6-3A58-4989-819C-B77E26C46C1A}">
      <text>
        <r>
          <rPr>
            <b/>
            <sz val="9"/>
            <color indexed="81"/>
            <rFont val="Tahoma"/>
            <charset val="1"/>
          </rPr>
          <t>David Prochazka:</t>
        </r>
        <r>
          <rPr>
            <sz val="9"/>
            <color indexed="81"/>
            <rFont val="Tahoma"/>
            <charset val="1"/>
          </rPr>
          <t xml:space="preserve">
Source: Handbook of Mineralogy, Manganocolumbite, minimum across: (1); (2); (3), https://www.handbookofmineralogy.org/pdfs/manganocolumbite.pdf</t>
        </r>
      </text>
    </comment>
    <comment ref="AE61" authorId="0" shapeId="0" xr:uid="{0D05CB49-D55F-421E-9FCE-FDF5AF1AD197}">
      <text>
        <r>
          <rPr>
            <b/>
            <sz val="9"/>
            <color indexed="81"/>
            <rFont val="Tahoma"/>
            <charset val="1"/>
          </rPr>
          <t>David Prochazka:</t>
        </r>
        <r>
          <rPr>
            <sz val="9"/>
            <color indexed="81"/>
            <rFont val="Tahoma"/>
            <charset val="1"/>
          </rPr>
          <t xml:space="preserve">
Source: Handbook of Mineralogy, Oligoclase (plagioclase An10-30), minimum across the analyses listed in Sources!G55, http://www.handbookofmineralogy.org/pdfs/oligoclase</t>
        </r>
      </text>
    </comment>
    <comment ref="AH61" authorId="0" shapeId="0" xr:uid="{252858C1-A0F9-4870-99A1-C53CD2F820C7}">
      <text>
        <r>
          <rPr>
            <b/>
            <sz val="9"/>
            <color indexed="81"/>
            <rFont val="Tahoma"/>
            <charset val="1"/>
          </rPr>
          <t>David Prochazka:</t>
        </r>
        <r>
          <rPr>
            <sz val="9"/>
            <color indexed="81"/>
            <rFont val="Tahoma"/>
            <charset val="1"/>
          </rPr>
          <t xml:space="preserve">
Source: Handbook of Mineralogy, Sphalerite, minimum across the analyses listed in Sources!G59, https://www.handbookofmineralogy.org/pdfs/sphalerite.pdf</t>
        </r>
      </text>
    </comment>
    <comment ref="C62" authorId="0" shapeId="0" xr:uid="{FF32DDE3-2306-4898-A4BD-2EB4FD3C7C74}">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H62" authorId="0" shapeId="0" xr:uid="{BA76A524-EA1F-48EC-A294-02519F3DF5CB}">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J62" authorId="0" shapeId="0" xr:uid="{125DB993-B5E9-4658-A82D-7FEB4306AEE4}">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K62" authorId="0" shapeId="0" xr:uid="{02F6558E-EC05-488D-8C53-4D72EC8E2A65}">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S62" authorId="0" shapeId="0" xr:uid="{E2C9201C-471B-48E0-8BA4-8223C6EC9497}">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U62" authorId="0" shapeId="0" xr:uid="{5DFCC84C-7079-4B72-9FA2-BFF2F9D0F4F8}">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AA62" authorId="0" shapeId="0" xr:uid="{4F66B456-2647-4D20-BEED-0101F72B95EC}">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AE62" authorId="0" shapeId="0" xr:uid="{83400F67-684F-434E-8A7A-EF1F9DA022A6}">
      <text>
        <r>
          <rPr>
            <b/>
            <sz val="9"/>
            <color indexed="81"/>
            <rFont val="Tahoma"/>
            <charset val="1"/>
          </rPr>
          <t>David Prochazka:</t>
        </r>
        <r>
          <rPr>
            <sz val="9"/>
            <color indexed="81"/>
            <rFont val="Tahoma"/>
            <charset val="1"/>
          </rPr>
          <t xml:space="preserve">
Source: Handbook of Mineralogy, Lithiophilite, minimum across: (1); (2); (3), https://handbookofmineralogy.org/pdfs/lithiophilite.pdf</t>
        </r>
      </text>
    </comment>
    <comment ref="J63" authorId="0" shapeId="0" xr:uid="{01F24DD6-E952-4CD7-A325-5C1E4D0E0AE9}">
      <text>
        <r>
          <rPr>
            <b/>
            <sz val="9"/>
            <color indexed="81"/>
            <rFont val="Tahoma"/>
            <charset val="1"/>
          </rPr>
          <t>David Prochazka:</t>
        </r>
        <r>
          <rPr>
            <sz val="9"/>
            <color indexed="81"/>
            <rFont val="Tahoma"/>
            <charset val="1"/>
          </rPr>
          <t xml:space="preserve">
Source: Handbook of Mineralogy, Rhodochrosite, minimum across: (1); (2), https://www.handbookofmineralogy.org/pdfs/rhodochrosite.pdf</t>
        </r>
      </text>
    </comment>
    <comment ref="K63" authorId="0" shapeId="0" xr:uid="{C95AC738-F035-4E2B-924E-4BCC5346178A}">
      <text>
        <r>
          <rPr>
            <b/>
            <sz val="9"/>
            <color indexed="81"/>
            <rFont val="Tahoma"/>
            <charset val="1"/>
          </rPr>
          <t>David Prochazka:</t>
        </r>
        <r>
          <rPr>
            <sz val="9"/>
            <color indexed="81"/>
            <rFont val="Tahoma"/>
            <charset val="1"/>
          </rPr>
          <t xml:space="preserve">
Source: Handbook of Mineralogy, Rhodochrosite, minimum across: (1); (2), https://www.handbookofmineralogy.org/pdfs/rhodochrosite.pdf</t>
        </r>
      </text>
    </comment>
    <comment ref="O63" authorId="0" shapeId="0" xr:uid="{BD53E48F-3829-4A78-A1B7-F60B8521998A}">
      <text>
        <r>
          <rPr>
            <b/>
            <sz val="9"/>
            <color indexed="81"/>
            <rFont val="Tahoma"/>
            <charset val="1"/>
          </rPr>
          <t>David Prochazka:</t>
        </r>
        <r>
          <rPr>
            <sz val="9"/>
            <color indexed="81"/>
            <rFont val="Tahoma"/>
            <charset val="1"/>
          </rPr>
          <t xml:space="preserve">
Source: Handbook of Mineralogy, Rhodochrosite, minimum across: (1); (2), https://www.handbookofmineralogy.org/pdfs/rhodochrosite.pdf</t>
        </r>
      </text>
    </comment>
    <comment ref="AD63" authorId="0" shapeId="0" xr:uid="{61C1D75C-C695-4227-87FE-14AD391961A2}">
      <text>
        <r>
          <rPr>
            <b/>
            <sz val="9"/>
            <color indexed="81"/>
            <rFont val="Tahoma"/>
            <charset val="1"/>
          </rPr>
          <t>David Prochazka:</t>
        </r>
        <r>
          <rPr>
            <sz val="9"/>
            <color indexed="81"/>
            <rFont val="Tahoma"/>
            <charset val="1"/>
          </rPr>
          <t xml:space="preserve">
Source: Handbook of Mineralogy, Rhodochrosite, minimum across: (1); (2), https://www.handbookofmineralogy.org/pdfs/rhodochrosite.pdf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Prochazka</author>
  </authors>
  <commentList>
    <comment ref="C27" authorId="0" shapeId="0" xr:uid="{6E57D799-E950-44E3-9D6E-2685A5089A11}">
      <text>
        <r>
          <rPr>
            <b/>
            <sz val="9"/>
            <color indexed="81"/>
            <rFont val="Tahoma"/>
            <charset val="1"/>
          </rPr>
          <t>David Prochazka:</t>
        </r>
        <r>
          <rPr>
            <sz val="9"/>
            <color indexed="81"/>
            <rFont val="Tahoma"/>
            <charset val="1"/>
          </rPr>
          <t xml:space="preserve">
Source: Handbook of Mineralogy, Albite, anal. (2) ideal NaAlSi3O8, https://handbookofmineralogy.org/wp-content/uploads/2022/07/albite.pdf</t>
        </r>
      </text>
    </comment>
    <comment ref="H27" authorId="0" shapeId="0" xr:uid="{62C0BF02-5659-4450-9F77-0214F1A69FD6}">
      <text>
        <r>
          <rPr>
            <b/>
            <sz val="9"/>
            <color indexed="81"/>
            <rFont val="Tahoma"/>
            <charset val="1"/>
          </rPr>
          <t>David Prochazka:</t>
        </r>
        <r>
          <rPr>
            <sz val="9"/>
            <color indexed="81"/>
            <rFont val="Tahoma"/>
            <charset val="1"/>
          </rPr>
          <t xml:space="preserve">
Source: Handbook of Mineralogy, Albite, anal. (3) Na0.9Ca0.1 (An10 limit), https://handbookofmineralogy.org/wp-content/uploads/2022/07/albite.pdf</t>
        </r>
      </text>
    </comment>
    <comment ref="O27" authorId="0" shapeId="0" xr:uid="{2310FE9C-F003-44D2-8CAD-BD72C21CDAC7}">
      <text>
        <r>
          <rPr>
            <b/>
            <sz val="9"/>
            <color indexed="81"/>
            <rFont val="Tahoma"/>
            <charset val="1"/>
          </rPr>
          <t>David Prochazka:</t>
        </r>
        <r>
          <rPr>
            <sz val="9"/>
            <color indexed="81"/>
            <rFont val="Tahoma"/>
            <charset val="1"/>
          </rPr>
          <t xml:space="preserve">
Source: Handbook of Mineralogy, Albite, anal. (3) Na0.9Ca0.1 (An10 limit), https://handbookofmineralogy.org/wp-content/uploads/2022/07/albite.pdf</t>
        </r>
      </text>
    </comment>
    <comment ref="S27" authorId="0" shapeId="0" xr:uid="{E12178FB-A4DC-4CB1-9D84-086CBA01713C}">
      <text>
        <r>
          <rPr>
            <b/>
            <sz val="9"/>
            <color indexed="81"/>
            <rFont val="Tahoma"/>
            <charset val="1"/>
          </rPr>
          <t>David Prochazka:</t>
        </r>
        <r>
          <rPr>
            <sz val="9"/>
            <color indexed="81"/>
            <rFont val="Tahoma"/>
            <charset val="1"/>
          </rPr>
          <t xml:space="preserve">
Source: Handbook of Mineralogy, Albite, anal. (2) ideal NaAlSi3O8, https://handbookofmineralogy.org/wp-content/uploads/2022/07/albite.pdf</t>
        </r>
      </text>
    </comment>
    <comment ref="T27" authorId="0" shapeId="0" xr:uid="{C382BA1D-B5E8-4C50-9782-8E9C219FB388}">
      <text>
        <r>
          <rPr>
            <b/>
            <sz val="9"/>
            <color indexed="81"/>
            <rFont val="Tahoma"/>
            <charset val="1"/>
          </rPr>
          <t>David Prochazka:</t>
        </r>
        <r>
          <rPr>
            <sz val="9"/>
            <color indexed="81"/>
            <rFont val="Tahoma"/>
            <charset val="1"/>
          </rPr>
          <t xml:space="preserve">
Estimate (minor orthoclase component, ~Or3); not from source. Base ref: Handbook of Mineralogy, Albite, https://handbookofmineralogy.org/wp-content/uploads/2022/07/albite.pdf</t>
        </r>
      </text>
    </comment>
    <comment ref="C28" authorId="0" shapeId="0" xr:uid="{3ECC0344-0B79-4F26-9E73-2840D7A7BE69}">
      <text>
        <r>
          <rPr>
            <b/>
            <sz val="9"/>
            <color indexed="81"/>
            <rFont val="Tahoma"/>
            <charset val="1"/>
          </rPr>
          <t>David Prochazka:</t>
        </r>
        <r>
          <rPr>
            <sz val="9"/>
            <color indexed="81"/>
            <rFont val="Tahoma"/>
            <charset val="1"/>
          </rPr>
          <t xml:space="preserve">
Source: Handbook of Mineralogy, Zircon, maximum across: (1); ideal ZrSiO4, https://handbookofmineralogy.org/wp-content/uploads/2022/07/zircon.pdf</t>
        </r>
      </text>
    </comment>
    <comment ref="E28" authorId="0" shapeId="0" xr:uid="{A5464894-AAF7-4EED-9037-94D598E20112}">
      <text>
        <r>
          <rPr>
            <b/>
            <sz val="9"/>
            <color indexed="81"/>
            <rFont val="Tahoma"/>
            <charset val="1"/>
          </rPr>
          <t>David Prochazka:</t>
        </r>
        <r>
          <rPr>
            <sz val="9"/>
            <color indexed="81"/>
            <rFont val="Tahoma"/>
            <charset val="1"/>
          </rPr>
          <t xml:space="preserve">
Source: Handbook of Mineralogy, Zircon, maximum across: (1); ideal ZrSiO4, https://handbookofmineralogy.org/wp-content/uploads/2022/07/zircon.pdf</t>
        </r>
      </text>
    </comment>
    <comment ref="F28" authorId="0" shapeId="0" xr:uid="{3A6D08BF-AB90-447F-B866-875A37FB82DB}">
      <text>
        <r>
          <rPr>
            <b/>
            <sz val="9"/>
            <color indexed="81"/>
            <rFont val="Tahoma"/>
            <charset val="1"/>
          </rPr>
          <t>David Prochazka:</t>
        </r>
        <r>
          <rPr>
            <sz val="9"/>
            <color indexed="81"/>
            <rFont val="Tahoma"/>
            <charset val="1"/>
          </rPr>
          <t xml:space="preserve">
Source: Handbook of Mineralogy, Zircon, maximum across: (1); ideal ZrSiO4, https://handbookofmineralogy.org/wp-content/uploads/2022/07/zircon.pdf</t>
        </r>
      </text>
    </comment>
    <comment ref="AI28" authorId="0" shapeId="0" xr:uid="{526D428B-27AE-49A9-811B-D5C7268E4770}">
      <text>
        <r>
          <rPr>
            <b/>
            <sz val="9"/>
            <color indexed="81"/>
            <rFont val="Tahoma"/>
            <charset val="1"/>
          </rPr>
          <t>David Prochazka:</t>
        </r>
        <r>
          <rPr>
            <sz val="9"/>
            <color indexed="81"/>
            <rFont val="Tahoma"/>
            <charset val="1"/>
          </rPr>
          <t xml:space="preserve">
Source: Handbook of Mineralogy, Zircon, maximum across: (1); ideal ZrSiO4, https://handbookofmineralogy.org/wp-content/uploads/2022/07/zircon.pdf</t>
        </r>
      </text>
    </comment>
    <comment ref="AJ28" authorId="0" shapeId="0" xr:uid="{37039C2D-02E0-4DC0-8C90-7FFD41CA2EF6}">
      <text>
        <r>
          <rPr>
            <b/>
            <sz val="9"/>
            <color indexed="81"/>
            <rFont val="Tahoma"/>
            <charset val="1"/>
          </rPr>
          <t>David Prochazka:</t>
        </r>
        <r>
          <rPr>
            <sz val="9"/>
            <color indexed="81"/>
            <rFont val="Tahoma"/>
            <charset val="1"/>
          </rPr>
          <t xml:space="preserve">
Source: Handbook of Mineralogy, Zircon, maximum across: (1); ideal ZrSiO4, https://handbookofmineralogy.org/wp-content/uploads/2022/07/zircon.pdf</t>
        </r>
      </text>
    </comment>
    <comment ref="C29" authorId="0" shapeId="0" xr:uid="{F6D862B3-81E5-4351-A11D-B758E86948FC}">
      <text>
        <r>
          <rPr>
            <b/>
            <sz val="9"/>
            <color indexed="81"/>
            <rFont val="Tahoma"/>
            <charset val="1"/>
          </rPr>
          <t>David Prochazka:</t>
        </r>
        <r>
          <rPr>
            <sz val="9"/>
            <color indexed="81"/>
            <rFont val="Tahoma"/>
            <charset val="1"/>
          </rPr>
          <t xml:space="preserve">
Source: Handbook of Mineralogy, Muscovite, maximum across: (1); (2), https://www.handbookofmineralogy.org/pdfs/muscovite.pdf</t>
        </r>
      </text>
    </comment>
    <comment ref="H29" authorId="0" shapeId="0" xr:uid="{2DB01523-AE99-4045-9C49-295E17397F5D}">
      <text>
        <r>
          <rPr>
            <b/>
            <sz val="9"/>
            <color indexed="81"/>
            <rFont val="Tahoma"/>
            <charset val="1"/>
          </rPr>
          <t>David Prochazka:</t>
        </r>
        <r>
          <rPr>
            <sz val="9"/>
            <color indexed="81"/>
            <rFont val="Tahoma"/>
            <charset val="1"/>
          </rPr>
          <t xml:space="preserve">
Source: Handbook of Mineralogy, Muscovite, maximum across: (1); (2), https://www.handbookofmineralogy.org/pdfs/muscovite.pdf</t>
        </r>
      </text>
    </comment>
    <comment ref="N29" authorId="0" shapeId="0" xr:uid="{2DBB8903-9C50-4F25-85AC-F7FBBB0575FB}">
      <text>
        <r>
          <rPr>
            <b/>
            <sz val="9"/>
            <color indexed="81"/>
            <rFont val="Tahoma"/>
            <charset val="1"/>
          </rPr>
          <t>David Prochazka:</t>
        </r>
        <r>
          <rPr>
            <sz val="9"/>
            <color indexed="81"/>
            <rFont val="Tahoma"/>
            <charset val="1"/>
          </rPr>
          <t xml:space="preserve">
Source: Handbook of Mineralogy, Muscovite, maximum across: (1); (2), https://www.handbookofmineralogy.org/pdfs/muscovite.pdf</t>
        </r>
      </text>
    </comment>
    <comment ref="S29" authorId="0" shapeId="0" xr:uid="{906C83CB-1B36-4B44-BDAD-740CBCACCB0B}">
      <text>
        <r>
          <rPr>
            <b/>
            <sz val="9"/>
            <color indexed="81"/>
            <rFont val="Tahoma"/>
            <charset val="1"/>
          </rPr>
          <t>David Prochazka:</t>
        </r>
        <r>
          <rPr>
            <sz val="9"/>
            <color indexed="81"/>
            <rFont val="Tahoma"/>
            <charset val="1"/>
          </rPr>
          <t xml:space="preserve">
Source: Handbook of Mineralogy, Muscovite, maximum across: (1); (2), https://www.handbookofmineralogy.org/pdfs/muscovite.pdf</t>
        </r>
      </text>
    </comment>
    <comment ref="T29" authorId="0" shapeId="0" xr:uid="{3C01654D-B04E-41CC-A206-543FCC3CCAE3}">
      <text>
        <r>
          <rPr>
            <b/>
            <sz val="9"/>
            <color indexed="81"/>
            <rFont val="Tahoma"/>
            <charset val="1"/>
          </rPr>
          <t>David Prochazka:</t>
        </r>
        <r>
          <rPr>
            <sz val="9"/>
            <color indexed="81"/>
            <rFont val="Tahoma"/>
            <charset val="1"/>
          </rPr>
          <t xml:space="preserve">
Source: Handbook of Mineralogy, Muscovite, maximum across: (1); (2), https://www.handbookofmineralogy.org/pdfs/muscovite.pdf</t>
        </r>
      </text>
    </comment>
    <comment ref="AE29" authorId="0" shapeId="0" xr:uid="{5E1FF55F-CC5C-49F0-80F6-2CC83D77906E}">
      <text>
        <r>
          <rPr>
            <b/>
            <sz val="9"/>
            <color indexed="81"/>
            <rFont val="Tahoma"/>
            <charset val="1"/>
          </rPr>
          <t>David Prochazka:</t>
        </r>
        <r>
          <rPr>
            <sz val="9"/>
            <color indexed="81"/>
            <rFont val="Tahoma"/>
            <charset val="1"/>
          </rPr>
          <t xml:space="preserve">
Source: Handbook of Mineralogy, Muscovite, maximum across: (1); (2), https://www.handbookofmineralogy.org/pdfs/muscovite.pdf</t>
        </r>
      </text>
    </comment>
    <comment ref="C30" authorId="0" shapeId="0" xr:uid="{6AA438D5-0E3E-4C27-AE99-4D38116BD5E0}">
      <text>
        <r>
          <rPr>
            <b/>
            <sz val="9"/>
            <color indexed="81"/>
            <rFont val="Tahoma"/>
            <charset val="1"/>
          </rPr>
          <t>David Prochazka:</t>
        </r>
        <r>
          <rPr>
            <sz val="9"/>
            <color indexed="81"/>
            <rFont val="Tahoma"/>
            <charset val="1"/>
          </rPr>
          <t xml:space="preserve">
Source: Handbook of Mineralogy, Quartz, maximum across: ideal, https://handbookofmineralogy.org/wp-content/uploads/2022/07/quartz.pdf</t>
        </r>
      </text>
    </comment>
    <comment ref="C31" authorId="0" shapeId="0" xr:uid="{5DDCB6A6-718D-4B27-B854-0E5894C7DBCA}">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D31" authorId="0" shapeId="0" xr:uid="{922EC287-7968-4D58-970D-85654A5DB492}">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H31" authorId="0" shapeId="0" xr:uid="{BAAD8EEF-C2F6-4572-8F65-8455EC61A286}">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I31" authorId="0" shapeId="0" xr:uid="{7CEEFD30-A817-4717-9AF9-0BA423175641}">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J31" authorId="0" shapeId="0" xr:uid="{84373862-CAF9-440B-8653-FE11A3549D0F}">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N31" authorId="0" shapeId="0" xr:uid="{5180FA36-42A9-4952-A23B-3F9458FDC5DA}">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O31" authorId="0" shapeId="0" xr:uid="{59F33CBC-92BA-4C33-8691-7D13E503DD0B}">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S31" authorId="0" shapeId="0" xr:uid="{3667E6CD-923E-43AF-B3A9-58B47A780FBC}">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T31" authorId="0" shapeId="0" xr:uid="{8639869F-7BCE-461C-8EF5-8200BCAD28BC}">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AE31" authorId="0" shapeId="0" xr:uid="{605ABBB9-FC40-4D51-A68B-FE2994E939DE}">
      <text>
        <r>
          <rPr>
            <b/>
            <sz val="9"/>
            <color indexed="81"/>
            <rFont val="Tahoma"/>
            <charset val="1"/>
          </rPr>
          <t>David Prochazka:</t>
        </r>
        <r>
          <rPr>
            <sz val="9"/>
            <color indexed="81"/>
            <rFont val="Tahoma"/>
            <charset val="1"/>
          </rPr>
          <t xml:space="preserve">
Source: Handbook of Mineralogy, Aegirine, maximum across: (1); ideal NaFeSi2O6, https://handbookofmineralogy.org/wp-content/uploads/2022/07/aegirine.pdf</t>
        </r>
      </text>
    </comment>
    <comment ref="H32" authorId="0" shapeId="0" xr:uid="{676FB41C-EEA7-4B70-83E2-7052165C4FBD}">
      <text>
        <r>
          <rPr>
            <b/>
            <sz val="9"/>
            <color indexed="81"/>
            <rFont val="Tahoma"/>
            <charset val="1"/>
          </rPr>
          <t>David Prochazka:</t>
        </r>
        <r>
          <rPr>
            <sz val="9"/>
            <color indexed="81"/>
            <rFont val="Tahoma"/>
            <charset val="1"/>
          </rPr>
          <t xml:space="preserve">
Source: Handbook of Mineralogy, Thomsenolite (dimorph of pachnolite), maximum across: ideal; thomsenolite Ivigtut, https://www.handbookofmineralogy.org/pdfs/thomsenolite.pdf</t>
        </r>
      </text>
    </comment>
    <comment ref="O32" authorId="0" shapeId="0" xr:uid="{1A271999-4C1E-4AEE-A8C2-0D0930AFA584}">
      <text>
        <r>
          <rPr>
            <b/>
            <sz val="9"/>
            <color indexed="81"/>
            <rFont val="Tahoma"/>
            <charset val="1"/>
          </rPr>
          <t>David Prochazka:</t>
        </r>
        <r>
          <rPr>
            <sz val="9"/>
            <color indexed="81"/>
            <rFont val="Tahoma"/>
            <charset val="1"/>
          </rPr>
          <t xml:space="preserve">
Source: Handbook of Mineralogy, Thomsenolite (dimorph of pachnolite), maximum across: ideal; thomsenolite Ivigtut, https://www.handbookofmineralogy.org/pdfs/thomsenolite.pdf</t>
        </r>
      </text>
    </comment>
    <comment ref="S32" authorId="0" shapeId="0" xr:uid="{96AD9056-1077-420C-96A5-1A65D826601B}">
      <text>
        <r>
          <rPr>
            <b/>
            <sz val="9"/>
            <color indexed="81"/>
            <rFont val="Tahoma"/>
            <charset val="1"/>
          </rPr>
          <t>David Prochazka:</t>
        </r>
        <r>
          <rPr>
            <sz val="9"/>
            <color indexed="81"/>
            <rFont val="Tahoma"/>
            <charset val="1"/>
          </rPr>
          <t xml:space="preserve">
Source: Handbook of Mineralogy, Thomsenolite (dimorph of pachnolite), maximum across: ideal; thomsenolite Ivigtut, https://www.handbookofmineralogy.org/pdfs/thomsenolite.pdf</t>
        </r>
      </text>
    </comment>
    <comment ref="AE32" authorId="0" shapeId="0" xr:uid="{ED538A48-E318-44DC-BCDF-7B844E46467D}">
      <text>
        <r>
          <rPr>
            <b/>
            <sz val="9"/>
            <color indexed="81"/>
            <rFont val="Tahoma"/>
            <charset val="1"/>
          </rPr>
          <t>David Prochazka:</t>
        </r>
        <r>
          <rPr>
            <sz val="9"/>
            <color indexed="81"/>
            <rFont val="Tahoma"/>
            <charset val="1"/>
          </rPr>
          <t xml:space="preserve">
Source: Handbook of Mineralogy, Thomsenolite (dimorph of pachnolite), maximum across: ideal; thomsenolite Ivigtut, https://www.handbookofmineralogy.org/pdfs/thomsenolite.pdf</t>
        </r>
      </text>
    </comment>
    <comment ref="AF32" authorId="0" shapeId="0" xr:uid="{47DD61FE-7EC8-40E5-83C8-D7F2D9F58FFB}">
      <text>
        <r>
          <rPr>
            <b/>
            <sz val="9"/>
            <color indexed="81"/>
            <rFont val="Tahoma"/>
            <charset val="1"/>
          </rPr>
          <t>David Prochazka:</t>
        </r>
        <r>
          <rPr>
            <sz val="9"/>
            <color indexed="81"/>
            <rFont val="Tahoma"/>
            <charset val="1"/>
          </rPr>
          <t xml:space="preserve">
Source: Handbook of Mineralogy, Thomsenolite (dimorph of pachnolite), maximum across: ideal; thomsenolite Ivigtut, https://www.handbookofmineralogy.org/pdfs/thomsenolite.pdf</t>
        </r>
      </text>
    </comment>
    <comment ref="C33" authorId="0" shapeId="0" xr:uid="{DA5B3E70-2FC9-40E5-BB90-22FB61977755}">
      <text>
        <r>
          <rPr>
            <b/>
            <sz val="9"/>
            <color indexed="81"/>
            <rFont val="Tahoma"/>
            <charset val="1"/>
          </rPr>
          <t>David Prochazka:</t>
        </r>
        <r>
          <rPr>
            <sz val="9"/>
            <color indexed="81"/>
            <rFont val="Tahoma"/>
            <charset val="1"/>
          </rPr>
          <t xml:space="preserve">
Source: Handbook of Mineralogy, Orthoclase, maximum across: (1); (2), https://www.handbookofmineralogy.org/pdfs/orthoclase.pdf</t>
        </r>
      </text>
    </comment>
    <comment ref="H33" authorId="0" shapeId="0" xr:uid="{B3E812F9-F5D3-4D37-A2D3-CD0871BE269B}">
      <text>
        <r>
          <rPr>
            <b/>
            <sz val="9"/>
            <color indexed="81"/>
            <rFont val="Tahoma"/>
            <charset val="1"/>
          </rPr>
          <t>David Prochazka:</t>
        </r>
        <r>
          <rPr>
            <sz val="9"/>
            <color indexed="81"/>
            <rFont val="Tahoma"/>
            <charset val="1"/>
          </rPr>
          <t xml:space="preserve">
Source: Handbook of Mineralogy, Orthoclase, maximum across: (1); (2), https://www.handbookofmineralogy.org/pdfs/orthoclase.pdf</t>
        </r>
      </text>
    </comment>
    <comment ref="Q33" authorId="0" shapeId="0" xr:uid="{188791F9-639A-4F98-AD3C-D63EE3FD11D2}">
      <text>
        <r>
          <rPr>
            <b/>
            <sz val="9"/>
            <color indexed="81"/>
            <rFont val="Tahoma"/>
            <charset val="1"/>
          </rPr>
          <t>David Prochazka:</t>
        </r>
        <r>
          <rPr>
            <sz val="9"/>
            <color indexed="81"/>
            <rFont val="Tahoma"/>
            <charset val="1"/>
          </rPr>
          <t xml:space="preserve">
Source: Handbook of Mineralogy, Orthoclase, maximum across: (1); (2), https://www.handbookofmineralogy.org/pdfs/orthoclase.pdf</t>
        </r>
      </text>
    </comment>
    <comment ref="S33" authorId="0" shapeId="0" xr:uid="{7E40AAB2-C2A3-4EE4-8D53-E2B0362BDD16}">
      <text>
        <r>
          <rPr>
            <b/>
            <sz val="9"/>
            <color indexed="81"/>
            <rFont val="Tahoma"/>
            <charset val="1"/>
          </rPr>
          <t>David Prochazka:</t>
        </r>
        <r>
          <rPr>
            <sz val="9"/>
            <color indexed="81"/>
            <rFont val="Tahoma"/>
            <charset val="1"/>
          </rPr>
          <t xml:space="preserve">
Source: Handbook of Mineralogy, Orthoclase, maximum across: (1); (2), https://www.handbookofmineralogy.org/pdfs/orthoclase.pdf</t>
        </r>
      </text>
    </comment>
    <comment ref="T33" authorId="0" shapeId="0" xr:uid="{4C9A8CC8-2410-418A-9706-026DA4A4524E}">
      <text>
        <r>
          <rPr>
            <b/>
            <sz val="9"/>
            <color indexed="81"/>
            <rFont val="Tahoma"/>
            <charset val="1"/>
          </rPr>
          <t>David Prochazka:</t>
        </r>
        <r>
          <rPr>
            <sz val="9"/>
            <color indexed="81"/>
            <rFont val="Tahoma"/>
            <charset val="1"/>
          </rPr>
          <t xml:space="preserve">
Source: Handbook of Mineralogy, Orthoclase, maximum across: (1); (2), https://www.handbookofmineralogy.org/pdfs/orthoclase.pdf</t>
        </r>
      </text>
    </comment>
    <comment ref="I34" authorId="0" shapeId="0" xr:uid="{EF71D20C-9506-43A7-B3BF-1EE9B64F2237}">
      <text>
        <r>
          <rPr>
            <b/>
            <sz val="9"/>
            <color indexed="81"/>
            <rFont val="Tahoma"/>
            <charset val="1"/>
          </rPr>
          <t>David Prochazka:</t>
        </r>
        <r>
          <rPr>
            <sz val="9"/>
            <color indexed="81"/>
            <rFont val="Tahoma"/>
            <charset val="1"/>
          </rPr>
          <t xml:space="preserve">
Source: Handbook of Mineralogy, Hematite, maximum across: (1); ideal Fe2O3, https://www.handbookofmineralogy.org/pdfs/hematite.pdf</t>
        </r>
      </text>
    </comment>
    <comment ref="J34" authorId="0" shapeId="0" xr:uid="{74FC62A6-F7FF-48A9-BE87-B1FF87429506}">
      <text>
        <r>
          <rPr>
            <b/>
            <sz val="9"/>
            <color indexed="81"/>
            <rFont val="Tahoma"/>
            <charset val="1"/>
          </rPr>
          <t>David Prochazka:</t>
        </r>
        <r>
          <rPr>
            <sz val="9"/>
            <color indexed="81"/>
            <rFont val="Tahoma"/>
            <charset val="1"/>
          </rPr>
          <t xml:space="preserve">
Source: Handbook of Mineralogy, Hematite, maximum across: (1); ideal Fe2O3, https://www.handbookofmineralogy.org/pdfs/hematite.pdf</t>
        </r>
      </text>
    </comment>
    <comment ref="K34" authorId="0" shapeId="0" xr:uid="{15CC7B02-750A-478A-AB0A-B225A3A308A5}">
      <text>
        <r>
          <rPr>
            <b/>
            <sz val="9"/>
            <color indexed="81"/>
            <rFont val="Tahoma"/>
            <charset val="1"/>
          </rPr>
          <t>David Prochazka:</t>
        </r>
        <r>
          <rPr>
            <sz val="9"/>
            <color indexed="81"/>
            <rFont val="Tahoma"/>
            <charset val="1"/>
          </rPr>
          <t xml:space="preserve">
Source: Handbook of Mineralogy, Hematite, maximum across: (1); ideal Fe2O3, https://www.handbookofmineralogy.org/pdfs/hematite.pdf</t>
        </r>
      </text>
    </comment>
    <comment ref="C35" authorId="0" shapeId="0" xr:uid="{0FC6BEEC-E719-448F-BEA0-E3814960B2BF}">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D35" authorId="0" shapeId="0" xr:uid="{30640CE4-A861-4F10-9CF1-4497AA480933}">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H35" authorId="0" shapeId="0" xr:uid="{823C2714-AE4B-4EFE-98ED-2EF32B213BC1}">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I35" authorId="0" shapeId="0" xr:uid="{37E248EE-E5F4-40EC-98BC-45AFFF218B9A}">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J35" authorId="0" shapeId="0" xr:uid="{10F7D08A-D400-44D5-854F-8AF02AB08EAD}">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K35" authorId="0" shapeId="0" xr:uid="{57F17D41-1FC2-4081-961C-D6D4010AF594}">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N35" authorId="0" shapeId="0" xr:uid="{CC2FB8E6-D113-4BA9-829F-54FE39BD6DAA}">
      <text>
        <r>
          <rPr>
            <b/>
            <sz val="9"/>
            <color indexed="81"/>
            <rFont val="Tahoma"/>
            <charset val="1"/>
          </rPr>
          <t>David Prochazka:</t>
        </r>
        <r>
          <rPr>
            <sz val="9"/>
            <color indexed="81"/>
            <rFont val="Tahoma"/>
            <charset val="1"/>
          </rPr>
          <t xml:space="preserve">
Source: Handbook of Mineralogy, Magnetite, maximum across: (1); (2); (3), https://handbookofmineralogy.org/pdfs/magnetite.pdf</t>
        </r>
      </text>
    </comment>
    <comment ref="C36" authorId="0" shapeId="0" xr:uid="{E24077B8-5139-4AF7-9F76-202CF3794BD9}">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D36" authorId="0" shapeId="0" xr:uid="{B83E5983-0CD4-4B07-9071-22326326B1A2}">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H36" authorId="0" shapeId="0" xr:uid="{AA0147DB-DB29-4D3E-96E9-BD122AE64B04}">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J36" authorId="0" shapeId="0" xr:uid="{1155F883-7BC2-4181-BD7C-90FD1B208772}">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N36" authorId="0" shapeId="0" xr:uid="{64DC3198-FECA-464F-B292-9F08154D9920}">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R36" authorId="0" shapeId="0" xr:uid="{0540AA1C-3062-4979-AE38-B835E24E5309}">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AE36" authorId="0" shapeId="0" xr:uid="{3E8D8CDA-8C30-409B-AA6D-80A6F5036803}">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AI36" authorId="0" shapeId="0" xr:uid="{6B3FA14F-4932-4C3B-8CCC-692DB64C2C38}">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AJ36" authorId="0" shapeId="0" xr:uid="{8E2672DD-473C-4274-977D-B717F861CA70}">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AN36" authorId="0" shapeId="0" xr:uid="{DBB64EB7-4F1B-4D94-BA65-2EEAD1B7E399}">
      <text>
        <r>
          <rPr>
            <b/>
            <sz val="9"/>
            <color indexed="81"/>
            <rFont val="Tahoma"/>
            <charset val="1"/>
          </rPr>
          <t>David Prochazka:</t>
        </r>
        <r>
          <rPr>
            <sz val="9"/>
            <color indexed="81"/>
            <rFont val="Tahoma"/>
            <charset val="1"/>
          </rPr>
          <t xml:space="preserve">
Source: Handbook of Mineralogy, Thorite, maximum across: (1); (2), https://www.handbookofmineralogy.org/pdfs/thorite.pdf</t>
        </r>
      </text>
    </comment>
    <comment ref="H37" authorId="0" shapeId="0" xr:uid="{F43AF8BA-FA5B-4E15-91C6-39DF997AA0DD}">
      <text>
        <r>
          <rPr>
            <b/>
            <sz val="9"/>
            <color indexed="81"/>
            <rFont val="Tahoma"/>
            <charset val="1"/>
          </rPr>
          <t>David Prochazka:</t>
        </r>
        <r>
          <rPr>
            <sz val="9"/>
            <color indexed="81"/>
            <rFont val="Tahoma"/>
            <charset val="1"/>
          </rPr>
          <t xml:space="preserve">
Source: Handbook of Mineralogy, Cryolite, maximum across: (1); (2), https://www.handbookofmineralogy.org/pdfs/cryolite.pdf</t>
        </r>
      </text>
    </comment>
    <comment ref="S37" authorId="0" shapeId="0" xr:uid="{88E467AE-78B4-4D99-A71A-40585FCD6B44}">
      <text>
        <r>
          <rPr>
            <b/>
            <sz val="9"/>
            <color indexed="81"/>
            <rFont val="Tahoma"/>
            <charset val="1"/>
          </rPr>
          <t>David Prochazka:</t>
        </r>
        <r>
          <rPr>
            <sz val="9"/>
            <color indexed="81"/>
            <rFont val="Tahoma"/>
            <charset val="1"/>
          </rPr>
          <t xml:space="preserve">
Source: Handbook of Mineralogy, Cryolite, maximum across: (1); (2), https://www.handbookofmineralogy.org/pdfs/cryolite.pdf</t>
        </r>
      </text>
    </comment>
    <comment ref="AF37" authorId="0" shapeId="0" xr:uid="{83A5FBD4-DB74-4EE1-AC6D-985F0ECB450A}">
      <text>
        <r>
          <rPr>
            <b/>
            <sz val="9"/>
            <color indexed="81"/>
            <rFont val="Tahoma"/>
            <charset val="1"/>
          </rPr>
          <t>David Prochazka:</t>
        </r>
        <r>
          <rPr>
            <sz val="9"/>
            <color indexed="81"/>
            <rFont val="Tahoma"/>
            <charset val="1"/>
          </rPr>
          <t xml:space="preserve">
Source: Handbook of Mineralogy, Cryolite, maximum across: (1); (2), https://www.handbookofmineralogy.org/pdfs/cryolite.pdf</t>
        </r>
      </text>
    </comment>
    <comment ref="C38" authorId="0" shapeId="0" xr:uid="{99E18928-633D-460A-A293-D0D460FF5D9D}">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D38" authorId="0" shapeId="0" xr:uid="{E19047FB-C50B-43EC-AD58-5CE898D36F87}">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G38" authorId="0" shapeId="0" xr:uid="{7868145A-4F98-4A96-B8BE-FE990E7EEAFF}">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J38" authorId="0" shapeId="0" xr:uid="{4A8304E4-9679-48D5-944A-7F5C66C60961}">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X38" authorId="0" shapeId="0" xr:uid="{F471D1E1-4E80-4092-BC46-C001BD6A2E71}">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Y38" authorId="0" shapeId="0" xr:uid="{EAFAA8EC-9333-477F-8DEE-0A990DE9F98F}">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Z38" authorId="0" shapeId="0" xr:uid="{6EE722AC-1AB1-4724-8455-0D32EDD5DB62}">
      <text>
        <r>
          <rPr>
            <b/>
            <sz val="9"/>
            <color indexed="81"/>
            <rFont val="Tahoma"/>
            <charset val="1"/>
          </rPr>
          <t>David Prochazka:</t>
        </r>
        <r>
          <rPr>
            <sz val="9"/>
            <color indexed="81"/>
            <rFont val="Tahoma"/>
            <charset val="1"/>
          </rPr>
          <t xml:space="preserve">
Source: Handbook of Mineralogy, Cassiterite, maximum across: (1); ideal SnO2, https://www.handbookofmineralogy.org/pdfs/cassiterite.pdf</t>
        </r>
      </text>
    </comment>
    <comment ref="C39" authorId="0" shapeId="0" xr:uid="{260A7168-5D30-479B-A985-1D60DB03AB10}">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H39" authorId="0" shapeId="0" xr:uid="{F94AB5BD-6AE3-4F96-AE55-1B6DF33FAE74}">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N39" authorId="0" shapeId="0" xr:uid="{4AD80E5B-1024-44DC-BDF5-7A9785C4B715}">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O39" authorId="0" shapeId="0" xr:uid="{D6CA7D37-FB49-49A6-9D54-E82525412FDA}">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S39" authorId="0" shapeId="0" xr:uid="{91A5486C-7B1E-4166-A2FE-1804DD9BCB88}">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T39" authorId="0" shapeId="0" xr:uid="{39B96F2F-19F0-42FC-A038-2C34CEB29199}">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AE39" authorId="0" shapeId="0" xr:uid="{F4378AA2-4C8B-422A-843C-222764637460}">
      <text>
        <r>
          <rPr>
            <b/>
            <sz val="9"/>
            <color indexed="81"/>
            <rFont val="Tahoma"/>
            <charset val="1"/>
          </rPr>
          <t>David Prochazka:</t>
        </r>
        <r>
          <rPr>
            <sz val="9"/>
            <color indexed="81"/>
            <rFont val="Tahoma"/>
            <charset val="1"/>
          </rPr>
          <t xml:space="preserve">
Source: Handbook of Mineralogy, Nepheline, maximum across: (1), https://www.handbookofmineralogy.org/pdfs/nepheline.pdf</t>
        </r>
      </text>
    </comment>
    <comment ref="C40" authorId="0" shapeId="0" xr:uid="{044E7B00-BA9C-4B20-AA65-D85089FD38F4}">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D40" authorId="0" shapeId="0" xr:uid="{C73026D0-90A0-4B57-9BD2-3446B783F22F}">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H40" authorId="0" shapeId="0" xr:uid="{6CE12B74-182A-4988-BD88-C3D95693979D}">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I40" authorId="0" shapeId="0" xr:uid="{A47B0BF6-44CD-4DAF-80D3-8B05853385BE}">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J40" authorId="0" shapeId="0" xr:uid="{239B5B48-6787-438A-9A5D-220422CCEB43}">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K40" authorId="0" shapeId="0" xr:uid="{CF8F66C8-C5BD-4895-B121-ECCE144DD3D5}">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L40" authorId="0" shapeId="0" xr:uid="{DECEA810-8616-484B-8765-B24F0E3C9891}">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N40" authorId="0" shapeId="0" xr:uid="{6D6EA460-5B79-4854-AB53-E2243DD61042}">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O40" authorId="0" shapeId="0" xr:uid="{45C99DA6-B03D-478F-99F7-5A2428446011}">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Q40" authorId="0" shapeId="0" xr:uid="{EB48CD26-9D3C-4C4A-8C4E-CA44F4B97916}">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S40" authorId="0" shapeId="0" xr:uid="{C46D10AE-44E7-44F9-8AF4-C49B77AA2520}">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T40" authorId="0" shapeId="0" xr:uid="{76373B57-1AAC-4CD8-AC9A-72E239D360E0}">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AE40" authorId="0" shapeId="0" xr:uid="{77BFBBAD-041B-401F-BA4B-D0D12A1F39A2}">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AF40" authorId="0" shapeId="0" xr:uid="{DE50D293-B855-4D1D-B82C-2CABDA424668}">
      <text>
        <r>
          <rPr>
            <b/>
            <sz val="9"/>
            <color indexed="81"/>
            <rFont val="Tahoma"/>
            <charset val="1"/>
          </rPr>
          <t>David Prochazka:</t>
        </r>
        <r>
          <rPr>
            <sz val="9"/>
            <color indexed="81"/>
            <rFont val="Tahoma"/>
            <charset val="1"/>
          </rPr>
          <t xml:space="preserve">
Source: Handbook of Mineralogy, Hendricksite, maximum across: (1); (2), https://www.handbookofmineralogy.org/pdfs/hendricksite.pdf</t>
        </r>
      </text>
    </comment>
    <comment ref="C41" authorId="0" shapeId="0" xr:uid="{43A4044D-ABBB-4250-8689-E714E0DE26D5}">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D41" authorId="0" shapeId="0" xr:uid="{DFD78327-4786-42AC-88F6-DF8815D749EA}">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J41" authorId="0" shapeId="0" xr:uid="{F597517F-F368-405A-8626-FF91F84CA423}">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O41" authorId="0" shapeId="0" xr:uid="{E35E8B09-18E3-40E3-93CE-2D9B423483BE}">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P41" authorId="0" shapeId="0" xr:uid="{25953B8C-7DE3-441B-A6B4-B877A05B5378}">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R41" authorId="0" shapeId="0" xr:uid="{6FC90F80-4C54-4A29-8EEC-6F8BFEB00045}">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X41" authorId="0" shapeId="0" xr:uid="{0B05F694-C933-4A46-A64F-C9B16007D400}">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Y41" authorId="0" shapeId="0" xr:uid="{DC3CAE00-1553-4B24-8E37-C2702A89B325}">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AE41" authorId="0" shapeId="0" xr:uid="{244F3940-9D46-4425-B9C9-186AE45043D6}">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AN41" authorId="0" shapeId="0" xr:uid="{2A6D082D-FC97-4ECF-8FA9-25C04973A62B}">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AP41" authorId="0" shapeId="0" xr:uid="{0A544D6A-7C82-4F57-828C-3A31257460E2}">
      <text>
        <r>
          <rPr>
            <b/>
            <sz val="9"/>
            <color indexed="81"/>
            <rFont val="Tahoma"/>
            <charset val="1"/>
          </rPr>
          <t>David Prochazka:</t>
        </r>
        <r>
          <rPr>
            <sz val="9"/>
            <color indexed="81"/>
            <rFont val="Tahoma"/>
            <charset val="1"/>
          </rPr>
          <t xml:space="preserve">
Source: Handbook of Mineralogy, Hydroxyplumbopyrochlore, maximum across: (1), https://www.handbookofmineralogy.org/pdfs/Hydroxyplumbopyrochlore.pdf</t>
        </r>
      </text>
    </comment>
    <comment ref="C42" authorId="0" shapeId="0" xr:uid="{FC55F9DB-6C0D-4A8E-A856-7AB6DEE62B40}">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D42" authorId="0" shapeId="0" xr:uid="{B52369E9-64A1-4E62-85DA-C3C7543E2435}">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H42" authorId="0" shapeId="0" xr:uid="{27945D48-49ED-441F-B275-510D3CE37E35}">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J42" authorId="0" shapeId="0" xr:uid="{0FAB2679-61E5-4944-A9FE-9E7E805CC0E8}">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K42" authorId="0" shapeId="0" xr:uid="{00C20DC0-4301-4A1C-A6BB-B8F07B944556}">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N42" authorId="0" shapeId="0" xr:uid="{8BD62052-05EC-469E-822E-EF71BB2055CE}">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O42" authorId="0" shapeId="0" xr:uid="{0131C60C-C277-4EA7-B864-BC7D6A2BAF6A}">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S42" authorId="0" shapeId="0" xr:uid="{BB044D09-CEF3-4039-9F18-0FFC5BB71A4C}">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T42" authorId="0" shapeId="0" xr:uid="{9A08BDA3-C688-4686-BB97-4EDA8EDB7ABC}">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AE42" authorId="0" shapeId="0" xr:uid="{44AC0875-CC48-4913-9573-67C45A5B52FA}">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AF42" authorId="0" shapeId="0" xr:uid="{DD5E37EA-577A-4FD0-B8F6-2A6D1C4B1706}">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AG42" authorId="0" shapeId="0" xr:uid="{56B1EBA0-0D2B-48E0-B735-C8E3A4C3DA69}">
      <text>
        <r>
          <rPr>
            <b/>
            <sz val="9"/>
            <color indexed="81"/>
            <rFont val="Tahoma"/>
            <charset val="1"/>
          </rPr>
          <t>David Prochazka:</t>
        </r>
        <r>
          <rPr>
            <sz val="9"/>
            <color indexed="81"/>
            <rFont val="Tahoma"/>
            <charset val="1"/>
          </rPr>
          <t xml:space="preserve">
Source: Handbook of Mineralogy, Annite, maximum across: (1); (2); (3), https://www.handbookofmineralogy.org/pdfs/annite.pdf</t>
        </r>
      </text>
    </comment>
    <comment ref="D43" authorId="0" shapeId="0" xr:uid="{76A21949-3589-459D-BAD5-363E92B6DBB8}">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G43" authorId="0" shapeId="0" xr:uid="{AC3D219B-E687-4EEB-9053-17FEF9A10EAD}">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J43" authorId="0" shapeId="0" xr:uid="{9A73FB55-7D6D-4FF5-87F9-EC4F5C0D3DFD}">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K43" authorId="0" shapeId="0" xr:uid="{F812035C-8F86-4655-AB2D-C5C66E18EC34}">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O43" authorId="0" shapeId="0" xr:uid="{69663210-31F4-479F-A227-A627C15BE730}">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X43" authorId="0" shapeId="0" xr:uid="{08C70175-1E23-47B6-BCDC-F234EE454FCC}">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Y43" authorId="0" shapeId="0" xr:uid="{21360A77-2F5D-4F4A-853B-CBB1A5216ACA}">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Z43" authorId="0" shapeId="0" xr:uid="{C6D92922-1FFF-4D19-8BC3-5E400D4645AA}">
      <text>
        <r>
          <rPr>
            <b/>
            <sz val="9"/>
            <color indexed="81"/>
            <rFont val="Tahoma"/>
            <charset val="1"/>
          </rPr>
          <t>David Prochazka:</t>
        </r>
        <r>
          <rPr>
            <sz val="9"/>
            <color indexed="81"/>
            <rFont val="Tahoma"/>
            <charset val="1"/>
          </rPr>
          <t xml:space="preserve">
Source: Handbook of Mineralogy, Ferrocolumbite, maximum across: (1); (2); (3), https://www.handbookofmineralogy.org/pdfs/ferrocolumbite.pdf</t>
        </r>
      </text>
    </comment>
    <comment ref="D44" authorId="0" shapeId="0" xr:uid="{5568B343-07C3-4E6E-B6A6-A304D8E5DA1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44" authorId="0" shapeId="0" xr:uid="{730631D7-3A20-4BF9-898C-44EEEECED5E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J44" authorId="0" shapeId="0" xr:uid="{C5B6EB75-DB91-4C9F-9ECF-1956D992FDD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44" authorId="0" shapeId="0" xr:uid="{E2616FFA-8FA4-4D01-836A-A2A9348E16B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S44" authorId="0" shapeId="0" xr:uid="{328AB847-F614-402E-B6E2-595EB385F9A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X44" authorId="0" shapeId="0" xr:uid="{10E88618-568B-40D1-9495-91861EB843F6}">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44" authorId="0" shapeId="0" xr:uid="{E940851F-78C8-4AF0-B25A-D5406770A99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C45" authorId="0" shapeId="0" xr:uid="{62420EB2-0294-405D-BD00-350B87F6DA99}">
      <text>
        <r>
          <rPr>
            <b/>
            <sz val="9"/>
            <color indexed="81"/>
            <rFont val="Tahoma"/>
            <charset val="1"/>
          </rPr>
          <t>David Prochazka:</t>
        </r>
        <r>
          <rPr>
            <sz val="9"/>
            <color indexed="81"/>
            <rFont val="Tahoma"/>
            <charset val="1"/>
          </rPr>
          <t xml:space="preserve">
Source: Handbook of Mineralogy, Spessartine, maximum across the analyses listed in Sources!G45, https://www.handbookofmineralogy.org/pdfs/spessartine.pdf</t>
        </r>
      </text>
    </comment>
    <comment ref="D45" authorId="0" shapeId="0" xr:uid="{F570ED8A-F749-4E67-B2E0-3FC2B3C46D3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45" authorId="0" shapeId="0" xr:uid="{5562EC15-9ACB-496C-99C1-D51815A2AF3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45" authorId="0" shapeId="0" xr:uid="{33763185-DEEA-4A81-8828-0339F611D1E3}">
      <text>
        <r>
          <rPr>
            <b/>
            <sz val="9"/>
            <color indexed="81"/>
            <rFont val="Tahoma"/>
            <charset val="1"/>
          </rPr>
          <t>David Prochazka:</t>
        </r>
        <r>
          <rPr>
            <sz val="9"/>
            <color indexed="81"/>
            <rFont val="Tahoma"/>
            <charset val="1"/>
          </rPr>
          <t xml:space="preserve">
Source: Handbook of Mineralogy, Spessartine, maximum across the analyses listed in Sources!G45, https://www.handbookofmineralogy.org/pdfs/spessartine.pdf</t>
        </r>
      </text>
    </comment>
    <comment ref="J45" authorId="0" shapeId="0" xr:uid="{4A17133D-B570-4868-9009-1CAC781DE33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45" authorId="0" shapeId="0" xr:uid="{60C1A36A-C99D-4A78-AD0A-0E813221FB1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45" authorId="0" shapeId="0" xr:uid="{82C5D2F8-B8DB-435D-B15E-8F1609EDFC6F}">
      <text>
        <r>
          <rPr>
            <b/>
            <sz val="9"/>
            <color indexed="81"/>
            <rFont val="Tahoma"/>
            <charset val="1"/>
          </rPr>
          <t>David Prochazka:</t>
        </r>
        <r>
          <rPr>
            <sz val="9"/>
            <color indexed="81"/>
            <rFont val="Tahoma"/>
            <charset val="1"/>
          </rPr>
          <t xml:space="preserve">
Source: Handbook of Mineralogy, Spessartine, maximum across the analyses listed in Sources!G45, https://www.handbookofmineralogy.org/pdfs/spessartine.pdf</t>
        </r>
      </text>
    </comment>
    <comment ref="S45" authorId="0" shapeId="0" xr:uid="{342416A2-679D-4EE8-B7BA-FBA531F7F45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X45" authorId="0" shapeId="0" xr:uid="{7F5E0882-90D3-46BC-92CB-0579263D53E6}">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45" authorId="0" shapeId="0" xr:uid="{DCFA78B9-93CA-4B1F-935A-9A9AE1A2A989}">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45" authorId="0" shapeId="0" xr:uid="{B0CF3061-3C63-4F29-9419-9D68F54E5072}">
      <text>
        <r>
          <rPr>
            <b/>
            <sz val="9"/>
            <color indexed="81"/>
            <rFont val="Tahoma"/>
            <charset val="1"/>
          </rPr>
          <t>David Prochazka:</t>
        </r>
        <r>
          <rPr>
            <sz val="9"/>
            <color indexed="81"/>
            <rFont val="Tahoma"/>
            <charset val="1"/>
          </rPr>
          <t xml:space="preserve">
Source: Handbook of Mineralogy, Spessartine, maximum across the analyses listed in Sources!G45, https://www.handbookofmineralogy.org/pdfs/spessartine.pdf</t>
        </r>
      </text>
    </comment>
    <comment ref="C46" authorId="0" shapeId="0" xr:uid="{03E7CD0A-1556-4415-AFA4-684E567E6A20}">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D46" authorId="0" shapeId="0" xr:uid="{6C7716F0-876C-44D1-B606-93045DA2314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46" authorId="0" shapeId="0" xr:uid="{06D43943-FDBB-4A88-8EBB-974AFDD561D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46" authorId="0" shapeId="0" xr:uid="{A96A96B7-20B9-4CEB-910C-92EFA59BD52F}">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J46" authorId="0" shapeId="0" xr:uid="{66FE7B0F-D3A8-4843-9AD9-9932EB9A7F8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46" authorId="0" shapeId="0" xr:uid="{C5BC131D-FE50-49B2-9921-DE6B75E0EB1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N46" authorId="0" shapeId="0" xr:uid="{6113C484-688C-4FC9-81C6-0CF75B067067}">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O46" authorId="0" shapeId="0" xr:uid="{7F928902-3D1F-40C6-AE82-D4959E79A9BE}">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S46" authorId="0" shapeId="0" xr:uid="{3F4FC36C-85EE-4E5B-A3BF-5DB1C3789A5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46" authorId="0" shapeId="0" xr:uid="{4CFA037C-71A5-4C7D-A518-8BAE214A63F1}">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V46" authorId="0" shapeId="0" xr:uid="{E706299D-972A-4D65-9732-759A0D79B82B}">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X46" authorId="0" shapeId="0" xr:uid="{C28E9BC0-172A-482A-8D31-DB266183F62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46" authorId="0" shapeId="0" xr:uid="{3A7E146B-BA92-4ED9-8040-0860EC3DF5B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46" authorId="0" shapeId="0" xr:uid="{B1F63130-E698-4FBF-B4AB-91CC55952523}">
      <text>
        <r>
          <rPr>
            <b/>
            <sz val="9"/>
            <color indexed="81"/>
            <rFont val="Tahoma"/>
            <charset val="1"/>
          </rPr>
          <t>David Prochazka:</t>
        </r>
        <r>
          <rPr>
            <sz val="9"/>
            <color indexed="81"/>
            <rFont val="Tahoma"/>
            <charset val="1"/>
          </rPr>
          <t xml:space="preserve">
Source: Handbook of Mineralogy, Schorl, maximum across the analyses listed in Sources!G46, https://www.handbookofmineralogy.org/pdfs/schorl.pdf</t>
        </r>
      </text>
    </comment>
    <comment ref="C47" authorId="0" shapeId="0" xr:uid="{0EDB6630-44C6-4DAA-8344-5EF979941849}">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D47" authorId="0" shapeId="0" xr:uid="{A75A115A-3290-427C-B0C3-849D41A2772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47" authorId="0" shapeId="0" xr:uid="{E8D51812-8B79-428B-8EE8-84CBE308F446}">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47" authorId="0" shapeId="0" xr:uid="{B8D66EEB-57B1-43EC-AD1F-ACF98F82106E}">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I47" authorId="0" shapeId="0" xr:uid="{B4AE75B8-806D-45D5-B34F-F8B66F84C782}">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J47" authorId="0" shapeId="0" xr:uid="{90623379-E6CD-4176-9E77-3E93B36D6AC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47" authorId="0" shapeId="0" xr:uid="{16401E69-56B9-4AB8-9A85-95FE773410E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N47" authorId="0" shapeId="0" xr:uid="{7B589325-E879-4B52-99B2-D03A53D699BC}">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O47" authorId="0" shapeId="0" xr:uid="{315C40DD-CE00-462A-87E7-EC0F9A5F7334}">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S47" authorId="0" shapeId="0" xr:uid="{066C3456-2C6E-4C93-8C8E-AE488A65F9D6}">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47" authorId="0" shapeId="0" xr:uid="{B1E77938-93C9-459A-A86F-B72636FE9514}">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X47" authorId="0" shapeId="0" xr:uid="{DA673DF6-73BB-4DAF-B508-287BCA9FCEF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47" authorId="0" shapeId="0" xr:uid="{66094036-9C89-4444-867A-0070AEA17E56}">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47" authorId="0" shapeId="0" xr:uid="{D6E94809-B93E-4921-BFA1-17FA1DE35B67}">
      <text>
        <r>
          <rPr>
            <b/>
            <sz val="9"/>
            <color indexed="81"/>
            <rFont val="Tahoma"/>
            <charset val="1"/>
          </rPr>
          <t>David Prochazka:</t>
        </r>
        <r>
          <rPr>
            <sz val="9"/>
            <color indexed="81"/>
            <rFont val="Tahoma"/>
            <charset val="1"/>
          </rPr>
          <t xml:space="preserve">
Source: Handbook of Mineralogy, Kaolinite, maximum across the analyses listed in Sources!G47, https://www.handbookofmineralogy.org/pdfs/kaolinite.pdf</t>
        </r>
      </text>
    </comment>
    <comment ref="C48" authorId="0" shapeId="0" xr:uid="{230F9323-836C-42BB-A703-1800DF43E9A6}">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D48" authorId="0" shapeId="0" xr:uid="{84415F9F-BFA4-48C9-96F4-BF4D07CDEFF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48" authorId="0" shapeId="0" xr:uid="{2630B0FE-E603-4109-B847-83DF1F27E21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48" authorId="0" shapeId="0" xr:uid="{4197ECA0-1D03-4DF2-9E49-81434A752E96}">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J48" authorId="0" shapeId="0" xr:uid="{21C09F3B-1BA1-4FDD-A746-0F188AC4BD2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48" authorId="0" shapeId="0" xr:uid="{4C9B3EC3-2352-474A-9CC9-26CB012D94D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48" authorId="0" shapeId="0" xr:uid="{BDF5EF74-CFFD-407E-ACD4-8A11D3D4BC1C}">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S48" authorId="0" shapeId="0" xr:uid="{183275C5-1DB3-43C9-9C47-0A72253C5A9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U48" authorId="0" shapeId="0" xr:uid="{D1C6127D-D6B7-45D3-933A-1E9732B081A1}">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V48" authorId="0" shapeId="0" xr:uid="{4969AB38-528F-476E-A53D-6FD277B18DE6}">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X48" authorId="0" shapeId="0" xr:uid="{B851241B-7BD2-4F5E-9DFD-6D1434FD876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48" authorId="0" shapeId="0" xr:uid="{45BF77C7-6F63-4709-8E25-3AEFCE42DB7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48" authorId="0" shapeId="0" xr:uid="{0FDC567B-3B4A-45C3-8F54-C383DD5CC237}">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AF48" authorId="0" shapeId="0" xr:uid="{F084A6E9-5605-425C-A733-E842A868D973}">
      <text>
        <r>
          <rPr>
            <b/>
            <sz val="9"/>
            <color indexed="81"/>
            <rFont val="Tahoma"/>
            <charset val="1"/>
          </rPr>
          <t>David Prochazka:</t>
        </r>
        <r>
          <rPr>
            <sz val="9"/>
            <color indexed="81"/>
            <rFont val="Tahoma"/>
            <charset val="1"/>
          </rPr>
          <t xml:space="preserve">
Source: Handbook of Mineralogy, Elbaite (Li-tourmaline), maximum across the analyses listed in Sources!G48, https://handbookofmineralogy.org/pdfs/elbaite.pdf</t>
        </r>
      </text>
    </comment>
    <comment ref="C49" authorId="0" shapeId="0" xr:uid="{DEFDF036-5490-4797-8FC0-D8A0966EC500}">
      <text>
        <r>
          <rPr>
            <b/>
            <sz val="9"/>
            <color indexed="81"/>
            <rFont val="Tahoma"/>
            <charset val="1"/>
          </rPr>
          <t>David Prochazka:</t>
        </r>
        <r>
          <rPr>
            <sz val="9"/>
            <color indexed="81"/>
            <rFont val="Tahoma"/>
            <charset val="1"/>
          </rPr>
          <t xml:space="preserve">
Source: Handbook of Mineralogy, Clinochlore (Mg-chlorite), maximum across the analyses listed in Sources!G49, https://www.handbookofmineralogy.org/pdfs/clinochlore.pdf</t>
        </r>
      </text>
    </comment>
    <comment ref="D49" authorId="0" shapeId="0" xr:uid="{09B91DB9-562E-4EEA-BA3E-F9701A8E86F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49" authorId="0" shapeId="0" xr:uid="{29C5F2D6-19BD-47EC-B457-77C78F0A388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49" authorId="0" shapeId="0" xr:uid="{871EA6A9-1183-432B-A964-66DDA19ABFB9}">
      <text>
        <r>
          <rPr>
            <b/>
            <sz val="9"/>
            <color indexed="81"/>
            <rFont val="Tahoma"/>
            <charset val="1"/>
          </rPr>
          <t>David Prochazka:</t>
        </r>
        <r>
          <rPr>
            <sz val="9"/>
            <color indexed="81"/>
            <rFont val="Tahoma"/>
            <charset val="1"/>
          </rPr>
          <t xml:space="preserve">
Source: Handbook of Mineralogy, Clinochlore (Mg-chlorite), maximum across the analyses listed in Sources!G49, https://www.handbookofmineralogy.org/pdfs/clinochlore.pdf</t>
        </r>
      </text>
    </comment>
    <comment ref="I49" authorId="0" shapeId="0" xr:uid="{B482A9CB-6400-46A6-9FA7-FCF597FA2AED}">
      <text>
        <r>
          <rPr>
            <b/>
            <sz val="9"/>
            <color indexed="81"/>
            <rFont val="Tahoma"/>
            <charset val="1"/>
          </rPr>
          <t>David Prochazka:</t>
        </r>
        <r>
          <rPr>
            <sz val="9"/>
            <color indexed="81"/>
            <rFont val="Tahoma"/>
            <charset val="1"/>
          </rPr>
          <t xml:space="preserve">
Source: Handbook of Mineralogy, Clinochlore (Mg-chlorite), maximum across the analyses listed in Sources!G49, https://www.handbookofmineralogy.org/pdfs/clinochlore.pdf</t>
        </r>
      </text>
    </comment>
    <comment ref="J49" authorId="0" shapeId="0" xr:uid="{8FDD2901-74C0-417D-8288-C1D52D249639}">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49" authorId="0" shapeId="0" xr:uid="{CDBCC64B-492E-4FD1-8984-6C486725535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N49" authorId="0" shapeId="0" xr:uid="{8EC3A1B0-8BEA-4A92-BA3F-4FAC1AD9A83C}">
      <text>
        <r>
          <rPr>
            <b/>
            <sz val="9"/>
            <color indexed="81"/>
            <rFont val="Tahoma"/>
            <charset val="1"/>
          </rPr>
          <t>David Prochazka:</t>
        </r>
        <r>
          <rPr>
            <sz val="9"/>
            <color indexed="81"/>
            <rFont val="Tahoma"/>
            <charset val="1"/>
          </rPr>
          <t xml:space="preserve">
Source: Handbook of Mineralogy, Clinochlore (Mg-chlorite), maximum across the analyses listed in Sources!G49, https://www.handbookofmineralogy.org/pdfs/clinochlore.pdf</t>
        </r>
      </text>
    </comment>
    <comment ref="O49" authorId="0" shapeId="0" xr:uid="{5431F77E-CB96-4AA5-9A72-58DF286D460E}">
      <text>
        <r>
          <rPr>
            <b/>
            <sz val="9"/>
            <color indexed="81"/>
            <rFont val="Tahoma"/>
            <charset val="1"/>
          </rPr>
          <t>David Prochazka:</t>
        </r>
        <r>
          <rPr>
            <sz val="9"/>
            <color indexed="81"/>
            <rFont val="Tahoma"/>
            <charset val="1"/>
          </rPr>
          <t xml:space="preserve">
Source: Handbook of Mineralogy, Clinochlore (Mg-chlorite), maximum across the analyses listed in Sources!G49, https://www.handbookofmineralogy.org/pdfs/clinochlore.pdf</t>
        </r>
      </text>
    </comment>
    <comment ref="S49" authorId="0" shapeId="0" xr:uid="{A25764AE-B52A-43AF-B9C8-83EEFEEF07D9}">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X49" authorId="0" shapeId="0" xr:uid="{FCCF00DA-0841-4FBE-AAFC-08D9B12B088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49" authorId="0" shapeId="0" xr:uid="{D91B28C8-C163-412D-8F2A-3F7E4D34AF35}">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49" authorId="0" shapeId="0" xr:uid="{2A874C87-B8BD-4CA4-B901-A89494A24613}">
      <text>
        <r>
          <rPr>
            <b/>
            <sz val="9"/>
            <color indexed="81"/>
            <rFont val="Tahoma"/>
            <charset val="1"/>
          </rPr>
          <t>David Prochazka:</t>
        </r>
        <r>
          <rPr>
            <sz val="9"/>
            <color indexed="81"/>
            <rFont val="Tahoma"/>
            <charset val="1"/>
          </rPr>
          <t xml:space="preserve">
Source: Handbook of Mineralogy, Clinochlore (Mg-chlorite), maximum across the analyses listed in Sources!G49, https://www.handbookofmineralogy.org/pdfs/clinochlore.pdf</t>
        </r>
      </text>
    </comment>
    <comment ref="C50" authorId="0" shapeId="0" xr:uid="{26D76F5D-3610-43B4-B4A6-0D38C89F1A5E}">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D50" authorId="0" shapeId="0" xr:uid="{804D3AD3-1B93-42CA-BFA9-54B47EA5E26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0" authorId="0" shapeId="0" xr:uid="{A0EAD57A-DAB5-4D2C-AB84-457AEB1C3EC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0" authorId="0" shapeId="0" xr:uid="{21EDDBA3-F03C-4A68-83A1-05782C4CAF95}">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I50" authorId="0" shapeId="0" xr:uid="{979CF048-EBAF-443F-84C4-C4B872C91ADE}">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J50" authorId="0" shapeId="0" xr:uid="{AE34DDC8-0BC5-49C5-81C1-60FA005B4CE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0" authorId="0" shapeId="0" xr:uid="{7855AD02-1A03-4A06-9740-0B0E5F8A2215}">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N50" authorId="0" shapeId="0" xr:uid="{A36AAD6B-C1E5-4586-94A0-C7BD6AEFEEF4}">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O50" authorId="0" shapeId="0" xr:uid="{FE9293EE-ADF4-4026-925D-A8D8E6D8ED10}">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S50" authorId="0" shapeId="0" xr:uid="{B9486D99-65C7-4C1E-8263-80A6CBA146F5}">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0" authorId="0" shapeId="0" xr:uid="{5216A417-4B10-44FD-8C1D-68D04DA9FD2A}">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X50" authorId="0" shapeId="0" xr:uid="{BA8AE6ED-CD94-49DA-A43F-2BF51F3EFF6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0" authorId="0" shapeId="0" xr:uid="{7D4AF122-353E-4321-A4FE-05C88828B38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0" authorId="0" shapeId="0" xr:uid="{7BEAD538-225D-46F3-B969-5C6AE0042A90}">
      <text>
        <r>
          <rPr>
            <b/>
            <sz val="9"/>
            <color indexed="81"/>
            <rFont val="Tahoma"/>
            <charset val="1"/>
          </rPr>
          <t>David Prochazka:</t>
        </r>
        <r>
          <rPr>
            <sz val="9"/>
            <color indexed="81"/>
            <rFont val="Tahoma"/>
            <charset val="1"/>
          </rPr>
          <t xml:space="preserve">
Source: Handbook of Mineralogy, Chamosite (Fe-chlorite), maximum across the analyses listed in Sources!G50, https://www.handbookofmineralogy.org/pdfs/chamosite.pdf</t>
        </r>
      </text>
    </comment>
    <comment ref="C51" authorId="0" shapeId="0" xr:uid="{358C7192-1D6C-41BF-BB40-8B947353CD80}">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D51" authorId="0" shapeId="0" xr:uid="{98125478-0E4A-4E34-A527-2C31BAEFA0E0}">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1" authorId="0" shapeId="0" xr:uid="{4A04E165-422F-4EC8-820B-AA8B9D3DB1A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1" authorId="0" shapeId="0" xr:uid="{66A3CA1F-3733-482C-BCC9-03A45D253362}">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I51" authorId="0" shapeId="0" xr:uid="{D93E0B94-D55A-49F6-8057-4D7ABA395E2A}">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J51" authorId="0" shapeId="0" xr:uid="{7208FFF2-0728-41C6-B2E5-51DF8C89C04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1" authorId="0" shapeId="0" xr:uid="{BA6E067E-8AC2-4EB9-AB00-4F6C5AEAECF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N51" authorId="0" shapeId="0" xr:uid="{B69DF62E-326D-43CE-955A-8065C1061A9B}">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O51" authorId="0" shapeId="0" xr:uid="{6C84569C-C70F-4D54-8E6A-25EEB8EF9E55}">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S51" authorId="0" shapeId="0" xr:uid="{02B015BA-589A-46AA-9F98-277978BAB93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1" authorId="0" shapeId="0" xr:uid="{CB263734-6509-4051-A05E-E50EBAFFBAE6}">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U51" authorId="0" shapeId="0" xr:uid="{6262F792-4046-4C4F-8292-4EA247DC2591}">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X51" authorId="0" shapeId="0" xr:uid="{6E7C914E-2C70-4581-A220-A6BD45331E2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1" authorId="0" shapeId="0" xr:uid="{58A2476E-78EA-4D10-9F85-F5B4A0B4F95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1" authorId="0" shapeId="0" xr:uid="{AC460980-C89E-4AE0-B390-62B651EEAE0B}">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AF51" authorId="0" shapeId="0" xr:uid="{7B3E6E69-1577-4607-B3D3-A29A3BB77847}">
      <text>
        <r>
          <rPr>
            <b/>
            <sz val="9"/>
            <color indexed="81"/>
            <rFont val="Tahoma"/>
            <charset val="1"/>
          </rPr>
          <t>David Prochazka:</t>
        </r>
        <r>
          <rPr>
            <sz val="9"/>
            <color indexed="81"/>
            <rFont val="Tahoma"/>
            <charset val="1"/>
          </rPr>
          <t xml:space="preserve">
Source: Handbook of Mineralogy, Lepidolite, maximum across the analyses listed in Sources!G51, https://www.handbookofmineralogy.org/pdfs/lepidolite.pdf</t>
        </r>
      </text>
    </comment>
    <comment ref="D52" authorId="0" shapeId="0" xr:uid="{BB7867DA-2F86-46A3-BD29-C742CF57EDE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2" authorId="0" shapeId="0" xr:uid="{B5A0046B-352F-478A-A9E4-A743FAABCCF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J52" authorId="0" shapeId="0" xr:uid="{54632AA1-CFB0-4274-9751-1B2E78DC6B7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2" authorId="0" shapeId="0" xr:uid="{DF699A0A-92EC-433A-B41D-DC6ADCEB62A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52" authorId="0" shapeId="0" xr:uid="{7C7AE6FB-D243-4A55-ADE5-A46782012EC1}">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S52" authorId="0" shapeId="0" xr:uid="{12FBC75F-BECD-48C2-8A5C-E9CB70A852A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X52" authorId="0" shapeId="0" xr:uid="{F6636499-59B8-4A6E-B574-74CC0E1A64E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2" authorId="0" shapeId="0" xr:uid="{3DB33759-8CAE-4459-9C3E-A1F47682CDA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A52" authorId="0" shapeId="0" xr:uid="{F518616D-FB7C-4C79-9428-96256B802B2C}">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AF52" authorId="0" shapeId="0" xr:uid="{AE355D09-9110-4003-AE32-7C66F4ACD970}">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AL52" authorId="0" shapeId="0" xr:uid="{92477E95-0733-4EFA-9FF3-502349A6ADCF}">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AQ52" authorId="0" shapeId="0" xr:uid="{D3E3C6A2-61FB-4B16-BEB8-952F3B63D5C9}">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AT52" authorId="0" shapeId="0" xr:uid="{307AC6CB-3E93-42F5-B3A7-328C1960ECC7}">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AZ52" authorId="0" shapeId="0" xr:uid="{7E4F3D20-7BB5-41F1-A27F-DA8455698A9C}">
      <text>
        <r>
          <rPr>
            <b/>
            <sz val="9"/>
            <color indexed="81"/>
            <rFont val="Tahoma"/>
            <charset val="1"/>
          </rPr>
          <t>David Prochazka:</t>
        </r>
        <r>
          <rPr>
            <sz val="9"/>
            <color indexed="81"/>
            <rFont val="Tahoma"/>
            <charset val="1"/>
          </rPr>
          <t xml:space="preserve">
Source: Handbook of Mineralogy, Fluorapatite, maximum across the analyses listed in Sources!G52, https://www.handbookofmineralogy.org/pdfs/fluorapatite.pdf</t>
        </r>
      </text>
    </comment>
    <comment ref="C53" authorId="0" shapeId="0" xr:uid="{946195DA-7420-4891-8CC1-FDE57C24D47F}">
      <text>
        <r>
          <rPr>
            <b/>
            <sz val="9"/>
            <color indexed="81"/>
            <rFont val="Tahoma"/>
            <charset val="1"/>
          </rPr>
          <t>David Prochazka:</t>
        </r>
        <r>
          <rPr>
            <sz val="9"/>
            <color indexed="81"/>
            <rFont val="Tahoma"/>
            <charset val="1"/>
          </rPr>
          <t xml:space="preserve">
Source: Handbook of Mineralogy, Beryl, maximum across the analyses listed in Sources!G53, https://handbookofmineralogy.org/pdfs/beryl.pdf</t>
        </r>
      </text>
    </comment>
    <comment ref="D53" authorId="0" shapeId="0" xr:uid="{7EE2F3D3-B252-4450-9E02-24B296FAF98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3" authorId="0" shapeId="0" xr:uid="{A4C3FCF1-939A-4745-9F9A-ED9F3F739339}">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3" authorId="0" shapeId="0" xr:uid="{1BBEBF28-2E37-4D07-8404-4E1287D592E0}">
      <text>
        <r>
          <rPr>
            <b/>
            <sz val="9"/>
            <color indexed="81"/>
            <rFont val="Tahoma"/>
            <charset val="1"/>
          </rPr>
          <t>David Prochazka:</t>
        </r>
        <r>
          <rPr>
            <sz val="9"/>
            <color indexed="81"/>
            <rFont val="Tahoma"/>
            <charset val="1"/>
          </rPr>
          <t xml:space="preserve">
Source: Handbook of Mineralogy, Beryl, maximum across the analyses listed in Sources!G53, https://handbookofmineralogy.org/pdfs/beryl.pdf</t>
        </r>
      </text>
    </comment>
    <comment ref="J53" authorId="0" shapeId="0" xr:uid="{637992B8-2A04-4747-AF2D-C7273DCA985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3" authorId="0" shapeId="0" xr:uid="{8CDC6680-B681-4434-BB8B-4D2E4961C90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S53" authorId="0" shapeId="0" xr:uid="{6B4BE221-1845-473B-9DD2-DCE8D08906A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U53" authorId="0" shapeId="0" xr:uid="{5D2BACC3-AFB0-43C9-BE76-6B66538114EF}">
      <text>
        <r>
          <rPr>
            <b/>
            <sz val="9"/>
            <color indexed="81"/>
            <rFont val="Tahoma"/>
            <charset val="1"/>
          </rPr>
          <t>David Prochazka:</t>
        </r>
        <r>
          <rPr>
            <sz val="9"/>
            <color indexed="81"/>
            <rFont val="Tahoma"/>
            <charset val="1"/>
          </rPr>
          <t xml:space="preserve">
Source: Handbook of Mineralogy, Beryl, maximum across the analyses listed in Sources!G53, https://handbookofmineralogy.org/pdfs/beryl.pdf</t>
        </r>
      </text>
    </comment>
    <comment ref="W53" authorId="0" shapeId="0" xr:uid="{31CD753C-FE0C-47AA-A379-48719AC04A7E}">
      <text>
        <r>
          <rPr>
            <b/>
            <sz val="9"/>
            <color indexed="81"/>
            <rFont val="Tahoma"/>
            <charset val="1"/>
          </rPr>
          <t>David Prochazka:</t>
        </r>
        <r>
          <rPr>
            <sz val="9"/>
            <color indexed="81"/>
            <rFont val="Tahoma"/>
            <charset val="1"/>
          </rPr>
          <t xml:space="preserve">
Source: Handbook of Mineralogy, Beryl, maximum across the analyses listed in Sources!G53, https://handbookofmineralogy.org/pdfs/beryl.pdf</t>
        </r>
      </text>
    </comment>
    <comment ref="X53" authorId="0" shapeId="0" xr:uid="{480CB974-2672-4AEB-BF18-50AB453A53E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3" authorId="0" shapeId="0" xr:uid="{4E5B5A38-4483-4C3D-9768-52046DEFBAA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3" authorId="0" shapeId="0" xr:uid="{BFCB709E-7648-4EDF-8C83-D0A2AECC1D28}">
      <text>
        <r>
          <rPr>
            <b/>
            <sz val="9"/>
            <color indexed="81"/>
            <rFont val="Tahoma"/>
            <charset val="1"/>
          </rPr>
          <t>David Prochazka:</t>
        </r>
        <r>
          <rPr>
            <sz val="9"/>
            <color indexed="81"/>
            <rFont val="Tahoma"/>
            <charset val="1"/>
          </rPr>
          <t xml:space="preserve">
Source: Handbook of Mineralogy, Beryl, maximum across the analyses listed in Sources!G53, https://handbookofmineralogy.org/pdfs/beryl.pdf</t>
        </r>
      </text>
    </comment>
    <comment ref="D54" authorId="0" shapeId="0" xr:uid="{CB5C2C71-48D5-4652-8DAF-B380FF788F1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4" authorId="0" shapeId="0" xr:uid="{A74951A7-E5A5-4598-B914-31630B7502C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4" authorId="0" shapeId="0" xr:uid="{46F07BFA-88D5-452C-8EDC-C254DF6B4028}">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J54" authorId="0" shapeId="0" xr:uid="{87154453-D896-42CC-85FA-49997E47D42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4" authorId="0" shapeId="0" xr:uid="{B2DBF407-6513-451C-82EF-DF898870058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54" authorId="0" shapeId="0" xr:uid="{CEF6F2EE-C04F-426B-8E57-04E5064410D0}">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S54" authorId="0" shapeId="0" xr:uid="{CF4F94EA-48E8-441A-9551-976B63634C7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4" authorId="0" shapeId="0" xr:uid="{1053B501-43F8-44D3-85FB-F650C51B0FB5}">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U54" authorId="0" shapeId="0" xr:uid="{6F273883-5700-400C-A06F-9C40DA7BABE5}">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X54" authorId="0" shapeId="0" xr:uid="{733C89AD-F765-48B4-8E9F-5DFA7D3BBBC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4" authorId="0" shapeId="0" xr:uid="{FE70EAE1-A637-4512-A751-710ED0897F4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A54" authorId="0" shapeId="0" xr:uid="{62445B2F-59B9-4690-B11F-FC10E3D75B5D}">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AE54" authorId="0" shapeId="0" xr:uid="{C27FD000-93FB-4BC2-AF62-A8A3CA00BD7D}">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AF54" authorId="0" shapeId="0" xr:uid="{8AD0E59D-19C9-49EC-9DC4-B09A75E82BFE}">
      <text>
        <r>
          <rPr>
            <b/>
            <sz val="9"/>
            <color indexed="81"/>
            <rFont val="Tahoma"/>
            <charset val="1"/>
          </rPr>
          <t>David Prochazka:</t>
        </r>
        <r>
          <rPr>
            <sz val="9"/>
            <color indexed="81"/>
            <rFont val="Tahoma"/>
            <charset val="1"/>
          </rPr>
          <t xml:space="preserve">
Source: Handbook of Mineralogy, Montebrasite, maximum across the analyses listed in Sources!G54, https://www.handbookofmineralogy.org/pdfs/montebrasite.pdf</t>
        </r>
      </text>
    </comment>
    <comment ref="C55" authorId="0" shapeId="0" xr:uid="{812F9428-1114-4A9D-ACE6-C09160CB65E7}">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55" authorId="0" shapeId="0" xr:uid="{DE8FAA7F-C728-450C-B8D6-6620F8F91A35}">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5" authorId="0" shapeId="0" xr:uid="{A4772A15-EA8D-461B-BF72-C4268FB2E8D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5" authorId="0" shapeId="0" xr:uid="{44173280-7B2A-4DB6-B6A6-6D706A993060}">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J55" authorId="0" shapeId="0" xr:uid="{05175172-EC6B-4D23-8E0E-6BF44CBA401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5" authorId="0" shapeId="0" xr:uid="{33B0657B-CAF6-4509-9EB2-062929B5FDE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55" authorId="0" shapeId="0" xr:uid="{67685BAA-386F-49FB-91DF-2C1C251487EC}">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S55" authorId="0" shapeId="0" xr:uid="{BF7F964B-852A-4C2D-AF3C-6B0A60280C7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5" authorId="0" shapeId="0" xr:uid="{B6470373-A348-4224-9C85-3193EC33750A}">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X55" authorId="0" shapeId="0" xr:uid="{93DA58A2-AFBA-4690-BCF8-8F6989FCAA1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5" authorId="0" shapeId="0" xr:uid="{36934F78-A5CE-4964-9858-14CB7B5F28C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5" authorId="0" shapeId="0" xr:uid="{65D26A1A-6755-460C-962F-6B99CC0188C7}">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C56" authorId="0" shapeId="0" xr:uid="{DC3A5C7F-405C-443C-AFAE-DF80571C0CE0}">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56" authorId="0" shapeId="0" xr:uid="{242F395E-D839-45D2-BA5B-31E53EFDD74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6" authorId="0" shapeId="0" xr:uid="{628DC3DB-9BF1-4644-BC97-503889BC28F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6" authorId="0" shapeId="0" xr:uid="{5C1127E7-5C65-4959-8248-2F5312CDFAA7}">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J56" authorId="0" shapeId="0" xr:uid="{C8DFBB8C-039B-484C-96BA-61C084801BE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6" authorId="0" shapeId="0" xr:uid="{0ADAD2B7-1849-4F0C-819A-91315D294C0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56" authorId="0" shapeId="0" xr:uid="{614B9972-FC6D-4123-801C-13A8569D4A8C}">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S56" authorId="0" shapeId="0" xr:uid="{86B658CE-D732-46A5-A2AB-F549CD760870}">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6" authorId="0" shapeId="0" xr:uid="{AC69E1CA-1242-447D-8A53-405B3C0B8DDF}">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X56" authorId="0" shapeId="0" xr:uid="{DAFD14F5-6E3E-47C1-8B95-7FE5B7E4A19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6" authorId="0" shapeId="0" xr:uid="{A290DDE8-2BDF-46D9-9214-76945437C72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6" authorId="0" shapeId="0" xr:uid="{3154FE62-6447-4A9B-A8AB-2E94C443B2F4}">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C57" authorId="0" shapeId="0" xr:uid="{4F2D64B0-A805-4A92-9A98-753C03810455}">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57" authorId="0" shapeId="0" xr:uid="{EE72C02E-2528-4EBC-999A-B57AFA31794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7" authorId="0" shapeId="0" xr:uid="{DC90DF27-C013-4DDF-B33F-ECA1AB5210A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7" authorId="0" shapeId="0" xr:uid="{7609A734-16D0-4E2C-95B2-47444FCA083D}">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I57" authorId="0" shapeId="0" xr:uid="{46517B27-F61B-439D-9A8B-18925FDD377B}">
      <text>
        <r>
          <rPr>
            <b/>
            <sz val="9"/>
            <color indexed="81"/>
            <rFont val="Tahoma"/>
            <charset val="1"/>
          </rPr>
          <t>David Prochazka:</t>
        </r>
        <r>
          <rPr>
            <sz val="9"/>
            <color indexed="81"/>
            <rFont val="Tahoma"/>
            <charset val="1"/>
          </rPr>
          <t xml:space="preserve">
Source: Handbook of Mineralogy, Spodumene, maximum across the analyses listed in Sources!G57, https://www.handbookofmineralogy.org/pdfs/spodumene.pdf</t>
        </r>
      </text>
    </comment>
    <comment ref="J57" authorId="0" shapeId="0" xr:uid="{2B523087-D62B-4AD5-9950-514E4673C4F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7" authorId="0" shapeId="0" xr:uid="{E418874C-E0BB-4B38-B9FE-933B8D9BF67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O57" authorId="0" shapeId="0" xr:uid="{5AEB6DF0-858A-4926-B30E-693DC8828EE9}">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S57" authorId="0" shapeId="0" xr:uid="{F928030C-FAD6-4C7B-8EEC-DC6B06B87B5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7" authorId="0" shapeId="0" xr:uid="{9B6C392E-01BE-49D1-BF33-C2154020D0BB}">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U57" authorId="0" shapeId="0" xr:uid="{07AC4F50-F9BB-4F47-AE30-D87CDDDD64A4}">
      <text>
        <r>
          <rPr>
            <b/>
            <sz val="9"/>
            <color indexed="81"/>
            <rFont val="Tahoma"/>
            <charset val="1"/>
          </rPr>
          <t>David Prochazka:</t>
        </r>
        <r>
          <rPr>
            <sz val="9"/>
            <color indexed="81"/>
            <rFont val="Tahoma"/>
            <charset val="1"/>
          </rPr>
          <t xml:space="preserve">
Source: Handbook of Mineralogy, Spodumene, maximum across the analyses listed in Sources!G57, https://www.handbookofmineralogy.org/pdfs/spodumene.pdf</t>
        </r>
      </text>
    </comment>
    <comment ref="X57" authorId="0" shapeId="0" xr:uid="{F200BC2B-0399-49D0-95CE-92C8133FC70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7" authorId="0" shapeId="0" xr:uid="{57503FB0-DBFB-4A19-9CCF-6B4D6972DEF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7" authorId="0" shapeId="0" xr:uid="{D036F2B4-88C6-4C5A-BC57-74C8EE81F475}">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C58" authorId="0" shapeId="0" xr:uid="{0F83ADEC-C224-433C-AB01-C88E7AEAFA91}">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58" authorId="0" shapeId="0" xr:uid="{8AD4BEED-68CF-4B09-A730-7B82040EE022}">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8" authorId="0" shapeId="0" xr:uid="{76807525-1462-4FBB-9E81-20EB58BF155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8" authorId="0" shapeId="0" xr:uid="{EF3DC6BB-CC92-4958-9BCE-043CF011AEC1}">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J58" authorId="0" shapeId="0" xr:uid="{B69AC2CC-BC5F-4E76-AD0C-81F8426742E9}">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8" authorId="0" shapeId="0" xr:uid="{CC69C54A-5F75-4F51-AA3A-7605A92FE904}">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N58" authorId="0" shapeId="0" xr:uid="{502CDBC6-BA4A-4677-BDC2-709325C905F0}">
      <text>
        <r>
          <rPr>
            <b/>
            <sz val="9"/>
            <color indexed="81"/>
            <rFont val="Tahoma"/>
            <charset val="1"/>
          </rPr>
          <t>David Prochazka:</t>
        </r>
        <r>
          <rPr>
            <sz val="9"/>
            <color indexed="81"/>
            <rFont val="Tahoma"/>
            <charset val="1"/>
          </rPr>
          <t xml:space="preserve">
Source: Handbook of Mineralogy, Calcite, maximum across the analyses listed in Sources!G58, https://www.handbookofmineralogy.org/pdfs/calcite.pdf</t>
        </r>
      </text>
    </comment>
    <comment ref="O58" authorId="0" shapeId="0" xr:uid="{79DE72C5-54C1-4C57-8173-257D6091B4E2}">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S58" authorId="0" shapeId="0" xr:uid="{1F6D6D1C-467D-45CE-9563-21A69EEC80E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8" authorId="0" shapeId="0" xr:uid="{CE6C113D-F8BE-4FDD-8694-323F6BD22DE7}">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X58" authorId="0" shapeId="0" xr:uid="{CF254D9C-731D-460B-9CC8-A04F46093C8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8" authorId="0" shapeId="0" xr:uid="{973362FD-115B-4F5B-B02A-D1FE45034ADD}">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D58" authorId="0" shapeId="0" xr:uid="{62A8AB68-A386-4E99-BC56-C3475C8C39B6}">
      <text>
        <r>
          <rPr>
            <b/>
            <sz val="9"/>
            <color indexed="81"/>
            <rFont val="Tahoma"/>
            <charset val="1"/>
          </rPr>
          <t>David Prochazka:</t>
        </r>
        <r>
          <rPr>
            <sz val="9"/>
            <color indexed="81"/>
            <rFont val="Tahoma"/>
            <charset val="1"/>
          </rPr>
          <t xml:space="preserve">
Source: Handbook of Mineralogy, Calcite, maximum across the analyses listed in Sources!G58, https://www.handbookofmineralogy.org/pdfs/calcite.pdf</t>
        </r>
      </text>
    </comment>
    <comment ref="AE58" authorId="0" shapeId="0" xr:uid="{949F6D2B-4E8D-4835-9A2D-A14FED72497C}">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C59" authorId="0" shapeId="0" xr:uid="{4FE63B3A-EE13-419E-8905-0F0368B6BB3A}">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59" authorId="0" shapeId="0" xr:uid="{5A78AD08-5134-42C1-B8E6-1FBE0632D24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59" authorId="0" shapeId="0" xr:uid="{F73E6A27-0BCF-4FFA-A8BF-233587FE702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59" authorId="0" shapeId="0" xr:uid="{CF3A10A2-F019-4BDE-9816-D2CA814A1B44}">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J59" authorId="0" shapeId="0" xr:uid="{E4064D5D-DA2D-438D-B37D-51B01FE4A6D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59" authorId="0" shapeId="0" xr:uid="{5E1D8332-1547-4850-82B1-6B6805E8FCC5}">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L59" authorId="0" shapeId="0" xr:uid="{DC2C34AA-6260-4182-AE3A-18AA52453268}">
      <text>
        <r>
          <rPr>
            <b/>
            <sz val="9"/>
            <color indexed="81"/>
            <rFont val="Tahoma"/>
            <charset val="1"/>
          </rPr>
          <t>David Prochazka:</t>
        </r>
        <r>
          <rPr>
            <sz val="9"/>
            <color indexed="81"/>
            <rFont val="Tahoma"/>
            <charset val="1"/>
          </rPr>
          <t xml:space="preserve">
Source: Handbook of Mineralogy, Sphalerite, maximum across the analyses listed in Sources!G59, https://www.handbookofmineralogy.org/pdfs/sphalerite.pdf</t>
        </r>
      </text>
    </comment>
    <comment ref="O59" authorId="0" shapeId="0" xr:uid="{A6F62724-4423-44E1-AFF2-4C8B658203BC}">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S59" authorId="0" shapeId="0" xr:uid="{8DAA5483-4480-4AA1-AB28-358FB8B6B0B6}">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59" authorId="0" shapeId="0" xr:uid="{8D64F68A-0738-49D7-B41A-6AFF58124277}">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X59" authorId="0" shapeId="0" xr:uid="{F1569441-B9A8-4EA1-8C13-6159FE3BE328}">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59" authorId="0" shapeId="0" xr:uid="{63180312-8E74-40F9-A858-EEC7AD3A77E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59" authorId="0" shapeId="0" xr:uid="{76BDCD4D-45AF-448E-81AC-107C95628B82}">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AH59" authorId="0" shapeId="0" xr:uid="{F7233842-9256-4214-9602-D864D3849ACF}">
      <text>
        <r>
          <rPr>
            <b/>
            <sz val="9"/>
            <color indexed="81"/>
            <rFont val="Tahoma"/>
            <charset val="1"/>
          </rPr>
          <t>David Prochazka:</t>
        </r>
        <r>
          <rPr>
            <sz val="9"/>
            <color indexed="81"/>
            <rFont val="Tahoma"/>
            <charset val="1"/>
          </rPr>
          <t xml:space="preserve">
Source: Handbook of Mineralogy, Sphalerite, maximum across the analyses listed in Sources!G59, https://www.handbookofmineralogy.org/pdfs/sphalerite.pdf</t>
        </r>
      </text>
    </comment>
    <comment ref="C60" authorId="0" shapeId="0" xr:uid="{A3C63AA1-839F-4738-AB85-1E2E489024CA}">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60" authorId="0" shapeId="0" xr:uid="{B58AA506-F993-49B4-B7E8-51B6108A9B6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60" authorId="0" shapeId="0" xr:uid="{A1EED986-CDD6-4029-8695-F8921EF5E24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60" authorId="0" shapeId="0" xr:uid="{A01128BF-BFCD-4322-9DEC-16E85E8E8463}">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J60" authorId="0" shapeId="0" xr:uid="{82F3BA84-A175-4E67-B554-14766A2D9A9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60" authorId="0" shapeId="0" xr:uid="{89EB3D8F-6B7E-4466-977E-9BC0F61FF00F}">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L60" authorId="0" shapeId="0" xr:uid="{4617EA89-F703-4224-8026-D293D7761EF5}">
      <text>
        <r>
          <rPr>
            <b/>
            <sz val="9"/>
            <color indexed="81"/>
            <rFont val="Tahoma"/>
            <charset val="1"/>
          </rPr>
          <t>David Prochazka:</t>
        </r>
        <r>
          <rPr>
            <sz val="9"/>
            <color indexed="81"/>
            <rFont val="Tahoma"/>
            <charset val="1"/>
          </rPr>
          <t xml:space="preserve">
Source: Handbook of Mineralogy, Sphalerite, maximum across the analyses listed in Sources!G59, https://www.handbookofmineralogy.org/pdfs/sphalerite.pdf</t>
        </r>
      </text>
    </comment>
    <comment ref="N60" authorId="0" shapeId="0" xr:uid="{F95BBDDF-48C7-4C25-8078-A5DEE71CD927}">
      <text>
        <r>
          <rPr>
            <b/>
            <sz val="9"/>
            <color indexed="81"/>
            <rFont val="Tahoma"/>
            <charset val="1"/>
          </rPr>
          <t>David Prochazka:</t>
        </r>
        <r>
          <rPr>
            <sz val="9"/>
            <color indexed="81"/>
            <rFont val="Tahoma"/>
            <charset val="1"/>
          </rPr>
          <t xml:space="preserve">
Source: Handbook of Mineralogy, Crandallite, maximum across the analyses listed in Sources!G60, https://www.handbookofmineralogy.org/pdfs/crandallite.pdf</t>
        </r>
      </text>
    </comment>
    <comment ref="O60" authorId="0" shapeId="0" xr:uid="{5BF1E3C0-E4F6-43FB-9307-EDA7610088FA}">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P60" authorId="0" shapeId="0" xr:uid="{145169F5-A33E-4936-8219-1827EFBDB6F4}">
      <text>
        <r>
          <rPr>
            <b/>
            <sz val="9"/>
            <color indexed="81"/>
            <rFont val="Tahoma"/>
            <charset val="1"/>
          </rPr>
          <t>David Prochazka:</t>
        </r>
        <r>
          <rPr>
            <sz val="9"/>
            <color indexed="81"/>
            <rFont val="Tahoma"/>
            <charset val="1"/>
          </rPr>
          <t xml:space="preserve">
Source: Handbook of Mineralogy, Crandallite, maximum across the analyses listed in Sources!G60, https://www.handbookofmineralogy.org/pdfs/crandallite.pdf</t>
        </r>
      </text>
    </comment>
    <comment ref="S60" authorId="0" shapeId="0" xr:uid="{5EAA19D8-B540-42FA-B0DC-F756026E673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60" authorId="0" shapeId="0" xr:uid="{8F5C424E-B5B0-46FC-8A29-5F9C0E508193}">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X60" authorId="0" shapeId="0" xr:uid="{85F159D4-EE13-4005-8DBC-CA81AB376D63}">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60" authorId="0" shapeId="0" xr:uid="{FD2C84BE-DF00-4F1D-97C4-09C04FBF92E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A60" authorId="0" shapeId="0" xr:uid="{F73970F8-D4E5-44B2-B18E-94E0264D6DD3}">
      <text>
        <r>
          <rPr>
            <b/>
            <sz val="9"/>
            <color indexed="81"/>
            <rFont val="Tahoma"/>
            <charset val="1"/>
          </rPr>
          <t>David Prochazka:</t>
        </r>
        <r>
          <rPr>
            <sz val="9"/>
            <color indexed="81"/>
            <rFont val="Tahoma"/>
            <charset val="1"/>
          </rPr>
          <t xml:space="preserve">
Source: Handbook of Mineralogy, Crandallite, maximum across the analyses listed in Sources!G60, https://www.handbookofmineralogy.org/pdfs/crandallite.pdf</t>
        </r>
      </text>
    </comment>
    <comment ref="AC60" authorId="0" shapeId="0" xr:uid="{5A9D0C12-485B-47F0-9EC9-4E51154D3E3F}">
      <text>
        <r>
          <rPr>
            <b/>
            <sz val="9"/>
            <color indexed="81"/>
            <rFont val="Tahoma"/>
            <charset val="1"/>
          </rPr>
          <t>David Prochazka:</t>
        </r>
        <r>
          <rPr>
            <sz val="9"/>
            <color indexed="81"/>
            <rFont val="Tahoma"/>
            <charset val="1"/>
          </rPr>
          <t xml:space="preserve">
Source: Handbook of Mineralogy, Crandallite, maximum across the analyses listed in Sources!G60, https://www.handbookofmineralogy.org/pdfs/crandallite.pdf</t>
        </r>
      </text>
    </comment>
    <comment ref="AE60" authorId="0" shapeId="0" xr:uid="{275A3D1F-B916-47E3-A1D7-4CC638830070}">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AH60" authorId="0" shapeId="0" xr:uid="{424E4C18-7A44-426D-85D1-F9EBA9A44559}">
      <text>
        <r>
          <rPr>
            <b/>
            <sz val="9"/>
            <color indexed="81"/>
            <rFont val="Tahoma"/>
            <charset val="1"/>
          </rPr>
          <t>David Prochazka:</t>
        </r>
        <r>
          <rPr>
            <sz val="9"/>
            <color indexed="81"/>
            <rFont val="Tahoma"/>
            <charset val="1"/>
          </rPr>
          <t xml:space="preserve">
Source: Handbook of Mineralogy, Sphalerite, maximum across the analyses listed in Sources!G59, https://www.handbookofmineralogy.org/pdfs/sphalerite.pdf</t>
        </r>
      </text>
    </comment>
    <comment ref="C61" authorId="0" shapeId="0" xr:uid="{6360B961-8498-4C4C-A9F1-F64B45554D7A}">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D61" authorId="0" shapeId="0" xr:uid="{DB6B090D-8E0E-4471-8DB1-5876C317053E}">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G61" authorId="0" shapeId="0" xr:uid="{83730B90-D2FB-4B3C-AC2C-33E39BC1EC2A}">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H61" authorId="0" shapeId="0" xr:uid="{50BFD73E-6432-45B8-BB62-A72770344D31}">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J61" authorId="0" shapeId="0" xr:uid="{616F303A-A7E9-485B-9B06-E1EDE63B0C09}">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K61" authorId="0" shapeId="0" xr:uid="{4B42F200-2130-410A-A454-182ED814EEDC}">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L61" authorId="0" shapeId="0" xr:uid="{21A56257-8787-4137-935F-FD9CD1700353}">
      <text>
        <r>
          <rPr>
            <b/>
            <sz val="9"/>
            <color indexed="81"/>
            <rFont val="Tahoma"/>
            <charset val="1"/>
          </rPr>
          <t>David Prochazka:</t>
        </r>
        <r>
          <rPr>
            <sz val="9"/>
            <color indexed="81"/>
            <rFont val="Tahoma"/>
            <charset val="1"/>
          </rPr>
          <t xml:space="preserve">
Source: Handbook of Mineralogy, Sphalerite, maximum across the analyses listed in Sources!G59, https://www.handbookofmineralogy.org/pdfs/sphalerite.pdf</t>
        </r>
      </text>
    </comment>
    <comment ref="M61" authorId="0" shapeId="0" xr:uid="{A4816C77-B6CF-4D99-97B7-038EC71BEF17}">
      <text>
        <r>
          <rPr>
            <b/>
            <sz val="9"/>
            <color indexed="81"/>
            <rFont val="Tahoma"/>
            <charset val="1"/>
          </rPr>
          <t>David Prochazka:</t>
        </r>
        <r>
          <rPr>
            <sz val="9"/>
            <color indexed="81"/>
            <rFont val="Tahoma"/>
            <charset val="1"/>
          </rPr>
          <t xml:space="preserve">
Source: Handbook of Mineralogy, Kesterite, maximum across the analyses listed in Sources!G61, https://www.handbookofmineralogy.org/pdfs/kesterite.pdf</t>
        </r>
      </text>
    </comment>
    <comment ref="O61" authorId="0" shapeId="0" xr:uid="{FB474813-F17E-4773-867A-ABADB4E2CD68}">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S61" authorId="0" shapeId="0" xr:uid="{A0B6932F-F3C4-4680-A82A-29C57C1C477B}">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T61" authorId="0" shapeId="0" xr:uid="{B72C57BA-E1FA-4EBF-BD9E-9EEDE0ED831A}">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X61" authorId="0" shapeId="0" xr:uid="{13D79DAB-0297-4192-8A15-34449B8620D7}">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Y61" authorId="0" shapeId="0" xr:uid="{C38D62F1-D816-4466-89C9-A552613A5ED1}">
      <text>
        <r>
          <rPr>
            <b/>
            <sz val="9"/>
            <color indexed="81"/>
            <rFont val="Tahoma"/>
            <charset val="1"/>
          </rPr>
          <t>David Prochazka:</t>
        </r>
        <r>
          <rPr>
            <sz val="9"/>
            <color indexed="81"/>
            <rFont val="Tahoma"/>
            <charset val="1"/>
          </rPr>
          <t xml:space="preserve">
Source: Handbook of Mineralogy, Manganocolumbite, maximum across: (1); (2); (3), https://www.handbookofmineralogy.org/pdfs/manganocolumbite.pdf</t>
        </r>
      </text>
    </comment>
    <comment ref="AE61" authorId="0" shapeId="0" xr:uid="{81DA6F0A-6AA8-4ED2-B378-4CFC7109261F}">
      <text>
        <r>
          <rPr>
            <b/>
            <sz val="9"/>
            <color indexed="81"/>
            <rFont val="Tahoma"/>
            <charset val="1"/>
          </rPr>
          <t>David Prochazka:</t>
        </r>
        <r>
          <rPr>
            <sz val="9"/>
            <color indexed="81"/>
            <rFont val="Tahoma"/>
            <charset val="1"/>
          </rPr>
          <t xml:space="preserve">
Source: Handbook of Mineralogy, Oligoclase (plagioclase An10-30), maximum across the analyses listed in Sources!G55, http://www.handbookofmineralogy.org/pdfs/oligoclase</t>
        </r>
      </text>
    </comment>
    <comment ref="AH61" authorId="0" shapeId="0" xr:uid="{C370C918-531C-4C04-8A1B-9EA7EEAFEF6E}">
      <text>
        <r>
          <rPr>
            <b/>
            <sz val="9"/>
            <color indexed="81"/>
            <rFont val="Tahoma"/>
            <charset val="1"/>
          </rPr>
          <t>David Prochazka:</t>
        </r>
        <r>
          <rPr>
            <sz val="9"/>
            <color indexed="81"/>
            <rFont val="Tahoma"/>
            <charset val="1"/>
          </rPr>
          <t xml:space="preserve">
Source: Handbook of Mineralogy, Sphalerite, maximum across the analyses listed in Sources!G59, https://www.handbookofmineralogy.org/pdfs/sphalerite.pdf</t>
        </r>
      </text>
    </comment>
    <comment ref="C62" authorId="0" shapeId="0" xr:uid="{D5DF5B39-9F35-48FC-8F8B-E85B6C31B677}">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H62" authorId="0" shapeId="0" xr:uid="{63C4C809-7BC1-493D-AD37-3387C897BDAE}">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J62" authorId="0" shapeId="0" xr:uid="{6510724A-F759-46F2-8F78-57744376B316}">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K62" authorId="0" shapeId="0" xr:uid="{133196D4-DA7B-425C-B1D8-5163A79CE22C}">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S62" authorId="0" shapeId="0" xr:uid="{21634FC4-CC24-49AD-8D18-88F368C28ED2}">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U62" authorId="0" shapeId="0" xr:uid="{7BBD0791-8CF7-440C-A815-63B2221E6CFE}">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AA62" authorId="0" shapeId="0" xr:uid="{AC4154A5-88C2-44BB-A7CA-DD02326E4349}">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AE62" authorId="0" shapeId="0" xr:uid="{D8C8F27F-63A9-42E9-AF35-0E4FBF876FBE}">
      <text>
        <r>
          <rPr>
            <b/>
            <sz val="9"/>
            <color indexed="81"/>
            <rFont val="Tahoma"/>
            <charset val="1"/>
          </rPr>
          <t>David Prochazka:</t>
        </r>
        <r>
          <rPr>
            <sz val="9"/>
            <color indexed="81"/>
            <rFont val="Tahoma"/>
            <charset val="1"/>
          </rPr>
          <t xml:space="preserve">
Source: Handbook of Mineralogy, Lithiophilite, maximum across: (1); (2); (3), https://handbookofmineralogy.org/pdfs/lithiophilite.pdf</t>
        </r>
      </text>
    </comment>
    <comment ref="J63" authorId="0" shapeId="0" xr:uid="{51BC60FA-E651-4661-B098-B1425EB11EF2}">
      <text>
        <r>
          <rPr>
            <b/>
            <sz val="9"/>
            <color indexed="81"/>
            <rFont val="Tahoma"/>
            <charset val="1"/>
          </rPr>
          <t>David Prochazka:</t>
        </r>
        <r>
          <rPr>
            <sz val="9"/>
            <color indexed="81"/>
            <rFont val="Tahoma"/>
            <charset val="1"/>
          </rPr>
          <t xml:space="preserve">
Source: Handbook of Mineralogy, Rhodochrosite, maximum across: (1); (2), https://www.handbookofmineralogy.org/pdfs/rhodochrosite.pdf</t>
        </r>
      </text>
    </comment>
    <comment ref="K63" authorId="0" shapeId="0" xr:uid="{80E8EE47-EA52-4CC1-838C-3A15929BE733}">
      <text>
        <r>
          <rPr>
            <b/>
            <sz val="9"/>
            <color indexed="81"/>
            <rFont val="Tahoma"/>
            <charset val="1"/>
          </rPr>
          <t>David Prochazka:</t>
        </r>
        <r>
          <rPr>
            <sz val="9"/>
            <color indexed="81"/>
            <rFont val="Tahoma"/>
            <charset val="1"/>
          </rPr>
          <t xml:space="preserve">
Source: Handbook of Mineralogy, Rhodochrosite, maximum across: (1); (2), https://www.handbookofmineralogy.org/pdfs/rhodochrosite.pdf</t>
        </r>
      </text>
    </comment>
    <comment ref="O63" authorId="0" shapeId="0" xr:uid="{1CD256B0-8F7A-46D4-B9C1-8BAAF83CCE18}">
      <text>
        <r>
          <rPr>
            <b/>
            <sz val="9"/>
            <color indexed="81"/>
            <rFont val="Tahoma"/>
            <charset val="1"/>
          </rPr>
          <t>David Prochazka:</t>
        </r>
        <r>
          <rPr>
            <sz val="9"/>
            <color indexed="81"/>
            <rFont val="Tahoma"/>
            <charset val="1"/>
          </rPr>
          <t xml:space="preserve">
Source: Handbook of Mineralogy, Rhodochrosite, maximum across: (1); (2), https://www.handbookofmineralogy.org/pdfs/rhodochrosite.pdf</t>
        </r>
      </text>
    </comment>
    <comment ref="AD63" authorId="0" shapeId="0" xr:uid="{E34B868B-EF6E-4807-B6BE-9E1C8D459B09}">
      <text>
        <r>
          <rPr>
            <b/>
            <sz val="9"/>
            <color indexed="81"/>
            <rFont val="Tahoma"/>
            <charset val="1"/>
          </rPr>
          <t>David Prochazka:</t>
        </r>
        <r>
          <rPr>
            <sz val="9"/>
            <color indexed="81"/>
            <rFont val="Tahoma"/>
            <charset val="1"/>
          </rPr>
          <t xml:space="preserve">
Source: Handbook of Mineralogy, Rhodochrosite, maximum across: (1); (2), https://www.handbookofmineralogy.org/pdfs/rhodochrosite.pdf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build_mineral_table</author>
  </authors>
  <commentList>
    <comment ref="A1" authorId="0" shapeId="0" xr:uid="{00000000-0006-0000-0600-000001000000}">
      <text>
        <r>
          <rPr>
            <sz val="11"/>
            <color theme="1"/>
            <rFont val="Calibri"/>
            <family val="2"/>
            <scheme val="minor"/>
          </rPr>
          <t>Generator input (element wt%): midpoint of the min/max range, so that the generator's uniform draw nominal ± uncertainty spans the natural range. Rows are renormalised to 100 % per shot by the generator.</t>
        </r>
      </text>
    </comment>
    <comment ref="E1" authorId="0" shapeId="0" xr:uid="{00000000-0006-0000-0600-000002000000}">
      <text>
        <r>
          <rPr>
            <sz val="11"/>
            <color theme="1"/>
            <rFont val="Calibri"/>
            <family val="2"/>
            <scheme val="minor"/>
          </rPr>
          <t>Zr has no lines in LIBS_data.db and is dropped by the generator.</t>
        </r>
      </text>
    </comment>
    <comment ref="W1" authorId="0" shapeId="0" xr:uid="{00000000-0006-0000-0600-000003000000}">
      <text>
        <r>
          <rPr>
            <sz val="11"/>
            <color theme="1"/>
            <rFont val="Calibri"/>
            <family val="2"/>
            <scheme val="minor"/>
          </rPr>
          <t>Nb has no lines in LIBS_data.db and is dropped by the generator.</t>
        </r>
      </text>
    </comment>
    <comment ref="AG1" authorId="0" shapeId="0" xr:uid="{00000000-0006-0000-0600-000004000000}">
      <text>
        <r>
          <rPr>
            <sz val="11"/>
            <color theme="1"/>
            <rFont val="Calibri"/>
            <family val="2"/>
            <scheme val="minor"/>
          </rPr>
          <t>Th has no lines in LIBS_data.db and is dropped by the generator.</t>
        </r>
      </text>
    </comment>
    <comment ref="AH1" authorId="0" shapeId="0" xr:uid="{00000000-0006-0000-0600-000005000000}">
      <text>
        <r>
          <rPr>
            <sz val="11"/>
            <color theme="1"/>
            <rFont val="Calibri"/>
            <family val="2"/>
            <scheme val="minor"/>
          </rPr>
          <t>U has no lines in LIBS_data.db and is dropped by the generator.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build_mineral_table</author>
  </authors>
  <commentList>
    <comment ref="A1" authorId="0" shapeId="0" xr:uid="{00000000-0006-0000-0700-000001000000}">
      <text>
        <r>
          <rPr>
            <sz val="11"/>
            <color theme="1"/>
            <rFont val="Calibri"/>
            <family val="2"/>
            <scheme val="minor"/>
          </rPr>
          <t>Generator input (element wt%): half-width of the min/max range, capped at the nominal value so that no draw is negative.</t>
        </r>
      </text>
    </comment>
    <comment ref="E1" authorId="0" shapeId="0" xr:uid="{00000000-0006-0000-0700-000002000000}">
      <text>
        <r>
          <rPr>
            <sz val="11"/>
            <color theme="1"/>
            <rFont val="Calibri"/>
            <family val="2"/>
            <scheme val="minor"/>
          </rPr>
          <t>Zr has no lines in LIBS_data.db and is dropped by the generator.</t>
        </r>
      </text>
    </comment>
    <comment ref="W1" authorId="0" shapeId="0" xr:uid="{00000000-0006-0000-0700-000003000000}">
      <text>
        <r>
          <rPr>
            <sz val="11"/>
            <color theme="1"/>
            <rFont val="Calibri"/>
            <family val="2"/>
            <scheme val="minor"/>
          </rPr>
          <t>Nb has no lines in LIBS_data.db and is dropped by the generator.</t>
        </r>
      </text>
    </comment>
    <comment ref="AG1" authorId="0" shapeId="0" xr:uid="{00000000-0006-0000-0700-000004000000}">
      <text>
        <r>
          <rPr>
            <sz val="11"/>
            <color theme="1"/>
            <rFont val="Calibri"/>
            <family val="2"/>
            <scheme val="minor"/>
          </rPr>
          <t>Th has no lines in LIBS_data.db and is dropped by the generator.</t>
        </r>
      </text>
    </comment>
    <comment ref="AH1" authorId="0" shapeId="0" xr:uid="{00000000-0006-0000-0700-000005000000}">
      <text>
        <r>
          <rPr>
            <sz val="11"/>
            <color theme="1"/>
            <rFont val="Calibri"/>
            <family val="2"/>
            <scheme val="minor"/>
          </rPr>
          <t>U has no lines in LIBS_data.db and is dropped by the generator.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build_mineral_table</author>
  </authors>
  <commentList>
    <comment ref="A1" authorId="0" shapeId="0" xr:uid="{00000000-0006-0000-0800-000001000000}">
      <text>
        <r>
          <rPr>
            <sz val="11"/>
            <color theme="1"/>
            <rFont val="Calibri"/>
            <family val="2"/>
            <scheme val="minor"/>
          </rPr>
          <t>Element wt% of the typical analysis (Oxides_typical). Reference / labels only; not read by the generator.</t>
        </r>
      </text>
    </comment>
    <comment ref="E1" authorId="0" shapeId="0" xr:uid="{00000000-0006-0000-0800-000002000000}">
      <text>
        <r>
          <rPr>
            <sz val="11"/>
            <color theme="1"/>
            <rFont val="Calibri"/>
            <family val="2"/>
            <scheme val="minor"/>
          </rPr>
          <t>Zr has no lines in LIBS_data.db and is dropped by the generator.</t>
        </r>
      </text>
    </comment>
    <comment ref="W1" authorId="0" shapeId="0" xr:uid="{00000000-0006-0000-0800-000003000000}">
      <text>
        <r>
          <rPr>
            <sz val="11"/>
            <color theme="1"/>
            <rFont val="Calibri"/>
            <family val="2"/>
            <scheme val="minor"/>
          </rPr>
          <t>Nb has no lines in LIBS_data.db and is dropped by the generator.</t>
        </r>
      </text>
    </comment>
    <comment ref="AG1" authorId="0" shapeId="0" xr:uid="{00000000-0006-0000-0800-000004000000}">
      <text>
        <r>
          <rPr>
            <sz val="11"/>
            <color theme="1"/>
            <rFont val="Calibri"/>
            <family val="2"/>
            <scheme val="minor"/>
          </rPr>
          <t>Th has no lines in LIBS_data.db and is dropped by the generator.</t>
        </r>
      </text>
    </comment>
    <comment ref="AH1" authorId="0" shapeId="0" xr:uid="{00000000-0006-0000-0800-000005000000}">
      <text>
        <r>
          <rPr>
            <sz val="11"/>
            <color theme="1"/>
            <rFont val="Calibri"/>
            <family val="2"/>
            <scheme val="minor"/>
          </rPr>
          <t>U has no lines in LIBS_data.db and is dropped by the generator.</t>
        </r>
      </text>
    </comment>
  </commentList>
</comments>
</file>

<file path=xl/sharedStrings.xml><?xml version="1.0" encoding="utf-8"?>
<sst xmlns="http://schemas.openxmlformats.org/spreadsheetml/2006/main" count="1670" uniqueCount="542">
  <si>
    <t>REE minerals — oxide compositions for synthetic LIBS spectra</t>
  </si>
  <si>
    <t>How to edit</t>
  </si>
  <si>
    <t>• Edit only the blue numbers in Oxides_typical, Oxides_min and Oxides_max (wt%). Everything else is formulas.</t>
  </si>
  <si>
    <t>• To add a mineral: add the same row (same row number) to all three Oxides_* sheets, then copy the formula row of Concentrations, Uncertainties and Elements_typical down one row.</t>
  </si>
  <si>
    <t>• To add an oxide: insert it as a column in Factors (rows 1-4) and in the three Oxides_* sheets at the same column position, and extend the SUMPRODUCT ranges.</t>
  </si>
  <si>
    <t>Sheets</t>
  </si>
  <si>
    <t>Oxides_typical / _min / _max — one row per mineral, one column per oxide (wt%). Total = Σ oxides − O≡F,Cl (should be ≈ 98–102).</t>
  </si>
  <si>
    <t>Factors — oxide → element mass-fraction matrix (from AtomicWeights).</t>
  </si>
  <si>
    <t>Concentrations + Uncertainties — element wt% in the layout read by data/libs_pipeline.load_sample_types (paths.sample_matrix in the libs_data YAML). Nominal = midpoint of the natural range, uncertainty = half-width, so the generator's uniform draw covers min…max for every element.</t>
  </si>
  <si>
    <t>Elements_typical — element wt% of the typical analysis (reference only).</t>
  </si>
  <si>
    <t>Sources — literature / database source of every analysis and range.</t>
  </si>
  <si>
    <t>Orig_* — the original REE_by_LIBS_tables.xlsx sheets, unchanged.</t>
  </si>
  <si>
    <t>Conventions</t>
  </si>
  <si>
    <t>REE as R2O3 (Pr6O11 ×0.9687 → Pr2O3, Tb4O7 ×0.9786 → Tb2O3, CeO2 ×0.9535 → Ce2O3; cerianite keeps CeO2). F, Cl as element wt%; O≡F = 0.4211·F, O≡Cl = 0.2256·Cl. U as UO2, water as H2O, carbonate as CO2. Empty cell = not reported.</t>
  </si>
  <si>
    <t>Oxygen is an element column (O from all oxides minus the halogen correction). In LIBS in air, sample O and atmospheric O cannot be separated.</t>
  </si>
  <si>
    <t>Elements without lines in the LIBS line database (dropped by the generator, orange headers): Zr, Nb, Th, U</t>
  </si>
  <si>
    <t>Each element is drawn independently in the generator, so drawn compositions are not stoichiometrically coupled (e.g. all REEs high at once is possible).</t>
  </si>
  <si>
    <t>Element</t>
  </si>
  <si>
    <t>Atomic weight (u)</t>
  </si>
  <si>
    <t>In LIBS line DB</t>
  </si>
  <si>
    <t>O</t>
  </si>
  <si>
    <t>yes</t>
  </si>
  <si>
    <t>Si</t>
  </si>
  <si>
    <t>Ti</t>
  </si>
  <si>
    <t>Zr</t>
  </si>
  <si>
    <t>NO</t>
  </si>
  <si>
    <t>Hf</t>
  </si>
  <si>
    <t>Sn</t>
  </si>
  <si>
    <t>Al</t>
  </si>
  <si>
    <t>Fe</t>
  </si>
  <si>
    <t>Mn</t>
  </si>
  <si>
    <t>Mg</t>
  </si>
  <si>
    <t>Ca</t>
  </si>
  <si>
    <t>Sr</t>
  </si>
  <si>
    <t>Ba</t>
  </si>
  <si>
    <t>Pb</t>
  </si>
  <si>
    <t>Na</t>
  </si>
  <si>
    <t>K</t>
  </si>
  <si>
    <t>Be</t>
  </si>
  <si>
    <t>Nb</t>
  </si>
  <si>
    <t>Ta</t>
  </si>
  <si>
    <t>W</t>
  </si>
  <si>
    <t>P</t>
  </si>
  <si>
    <t>As</t>
  </si>
  <si>
    <t>S</t>
  </si>
  <si>
    <t>C</t>
  </si>
  <si>
    <t>H</t>
  </si>
  <si>
    <t>F</t>
  </si>
  <si>
    <t>Cl</t>
  </si>
  <si>
    <t>Th</t>
  </si>
  <si>
    <t>U</t>
  </si>
  <si>
    <t>Sc</t>
  </si>
  <si>
    <t>Y</t>
  </si>
  <si>
    <t>La</t>
  </si>
  <si>
    <t>Ce</t>
  </si>
  <si>
    <t>Pr</t>
  </si>
  <si>
    <t>Nd</t>
  </si>
  <si>
    <t>Sm</t>
  </si>
  <si>
    <t>Eu</t>
  </si>
  <si>
    <t>Gd</t>
  </si>
  <si>
    <t>Tb</t>
  </si>
  <si>
    <t>Dy</t>
  </si>
  <si>
    <t>Ho</t>
  </si>
  <si>
    <t>Er</t>
  </si>
  <si>
    <t>Tm</t>
  </si>
  <si>
    <t>Yb</t>
  </si>
  <si>
    <t>Lu</t>
  </si>
  <si>
    <t>Bi</t>
  </si>
  <si>
    <t>Source: IUPAC 2013 standard atomic weights (data/atomic_data.py, ATOMIC_MASS_AMU). 'In LIBS line DB' = element has lines in external_data/Source/LIBS_data.db (QuantParam); elements marked NO are dropped by the generator.</t>
  </si>
  <si>
    <t>Oxide / species</t>
  </si>
  <si>
    <t>SiO2</t>
  </si>
  <si>
    <t>TiO2</t>
  </si>
  <si>
    <t>ZrO2</t>
  </si>
  <si>
    <t>HfO2</t>
  </si>
  <si>
    <t>SnO2</t>
  </si>
  <si>
    <t>Al2O3</t>
  </si>
  <si>
    <t>Fe2O3</t>
  </si>
  <si>
    <t>FeO</t>
  </si>
  <si>
    <t>MnO</t>
  </si>
  <si>
    <t>MgO</t>
  </si>
  <si>
    <t>CaO</t>
  </si>
  <si>
    <t>SrO</t>
  </si>
  <si>
    <t>BaO</t>
  </si>
  <si>
    <t>PbO</t>
  </si>
  <si>
    <t>Na2O</t>
  </si>
  <si>
    <t>K2O</t>
  </si>
  <si>
    <t>BeO</t>
  </si>
  <si>
    <t>Nb2O5</t>
  </si>
  <si>
    <t>Ta2O5</t>
  </si>
  <si>
    <t>WO3</t>
  </si>
  <si>
    <t>P2O5</t>
  </si>
  <si>
    <t>As2O5</t>
  </si>
  <si>
    <t>SO3</t>
  </si>
  <si>
    <t>CO2</t>
  </si>
  <si>
    <t>H2O</t>
  </si>
  <si>
    <t>ThO2</t>
  </si>
  <si>
    <t>UO2</t>
  </si>
  <si>
    <t>Sc2O3</t>
  </si>
  <si>
    <t>Y2O3</t>
  </si>
  <si>
    <t>La2O3</t>
  </si>
  <si>
    <t>Ce2O3</t>
  </si>
  <si>
    <t>CeO2</t>
  </si>
  <si>
    <t>Pr2O3</t>
  </si>
  <si>
    <t>Nd2O3</t>
  </si>
  <si>
    <t>Sm2O3</t>
  </si>
  <si>
    <t>Eu2O3</t>
  </si>
  <si>
    <t>Gd2O3</t>
  </si>
  <si>
    <t>Tb2O3</t>
  </si>
  <si>
    <t>Dy2O3</t>
  </si>
  <si>
    <t>Ho2O3</t>
  </si>
  <si>
    <t>Er2O3</t>
  </si>
  <si>
    <t>Tm2O3</t>
  </si>
  <si>
    <t>Yb2O3</t>
  </si>
  <si>
    <t>Lu2O3</t>
  </si>
  <si>
    <t>Bi2O3</t>
  </si>
  <si>
    <t>Cation element</t>
  </si>
  <si>
    <t>n cation</t>
  </si>
  <si>
    <t>n O</t>
  </si>
  <si>
    <t>Molar mass (g/mol)</t>
  </si>
  <si>
    <t>O factor (g O per g species)</t>
  </si>
  <si>
    <t>Mass fraction of each element in each oxide/species (element wt% = SUMPRODUCT(oxide wt% row, element factor row)). The O row carries the negative O≡F,Cl correction for the halogen columns.</t>
  </si>
  <si>
    <t>Mineral</t>
  </si>
  <si>
    <t>Ideal formula</t>
  </si>
  <si>
    <t>Sum of oxides</t>
  </si>
  <si>
    <t>Total (wt%)</t>
  </si>
  <si>
    <t>Monazite-(Ce)</t>
  </si>
  <si>
    <t>(Ce,La,Nd,Th)PO4</t>
  </si>
  <si>
    <t>Bastnäsite-(Ce)</t>
  </si>
  <si>
    <t>(Ce,La)(CO3)F</t>
  </si>
  <si>
    <t>Xenotime-(Y)</t>
  </si>
  <si>
    <t>YPO4</t>
  </si>
  <si>
    <t>Parisite-(Ce)</t>
  </si>
  <si>
    <t>CaCe2(CO3)3F2</t>
  </si>
  <si>
    <t>Synchysite-(Ce)</t>
  </si>
  <si>
    <t>CaCe(CO3)2F</t>
  </si>
  <si>
    <t>Allanite-(Ce)</t>
  </si>
  <si>
    <t>CaCe(Al2Fe2+)(Si2O7)(SiO4)O(OH)</t>
  </si>
  <si>
    <t>Fluorapatite (REE-bearing)</t>
  </si>
  <si>
    <t>Ca5(PO4)3F</t>
  </si>
  <si>
    <t>Florencite-(Ce)</t>
  </si>
  <si>
    <t>CeAl3(PO4)2(OH)6</t>
  </si>
  <si>
    <t>Cerianite-(Ce)</t>
  </si>
  <si>
    <t>(Ce4+,Th)O2</t>
  </si>
  <si>
    <t>Pyrochlore (REE-bearing, carbonatite)</t>
  </si>
  <si>
    <t>(Na,Ca)2Nb2O6(OH,F)</t>
  </si>
  <si>
    <t>Ancylite-(Ce)</t>
  </si>
  <si>
    <t>SrCe(CO3)2(OH)·H2O</t>
  </si>
  <si>
    <t>Ion-adsorption REE clay ore (HREE type)</t>
  </si>
  <si>
    <t>Quartz + kaolinite/halloysite + residual K-feldspar/mica, REE3+ adsorbed on clays</t>
  </si>
  <si>
    <t>Britholite-(Ce)</t>
  </si>
  <si>
    <t>(Ce,Ca)5(SiO4,PO4)3(OH,F)</t>
  </si>
  <si>
    <t>Churchite-(Y)</t>
  </si>
  <si>
    <t>YPO4·2H2O</t>
  </si>
  <si>
    <t>Rhabdophane-(Ce)</t>
  </si>
  <si>
    <t>(Ce,La)PO4·H2O</t>
  </si>
  <si>
    <t>Fluocerite-(Ce)</t>
  </si>
  <si>
    <t>CeF3</t>
  </si>
  <si>
    <t>Cerite-(Ce)</t>
  </si>
  <si>
    <t>(Ce,La,Ca)9(Mg,Fe3+)(SiO4)3(SiO3OH)4(OH)3</t>
  </si>
  <si>
    <t>Eudialyte (REE-bearing)</t>
  </si>
  <si>
    <t>Na15Ca6(Fe2+,Mn2+)3Zr3Si(Si25O73)(O,OH,H2O)3(Cl,OH)2</t>
  </si>
  <si>
    <t>Gadolinite-(Y)</t>
  </si>
  <si>
    <t>Y2Fe2+Be2Si2O10</t>
  </si>
  <si>
    <t>Zircon (HREE-bearing)</t>
  </si>
  <si>
    <t>ZrSiO4 (+ xenotime-type (Y,HREE)3+ + P5+ = Zr4+ + Si4+)</t>
  </si>
  <si>
    <t>Aeschynite-(Ce)</t>
  </si>
  <si>
    <t>(Ce,Ca,Fe,Th)(Ti,Nb)2(O,OH)6</t>
  </si>
  <si>
    <t>Euxenite-(Y)</t>
  </si>
  <si>
    <t>(Y,Ca,Ce,U,Th)(Nb,Ta,Ti)2O6</t>
  </si>
  <si>
    <t>Fergusonite-(Y)</t>
  </si>
  <si>
    <t>YNbO4</t>
  </si>
  <si>
    <t>Loparite-(Ce)</t>
  </si>
  <si>
    <t>(Na,Ce,Sr)(Ce,Th)(Ti,Nb)2O6</t>
  </si>
  <si>
    <t>Samarskite-(Y)</t>
  </si>
  <si>
    <t>YFe3+Nb2O8</t>
  </si>
  <si>
    <t>One internally consistent analysis per mineral (published EPMA/wet-chemical analysis or stoichiometric composition); see Sources.</t>
  </si>
  <si>
    <t>Blue = input values (wt%). Empty cell = not reported / below 0.01 wt%. REE as R2O3 (Ce as Ce2O3, except CeO2 for cerianite); F and Cl as element wt%; water as H2O, carbonate as CO2; U as UO2.</t>
  </si>
  <si>
    <t>Lower end of the natural range across published analyses. Where no range was found, the typical value is repeated.</t>
  </si>
  <si>
    <t>Upper end of the natural range across published analyses. Where no range was found, the typical value is repeated.</t>
  </si>
  <si>
    <t>Name *</t>
  </si>
  <si>
    <t>Total</t>
  </si>
  <si>
    <t>Group</t>
  </si>
  <si>
    <t>Typical analysis source</t>
  </si>
  <si>
    <t>Range sources</t>
  </si>
  <si>
    <t>Reported sum check (wt%)</t>
  </si>
  <si>
    <t>Notes</t>
  </si>
  <si>
    <t>Phosphate (original table)</t>
  </si>
  <si>
    <t>Handbook of Mineralogy, Monazite-(Ce), anal. (1) Sri Lanka, EPMA. Pr6O11 1.9 -&gt; Pr2O3 1.84; U3O8 0.4 -&gt; UO2 0.385; Pb3O4 0.1 -&gt; PbO 0.098</t>
  </si>
  <si>
    <t>https://handbookofmineralogy.org/pdfs/monazite-Ce.pdf
https://www.mindat.org/min-2751.html
https://www.researchgate.net/publication/331148387_Electron_microprobe_analysis_of_REE_in_apatite_monazite_and_xenotime_Protocols_and_pitfalls</t>
  </si>
  <si>
    <t>The typical analysis is Th-rich (11.6 ThO2) and gives no Y2O3. Common metamorphic and granitic monazite has 3-8 ThO2 and 0.5-3 Y2O3. Si and Ca track Th (huttonite and cheralite substitutions). Ranges are estimates.</t>
  </si>
  <si>
    <t>Carbonate / fluoride / oxide (original table)</t>
  </si>
  <si>
    <t>Calculated from the ideal formula using a Mountain Pass-type REE ratio (Ce0.49 La0.33 Nd0.12 Pr0.045 Sm0.008 Gd0.003 Y0.003 Eu0.001), plus a little ThO2 and CaO. REE shares match the user's normalised values.</t>
  </si>
  <si>
    <t>https://handbookofmineralogy.org/pdfs/bastna%CC%88site-Ce.pdf
https://www.mindat.org/min-560.html</t>
  </si>
  <si>
    <t>Handbook analysis (1), Madagascar: CO2 20.20, La2O3 36.30, Ce2O3 40.50, P2O5 0.60, F 6.23, total 101.22. Ideal formula: F 8.69, CO2 20.14. Sum = 100.99 - 0.421*8.67 = 100.44. Low F values mean OH is replacing F (series with hydroxylbastnäsite). Ranges are estimates.</t>
  </si>
  <si>
    <t>Handbook of Mineralogy, Xenotime-(Y), anal. (2) Switzerland, EPMA mean of 82 analyses on 11 samples (UO2, ThO2, CaO assigned to anal. 2 so that both printed totals, 98.89 and 99.11, are reproduced).</t>
  </si>
  <si>
    <t>https://handbookofmineralogy.org/pdfs/xenotime-Y.pdf
https://www.mindat.org/min-4333.html</t>
  </si>
  <si>
    <t>Sm, Tm and the light REEs were not measured in the typical analysis (set to 0). Anal. (1), Gloserheia, has Tm2O3 0.70 and Sm2O3 0.49. Pure YPO4 has 61.4 Y2O3 (not a realistic natural maximum; max set to 52). Ranges are estimates.</t>
  </si>
  <si>
    <t>Handbook of Mineralogy analysis (2), Muzo, Colombia: electron microprobe, average of 4 points, CO2 from the ideal formula.</t>
  </si>
  <si>
    <t>https://handbookofmineralogy.org/pdfs/parisite-Ce.pdf
https://www.mindat.org/min-3122.html</t>
  </si>
  <si>
    <t>Sum = 100.90 - 0.421*5.34 = 98.66. F is low (F1.51 per formula); the ideal formula has F 7.07, CO2 24.58, CaO 10.44. Ranges are estimates.</t>
  </si>
  <si>
    <t>Handbook of Mineralogy analysis (1), Trimouns talc deposit, France: electron microprobe, average of 10 points, CO2 and F from stoichiometry.</t>
  </si>
  <si>
    <t>https://handbookofmineralogy.org/pdfs/synchysite-Ce.pdf
https://www.mindat.org/min-3862.html</t>
  </si>
  <si>
    <t>Sum = 102.77 - 0.421*5.73 = 100.36. Ideal formula: CaO about 17.5, CO2 27.5. Ranges are estimates.</t>
  </si>
  <si>
    <t>Silicate (original table)</t>
  </si>
  <si>
    <t>Handbook of Mineralogy, allanite-(Ce), analysis (1) Luangwe Bridge, Zambia (wet chemistry + spectrographic); RE2O3 4.78 split as given: Pr2O3 1.0, Nd2O3 3.10, Sm2O3 0.60, Gd2O3 0.06, Er2O3 0.02</t>
  </si>
  <si>
    <t>https://handbookofmineralogy.org/pdfs/allanite-Ce.pdf
https://www.mindat.org/min-125.html</t>
  </si>
  <si>
    <t>H2O = H2O+ 1.64 + H2O- 0.10. ThO2 not reported in typical (commonly 0.5-2). Typical Y2O3 is low (0.04), below the original table's 1-3; Y-rich allanites exist, so max set to 3. Ranges are estimates.</t>
  </si>
  <si>
    <t>Stoichiometric (Ca4.87Sr0.015Na0.025Mn0.004Fe0.007REE0.063)(P2.95Si0.04S0.005)O12(F0.95Cl0.02OH0.03) (calculated); REE via Na+REE and Si+REE substitutions, REO about 1.95 wt%.</t>
  </si>
  <si>
    <t>https://link.springer.com/article/10.1007/s004100100261
https://www.researchgate.net/publication/331148387_Electron_microprobe_analysis_of_REE_in_apatite_monazite_and_xenotime_Protocols_and_pitfalls
https://www.mindat.org/min-1572.html</t>
  </si>
  <si>
    <t>Raw oxide sum 101.52 before subtracting O=F,Cl (1.52). Carbonatite apatite can reach several wt% SrO and about 1 wt% CO2. Ranges are estimates.</t>
  </si>
  <si>
    <t>Handbook of Mineralogy, Florencite-(Ce), anal. (1) Mackenzie Mts, Canada, EPMA mean of 10. H2O not measured; 10.46 added from the formula.</t>
  </si>
  <si>
    <t>https://handbookofmineralogy.org/pdfs/florencite-Ce.pdf
https://www.mindat.org/min-1553.html</t>
  </si>
  <si>
    <t>Crandallite group; grades toward goyazite and crandallite through Sr and Ca. Kangankunde (HOM anal. 2) has 9 SrO, 1.7 SO3, 1.6 F. Pr not measured in the typical analysis. REO 31.7 in the typical analysis. Ranges are estimates.</t>
  </si>
  <si>
    <t>Estimated composition (CeO2 ~90, plus Th and a small LREE content). The only Handbook analysis (Graham 1955, Sudbury) is a partial semiquantitative one.</t>
  </si>
  <si>
    <t>https://www.handbookofmineralogy.org/pdfs/cerianite-Ce.pdf
https://www.mindat.org/min-938.html</t>
  </si>
  <si>
    <t>Ce given as CeO2. Sudbury partial analysis: CeO2 80.0, ThO2 5.1, Nb2O5 1.8, La2O3 1.5, Y2O3 1.2, Yb2O3 1.1, Ta2O5 0.6, ZrO2 0.6. Supergene cerianite (lateritic, Mount Weld) often has Fe, Mn and P impurities. Ranges are estimates.</t>
  </si>
  <si>
    <t>Nb-Ta-Ti oxide (original table)</t>
  </si>
  <si>
    <t>Lumpkin &amp; Ewing 1995, Am. Mineral. 80:732, Table 2, anal. 187 (unaltered pyrochlore, Alnö carbonatite, Sweden, EPMA) https://www.rruff.net/doclib/am/vol80/AM80_732.pdf</t>
  </si>
  <si>
    <t>https://www.rruff.net/doclib/am/vol80/AM80_732.pdf
https://www.rruff.net/doclib/cm/vol42/CM42_1159.pdf
https://www.rruff.net/doclib/MinMag/Volume_62/62-6-769.pdf
https://www.rruff.net/doclib/MinMag/Volume_60/60-402-731.pdf
https://www.handbookofmineralogy.org/pdfs/pyrochlore.pdf</t>
  </si>
  <si>
    <t>Oxide sum 99.79 minus O=F 1.60 = 98.19. Source gives lumped Ln2O3 = 3.3 wt%; split La:Ce:Pr:Nd:Sm = 0.18:0.56:0.05:0.18:0.03 (assumed carbonatite ratio, not measured). H2O not analysed (~1.8 wt% deficit likely OH). Altered/laterite pyrochlore (BaO up to 13, SrO up to 4) excluded. Ranges are estimates.</t>
  </si>
  <si>
    <t>Handbook of Mineralogy analysis (2), Khibiny massif, Kola, Russia: electron microprobe. H2O (7.06) added from the formula.</t>
  </si>
  <si>
    <t>https://handbookofmineralogy.org/pdfs/ancylite-Ce.pdf
https://www.mindat.org/min-218.html</t>
  </si>
  <si>
    <t>Formula (Sr0.86Ca0.09Ba0.01Fe0.01)(Ce0.53La0.30Nd0.12Pr0.04Sm0.01Th0.01). Narsarsuk analysis (1) has SrO 21.03, F 2.15, H2O 6.52. Ranges are estimates.</t>
  </si>
  <si>
    <t>Composite: majors from Dabu HREE deposit, Jiangxi, B-horizon ore sample DBS09 (Table 1 of Minerals 2024, 14, 857); LOI 7.5 assumed; REE = 0.15 wt% REO with the Longnan HREE-type distribution (Kanazawa &amp; Kamitani 2006, J. Alloys Compd. 408-412, 1339 - NOT VERIFIED, pattern recalled by the research agent)</t>
  </si>
  <si>
    <t>https://doi.org/10.3390/min14090857
https://doi.org/10.3390/min16030321
https://pmc.ncbi.nlm.nih.gov/articles/PMC12306741/</t>
  </si>
  <si>
    <t>Fe as total Fe2O3. LREE-type ore (e.g. Xunwu) roughly La 43, Ce 2, Pr 9, Nd 32, Sm 4, Gd 3, Y 8 % of REO (same unverified source). REE ranges cover both types at 0.05-0.5 wt% REO. Ce depleted in the ore. Ranges are estimates.</t>
  </si>
  <si>
    <t>Phosphate (added)</t>
  </si>
  <si>
    <t>Stoichiometric (Ca2.05Na0.05Sr0.03Fe0.02)(REE2.70Th0.10U0.005)(Si2.5P0.5)O12(F0.6OH0.4) (calculated). Checked against HOM anal. (1) Naujakasik, Greenland (SiO2 16.8, (Ce,La)2O3 60.5, P2O5 6.5).</t>
  </si>
  <si>
    <t>https://handbookofmineralogy.org/pdfs/britholite-Ce.pdf
https://www.mindat.org/min-727.html</t>
  </si>
  <si>
    <t>Raw oxide sum 100.61 before subtracting O=F (0.61). Th-rich Monte Somma analysis (ThO2 20.7) excluded as exotic. Si and P trade off toward REE-rich apatite. Often partly metamict and hydrated. Ranges are estimates.</t>
  </si>
  <si>
    <t>Stoichiometric (Y0.78 HREE0.15 LREE0.05 Ca0.03)PO4·2H2O (calculated). Checked against HOM anal. (1) Cornwall (P2O5 31.10, (Y,Er)2O3 41.37, (La,Nd)2O3 7.99, H2O 15.29) and (2) Auerbach ((Y,Er)2O3 52.9).</t>
  </si>
  <si>
    <t>https://handbookofmineralogy.org/pdfs/churchite-Y.pdf
https://www.mindat.org/min-1018.html</t>
  </si>
  <si>
    <t>Supergene mineral with a xenotime-like REE pattern; can carry notable light REEs (Cornwall). Fe and Al come from associated limonite and clay. Ranges are estimates.</t>
  </si>
  <si>
    <t>Stoichiometric (Ce0.47La0.22Nd0.15Pr0.05Sm0.02Gd0.01Y0.01Ca0.035Th0.035)PO4·1.0H2O (calculated). Checked against HOM Cornwall analysis (P2O5 24.6, H2O 7.5) and Cornwall EPMA.</t>
  </si>
  <si>
    <t>https://handbookofmineralogy.org/pdfs/rhabdophane-Ce.pdf
https://www.researchgate.net/publication/279577152_The_Composition_of_Rhabdophane
https://webmineral.com/data/Rhabdophane-(Ce).shtml</t>
  </si>
  <si>
    <t>Natural H2O is 0.5-1 molecule per formula unit. Si, Al and Fe mostly come from clay contamination. Ranges include the Nd-rich Cornwall analysis (Nd2O3 21.2). Ranges are estimates.</t>
  </si>
  <si>
    <t>Carbonate / fluoride / oxide (added)</t>
  </si>
  <si>
    <t>Calculated from the ideal (Ce0.55 La0.28 Nd0.11 Pr0.045 Sm0.01 Gd0.003)F3; no complete published fluocerite-(Ce) analysis was found. Ranges use the Handbook fluocerite-(La) analysis (Kazakhstan) and Fjälskär, Finland work.</t>
  </si>
  <si>
    <t>https://www.mindat.org/min-1567.html
https://www.handbookofmineralogy.org/pdfs/fluocerite-La.pdf
https://www.academia.edu/69276471/Occurrence_crystallography_and_chemistry_of_the_fluocerite_bastnaesite_cerianite_intergrowth_from_the_Fj%C3%A4lsk%C3%A4r_granite_southwestern_Finland</t>
  </si>
  <si>
    <t>Sum = 112.18 - 0.421*28.92 = 100.0. Fluocerite-(La), Kazakhstan: La2O3 42.34, Ce2O3 33.13, Pr2O3 3.68, Nd2O3 3.12, ThO2 1.56, CaO 0.54, F 25.27, total 99.47. Natural samples are often partly oxidised (F below ideal). Ranges are estimates.</t>
  </si>
  <si>
    <t>Silicate (added)</t>
  </si>
  <si>
    <t>Handbook of Mineralogy (rev. 2021), cerite-(Ce), analysis (1) Mountain Pass, California (Glass et al. 1958), recalculated to 100% after removing 17.7% bastnasite. Reported La2O3 30.04 split as La 20.31, Pr 2.46, Nd 6.73, Sm 0.54 using Mountain Pass REO ratios (assumption)</t>
  </si>
  <si>
    <t>https://handbookofmineralogy.org/pdfs/Cerite-Ce.pdf
https://www.rruff.net/doclib/cm/vol40/CM40_1177.pdf</t>
  </si>
  <si>
    <t>Source reports no Pr/Nd; the La/Pr/Nd/Sm split of the lumped La2O3 (30.04) is an assumption. H2O = H2O+ 2.72 + H2O- 0.17. Range includes cerite-(La), Khibina (La2O3 37.57, SrO 1.97, P2O5 0.63, H2O 3.20). Ranges are estimates.</t>
  </si>
  <si>
    <t>Lovozero Phase III eudialyte, EMP analysis sample 290, Table 4 of Minerals 2020, 10, 1036 (https://doi.org/10.3390/min10111036). Sm-Lu estimated from Lovozero ICP-MS patterns (same paper, Table 3) scaled to measured Nd and Y. H2O 1.0 estimated (not measured).</t>
  </si>
  <si>
    <t>https://doi.org/10.3390/min10111036
https://doi.org/10.3390/min11060548
https://doi.org/10.3390/min3010094
https://www.handbookofmineralogy.org/pdfs/eudialyte.pdf</t>
  </si>
  <si>
    <t>Measured EMP part: 100.04 - O=Cl 0.32 = 99.72; plus estimated HREE 0.46 and H2O 1.0. Kipawa (HOM) has RE2O3 6.4 (lumped), F 0.23, H2O 1.76; Norra Kärr eudialyte is Y/HREE-rich (Y2O3 up to ~3.4). Ranges are estimates.</t>
  </si>
  <si>
    <t>Handbook of Mineralogy, gadolinite-(Y), analysis (3) near Yokkaichi, Mie Pref., Japan (EPMA); BeO 9.71 and H2O 0.46 calculated from stoichiometry; Pr, Eu, Tb, Tm are bracketed estimates in the source; '(Dy,La)2O3' 0.21 assigned to La2O3</t>
  </si>
  <si>
    <t>https://handbookofmineralogy.org/wp-content/uploads/2022/07/gadolinite-Y.pdf
https://www.handbookofmineralogy.org/pdfs/gadolinite-Ce.pdf</t>
  </si>
  <si>
    <t>BeO cannot be measured by EPMA; 9.71 is stoichiometric (Be=2 apfu). Range includes Ytterby (Y2O3 45.96, FeO 11.39, BeO 10.17 measured) and Douglas Co., Colorado (Ce2O3 11.10, Fe2O3 3.47). Ranges are estimates.</t>
  </si>
  <si>
    <t>Krudum granite, Czech Rep., EPMA sample 1283-21 (high-F Li-mica granite), Table 4 of Minerals 2018, 8, 287 (https://www.mdpi.com/2075-163X/8/7/287)</t>
  </si>
  <si>
    <t>https://www.mdpi.com/2075-163X/8/7/287
https://doi.org/10.3390/min13111402
https://handbookofmineralogy.org/pdfs/zircon.pdf</t>
  </si>
  <si>
    <t>Eu, Tb, Ho, Tm, Lu not analysed (0 in typical). Shitouping hydrothermal zircon: Yb2O3 1.15-2.14, F 0.71-1.16, SiO2 down to 23, ZrO2 down to 41, low totals (hydrous/metamict). Ordinary zircon: ZrO2 ~66.7, HfO2 ~1.2. Ranges are estimates.</t>
  </si>
  <si>
    <t>Nb-Ta-Ti oxide (added)</t>
  </si>
  <si>
    <t>Nasir, Theye &amp; Massonne 2009, Open Mineral. J. 3:17, Table 1, anal. 9 (Sal apatite-dolomite carbonatite, E Oman, EPMA; H2O calculated)</t>
  </si>
  <si>
    <t>https://www.911metallurgist.com/wp-content/uploads/2016/02/REE-Rich-Aeschynite-in-Apatite-Dolomite-Carbonatite-Eastern-Oman-Mountains.pdf
https://www.handbookofmineralogy.org/pdfs/aeschynite-Ce.pdf
https://www.mdpi.com/2075-163X/14/10/1029</t>
  </si>
  <si>
    <t>Oxide sum 98.32 minus O=F 0.14 = 98.18. No ThO2, U, Tb, Ho, Tm, Lu reported in source. Pegmatite/syenite aeschynite-(Ce) (Miass, Hidra): ThO2 ~15.4-15.8, FeO 3.2-4.3, Nb2O5 up to ~30. Bayan Obo: Nd2O3 up to 17.5. Ranges are estimates.</t>
  </si>
  <si>
    <t>Szuszkiewicz et al. 2016, Can. Mineral. 54:879, Table 1, anal. P37/7 (unaltered euxenite-(Y), Julianna pegmatite, Piława Górna, Poland, EPMA)</t>
  </si>
  <si>
    <t>https://www.researchgate.net/figure/REPRESENTATIVE-COMPOSITIONS-OF-EUXENITE-GROUP-MINERALS-FROM-THE-JULIANNA-PEGMATITES-AT_tbl1_317176289
https://www.handbookofmineralogy.org/pdfs/euxenite-Y.pdf
https://www.mdpi.com/2075-163X/15/11/1206</t>
  </si>
  <si>
    <t>Lyndoch (Ontario) analysis is Nb-rich (Nb2O5 41.4) and hydrated (H2O+ 1.9). Altered grains: low Y (~8.9), higher Ca and Si. Ranges are estimates.</t>
  </si>
  <si>
    <t>Journal of the Russell Society 14 (2011), Table 1, 'Typical' fergusonite-(Y), Mourne Mountains, N. Ireland (ED-EPMA) https://cris.brighton.ac.uk/ws/files/285700/JRS%2014%20Fergusonite%2011-10-17%20Proofs.pdf</t>
  </si>
  <si>
    <t>https://cris.brighton.ac.uk/ws/files/285700/JRS%2014%20Fergusonite%2011-10-17%20Proofs.pdf
https://www.handbookofmineralogy.org/pdfs/fergusonite-Y.pdf
https://www.mdpi.com/2075-163X/15/10/1027
https://www.mdpi.com/2075-163X/15/11/1206</t>
  </si>
  <si>
    <t>Ta and Fe not measured in the typical analysis. Ranges also from Cape Farewell (Ta2O5 6.3, H2O 1.49) and Egyptian pegmatites (FeO up to 4.45). Reported Mournes Tm2O3 max 2.19 looks unreliable; capped at 0.9. Ranges are estimates.</t>
  </si>
  <si>
    <t>Mitchell &amp; Chakhmouradian 1996, Can. Mineral. 34:977, Table 3, anal. 1 (core, foyaite, Mt. Karnasurt, Lovozero, EPMA) https://www.rruff.net/doclib/cm/vol34/CM34_977.pdf</t>
  </si>
  <si>
    <t>https://www.rruff.net/doclib/cm/vol34/CM34_977.pdf
https://www.rruff.net/doclib/MinMag/Volume_63/63-4-519.pdf
https://www.handbookofmineralogy.org/pdfs/loparite-Ce.pdf</t>
  </si>
  <si>
    <t>Total Fe as FeO. Burpala loparite: lower Nb (~3.3) and higher Th (up to 5.2). Lueshite and metaloparite excluded. Ranges are estimates.</t>
  </si>
  <si>
    <t>Capitani et al. 2016, Am. Mineral. 101:1679 (preprint), Table 2, anal. G1b (metamict samarskite-(Y), Garnet Codera dike, Italian Alps, WDS; FeO/Fe2O3 recalculated) http://www.minsocam.org/MSA/AmMin/Public_Access/2016_public/AM101P1679.pdf</t>
  </si>
  <si>
    <t>http://www.minsocam.org/MSA/AmMin/Public_Access/2016_public/AM101P1679.pdf
https://www.mdpi.com/2075-163X/9/5/313
https://www.handbookofmineralogy.org/pdfs/samarskite-Y.pdf</t>
  </si>
  <si>
    <t>La, Ce, Pr, Eu, Tb, Ho, Er, Tm, Lu not measured in the typical analysis. Complete-REE analyses from Arvogno (totals 95.9-97.8) used for ranges: Y2O3 11.3-12.9, Ta2O5 20-32, FeOt ~9. Miass analysis includes H2O 1.22. Ranges are estimates.</t>
  </si>
  <si>
    <t>Formula</t>
  </si>
  <si>
    <t>REEs Typically Present</t>
  </si>
  <si>
    <t>Indicative Per-REE Oxide (wt%)</t>
  </si>
  <si>
    <t>Combined REE Content (wt%)</t>
  </si>
  <si>
    <t>Monazite</t>
  </si>
  <si>
    <t>Ce, La, Nd, Pr, Sm (± minor HREE)</t>
  </si>
  <si>
    <t>Ce2O3:29–37; La2O3:17–22; Nd2O3:6–14; Pr6O11:1–2; Sm2O3:0.2–1; Y2O3&lt;=4</t>
  </si>
  <si>
    <t>50–78 wt% REO</t>
  </si>
  <si>
    <t>Bastnäsite</t>
  </si>
  <si>
    <t>Ce, La, Nd, Pr (± Sm)</t>
  </si>
  <si>
    <t>Ce2O3~49; La2O3~33; Nd2O3~12; Pr6O11 4–5; Sm2O3~0.8</t>
  </si>
  <si>
    <t>60–70 wt% REO</t>
  </si>
  <si>
    <t>Xenotime</t>
  </si>
  <si>
    <t>Y, Dy, Er, Yb, Gd, Tb, Ho, Lu</t>
  </si>
  <si>
    <t>Y2O3:46–61; Dy2O3:4–6; Er2O3:3–4; Yb2O3:3–4</t>
  </si>
  <si>
    <t>54–65 wt% REO</t>
  </si>
  <si>
    <t>Parisite</t>
  </si>
  <si>
    <t>Ca(Ce,La)(CO3)2F2</t>
  </si>
  <si>
    <t>Ce, La, Nd, Pr</t>
  </si>
  <si>
    <t>Ce2O3:25–35; La2O3:15–20; Nd2O3:5–8</t>
  </si>
  <si>
    <t>40–55 wt% REO</t>
  </si>
  <si>
    <t>Synchysite</t>
  </si>
  <si>
    <t>(Ce,Ca)(CO3)2F</t>
  </si>
  <si>
    <t>Ce2O3:20–30; La2O3:10–15; Nd2O3:4–6</t>
  </si>
  <si>
    <t>35–50 wt% REO</t>
  </si>
  <si>
    <t>Allanite</t>
  </si>
  <si>
    <t>(Ce,Ca,Y)2(Al,Fe)3(SiO4)3(OH)</t>
  </si>
  <si>
    <t>Ce, La, Nd, Y</t>
  </si>
  <si>
    <t>Ce2O3:8–15; La2O3:5–10; Nd2O3:2–6; Y2O3:1–3</t>
  </si>
  <si>
    <t>15–25 wt% REO</t>
  </si>
  <si>
    <t>Apatite</t>
  </si>
  <si>
    <t>Ca5(PO4)3(F,Cl,OH)</t>
  </si>
  <si>
    <t>Ce, La, Nd</t>
  </si>
  <si>
    <t>Ce2O3:0.5–1.5; La2O3:0.3–1; Nd2O3:0.2–0.8</t>
  </si>
  <si>
    <t>0.5–3 wt% REO</t>
  </si>
  <si>
    <t>Combined REO wt%</t>
  </si>
  <si>
    <t>Florencite group</t>
  </si>
  <si>
    <t>(REE-Al)PO4·OH</t>
  </si>
  <si>
    <t>30–50</t>
  </si>
  <si>
    <t>Ce,La,Nd,Y</t>
  </si>
  <si>
    <t>Cerianite</t>
  </si>
  <si>
    <t>80–90</t>
  </si>
  <si>
    <t>Ce dominant</t>
  </si>
  <si>
    <t>Pyrochlore</t>
  </si>
  <si>
    <t>2–10</t>
  </si>
  <si>
    <t>Minor REE</t>
  </si>
  <si>
    <t>Ancylite</t>
  </si>
  <si>
    <t>(Sr,REE)(CO3)2·H2O</t>
  </si>
  <si>
    <t>Ce,La,Nd</t>
  </si>
  <si>
    <t>Ion-adsorption clays</t>
  </si>
  <si>
    <t>Kaolinite/Halloysite</t>
  </si>
  <si>
    <t>0.1–0.5</t>
  </si>
  <si>
    <t>Adsorbed REE</t>
  </si>
  <si>
    <t>Albite</t>
  </si>
  <si>
    <t>NaAlSi3O8</t>
  </si>
  <si>
    <t>Tectosilicate, feldspar (added, non-REE gangue)</t>
  </si>
  <si>
    <t>Handbook of Mineralogy, Albite, anal. (1) Alp Rischuna, Switzerland https://handbookofmineralogy.org/wp-content/uploads/2022/07/albite.pdf</t>
  </si>
  <si>
    <t>https://handbookofmineralogy.org/wp-content/uploads/2022/07/albite.pdf</t>
  </si>
  <si>
    <t>Non-REE gangue mineral. Min/max bounded by ideal NaAlSi3O8 (anal. 2) and the albite/oligoclase limit An10, Na0.9Ca0.1Al1.1Si2.9O8 (anal. 3). K2O max 0.5 is an estimate (minor Or component). Trace Fe, Sr, Ba not included.</t>
  </si>
  <si>
    <t>Zn</t>
  </si>
  <si>
    <t>unverified</t>
  </si>
  <si>
    <t>ZnO</t>
  </si>
  <si>
    <t>Zircon</t>
  </si>
  <si>
    <t>ZrSiO4</t>
  </si>
  <si>
    <t>Muscovite</t>
  </si>
  <si>
    <t>KAl2(Si3Al)O10(OH)2</t>
  </si>
  <si>
    <t>Quartz</t>
  </si>
  <si>
    <t>Aegirine</t>
  </si>
  <si>
    <t>NaFe3+Si2O6</t>
  </si>
  <si>
    <t>Pachnolite</t>
  </si>
  <si>
    <t>NaCaAlF6·H2O</t>
  </si>
  <si>
    <t>Orthoclase</t>
  </si>
  <si>
    <t>KAlSi3O8</t>
  </si>
  <si>
    <t>Hematite</t>
  </si>
  <si>
    <t>α-Fe2O3</t>
  </si>
  <si>
    <t>Magnetite</t>
  </si>
  <si>
    <t>Fe2+Fe3+2O4</t>
  </si>
  <si>
    <t>Thorite</t>
  </si>
  <si>
    <t>(Th,U)SiO4</t>
  </si>
  <si>
    <t>Cryolite</t>
  </si>
  <si>
    <t>Na3AlF6</t>
  </si>
  <si>
    <t>Cassiterite</t>
  </si>
  <si>
    <t>Nepheline</t>
  </si>
  <si>
    <t>(Na,K)AlSiO4</t>
  </si>
  <si>
    <t>Hendricksite (Zn-mica)</t>
  </si>
  <si>
    <t>K(Zn,Mn)3Si3AlO10(OH)2</t>
  </si>
  <si>
    <t>Plumbopyrochlore (hydroxyplumbopyrochlore)</t>
  </si>
  <si>
    <t>(Pb,□)2Nb2O6(OH)</t>
  </si>
  <si>
    <t>Biotite (Fe-rich, annite)</t>
  </si>
  <si>
    <t>K(Fe2+,Mg)3AlSi3O10(OH,F)2</t>
  </si>
  <si>
    <t>Columbite-(Fe)</t>
  </si>
  <si>
    <t>Fe2+Nb2O6</t>
  </si>
  <si>
    <t>Columbite-(Mn)</t>
  </si>
  <si>
    <t>Mn2+Nb2O6</t>
  </si>
  <si>
    <t>Nesosilicate (added, gangue)</t>
  </si>
  <si>
    <t>Handbook of Mineralogy, Zircon, anal. (1) Sitarampuram, India; U3O8 0.027 -&gt; UO2. https://handbookofmineralogy.org/wp-content/uploads/2022/07/zircon.pdf</t>
  </si>
  <si>
    <t>https://handbookofmineralogy.org/wp-content/uploads/2022/07/zircon.pdf</t>
  </si>
  <si>
    <t>Ordinary (non-HREE) zircon. Range between anal. (1) and ideal ZrSiO4 (calculated). No range data for HfO2 beyond anal. (1).</t>
  </si>
  <si>
    <t>Phyllosilicate, mica (added, gangue)</t>
  </si>
  <si>
    <t>Handbook of Mineralogy, Muscovite, anal. (1) Blue Mountain, Methuen Twp., Canada. https://www.handbookofmineralogy.org/pdfs/muscovite.pdf</t>
  </si>
  <si>
    <t>https://www.handbookofmineralogy.org/pdfs/muscovite.pdf</t>
  </si>
  <si>
    <t>Range between anal. (1) and ideal KAl2(Si3Al)O10(OH)2 (anal. 2). F, Fe, Li not reported.</t>
  </si>
  <si>
    <t>Tectosilicate (added, gangue)</t>
  </si>
  <si>
    <t>Handbook of Mineralogy, Quartz, Ideal SiO2 (source gives 'SiO2 with traces of other elements'). https://handbookofmineralogy.org/wp-content/uploads/2022/07/quartz.pdf</t>
  </si>
  <si>
    <t>https://handbookofmineralogy.org/wp-content/uploads/2022/07/quartz.pdf</t>
  </si>
  <si>
    <t>No analysis in source; stoichiometric SiO2. Min = max = typical (no range found).</t>
  </si>
  <si>
    <t>Inosilicate, pyroxene (added, gangue)</t>
  </si>
  <si>
    <t>Handbook of Mineralogy, Aegirine, anal. (1) Itapirapuã, São Paulo, Brazil; H2O+ + H2O- summed. https://handbookofmineralogy.org/wp-content/uploads/2022/07/aegirine.pdf</t>
  </si>
  <si>
    <t>https://handbookofmineralogy.org/wp-content/uploads/2022/07/aegirine.pdf</t>
  </si>
  <si>
    <t>Range between anal. (1) and ideal NaFe3+Si2O6 (calculated).</t>
  </si>
  <si>
    <t>Halide, fluoride (added, gangue)</t>
  </si>
  <si>
    <t>Handbook of Mineralogy, Thomsenolite (dimorph of pachnolite), Ideal NaCaAlF6·H2O (anal. 2 of the thomsenolite page; pachnolite is its dimorph with identical composition). Element wt% converted: Na-&gt;Na2O, Ca-&gt;CaO, Al-&gt;Al2O3; F kept as element. https://www.handbookofmineralogy.org/pdfs/thomsenolite.pdf</t>
  </si>
  <si>
    <t>https://www.handbookofmineralogy.org/pdfs/thomsenolite.pdf</t>
  </si>
  <si>
    <t>Pachnolite page could not be retrieved; composition taken from its dimorph thomsenolite (same formula). Range between ideal and the Ivigtut thomsenolite analysis. Na, Ca, Al converted from element to oxide wt%.</t>
  </si>
  <si>
    <t>Tectosilicate, feldspar (added, gangue)</t>
  </si>
  <si>
    <t>Handbook of Mineralogy, Orthoclase, anal. (1) Himalaya mine, Mesa Grande, California, EPMA; Rb2O 0.49 omitted (no Rb column). https://www.handbookofmineralogy.org/pdfs/orthoclase.pdf</t>
  </si>
  <si>
    <t>https://www.handbookofmineralogy.org/pdfs/orthoclase.pdf</t>
  </si>
  <si>
    <t>Range between anal. (1) and ideal KAlSi3O8 (anal. 2). Rb2O 0.49 in anal. (1) not included (no Rb column).</t>
  </si>
  <si>
    <t>Oxide (added, gangue)</t>
  </si>
  <si>
    <t>Handbook of Mineralogy, Hematite, anal. (1) Franklin, New Jersey; Mn2O3 0.54 -&gt; MnO 0.49, added to MnO 0.38. https://www.handbookofmineralogy.org/pdfs/hematite.pdf</t>
  </si>
  <si>
    <t>https://www.handbookofmineralogy.org/pdfs/hematite.pdf</t>
  </si>
  <si>
    <t>Range between anal. (1) and ideal Fe2O3 (calculated). Mn2O3 converted to MnO (no Mn2O3 column).</t>
  </si>
  <si>
    <t>Oxide, spinel (added, gangue)</t>
  </si>
  <si>
    <t>https://handbookofmineralogy.org/pdfs/magnetite.pdf</t>
  </si>
  <si>
    <t>Nesosilicate (added)</t>
  </si>
  <si>
    <t>Handbook of Mineralogy, Thorite, anal. (1) Tuolumne River, California (recalculated to 100%); RE2O3 0.54 entered as Ce2O3. https://www.handbookofmineralogy.org/pdfs/thorite.pdf</t>
  </si>
  <si>
    <t>https://www.handbookofmineralogy.org/pdfs/thorite.pdf</t>
  </si>
  <si>
    <t>Range between anal. (1) and ideal ThSiO4 (anal. 2). Unspecified RE2O3 0.54 entered as Ce2O3; 'rem.' 0.07 omitted.</t>
  </si>
  <si>
    <t>Handbook of Mineralogy, Cryolite, anal. (1) Ivigtut, Greenland; element wt% converted: Na-&gt;Na2O, Al-&gt;Al2O3; F kept as element. https://www.handbookofmineralogy.org/pdfs/cryolite.pdf</t>
  </si>
  <si>
    <t>https://www.handbookofmineralogy.org/pdfs/cryolite.pdf</t>
  </si>
  <si>
    <t>Range between anal. (1) and ideal Na3AlF6 (anal. 2). Na and Al converted from element to oxide wt%.</t>
  </si>
  <si>
    <t>Oxide (added)</t>
  </si>
  <si>
    <t>Handbook of Mineralogy, Cassiterite, anal. (1) St. Michael's Mount, Cornwall, EPMA; remnant FeO 0.11, Nb2O5 0.03, WO3/TiO2/Ta2O5 0.01 each entered; In2O3, IrO2 omitted. https://www.handbookofmineralogy.org/pdfs/cassiterite.pdf</t>
  </si>
  <si>
    <t>https://www.handbookofmineralogy.org/pdfs/cassiterite.pdf</t>
  </si>
  <si>
    <t>Range between anal. (1) and ideal SnO2 (calculated). In2O3 0.04 and IrO2 0.01 omitted (no columns).</t>
  </si>
  <si>
    <t>Tectosilicate, feldspathoid (added, gangue)</t>
  </si>
  <si>
    <t>Handbook of Mineralogy, Nepheline, anal. (1) Monte Somma, Italy; H2O+ + H2O- summed. https://www.handbookofmineralogy.org/pdfs/nepheline.pdf</t>
  </si>
  <si>
    <t>https://www.handbookofmineralogy.org/pdfs/nepheline.pdf</t>
  </si>
  <si>
    <t>Single analysis in source; min = max = typical (no range found).</t>
  </si>
  <si>
    <t>Phyllosilicate, mica (added)</t>
  </si>
  <si>
    <t>Handbook of Mineralogy, Hendricksite, anal. (1) Franklin, New Jersey; 'H2O+ + F' 3.95 entered as H2O. https://www.handbookofmineralogy.org/pdfs/hendricksite.pdf</t>
  </si>
  <si>
    <t>https://www.handbookofmineralogy.org/pdfs/hendricksite.pdf</t>
  </si>
  <si>
    <t>Range between anal. (1) and (2), both Franklin, NJ. Anal. (1) reports H2O+ and F together (3.95) - entered as H2O. Li2O 0.04 in anal. (2) omitted (no Li column).</t>
  </si>
  <si>
    <t>Nb-Ta-Ti oxide, pyrochlore (added)</t>
  </si>
  <si>
    <t>Handbook of Mineralogy, Hydroxyplumbopyrochlore, Hydroxyplumbopyrochlore anal. (1) Jabal Sayid, Saudi Arabia, EPMA; H2O calculated. https://www.handbookofmineralogy.org/pdfs/Hydroxyplumbopyrochlore.pdf</t>
  </si>
  <si>
    <t>https://www.handbookofmineralogy.org/pdfs/Hydroxyplumbopyrochlore.pdf</t>
  </si>
  <si>
    <t>Plumbopyrochlore' was discredited in the 2010 pyrochlore-supergroup nomenclature; the Pb-dominant species used here is hydroxyplumbopyrochlore. Single analysis; min = max = typical (no range found).</t>
  </si>
  <si>
    <t>Handbook of Mineralogy, Annite, Annite anal. (1) Moina skarn, Tasmania, EPMA. https://www.handbookofmineralogy.org/pdfs/annite.pdf</t>
  </si>
  <si>
    <t>https://www.handbookofmineralogy.org/pdfs/annite.pdf</t>
  </si>
  <si>
    <t>Nb-Ta oxide, columbite group (added)</t>
  </si>
  <si>
    <t>Handbook of Mineralogy, Ferrocolumbite, anal. (1) Ånneröd, Norway. https://www.handbookofmineralogy.org/pdfs/ferrocolumbite.pdf</t>
  </si>
  <si>
    <t>https://www.handbookofmineralogy.org/pdfs/ferrocolumbite.pdf</t>
  </si>
  <si>
    <t>Range across anal. (1) Ånneröd, (2) Kings Mountain, N. Carolina (EPMA, Ta-rich) and (3) ideal FeNb2O6.</t>
  </si>
  <si>
    <t>Handbook of Mineralogy, Manganocolumbite, anal. (1) Old Mike mine, South Dakota; SnO2+WO3 0.88 entered as SnO2. https://www.handbookofmineralogy.org/pdfs/manganocolumbite.pdf</t>
  </si>
  <si>
    <t>https://www.handbookofmineralogy.org/pdfs/manganocolumbite.pdf</t>
  </si>
  <si>
    <t>Range across anal. (1) Old Mike mine, (2) Herbb #2 pegmatite, Virginia (EPMA, total Fe as FeO) and (3) ideal MnNb2O6. SnO2+WO3 reported together, entered as SnO2.</t>
  </si>
  <si>
    <t>Handbook of Mineralogy, Magnetite, anal. (1) Lovers Pit, Mineville, New York; MnO and Cr2O3 are in anal. (2) only. https://handbookofmineralogy.org/pdfs/magnetite.pdf</t>
  </si>
  <si>
    <t>Range across anal. (1) Mineville, (2) Meier's Find, W. Australia (EPMA) and (3) ideal Fe3O4. Cr2O3 0.08 (anal. 2) omitted (no Cr column). 'trace' entries treated as 0.</t>
  </si>
  <si>
    <t>Biotite is a series name; Fe-rich end (annite) used as the Handbook has no 'biotite' page. Range across annite anal. (1) Moina, (2) Kawai mine, Japan (no H2O, total 94.90) and (3) ideal KFe3AlSi3O10(OH)2. Mg-rich biotite (phlogopite side) NOT covered. Anal. (1) has no H2O reported (total 97.87 incl. F, Cl); H2O 3.52 is from the ideal composition and enters the max only.</t>
  </si>
  <si>
    <t>Li</t>
  </si>
  <si>
    <t>B</t>
  </si>
  <si>
    <t>Li2O</t>
  </si>
  <si>
    <t>B2O3</t>
  </si>
  <si>
    <t>Spessartine</t>
  </si>
  <si>
    <t>Mn2+3Al2(SiO4)3</t>
  </si>
  <si>
    <t>Schorl</t>
  </si>
  <si>
    <t>NaFe2+3Al6(BO3)3Si6O18(OH)4</t>
  </si>
  <si>
    <t>Kaolinite</t>
  </si>
  <si>
    <t>Al2Si2O5(OH)4</t>
  </si>
  <si>
    <t>Elbaite (Li-tourmaline)</t>
  </si>
  <si>
    <t>Na(Li1.5Al1.5)Al6(BO3)3Si6O18(OH)4</t>
  </si>
  <si>
    <t>Clinochlore (Mg-chlorite)</t>
  </si>
  <si>
    <t>(Mg,Fe2+)5Al(Si3Al)O10(OH)8</t>
  </si>
  <si>
    <t>Chamosite (Fe-chlorite)</t>
  </si>
  <si>
    <t>(Fe2+,Mg)5Al(Si3Al)O10(OH)8</t>
  </si>
  <si>
    <t>Lepidolite</t>
  </si>
  <si>
    <t>K(Li,Al)3(Si,Al)4O10(F,OH)2</t>
  </si>
  <si>
    <t>Fluorapatite</t>
  </si>
  <si>
    <t>Beryl</t>
  </si>
  <si>
    <t>Be3Al2Si6O18</t>
  </si>
  <si>
    <t>Montebrasite</t>
  </si>
  <si>
    <t>LiAl(PO4)(OH,F)</t>
  </si>
  <si>
    <t>Oligoclase (plagioclase An10-30)</t>
  </si>
  <si>
    <t>(Na,Ca)(Al,Si)4O8</t>
  </si>
  <si>
    <t>Nesosilicate, garnet (added, gangue)</t>
  </si>
  <si>
    <t>Handbook of Mineralogy, Spessartine, anal. (1) Kinko mine, Yamaguchi, Japan https://www.handbookofmineralogy.org/pdfs/spessartine.pdf</t>
  </si>
  <si>
    <t>https://www.handbookofmineralogy.org/pdfs/spessartine.pdf</t>
  </si>
  <si>
    <t>Range between anal. (1) and ideal Mn3Al2(SiO4)3 (anal. 2). 'trace' TiO2, FeO, MgO treated as 0; natural spessartine usually has some almandine (Fe) component not covered here.</t>
  </si>
  <si>
    <t>Cyclosilicate, tourmaline (added, gangue)</t>
  </si>
  <si>
    <t>Handbook of Mineralogy, Schorl, anal. (1) St. Andreasberg, Germany, EPMA; B2O3 calculated; Fe2O3+FeO 17.59 entered as FeO https://www.handbookofmineralogy.org/pdfs/schorl.pdf</t>
  </si>
  <si>
    <t>https://www.handbookofmineralogy.org/pdfs/schorl.pdf</t>
  </si>
  <si>
    <t>Range between anal. (1) and ideal NaFe3Al6(BO3)3Si6O18(OH)4 (calculated). Anal. (1) reports no H2O (total 99.74 without OH); total Fe entered as FeO.</t>
  </si>
  <si>
    <t>Phyllosilicate, clay (added, gangue)</t>
  </si>
  <si>
    <t>Handbook of Mineralogy, Kaolinite, anal. (1) Mikawo mine, Niigata, Japan; H2O+ + H2O- summed https://www.handbookofmineralogy.org/pdfs/kaolinite.pdf</t>
  </si>
  <si>
    <t>https://www.handbookofmineralogy.org/pdfs/kaolinite.pdf</t>
  </si>
  <si>
    <t>Range between anal. (1) and ideal Al2Si2O5(OH)4 (calculated). Pure clay mineral; the ion-adsorption clay ore (row 13) is a separate mixed-ore row.</t>
  </si>
  <si>
    <t>Cyclosilicate, tourmaline (added)</t>
  </si>
  <si>
    <t>Handbook of Mineralogy, Elbaite, anal. (1) Elba, Italy https://handbookofmineralogy.org/pdfs/elbaite.pdf</t>
  </si>
  <si>
    <t>https://handbookofmineralogy.org/pdfs/elbaite.pdf</t>
  </si>
  <si>
    <t>Range between anal. (1) and ideal Na(Li1.5Al1.5)Al6(BO3)3Si6O18(OH)4 (calculated).</t>
  </si>
  <si>
    <t>Phyllosilicate, chlorite (added, gangue)</t>
  </si>
  <si>
    <t>Handbook of Mineralogy, Clinochlore, anal. (1) Zillertal, Austria https://www.handbookofmineralogy.org/pdfs/clinochlore.pdf</t>
  </si>
  <si>
    <t>https://www.handbookofmineralogy.org/pdfs/clinochlore.pdf</t>
  </si>
  <si>
    <t>Range between anal. (1) and (2) Deer Park, Wyoming (Cr-rich). Cr2O3 7.88 in anal. (2) omitted (no Cr column); H2O+ + H2O- summed.</t>
  </si>
  <si>
    <t>Handbook of Mineralogy, Chamosite, anal. (1) Wickwar, England (recalculated to 100%); H2O+ + H2O- summed https://www.handbookofmineralogy.org/pdfs/chamosite.pdf</t>
  </si>
  <si>
    <t>https://www.handbookofmineralogy.org/pdfs/chamosite.pdf</t>
  </si>
  <si>
    <t>Range between anal. (1) and (2) Schmiedefeld, Germany.</t>
  </si>
  <si>
    <t>Handbook of Mineralogy, Lepidolite, anal. (1) Stewart mine, Pala, California; H2O+ + H2O- summed; Rb2O 0.91, Cs2O 0.16 omitted https://www.handbookofmineralogy.org/pdfs/lepidolite.pdf</t>
  </si>
  <si>
    <t>https://www.handbookofmineralogy.org/pdfs/lepidolite.pdf</t>
  </si>
  <si>
    <t>Range between anal. (1) and (2) Radkovice, Czech Republic. Rb2O (0.91-1.69) and Cs2O (0.16-0.94) omitted (no Rb/Cs columns), so totals are ~1-2.6 wt% low.</t>
  </si>
  <si>
    <t>Phosphate, apatite (added, gangue)</t>
  </si>
  <si>
    <t>Handbook of Mineralogy, Fluorapatite, anal. (1) Gloserheia pegmatite, Froland, Norway; RE2O3 0.28 entered as Y2O3 0.10, Nd2O3 0.06, Gd2O3 0.06, Yb2O3 0.06 https://www.handbookofmineralogy.org/pdfs/fluorapatite.pdf</t>
  </si>
  <si>
    <t>https://www.handbookofmineralogy.org/pdfs/fluorapatite.pdf</t>
  </si>
  <si>
    <t>Ordinary (REE-poor) fluorapatite; the REE-bearing fluorapatite (row 8) is kept separately. Range between anal. (1) and ideal Ca5(PO4)3F (anal. 2).</t>
  </si>
  <si>
    <t>Cyclosilicate (added, gangue)</t>
  </si>
  <si>
    <t>Handbook of Mineralogy, Beryl, anal. (1) Mursinka, Russia, EPMA; LOI 0.70 entered as H2O https://handbookofmineralogy.org/pdfs/beryl.pdf</t>
  </si>
  <si>
    <t>https://handbookofmineralogy.org/pdfs/beryl.pdf</t>
  </si>
  <si>
    <t>Range across anal. (1) Mursinka, (2) Nuristan, Afghanistan (Cs-rich, EPMA) and (3) ideal Be3Al2Si6O18. Cs2O 3.79 and Rb2O 0.05 in anal. (2) omitted (no columns); LOI entered as H2O.</t>
  </si>
  <si>
    <t>Handbook of Mineralogy, Montebrasite, anal. (1) Tanco pegmatite, Canada; H2O+ + H2O- summed https://www.handbookofmineralogy.org/pdfs/montebrasite.pdf</t>
  </si>
  <si>
    <t>https://www.handbookofmineralogy.org/pdfs/montebrasite.pdf</t>
  </si>
  <si>
    <t>Range between anal. (1) and ideal LiAl(PO4)(OH,F) with OH:F = 1:1 (anal. 2).</t>
  </si>
  <si>
    <t>Handbook of Mineralogy, Oligoclase, anal. (1) Monteagle, Ontario, Canada http://www.handbookofmineralogy.org/pdfs/oligoclase</t>
  </si>
  <si>
    <t>http://www.handbookofmineralogy.org/pdfs/oligoclase</t>
  </si>
  <si>
    <t>Range across anal. (1) and the An10 and An30 end compositions (anal. 2, 3) that bound oligoclase.</t>
  </si>
  <si>
    <t>S (sulfide)</t>
  </si>
  <si>
    <t>− O≡F,Cl,S</t>
  </si>
  <si>
    <t>Corundum</t>
  </si>
  <si>
    <t>Spodumene</t>
  </si>
  <si>
    <t>LiAlSi2O6</t>
  </si>
  <si>
    <t>Calcite</t>
  </si>
  <si>
    <t>CaCO3</t>
  </si>
  <si>
    <t>Sphalerite</t>
  </si>
  <si>
    <t>(Zn,Fe)S</t>
  </si>
  <si>
    <t>Handbook of Mineralogy, Corundum, Ideal Al2O3 (source: 'nearly pure Al2O3, with traces of Fe, Ti, and Cr') https://www.handbookofmineralogy.org/pdfs/corundum.pdf</t>
  </si>
  <si>
    <t>https://www.handbookofmineralogy.org/pdfs/corundum.pdf</t>
  </si>
  <si>
    <t>No analysis in source; stoichiometric Al2O3. Min = max = typical (no range found). Trace Fe, Ti, Cr not included.</t>
  </si>
  <si>
    <t>Inosilicate, pyroxene (added)</t>
  </si>
  <si>
    <t>Handbook of Mineralogy, Spodumene, anal. (1) Pala, California; '&lt;0.02' MgO, CaO treated as 0 https://www.handbookofmineralogy.org/pdfs/spodumene.pdf</t>
  </si>
  <si>
    <t>https://www.handbookofmineralogy.org/pdfs/spodumene.pdf</t>
  </si>
  <si>
    <t>Range between anal. (1) and ideal LiAlSi2O6 (calculated).</t>
  </si>
  <si>
    <t>Carbonate (added, gangue)</t>
  </si>
  <si>
    <t>Handbook of Mineralogy, Calcite, anal. (1) Monterey Formation, California; CO2 calculated https://www.handbookofmineralogy.org/pdfs/calcite.pdf</t>
  </si>
  <si>
    <t>https://www.handbookofmineralogy.org/pdfs/calcite.pdf</t>
  </si>
  <si>
    <t>Range between anal. (1) and ideal CaCO3 (anal. 2).</t>
  </si>
  <si>
    <t>Sulfide (added)</t>
  </si>
  <si>
    <t>Handbook of Mineralogy, Sphalerite, anal. (1) Sonora, Mexico; element wt% converted Zn-&gt;ZnO, Fe-&gt;FeO; S as sulfide S with O≡S correction https://www.handbookofmineralogy.org/pdfs/sphalerite.pdf</t>
  </si>
  <si>
    <t>https://www.handbookofmineralogy.org/pdfs/sphalerite.pdf</t>
  </si>
  <si>
    <t>Source gives element wt%; metals entered as oxides and S in the new 'S (sulfide)' column; the −O≡S term in the correction column removes the extra oxygen, so element totals match the source. Range across (1) Sonora, (2) St. Christoph mine, France (Fe-rich marmatite) and (3) ideal ZnS. Cd 0.28 in anal. (1) omitted (no Cd column).</t>
  </si>
  <si>
    <t>Cu</t>
  </si>
  <si>
    <t>Cu2O</t>
  </si>
  <si>
    <t>Crandallite</t>
  </si>
  <si>
    <t>CaAl3(PO4)(PO3OH)(OH)6</t>
  </si>
  <si>
    <t>Kesterite</t>
  </si>
  <si>
    <t>Cu2(Zn,Fe)SnS4</t>
  </si>
  <si>
    <t>Phosphate, alunite supergroup (added)</t>
  </si>
  <si>
    <t>Handbook of Mineralogy, Crandallite, anal. (1) Brooklyn mine, Utah (after deduction of 35.13% insolubles); H2O+ + H2O- summed https://www.handbookofmineralogy.org/pdfs/crandallite.pdf</t>
  </si>
  <si>
    <t>https://www.handbookofmineralogy.org/pdfs/crandallite.pdf</t>
  </si>
  <si>
    <t>Range across anal. (1) Brooklyn mine, Utah, (2) Alto Benedito pegmatite, Brazil (Sr-rich, Ca:Sr 0.56:0.44) and (3) ideal CaAl3(PO4)(PO3OH)(OH)6.</t>
  </si>
  <si>
    <t>Sulfide, stannite group (added)</t>
  </si>
  <si>
    <t>Handbook of Mineralogy, Kesterite, anal. (1) Kester deposit, Russia; element wt% converted Cu-&gt;Cu2O, Zn-&gt;ZnO, Fe-&gt;FeO, Sn-&gt;SnO2; S as sulfide S with O≡S correction; remainder (Sb 0.90, Mn 0.07, Se 0.01) omitted https://www.handbookofmineralogy.org/pdfs/kesterite.pdf</t>
  </si>
  <si>
    <t>https://www.handbookofmineralogy.org/pdfs/kesterite.pdf</t>
  </si>
  <si>
    <t>Source gives element wt%. Metals entered as Cu2O, ZnO, FeO, SnO2 (oxide O = 1 per S, so the −O≡S term removes it and element totals match the source). Range across (1) Kester deposit, (2) St. Michael's Mount, England (EPMA) and ideal Cu2ZnSnS4 (calculated). Sb 0.90 in anal. (1) omitted (no Sb column).</t>
  </si>
  <si>
    <t>Lithiophilite</t>
  </si>
  <si>
    <t>Li(Mn2+,Fe2+)PO4</t>
  </si>
  <si>
    <t>Rhodochrosite</t>
  </si>
  <si>
    <t>Mn2+CO3</t>
  </si>
  <si>
    <t>Phosphate, triphylite group (added)</t>
  </si>
  <si>
    <t>Handbook of Mineralogy, Lithiophilite, anal. (1) Buckfield, Maine; 'insol.' 0.16 omitted https://handbookofmineralogy.org/pdfs/lithiophilite.pdf</t>
  </si>
  <si>
    <t>https://handbookofmineralogy.org/pdfs/lithiophilite.pdf</t>
  </si>
  <si>
    <t>Range across anal. (1) Buckfield, Maine, (2) Foote mine, N. Carolina (EPMA, Li2O by difference) and (3) Li(Mn,Fe)PO4 with Mn:Fe = 1:1 (the lithiophilite/triphylite boundary). 'trace' CaO treated as 0.</t>
  </si>
  <si>
    <t>Handbook of Mineralogy, Rhodochrosite, anal. (1) Ljubija district, Bosnia-Herzegovina https://www.handbookofmineralogy.org/pdfs/rhodochrosite.pdf</t>
  </si>
  <si>
    <t>https://www.handbookofmineralogy.org/pdfs/rhodochrosite.pdf</t>
  </si>
  <si>
    <t>Range between anal. (1) and ideal MnCO3 (anal. 2). 'trace' MgO treated as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</si>
</sst>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
  </numFmts>
  <fonts count="9" x14ac:knownFonts="1">
    <font>
      <sz val="11"/>
      <color theme="1"/>
      <name val="Calibri"/>
      <family val="2"/>
      <scheme val="minor"/>
    </font>
    <font>
      <b/>
      <sz val="10"/>
      <color rgb="FFFFFFFF"/>
      <name val="Arial"/>
    </font>
    <font>
      <sz val="10"/>
      <color rgb="FF0000FF"/>
      <name val="Arial"/>
    </font>
    <font>
      <i/>
      <sz val="9"/>
      <color rgb="FF595959"/>
      <name val="Arial"/>
    </font>
    <font>
      <b/>
      <sz val="10"/>
      <name val="Arial"/>
    </font>
    <font>
      <sz val="10"/>
      <name val="Arial"/>
    </font>
    <font>
      <b/>
      <sz val="14"/>
      <name val="Arial"/>
    </font>
    <font>
      <sz val="9"/>
      <color indexed="81"/>
      <name val="Tahoma"/>
      <charset val="1"/>
    </font>
    <font>
      <b/>
      <sz val="9"/>
      <color indexed="81"/>
      <name val="Tahoma"/>
      <charset val="1"/>
    </font>
  </fonts>
  <fills count="6">
    <fill>
      <patternFill patternType="none"/>
    </fill>
    <fill>
      <patternFill patternType="gray125"/>
    </fill>
    <fill>
      <patternFill patternType="solid">
        <fgColor rgb="FF1F4E78"/>
      </patternFill>
    </fill>
    <fill>
      <patternFill patternType="solid">
        <fgColor rgb="FFFCE4D6"/>
      </patternFill>
    </fill>
    <fill>
      <patternFill patternType="solid">
        <fgColor rgb="FFDDEBF7"/>
      </patternFill>
    </fill>
    <fill>
      <patternFill patternType="solid">
        <fgColor rgb="FFC65911"/>
      </patternFill>
    </fill>
  </fills>
  <borders count="1">
    <border>
      <left/>
      <right/>
      <top/>
      <bottom/>
      <diagonal/>
    </border>
  </borders>
  <cellStyleXfs count="1">
    <xf numFmtId="0" fontId="0" fillId="0" borderId="0"/>
  </cellStyleXfs>
  <cellXfs count="22">
    <xf numFmtId="0" fontId="0" fillId="0" borderId="0" xfId="0"/>
    <xf numFmtId="0" fontId="6"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horizontal="center" vertical="center" wrapText="1"/>
    </xf>
    <xf numFmtId="164" fontId="2" fillId="0" borderId="0" xfId="0" applyNumberFormat="1" applyFont="1"/>
    <xf numFmtId="0" fontId="0" fillId="3" borderId="0" xfId="0" applyFill="1"/>
    <xf numFmtId="0" fontId="3" fillId="0" borderId="0" xfId="0" applyFont="1"/>
    <xf numFmtId="0" fontId="4" fillId="4" borderId="0" xfId="0" applyFont="1" applyFill="1"/>
    <xf numFmtId="0" fontId="0" fillId="0" borderId="0" xfId="0" applyAlignment="1">
      <alignment horizontal="center"/>
    </xf>
    <xf numFmtId="0" fontId="2" fillId="0" borderId="0" xfId="0" applyFont="1" applyAlignment="1">
      <alignment horizontal="center"/>
    </xf>
    <xf numFmtId="165" fontId="0" fillId="0" borderId="0" xfId="0" applyNumberFormat="1" applyAlignment="1">
      <alignment horizontal="center"/>
    </xf>
    <xf numFmtId="164" fontId="0" fillId="0" borderId="0" xfId="0" applyNumberFormat="1" applyAlignment="1">
      <alignment horizontal="center"/>
    </xf>
    <xf numFmtId="0" fontId="4" fillId="0" borderId="0" xfId="0" applyFont="1"/>
    <xf numFmtId="164" fontId="0" fillId="0" borderId="0" xfId="0" applyNumberFormat="1"/>
    <xf numFmtId="0" fontId="5" fillId="0" borderId="0" xfId="0" applyFont="1"/>
    <xf numFmtId="166" fontId="2" fillId="0" borderId="0" xfId="0" applyNumberFormat="1" applyFont="1"/>
    <xf numFmtId="2" fontId="0" fillId="0" borderId="0" xfId="0" applyNumberFormat="1"/>
    <xf numFmtId="2" fontId="4" fillId="0" borderId="0" xfId="0" applyNumberFormat="1" applyFont="1"/>
    <xf numFmtId="0" fontId="1" fillId="5" borderId="0" xfId="0" applyFont="1" applyFill="1" applyAlignment="1">
      <alignment horizontal="center" vertical="center" wrapText="1"/>
    </xf>
    <xf numFmtId="165" fontId="0" fillId="0" borderId="0" xfId="0" applyNumberFormat="1"/>
    <xf numFmtId="0" fontId="5" fillId="0" borderId="0" xfId="0" quotePrefix="1"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2A7E08-6181-495D-99E3-0816023B627D}">
  <we:reference id="29673e3c-d826-4f00-92ee-162334a52b1a" version="1.0.0.8" store="EXCatalog" storeType="EXCatalog"/>
  <we:alternateReferences>
    <we:reference id="WA200009404" version="1.0.0.8" store="en-US" storeType="OMEX"/>
  </we:alternateReferences>
  <we:properties>
    <we:property name="claude.fileId" value="&quot;48563238-2d5f-4723-bea7-129e28ddc4ad&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4.5" x14ac:dyDescent="0.35"/>
  <cols>
    <col min="1" max="1" width="130" customWidth="1"/>
  </cols>
  <sheetData>
    <row r="1" spans="1:1" ht="18" x14ac:dyDescent="0.35">
      <c r="A1" s="1" t="s">
        <v>0</v>
      </c>
    </row>
    <row r="2" spans="1:1" x14ac:dyDescent="0.35">
      <c r="A2" s="2"/>
    </row>
    <row r="3" spans="1:1" x14ac:dyDescent="0.35">
      <c r="A3" s="3" t="s">
        <v>1</v>
      </c>
    </row>
    <row r="4" spans="1:1" x14ac:dyDescent="0.35">
      <c r="A4" s="2" t="s">
        <v>2</v>
      </c>
    </row>
    <row r="5" spans="1:1" ht="25" x14ac:dyDescent="0.35">
      <c r="A5" s="2" t="s">
        <v>3</v>
      </c>
    </row>
    <row r="6" spans="1:1" ht="25" x14ac:dyDescent="0.35">
      <c r="A6" s="2" t="s">
        <v>4</v>
      </c>
    </row>
    <row r="7" spans="1:1" x14ac:dyDescent="0.35">
      <c r="A7" s="2"/>
    </row>
    <row r="8" spans="1:1" x14ac:dyDescent="0.35">
      <c r="A8" s="3" t="s">
        <v>5</v>
      </c>
    </row>
    <row r="9" spans="1:1" x14ac:dyDescent="0.35">
      <c r="A9" s="2" t="s">
        <v>6</v>
      </c>
    </row>
    <row r="10" spans="1:1" x14ac:dyDescent="0.35">
      <c r="A10" s="2" t="s">
        <v>7</v>
      </c>
    </row>
    <row r="11" spans="1:1" ht="25" x14ac:dyDescent="0.35">
      <c r="A11" s="2" t="s">
        <v>8</v>
      </c>
    </row>
    <row r="12" spans="1:1" x14ac:dyDescent="0.35">
      <c r="A12" s="2" t="s">
        <v>9</v>
      </c>
    </row>
    <row r="13" spans="1:1" x14ac:dyDescent="0.35">
      <c r="A13" s="2" t="s">
        <v>10</v>
      </c>
    </row>
    <row r="14" spans="1:1" x14ac:dyDescent="0.35">
      <c r="A14" s="2" t="s">
        <v>11</v>
      </c>
    </row>
    <row r="15" spans="1:1" x14ac:dyDescent="0.35">
      <c r="A15" s="2"/>
    </row>
    <row r="16" spans="1:1" x14ac:dyDescent="0.35">
      <c r="A16" s="3" t="s">
        <v>12</v>
      </c>
    </row>
    <row r="17" spans="1:1" ht="25" x14ac:dyDescent="0.35">
      <c r="A17" s="2" t="s">
        <v>13</v>
      </c>
    </row>
    <row r="18" spans="1:1" x14ac:dyDescent="0.35">
      <c r="A18" s="2" t="s">
        <v>14</v>
      </c>
    </row>
    <row r="19" spans="1:1" x14ac:dyDescent="0.35">
      <c r="A19" s="2"/>
    </row>
    <row r="20" spans="1:1" x14ac:dyDescent="0.35">
      <c r="A20" s="2" t="s">
        <v>15</v>
      </c>
    </row>
    <row r="21" spans="1:1" x14ac:dyDescent="0.35">
      <c r="A21"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3"/>
  <sheetViews>
    <sheetView topLeftCell="A22" workbookViewId="0"/>
  </sheetViews>
  <sheetFormatPr defaultRowHeight="14.5" x14ac:dyDescent="0.35"/>
  <cols>
    <col min="1" max="1" width="10" customWidth="1"/>
    <col min="2" max="2" width="18" customWidth="1"/>
    <col min="3" max="3" width="16" customWidth="1"/>
  </cols>
  <sheetData>
    <row r="1" spans="1:3" x14ac:dyDescent="0.35">
      <c r="A1" s="4" t="s">
        <v>17</v>
      </c>
      <c r="B1" s="4" t="s">
        <v>18</v>
      </c>
      <c r="C1" s="4" t="s">
        <v>19</v>
      </c>
    </row>
    <row r="2" spans="1:3" x14ac:dyDescent="0.35">
      <c r="A2" t="s">
        <v>20</v>
      </c>
      <c r="B2" s="5">
        <v>15.999000000000001</v>
      </c>
      <c r="C2" t="s">
        <v>21</v>
      </c>
    </row>
    <row r="3" spans="1:3" x14ac:dyDescent="0.35">
      <c r="A3" t="s">
        <v>22</v>
      </c>
      <c r="B3" s="5">
        <v>28.085000000000001</v>
      </c>
      <c r="C3" t="s">
        <v>21</v>
      </c>
    </row>
    <row r="4" spans="1:3" x14ac:dyDescent="0.35">
      <c r="A4" t="s">
        <v>23</v>
      </c>
      <c r="B4" s="5">
        <v>47.866999999999997</v>
      </c>
      <c r="C4" t="s">
        <v>21</v>
      </c>
    </row>
    <row r="5" spans="1:3" x14ac:dyDescent="0.35">
      <c r="A5" t="s">
        <v>24</v>
      </c>
      <c r="B5" s="5">
        <v>91.224000000000004</v>
      </c>
      <c r="C5" s="6" t="s">
        <v>25</v>
      </c>
    </row>
    <row r="6" spans="1:3" x14ac:dyDescent="0.35">
      <c r="A6" t="s">
        <v>26</v>
      </c>
      <c r="B6" s="5">
        <v>178.49</v>
      </c>
      <c r="C6" t="s">
        <v>21</v>
      </c>
    </row>
    <row r="7" spans="1:3" x14ac:dyDescent="0.35">
      <c r="A7" t="s">
        <v>27</v>
      </c>
      <c r="B7" s="5">
        <v>118.71</v>
      </c>
      <c r="C7" t="s">
        <v>21</v>
      </c>
    </row>
    <row r="8" spans="1:3" x14ac:dyDescent="0.35">
      <c r="A8" t="s">
        <v>28</v>
      </c>
      <c r="B8" s="5">
        <v>26.981538499999999</v>
      </c>
      <c r="C8" t="s">
        <v>21</v>
      </c>
    </row>
    <row r="9" spans="1:3" x14ac:dyDescent="0.35">
      <c r="A9" t="s">
        <v>29</v>
      </c>
      <c r="B9" s="5">
        <v>55.844999999999999</v>
      </c>
      <c r="C9" t="s">
        <v>21</v>
      </c>
    </row>
    <row r="10" spans="1:3" x14ac:dyDescent="0.35">
      <c r="A10" t="s">
        <v>30</v>
      </c>
      <c r="B10" s="5">
        <v>54.938043999999998</v>
      </c>
      <c r="C10" t="s">
        <v>21</v>
      </c>
    </row>
    <row r="11" spans="1:3" x14ac:dyDescent="0.35">
      <c r="A11" t="s">
        <v>328</v>
      </c>
      <c r="B11" s="5">
        <v>65.38</v>
      </c>
      <c r="C11" t="s">
        <v>329</v>
      </c>
    </row>
    <row r="12" spans="1:3" x14ac:dyDescent="0.35">
      <c r="A12" t="s">
        <v>517</v>
      </c>
      <c r="B12" s="5">
        <v>63.545999999999999</v>
      </c>
      <c r="C12" t="s">
        <v>329</v>
      </c>
    </row>
    <row r="13" spans="1:3" x14ac:dyDescent="0.35">
      <c r="A13" t="s">
        <v>31</v>
      </c>
      <c r="B13" s="5">
        <v>24.305</v>
      </c>
      <c r="C13" t="s">
        <v>21</v>
      </c>
    </row>
    <row r="14" spans="1:3" x14ac:dyDescent="0.35">
      <c r="A14" t="s">
        <v>32</v>
      </c>
      <c r="B14" s="5">
        <v>40.078000000000003</v>
      </c>
      <c r="C14" t="s">
        <v>21</v>
      </c>
    </row>
    <row r="15" spans="1:3" x14ac:dyDescent="0.35">
      <c r="A15" t="s">
        <v>33</v>
      </c>
      <c r="B15" s="5">
        <v>87.62</v>
      </c>
      <c r="C15" t="s">
        <v>21</v>
      </c>
    </row>
    <row r="16" spans="1:3" x14ac:dyDescent="0.35">
      <c r="A16" t="s">
        <v>34</v>
      </c>
      <c r="B16" s="5">
        <v>137.327</v>
      </c>
      <c r="C16" t="s">
        <v>21</v>
      </c>
    </row>
    <row r="17" spans="1:3" x14ac:dyDescent="0.35">
      <c r="A17" t="s">
        <v>35</v>
      </c>
      <c r="B17" s="5">
        <v>207.2</v>
      </c>
      <c r="C17" t="s">
        <v>21</v>
      </c>
    </row>
    <row r="18" spans="1:3" x14ac:dyDescent="0.35">
      <c r="A18" t="s">
        <v>36</v>
      </c>
      <c r="B18" s="5">
        <v>22.989769280000001</v>
      </c>
      <c r="C18" t="s">
        <v>21</v>
      </c>
    </row>
    <row r="19" spans="1:3" x14ac:dyDescent="0.35">
      <c r="A19" t="s">
        <v>37</v>
      </c>
      <c r="B19" s="5">
        <v>39.098300000000002</v>
      </c>
      <c r="C19" t="s">
        <v>21</v>
      </c>
    </row>
    <row r="20" spans="1:3" x14ac:dyDescent="0.35">
      <c r="A20" t="s">
        <v>428</v>
      </c>
      <c r="B20" s="5">
        <v>6.94</v>
      </c>
      <c r="C20" t="s">
        <v>329</v>
      </c>
    </row>
    <row r="21" spans="1:3" x14ac:dyDescent="0.35">
      <c r="A21" t="s">
        <v>429</v>
      </c>
      <c r="B21" s="5">
        <v>10.81</v>
      </c>
      <c r="C21" t="s">
        <v>329</v>
      </c>
    </row>
    <row r="22" spans="1:3" x14ac:dyDescent="0.35">
      <c r="A22" t="s">
        <v>38</v>
      </c>
      <c r="B22" s="5">
        <v>9.0121830999999997</v>
      </c>
      <c r="C22" t="s">
        <v>21</v>
      </c>
    </row>
    <row r="23" spans="1:3" x14ac:dyDescent="0.35">
      <c r="A23" t="s">
        <v>39</v>
      </c>
      <c r="B23" s="5">
        <v>92.906369999999995</v>
      </c>
      <c r="C23" s="6" t="s">
        <v>25</v>
      </c>
    </row>
    <row r="24" spans="1:3" x14ac:dyDescent="0.35">
      <c r="A24" t="s">
        <v>40</v>
      </c>
      <c r="B24" s="5">
        <v>180.94788</v>
      </c>
      <c r="C24" t="s">
        <v>21</v>
      </c>
    </row>
    <row r="25" spans="1:3" x14ac:dyDescent="0.35">
      <c r="A25" t="s">
        <v>41</v>
      </c>
      <c r="B25" s="5">
        <v>183.84</v>
      </c>
      <c r="C25" t="s">
        <v>21</v>
      </c>
    </row>
    <row r="26" spans="1:3" x14ac:dyDescent="0.35">
      <c r="A26" t="s">
        <v>42</v>
      </c>
      <c r="B26" s="5">
        <v>30.973761998000001</v>
      </c>
      <c r="C26" t="s">
        <v>21</v>
      </c>
    </row>
    <row r="27" spans="1:3" x14ac:dyDescent="0.35">
      <c r="A27" t="s">
        <v>43</v>
      </c>
      <c r="B27" s="5">
        <v>74.921594999999996</v>
      </c>
      <c r="C27" t="s">
        <v>21</v>
      </c>
    </row>
    <row r="28" spans="1:3" x14ac:dyDescent="0.35">
      <c r="A28" t="s">
        <v>44</v>
      </c>
      <c r="B28" s="5">
        <v>32.06</v>
      </c>
      <c r="C28" t="s">
        <v>21</v>
      </c>
    </row>
    <row r="29" spans="1:3" x14ac:dyDescent="0.35">
      <c r="A29" t="s">
        <v>45</v>
      </c>
      <c r="B29" s="5">
        <v>12.010999999999999</v>
      </c>
      <c r="C29" t="s">
        <v>21</v>
      </c>
    </row>
    <row r="30" spans="1:3" x14ac:dyDescent="0.35">
      <c r="A30" t="s">
        <v>46</v>
      </c>
      <c r="B30" s="5">
        <v>1.008</v>
      </c>
      <c r="C30" t="s">
        <v>21</v>
      </c>
    </row>
    <row r="31" spans="1:3" x14ac:dyDescent="0.35">
      <c r="A31" t="s">
        <v>47</v>
      </c>
      <c r="B31" s="5">
        <v>18.998403162999999</v>
      </c>
      <c r="C31" t="s">
        <v>21</v>
      </c>
    </row>
    <row r="32" spans="1:3" x14ac:dyDescent="0.35">
      <c r="A32" t="s">
        <v>48</v>
      </c>
      <c r="B32" s="5">
        <v>35.450000000000003</v>
      </c>
      <c r="C32" t="s">
        <v>21</v>
      </c>
    </row>
    <row r="33" spans="1:3" x14ac:dyDescent="0.35">
      <c r="A33" t="s">
        <v>49</v>
      </c>
      <c r="B33" s="5">
        <v>232.0377</v>
      </c>
      <c r="C33" s="6" t="s">
        <v>25</v>
      </c>
    </row>
    <row r="34" spans="1:3" x14ac:dyDescent="0.35">
      <c r="A34" t="s">
        <v>50</v>
      </c>
      <c r="B34" s="5">
        <v>238.02891</v>
      </c>
      <c r="C34" s="6" t="s">
        <v>25</v>
      </c>
    </row>
    <row r="35" spans="1:3" x14ac:dyDescent="0.35">
      <c r="A35" t="s">
        <v>51</v>
      </c>
      <c r="B35" s="5">
        <v>44.955908000000001</v>
      </c>
      <c r="C35" t="s">
        <v>21</v>
      </c>
    </row>
    <row r="36" spans="1:3" x14ac:dyDescent="0.35">
      <c r="A36" t="s">
        <v>52</v>
      </c>
      <c r="B36" s="5">
        <v>88.905839999999998</v>
      </c>
      <c r="C36" t="s">
        <v>21</v>
      </c>
    </row>
    <row r="37" spans="1:3" x14ac:dyDescent="0.35">
      <c r="A37" t="s">
        <v>53</v>
      </c>
      <c r="B37" s="5">
        <v>138.90547000000001</v>
      </c>
      <c r="C37" t="s">
        <v>21</v>
      </c>
    </row>
    <row r="38" spans="1:3" x14ac:dyDescent="0.35">
      <c r="A38" t="s">
        <v>54</v>
      </c>
      <c r="B38" s="5">
        <v>140.11600000000001</v>
      </c>
      <c r="C38" t="s">
        <v>21</v>
      </c>
    </row>
    <row r="39" spans="1:3" x14ac:dyDescent="0.35">
      <c r="A39" t="s">
        <v>55</v>
      </c>
      <c r="B39" s="5">
        <v>140.90765999999999</v>
      </c>
      <c r="C39" t="s">
        <v>21</v>
      </c>
    </row>
    <row r="40" spans="1:3" x14ac:dyDescent="0.35">
      <c r="A40" t="s">
        <v>56</v>
      </c>
      <c r="B40" s="5">
        <v>144.24199999999999</v>
      </c>
      <c r="C40" t="s">
        <v>21</v>
      </c>
    </row>
    <row r="41" spans="1:3" x14ac:dyDescent="0.35">
      <c r="A41" t="s">
        <v>57</v>
      </c>
      <c r="B41" s="5">
        <v>150.36000000000001</v>
      </c>
      <c r="C41" t="s">
        <v>21</v>
      </c>
    </row>
    <row r="42" spans="1:3" x14ac:dyDescent="0.35">
      <c r="A42" t="s">
        <v>58</v>
      </c>
      <c r="B42" s="5">
        <v>151.964</v>
      </c>
      <c r="C42" t="s">
        <v>21</v>
      </c>
    </row>
    <row r="43" spans="1:3" x14ac:dyDescent="0.35">
      <c r="A43" t="s">
        <v>59</v>
      </c>
      <c r="B43" s="5">
        <v>157.25</v>
      </c>
      <c r="C43" t="s">
        <v>21</v>
      </c>
    </row>
    <row r="44" spans="1:3" x14ac:dyDescent="0.35">
      <c r="A44" t="s">
        <v>60</v>
      </c>
      <c r="B44" s="5">
        <v>158.92535000000001</v>
      </c>
      <c r="C44" t="s">
        <v>21</v>
      </c>
    </row>
    <row r="45" spans="1:3" x14ac:dyDescent="0.35">
      <c r="A45" t="s">
        <v>61</v>
      </c>
      <c r="B45" s="5">
        <v>162.5</v>
      </c>
      <c r="C45" t="s">
        <v>21</v>
      </c>
    </row>
    <row r="46" spans="1:3" x14ac:dyDescent="0.35">
      <c r="A46" t="s">
        <v>62</v>
      </c>
      <c r="B46" s="5">
        <v>164.93033</v>
      </c>
      <c r="C46" t="s">
        <v>21</v>
      </c>
    </row>
    <row r="47" spans="1:3" x14ac:dyDescent="0.35">
      <c r="A47" t="s">
        <v>63</v>
      </c>
      <c r="B47" s="5">
        <v>167.25899999999999</v>
      </c>
      <c r="C47" t="s">
        <v>21</v>
      </c>
    </row>
    <row r="48" spans="1:3" x14ac:dyDescent="0.35">
      <c r="A48" t="s">
        <v>64</v>
      </c>
      <c r="B48" s="5">
        <v>168.93422000000001</v>
      </c>
      <c r="C48" t="s">
        <v>21</v>
      </c>
    </row>
    <row r="49" spans="1:3" x14ac:dyDescent="0.35">
      <c r="A49" t="s">
        <v>65</v>
      </c>
      <c r="B49" s="5">
        <v>173.04499999999999</v>
      </c>
      <c r="C49" t="s">
        <v>21</v>
      </c>
    </row>
    <row r="50" spans="1:3" x14ac:dyDescent="0.35">
      <c r="A50" t="s">
        <v>66</v>
      </c>
      <c r="B50" s="5">
        <v>174.96680000000001</v>
      </c>
      <c r="C50" t="s">
        <v>21</v>
      </c>
    </row>
    <row r="51" spans="1:3" x14ac:dyDescent="0.35">
      <c r="A51" t="s">
        <v>67</v>
      </c>
      <c r="B51" s="5">
        <v>208.9804</v>
      </c>
      <c r="C51" t="s">
        <v>21</v>
      </c>
    </row>
    <row r="53" spans="1:3" x14ac:dyDescent="0.35">
      <c r="A53" s="7" t="s">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60"/>
  <sheetViews>
    <sheetView workbookViewId="0">
      <pane xSplit="2" ySplit="1" topLeftCell="C2" activePane="bottomRight" state="frozen"/>
      <selection pane="topRight"/>
      <selection pane="bottomLeft"/>
      <selection pane="bottomRight"/>
    </sheetView>
  </sheetViews>
  <sheetFormatPr defaultRowHeight="14.5" x14ac:dyDescent="0.35"/>
  <cols>
    <col min="1" max="1" width="26" customWidth="1"/>
    <col min="2" max="2" width="14" customWidth="1"/>
  </cols>
  <sheetData>
    <row r="1" spans="1:54" ht="26" x14ac:dyDescent="0.35">
      <c r="A1" s="4" t="s">
        <v>69</v>
      </c>
      <c r="B1" s="4"/>
      <c r="C1" s="4" t="s">
        <v>70</v>
      </c>
      <c r="D1" s="4" t="s">
        <v>71</v>
      </c>
      <c r="E1" s="4" t="s">
        <v>72</v>
      </c>
      <c r="F1" s="4" t="s">
        <v>73</v>
      </c>
      <c r="G1" s="4" t="s">
        <v>74</v>
      </c>
      <c r="H1" s="4" t="s">
        <v>75</v>
      </c>
      <c r="I1" s="4" t="s">
        <v>76</v>
      </c>
      <c r="J1" s="4" t="s">
        <v>77</v>
      </c>
      <c r="K1" s="4" t="s">
        <v>78</v>
      </c>
      <c r="L1" s="4" t="s">
        <v>330</v>
      </c>
      <c r="M1" s="4" t="s">
        <v>518</v>
      </c>
      <c r="N1" s="4" t="s">
        <v>79</v>
      </c>
      <c r="O1" s="4" t="s">
        <v>80</v>
      </c>
      <c r="P1" s="4" t="s">
        <v>81</v>
      </c>
      <c r="Q1" s="4" t="s">
        <v>82</v>
      </c>
      <c r="R1" s="4" t="s">
        <v>83</v>
      </c>
      <c r="S1" s="4" t="s">
        <v>84</v>
      </c>
      <c r="T1" s="4" t="s">
        <v>85</v>
      </c>
      <c r="U1" s="4" t="s">
        <v>430</v>
      </c>
      <c r="V1" s="4" t="s">
        <v>431</v>
      </c>
      <c r="W1" s="4" t="s">
        <v>86</v>
      </c>
      <c r="X1" s="4" t="s">
        <v>87</v>
      </c>
      <c r="Y1" s="4" t="s">
        <v>88</v>
      </c>
      <c r="Z1" s="4" t="s">
        <v>89</v>
      </c>
      <c r="AA1" s="4" t="s">
        <v>90</v>
      </c>
      <c r="AB1" s="4" t="s">
        <v>91</v>
      </c>
      <c r="AC1" s="4" t="s">
        <v>92</v>
      </c>
      <c r="AD1" s="4" t="s">
        <v>93</v>
      </c>
      <c r="AE1" s="4" t="s">
        <v>94</v>
      </c>
      <c r="AF1" s="4" t="s">
        <v>47</v>
      </c>
      <c r="AG1" s="4" t="s">
        <v>48</v>
      </c>
      <c r="AH1" s="4" t="s">
        <v>493</v>
      </c>
      <c r="AI1" s="4" t="s">
        <v>95</v>
      </c>
      <c r="AJ1" s="4" t="s">
        <v>96</v>
      </c>
      <c r="AK1" s="4" t="s">
        <v>97</v>
      </c>
      <c r="AL1" s="4" t="s">
        <v>98</v>
      </c>
      <c r="AM1" s="4" t="s">
        <v>99</v>
      </c>
      <c r="AN1" s="4" t="s">
        <v>100</v>
      </c>
      <c r="AO1" s="4" t="s">
        <v>101</v>
      </c>
      <c r="AP1" s="4" t="s">
        <v>102</v>
      </c>
      <c r="AQ1" s="4" t="s">
        <v>103</v>
      </c>
      <c r="AR1" s="4" t="s">
        <v>104</v>
      </c>
      <c r="AS1" s="4" t="s">
        <v>105</v>
      </c>
      <c r="AT1" s="4" t="s">
        <v>106</v>
      </c>
      <c r="AU1" s="4" t="s">
        <v>107</v>
      </c>
      <c r="AV1" s="4" t="s">
        <v>108</v>
      </c>
      <c r="AW1" s="4" t="s">
        <v>109</v>
      </c>
      <c r="AX1" s="4" t="s">
        <v>110</v>
      </c>
      <c r="AY1" s="4" t="s">
        <v>111</v>
      </c>
      <c r="AZ1" s="4" t="s">
        <v>112</v>
      </c>
      <c r="BA1" s="4" t="s">
        <v>113</v>
      </c>
      <c r="BB1" s="4" t="s">
        <v>114</v>
      </c>
    </row>
    <row r="2" spans="1:54" x14ac:dyDescent="0.35">
      <c r="A2" s="8" t="s">
        <v>115</v>
      </c>
      <c r="C2" s="9" t="s">
        <v>22</v>
      </c>
      <c r="D2" s="9" t="s">
        <v>23</v>
      </c>
      <c r="E2" s="9" t="s">
        <v>24</v>
      </c>
      <c r="F2" s="9" t="s">
        <v>26</v>
      </c>
      <c r="G2" s="9" t="s">
        <v>27</v>
      </c>
      <c r="H2" s="9" t="s">
        <v>28</v>
      </c>
      <c r="I2" s="9" t="s">
        <v>29</v>
      </c>
      <c r="J2" s="9" t="s">
        <v>29</v>
      </c>
      <c r="K2" s="9" t="s">
        <v>30</v>
      </c>
      <c r="L2" s="9" t="s">
        <v>328</v>
      </c>
      <c r="M2" s="9" t="s">
        <v>517</v>
      </c>
      <c r="N2" s="9" t="s">
        <v>31</v>
      </c>
      <c r="O2" s="9" t="s">
        <v>32</v>
      </c>
      <c r="P2" s="9" t="s">
        <v>33</v>
      </c>
      <c r="Q2" s="9" t="s">
        <v>34</v>
      </c>
      <c r="R2" s="9" t="s">
        <v>35</v>
      </c>
      <c r="S2" s="9" t="s">
        <v>36</v>
      </c>
      <c r="T2" s="9" t="s">
        <v>37</v>
      </c>
      <c r="U2" s="9" t="s">
        <v>428</v>
      </c>
      <c r="V2" s="9" t="s">
        <v>429</v>
      </c>
      <c r="W2" s="9" t="s">
        <v>38</v>
      </c>
      <c r="X2" s="9" t="s">
        <v>39</v>
      </c>
      <c r="Y2" s="9" t="s">
        <v>40</v>
      </c>
      <c r="Z2" s="9" t="s">
        <v>41</v>
      </c>
      <c r="AA2" s="9" t="s">
        <v>42</v>
      </c>
      <c r="AB2" s="9" t="s">
        <v>43</v>
      </c>
      <c r="AC2" s="9" t="s">
        <v>44</v>
      </c>
      <c r="AD2" s="9" t="s">
        <v>45</v>
      </c>
      <c r="AE2" s="9" t="s">
        <v>46</v>
      </c>
      <c r="AF2" s="9" t="s">
        <v>47</v>
      </c>
      <c r="AG2" s="9" t="s">
        <v>48</v>
      </c>
      <c r="AH2" s="9" t="s">
        <v>44</v>
      </c>
      <c r="AI2" s="9" t="s">
        <v>49</v>
      </c>
      <c r="AJ2" s="9" t="s">
        <v>50</v>
      </c>
      <c r="AK2" s="9" t="s">
        <v>51</v>
      </c>
      <c r="AL2" s="9" t="s">
        <v>52</v>
      </c>
      <c r="AM2" s="9" t="s">
        <v>53</v>
      </c>
      <c r="AN2" s="9" t="s">
        <v>54</v>
      </c>
      <c r="AO2" s="9" t="s">
        <v>54</v>
      </c>
      <c r="AP2" s="9" t="s">
        <v>55</v>
      </c>
      <c r="AQ2" s="9" t="s">
        <v>56</v>
      </c>
      <c r="AR2" s="9" t="s">
        <v>57</v>
      </c>
      <c r="AS2" s="9" t="s">
        <v>58</v>
      </c>
      <c r="AT2" s="9" t="s">
        <v>59</v>
      </c>
      <c r="AU2" s="9" t="s">
        <v>60</v>
      </c>
      <c r="AV2" s="9" t="s">
        <v>61</v>
      </c>
      <c r="AW2" s="9" t="s">
        <v>62</v>
      </c>
      <c r="AX2" s="9" t="s">
        <v>63</v>
      </c>
      <c r="AY2" s="9" t="s">
        <v>64</v>
      </c>
      <c r="AZ2" s="9" t="s">
        <v>65</v>
      </c>
      <c r="BA2" s="9" t="s">
        <v>66</v>
      </c>
      <c r="BB2" s="9" t="s">
        <v>67</v>
      </c>
    </row>
    <row r="3" spans="1:54" x14ac:dyDescent="0.35">
      <c r="A3" s="8" t="s">
        <v>116</v>
      </c>
      <c r="C3" s="10">
        <v>1</v>
      </c>
      <c r="D3" s="10">
        <v>1</v>
      </c>
      <c r="E3" s="10">
        <v>1</v>
      </c>
      <c r="F3" s="10">
        <v>1</v>
      </c>
      <c r="G3" s="10">
        <v>1</v>
      </c>
      <c r="H3" s="10">
        <v>2</v>
      </c>
      <c r="I3" s="10">
        <v>2</v>
      </c>
      <c r="J3" s="10">
        <v>1</v>
      </c>
      <c r="K3" s="10">
        <v>1</v>
      </c>
      <c r="L3" s="10">
        <v>1</v>
      </c>
      <c r="M3" s="10">
        <v>2</v>
      </c>
      <c r="N3" s="10">
        <v>1</v>
      </c>
      <c r="O3" s="10">
        <v>1</v>
      </c>
      <c r="P3" s="10">
        <v>1</v>
      </c>
      <c r="Q3" s="10">
        <v>1</v>
      </c>
      <c r="R3" s="10">
        <v>1</v>
      </c>
      <c r="S3" s="10">
        <v>2</v>
      </c>
      <c r="T3" s="10">
        <v>2</v>
      </c>
      <c r="U3" s="10">
        <v>2</v>
      </c>
      <c r="V3" s="10">
        <v>2</v>
      </c>
      <c r="W3" s="10">
        <v>1</v>
      </c>
      <c r="X3" s="10">
        <v>2</v>
      </c>
      <c r="Y3" s="10">
        <v>2</v>
      </c>
      <c r="Z3" s="10">
        <v>1</v>
      </c>
      <c r="AA3" s="10">
        <v>2</v>
      </c>
      <c r="AB3" s="10">
        <v>2</v>
      </c>
      <c r="AC3" s="10">
        <v>1</v>
      </c>
      <c r="AD3" s="10">
        <v>1</v>
      </c>
      <c r="AE3" s="10">
        <v>2</v>
      </c>
      <c r="AF3" s="10">
        <v>1</v>
      </c>
      <c r="AG3" s="10">
        <v>1</v>
      </c>
      <c r="AH3" s="10">
        <v>1</v>
      </c>
      <c r="AI3" s="10">
        <v>1</v>
      </c>
      <c r="AJ3" s="10">
        <v>1</v>
      </c>
      <c r="AK3" s="10">
        <v>2</v>
      </c>
      <c r="AL3" s="10">
        <v>2</v>
      </c>
      <c r="AM3" s="10">
        <v>2</v>
      </c>
      <c r="AN3" s="10">
        <v>2</v>
      </c>
      <c r="AO3" s="10">
        <v>1</v>
      </c>
      <c r="AP3" s="10">
        <v>2</v>
      </c>
      <c r="AQ3" s="10">
        <v>2</v>
      </c>
      <c r="AR3" s="10">
        <v>2</v>
      </c>
      <c r="AS3" s="10">
        <v>2</v>
      </c>
      <c r="AT3" s="10">
        <v>2</v>
      </c>
      <c r="AU3" s="10">
        <v>2</v>
      </c>
      <c r="AV3" s="10">
        <v>2</v>
      </c>
      <c r="AW3" s="10">
        <v>2</v>
      </c>
      <c r="AX3" s="10">
        <v>2</v>
      </c>
      <c r="AY3" s="10">
        <v>2</v>
      </c>
      <c r="AZ3" s="10">
        <v>2</v>
      </c>
      <c r="BA3" s="10">
        <v>2</v>
      </c>
      <c r="BB3" s="10">
        <v>2</v>
      </c>
    </row>
    <row r="4" spans="1:54" x14ac:dyDescent="0.35">
      <c r="A4" s="8" t="s">
        <v>117</v>
      </c>
      <c r="C4" s="10">
        <v>2</v>
      </c>
      <c r="D4" s="10">
        <v>2</v>
      </c>
      <c r="E4" s="10">
        <v>2</v>
      </c>
      <c r="F4" s="10">
        <v>2</v>
      </c>
      <c r="G4" s="10">
        <v>2</v>
      </c>
      <c r="H4" s="10">
        <v>3</v>
      </c>
      <c r="I4" s="10">
        <v>3</v>
      </c>
      <c r="J4" s="10">
        <v>1</v>
      </c>
      <c r="K4" s="10">
        <v>1</v>
      </c>
      <c r="L4" s="10">
        <v>1</v>
      </c>
      <c r="M4" s="10">
        <v>1</v>
      </c>
      <c r="N4" s="10">
        <v>1</v>
      </c>
      <c r="O4" s="10">
        <v>1</v>
      </c>
      <c r="P4" s="10">
        <v>1</v>
      </c>
      <c r="Q4" s="10">
        <v>1</v>
      </c>
      <c r="R4" s="10">
        <v>1</v>
      </c>
      <c r="S4" s="10">
        <v>1</v>
      </c>
      <c r="T4" s="10">
        <v>1</v>
      </c>
      <c r="U4" s="10">
        <v>1</v>
      </c>
      <c r="V4" s="10">
        <v>3</v>
      </c>
      <c r="W4" s="10">
        <v>1</v>
      </c>
      <c r="X4" s="10">
        <v>5</v>
      </c>
      <c r="Y4" s="10">
        <v>5</v>
      </c>
      <c r="Z4" s="10">
        <v>3</v>
      </c>
      <c r="AA4" s="10">
        <v>5</v>
      </c>
      <c r="AB4" s="10">
        <v>5</v>
      </c>
      <c r="AC4" s="10">
        <v>3</v>
      </c>
      <c r="AD4" s="10">
        <v>2</v>
      </c>
      <c r="AE4" s="10">
        <v>1</v>
      </c>
      <c r="AF4" s="10">
        <v>0</v>
      </c>
      <c r="AG4" s="10">
        <v>0</v>
      </c>
      <c r="AH4" s="10">
        <v>0</v>
      </c>
      <c r="AI4" s="10">
        <v>2</v>
      </c>
      <c r="AJ4" s="10">
        <v>2</v>
      </c>
      <c r="AK4" s="10">
        <v>3</v>
      </c>
      <c r="AL4" s="10">
        <v>3</v>
      </c>
      <c r="AM4" s="10">
        <v>3</v>
      </c>
      <c r="AN4" s="10">
        <v>3</v>
      </c>
      <c r="AO4" s="10">
        <v>2</v>
      </c>
      <c r="AP4" s="10">
        <v>3</v>
      </c>
      <c r="AQ4" s="10">
        <v>3</v>
      </c>
      <c r="AR4" s="10">
        <v>3</v>
      </c>
      <c r="AS4" s="10">
        <v>3</v>
      </c>
      <c r="AT4" s="10">
        <v>3</v>
      </c>
      <c r="AU4" s="10">
        <v>3</v>
      </c>
      <c r="AV4" s="10">
        <v>3</v>
      </c>
      <c r="AW4" s="10">
        <v>3</v>
      </c>
      <c r="AX4" s="10">
        <v>3</v>
      </c>
      <c r="AY4" s="10">
        <v>3</v>
      </c>
      <c r="AZ4" s="10">
        <v>3</v>
      </c>
      <c r="BA4" s="10">
        <v>3</v>
      </c>
      <c r="BB4" s="10">
        <v>3</v>
      </c>
    </row>
    <row r="5" spans="1:54" x14ac:dyDescent="0.35">
      <c r="A5" s="8" t="s">
        <v>118</v>
      </c>
      <c r="C5" s="11">
        <f>C3*AtomicWeights!$B$3+C4*AtomicWeights!$B$2</f>
        <v>60.082999999999998</v>
      </c>
      <c r="D5" s="11">
        <f>D3*AtomicWeights!$B$4+D4*AtomicWeights!$B$2</f>
        <v>79.864999999999995</v>
      </c>
      <c r="E5" s="11">
        <f>E3*AtomicWeights!$B$5+E4*AtomicWeights!$B$2</f>
        <v>123.22200000000001</v>
      </c>
      <c r="F5" s="11">
        <f>F3*AtomicWeights!$B$6+F4*AtomicWeights!$B$2</f>
        <v>210.488</v>
      </c>
      <c r="G5" s="11">
        <f>G3*AtomicWeights!$B$7+G4*AtomicWeights!$B$2</f>
        <v>150.708</v>
      </c>
      <c r="H5" s="11">
        <f>H3*AtomicWeights!$B$8+H4*AtomicWeights!$B$2</f>
        <v>101.960077</v>
      </c>
      <c r="I5" s="11">
        <f>I3*AtomicWeights!$B$9+I4*AtomicWeights!$B$2</f>
        <v>159.68700000000001</v>
      </c>
      <c r="J5" s="11">
        <f>J3*AtomicWeights!$B$9+J4*AtomicWeights!$B$2</f>
        <v>71.843999999999994</v>
      </c>
      <c r="K5" s="11">
        <f>K3*AtomicWeights!$B$10+K4*AtomicWeights!$B$2</f>
        <v>70.937044</v>
      </c>
      <c r="L5" s="11">
        <f>L3*AtomicWeights!$B$11+L4*AtomicWeights!$B$2</f>
        <v>81.378999999999991</v>
      </c>
      <c r="M5" s="11">
        <f>M3*AtomicWeights!$B$12+M4*AtomicWeights!$B$2</f>
        <v>143.09100000000001</v>
      </c>
      <c r="N5" s="11">
        <f>N3*AtomicWeights!$B$13+N4*AtomicWeights!$B$2</f>
        <v>40.304000000000002</v>
      </c>
      <c r="O5" s="11">
        <f>O3*AtomicWeights!$B$14+O4*AtomicWeights!$B$2</f>
        <v>56.077000000000005</v>
      </c>
      <c r="P5" s="11">
        <f>P3*AtomicWeights!$B$15+P4*AtomicWeights!$B$2</f>
        <v>103.619</v>
      </c>
      <c r="Q5" s="11">
        <f>Q3*AtomicWeights!$B$16+Q4*AtomicWeights!$B$2</f>
        <v>153.32599999999999</v>
      </c>
      <c r="R5" s="11">
        <f>R3*AtomicWeights!$B$17+R4*AtomicWeights!$B$2</f>
        <v>223.19899999999998</v>
      </c>
      <c r="S5" s="11">
        <f>S3*AtomicWeights!$B$18+S4*AtomicWeights!$B$2</f>
        <v>61.978538560000004</v>
      </c>
      <c r="T5" s="11">
        <f>T3*AtomicWeights!$B$19+T4*AtomicWeights!$B$2</f>
        <v>94.195599999999999</v>
      </c>
      <c r="U5" s="11">
        <f>U3*AtomicWeights!$B$20+U4*AtomicWeights!$B$2</f>
        <v>29.879000000000001</v>
      </c>
      <c r="V5" s="11">
        <f>V3*AtomicWeights!$B$21+V4*AtomicWeights!$B$2</f>
        <v>69.617000000000004</v>
      </c>
      <c r="W5" s="11">
        <f>W3*AtomicWeights!$B$22+W4*AtomicWeights!$B$2</f>
        <v>25.0111831</v>
      </c>
      <c r="X5" s="11">
        <f>X3*AtomicWeights!$B$23+X4*AtomicWeights!$B$2</f>
        <v>265.80773999999997</v>
      </c>
      <c r="Y5" s="11">
        <f>Y3*AtomicWeights!$B$24+Y4*AtomicWeights!$B$2</f>
        <v>441.89076</v>
      </c>
      <c r="Z5" s="11">
        <f>Z3*AtomicWeights!$B$25+Z4*AtomicWeights!$B$2</f>
        <v>231.83699999999999</v>
      </c>
      <c r="AA5" s="11">
        <f>AA3*AtomicWeights!$B$26+AA4*AtomicWeights!$B$2</f>
        <v>141.94252399600001</v>
      </c>
      <c r="AB5" s="11">
        <f>AB3*AtomicWeights!$B$27+AB4*AtomicWeights!$B$2</f>
        <v>229.83819</v>
      </c>
      <c r="AC5" s="11">
        <f>AC3*AtomicWeights!$B$28+AC4*AtomicWeights!$B$2</f>
        <v>80.057000000000002</v>
      </c>
      <c r="AD5" s="11">
        <f>AD3*AtomicWeights!$B$29+AD4*AtomicWeights!$B$2</f>
        <v>44.009</v>
      </c>
      <c r="AE5" s="11">
        <f>AE3*AtomicWeights!$B$30+AE4*AtomicWeights!$B$2</f>
        <v>18.015000000000001</v>
      </c>
      <c r="AF5" s="11">
        <f>AF3*AtomicWeights!$B$31+AF4*AtomicWeights!$B$2</f>
        <v>18.998403162999999</v>
      </c>
      <c r="AG5" s="11">
        <f>AG3*AtomicWeights!$B$32+AG4*AtomicWeights!$B$2</f>
        <v>35.450000000000003</v>
      </c>
      <c r="AH5" s="11">
        <f>AH3*AtomicWeights!$B$28+AH4*AtomicWeights!$B$2</f>
        <v>32.06</v>
      </c>
      <c r="AI5" s="11">
        <f>AI3*AtomicWeights!$B$33+AI4*AtomicWeights!$B$2</f>
        <v>264.03570000000002</v>
      </c>
      <c r="AJ5" s="11">
        <f>AJ3*AtomicWeights!$B$34+AJ4*AtomicWeights!$B$2</f>
        <v>270.02690999999999</v>
      </c>
      <c r="AK5" s="11">
        <f>AK3*AtomicWeights!$B$35+AK4*AtomicWeights!$B$2</f>
        <v>137.908816</v>
      </c>
      <c r="AL5" s="11">
        <f>AL3*AtomicWeights!$B$36+AL4*AtomicWeights!$B$2</f>
        <v>225.80867999999998</v>
      </c>
      <c r="AM5" s="11">
        <f>AM3*AtomicWeights!$B$37+AM4*AtomicWeights!$B$2</f>
        <v>325.80794000000003</v>
      </c>
      <c r="AN5" s="11">
        <f>AN3*AtomicWeights!$B$38+AN4*AtomicWeights!$B$2</f>
        <v>328.22900000000004</v>
      </c>
      <c r="AO5" s="11">
        <f>AO3*AtomicWeights!$B$38+AO4*AtomicWeights!$B$2</f>
        <v>172.114</v>
      </c>
      <c r="AP5" s="11">
        <f>AP3*AtomicWeights!$B$39+AP4*AtomicWeights!$B$2</f>
        <v>329.81232</v>
      </c>
      <c r="AQ5" s="11">
        <f>AQ3*AtomicWeights!$B$40+AQ4*AtomicWeights!$B$2</f>
        <v>336.48099999999999</v>
      </c>
      <c r="AR5" s="11">
        <f>AR3*AtomicWeights!$B$41+AR4*AtomicWeights!$B$2</f>
        <v>348.71700000000004</v>
      </c>
      <c r="AS5" s="11">
        <f>AS3*AtomicWeights!$B$42+AS4*AtomicWeights!$B$2</f>
        <v>351.92500000000001</v>
      </c>
      <c r="AT5" s="11">
        <f>AT3*AtomicWeights!$B$43+AT4*AtomicWeights!$B$2</f>
        <v>362.49700000000001</v>
      </c>
      <c r="AU5" s="11">
        <f>AU3*AtomicWeights!$B$44+AU4*AtomicWeights!$B$2</f>
        <v>365.84770000000003</v>
      </c>
      <c r="AV5" s="11">
        <f>AV3*AtomicWeights!$B$45+AV4*AtomicWeights!$B$2</f>
        <v>372.99700000000001</v>
      </c>
      <c r="AW5" s="11">
        <f>AW3*AtomicWeights!$B$46+AW4*AtomicWeights!$B$2</f>
        <v>377.85766000000001</v>
      </c>
      <c r="AX5" s="11">
        <f>AX3*AtomicWeights!$B$47+AX4*AtomicWeights!$B$2</f>
        <v>382.51499999999999</v>
      </c>
      <c r="AY5" s="11">
        <f>AY3*AtomicWeights!$B$48+AY4*AtomicWeights!$B$2</f>
        <v>385.86544000000004</v>
      </c>
      <c r="AZ5" s="11">
        <f>AZ3*AtomicWeights!$B$49+AZ4*AtomicWeights!$B$2</f>
        <v>394.08699999999999</v>
      </c>
      <c r="BA5" s="11">
        <f>BA3*AtomicWeights!$B$50+BA4*AtomicWeights!$B$2</f>
        <v>397.93060000000003</v>
      </c>
      <c r="BB5" s="11">
        <f>BB3*AtomicWeights!$B$51+BB4*AtomicWeights!$B$2</f>
        <v>465.95780000000002</v>
      </c>
    </row>
    <row r="6" spans="1:54" x14ac:dyDescent="0.35">
      <c r="A6" s="8" t="s">
        <v>119</v>
      </c>
      <c r="C6" s="12">
        <f>C4*AtomicWeights!$B$2/C5</f>
        <v>0.53256328745235759</v>
      </c>
      <c r="D6" s="12">
        <f>D4*AtomicWeights!$B$2/D5</f>
        <v>0.40065109872910543</v>
      </c>
      <c r="E6" s="12">
        <f>E4*AtomicWeights!$B$2/E5</f>
        <v>0.25967765496421091</v>
      </c>
      <c r="F6" s="12">
        <f>F4*AtomicWeights!$B$2/F5</f>
        <v>0.15201816730644979</v>
      </c>
      <c r="G6" s="12">
        <f>G4*AtomicWeights!$B$2/G5</f>
        <v>0.2123178597022056</v>
      </c>
      <c r="H6" s="12">
        <f>H4*AtomicWeights!$B$2/H5</f>
        <v>0.47074307329132364</v>
      </c>
      <c r="I6" s="12">
        <f>I4*AtomicWeights!$B$2/I5</f>
        <v>0.30056923857295831</v>
      </c>
      <c r="J6" s="12">
        <f>J4*AtomicWeights!$B$2/J5</f>
        <v>0.22269083013195259</v>
      </c>
      <c r="K6" s="12">
        <f>K4*AtomicWeights!$B$2/K5</f>
        <v>0.22553801367872053</v>
      </c>
      <c r="L6" s="12">
        <f>L4*AtomicWeights!$B$2/L5</f>
        <v>0.19659863109647455</v>
      </c>
      <c r="M6" s="12">
        <f>M4*AtomicWeights!$B$2/M5</f>
        <v>0.11180996708388367</v>
      </c>
      <c r="N6" s="12">
        <f>N4*AtomicWeights!$B$2/N5</f>
        <v>0.39695811830091304</v>
      </c>
      <c r="O6" s="12">
        <f>O4*AtomicWeights!$B$2/O5</f>
        <v>0.28530413538527383</v>
      </c>
      <c r="P6" s="12">
        <f>P4*AtomicWeights!$B$2/P5</f>
        <v>0.15440218492747471</v>
      </c>
      <c r="Q6" s="12">
        <f>Q4*AtomicWeights!$B$2/Q5</f>
        <v>0.10434629482279588</v>
      </c>
      <c r="R6" s="12">
        <f>R4*AtomicWeights!$B$2/R5</f>
        <v>7.168042867575572E-2</v>
      </c>
      <c r="S6" s="12">
        <f>S4*AtomicWeights!$B$2/S5</f>
        <v>0.25813774205907963</v>
      </c>
      <c r="T6" s="12">
        <f>T4*AtomicWeights!$B$2/T5</f>
        <v>0.16984869781603387</v>
      </c>
      <c r="U6" s="12">
        <f>U4*AtomicWeights!$B$2/U5</f>
        <v>0.53545968740587035</v>
      </c>
      <c r="V6" s="12">
        <f>V4*AtomicWeights!$B$2/V5</f>
        <v>0.68944367036786991</v>
      </c>
      <c r="W6" s="12">
        <f>W4*AtomicWeights!$B$2/W5</f>
        <v>0.63967385853090653</v>
      </c>
      <c r="X6" s="12">
        <f>X4*AtomicWeights!$B$2/X5</f>
        <v>0.30095060437292009</v>
      </c>
      <c r="Y6" s="12">
        <f>Y4*AtomicWeights!$B$2/Y5</f>
        <v>0.18102890406669739</v>
      </c>
      <c r="Z6" s="12">
        <f>Z4*AtomicWeights!$B$2/Z5</f>
        <v>0.20702907646320476</v>
      </c>
      <c r="AA6" s="12">
        <f>AA4*AtomicWeights!$B$2/AA5</f>
        <v>0.56357318263732081</v>
      </c>
      <c r="AB6" s="12">
        <f>AB4*AtomicWeights!$B$2/AB5</f>
        <v>0.34804920801020928</v>
      </c>
      <c r="AC6" s="12">
        <f>AC4*AtomicWeights!$B$2/AC5</f>
        <v>0.59953533107660795</v>
      </c>
      <c r="AD6" s="12">
        <f>AD4*AtomicWeights!$B$2/AD5</f>
        <v>0.72707855211434025</v>
      </c>
      <c r="AE6" s="12">
        <f>AE4*AtomicWeights!$B$2/AE5</f>
        <v>0.88809325562031638</v>
      </c>
      <c r="AF6" s="12">
        <f>-AtomicWeights!$B$2/(2*AtomicWeights!$B$31)</f>
        <v>-0.42106170352144562</v>
      </c>
      <c r="AG6" s="12">
        <f>-AtomicWeights!$B$2/(2*AtomicWeights!$B$32)</f>
        <v>-0.2256558533145275</v>
      </c>
      <c r="AH6" s="12">
        <f>-AtomicWeights!$B$2/AtomicWeights!$B$28</f>
        <v>-0.49903306300686212</v>
      </c>
      <c r="AI6" s="12">
        <f>AI4*AtomicWeights!$B$2/AI5</f>
        <v>0.12118815751051847</v>
      </c>
      <c r="AJ6" s="12">
        <f>AJ4*AtomicWeights!$B$2/AJ5</f>
        <v>0.11849930068080994</v>
      </c>
      <c r="AK6" s="12">
        <f>AK4*AtomicWeights!$B$2/AK5</f>
        <v>0.34803431275923652</v>
      </c>
      <c r="AL6" s="12">
        <f>AL4*AtomicWeights!$B$2/AL5</f>
        <v>0.21255604523262792</v>
      </c>
      <c r="AM6" s="12">
        <f>AM4*AtomicWeights!$B$2/AM5</f>
        <v>0.14731685176242174</v>
      </c>
      <c r="AN6" s="12">
        <f>AN4*AtomicWeights!$B$2/AN5</f>
        <v>0.14623022341109407</v>
      </c>
      <c r="AO6" s="12">
        <f>AO4*AtomicWeights!$B$2/AO5</f>
        <v>0.18591166319997213</v>
      </c>
      <c r="AP6" s="12">
        <f>AP4*AtomicWeights!$B$2/AP5</f>
        <v>0.14552822041335509</v>
      </c>
      <c r="AQ6" s="12">
        <f>AQ4*AtomicWeights!$B$2/AQ5</f>
        <v>0.14264401258912093</v>
      </c>
      <c r="AR6" s="12">
        <f>AR4*AtomicWeights!$B$2/AR5</f>
        <v>0.13763883034093546</v>
      </c>
      <c r="AS6" s="12">
        <f>AS4*AtomicWeights!$B$2/AS5</f>
        <v>0.13638417276408324</v>
      </c>
      <c r="AT6" s="12">
        <f>AT4*AtomicWeights!$B$2/AT5</f>
        <v>0.13240661302024567</v>
      </c>
      <c r="AU6" s="12">
        <f>AU4*AtomicWeights!$B$2/AU5</f>
        <v>0.1311939367119159</v>
      </c>
      <c r="AV6" s="12">
        <f>AV4*AtomicWeights!$B$2/AV5</f>
        <v>0.12867931913661504</v>
      </c>
      <c r="AW6" s="12">
        <f>AW4*AtomicWeights!$B$2/AW5</f>
        <v>0.12702402274973068</v>
      </c>
      <c r="AX6" s="12">
        <f>AX4*AtomicWeights!$B$2/AX5</f>
        <v>0.12547743225755853</v>
      </c>
      <c r="AY6" s="12">
        <f>AY4*AtomicWeights!$B$2/AY5</f>
        <v>0.12438792134377205</v>
      </c>
      <c r="AZ6" s="12">
        <f>AZ4*AtomicWeights!$B$2/AZ5</f>
        <v>0.121792903597429</v>
      </c>
      <c r="BA6" s="12">
        <f>BA4*AtomicWeights!$B$2/BA5</f>
        <v>0.12061650951196012</v>
      </c>
      <c r="BB6" s="12">
        <f>BB4*AtomicWeights!$B$2/BB5</f>
        <v>0.1030071821954692</v>
      </c>
    </row>
    <row r="8" spans="1:54" ht="26" x14ac:dyDescent="0.35">
      <c r="A8" s="4" t="s">
        <v>17</v>
      </c>
      <c r="B8" s="4" t="s">
        <v>19</v>
      </c>
      <c r="C8" s="4" t="s">
        <v>70</v>
      </c>
      <c r="D8" s="4" t="s">
        <v>71</v>
      </c>
      <c r="E8" s="4" t="s">
        <v>72</v>
      </c>
      <c r="F8" s="4" t="s">
        <v>73</v>
      </c>
      <c r="G8" s="4" t="s">
        <v>74</v>
      </c>
      <c r="H8" s="4" t="s">
        <v>75</v>
      </c>
      <c r="I8" s="4" t="s">
        <v>76</v>
      </c>
      <c r="J8" s="4" t="s">
        <v>77</v>
      </c>
      <c r="K8" s="4" t="s">
        <v>78</v>
      </c>
      <c r="L8" s="4" t="s">
        <v>330</v>
      </c>
      <c r="M8" s="4" t="s">
        <v>518</v>
      </c>
      <c r="N8" s="4" t="s">
        <v>79</v>
      </c>
      <c r="O8" s="4" t="s">
        <v>80</v>
      </c>
      <c r="P8" s="4" t="s">
        <v>81</v>
      </c>
      <c r="Q8" s="4" t="s">
        <v>82</v>
      </c>
      <c r="R8" s="4" t="s">
        <v>83</v>
      </c>
      <c r="S8" s="4" t="s">
        <v>84</v>
      </c>
      <c r="T8" s="4" t="s">
        <v>85</v>
      </c>
      <c r="U8" s="4" t="s">
        <v>430</v>
      </c>
      <c r="V8" s="4" t="s">
        <v>431</v>
      </c>
      <c r="W8" s="4" t="s">
        <v>86</v>
      </c>
      <c r="X8" s="4" t="s">
        <v>87</v>
      </c>
      <c r="Y8" s="4" t="s">
        <v>88</v>
      </c>
      <c r="Z8" s="4" t="s">
        <v>89</v>
      </c>
      <c r="AA8" s="4" t="s">
        <v>90</v>
      </c>
      <c r="AB8" s="4" t="s">
        <v>91</v>
      </c>
      <c r="AC8" s="4" t="s">
        <v>92</v>
      </c>
      <c r="AD8" s="4" t="s">
        <v>93</v>
      </c>
      <c r="AE8" s="4" t="s">
        <v>94</v>
      </c>
      <c r="AF8" s="4" t="s">
        <v>47</v>
      </c>
      <c r="AG8" s="4" t="s">
        <v>48</v>
      </c>
      <c r="AH8" s="4" t="s">
        <v>493</v>
      </c>
      <c r="AI8" s="4" t="s">
        <v>95</v>
      </c>
      <c r="AJ8" s="4" t="s">
        <v>96</v>
      </c>
      <c r="AK8" s="4" t="s">
        <v>97</v>
      </c>
      <c r="AL8" s="4" t="s">
        <v>98</v>
      </c>
      <c r="AM8" s="4" t="s">
        <v>99</v>
      </c>
      <c r="AN8" s="4" t="s">
        <v>100</v>
      </c>
      <c r="AO8" s="4" t="s">
        <v>101</v>
      </c>
      <c r="AP8" s="4" t="s">
        <v>102</v>
      </c>
      <c r="AQ8" s="4" t="s">
        <v>103</v>
      </c>
      <c r="AR8" s="4" t="s">
        <v>104</v>
      </c>
      <c r="AS8" s="4" t="s">
        <v>105</v>
      </c>
      <c r="AT8" s="4" t="s">
        <v>106</v>
      </c>
      <c r="AU8" s="4" t="s">
        <v>107</v>
      </c>
      <c r="AV8" s="4" t="s">
        <v>108</v>
      </c>
      <c r="AW8" s="4" t="s">
        <v>109</v>
      </c>
      <c r="AX8" s="4" t="s">
        <v>110</v>
      </c>
      <c r="AY8" s="4" t="s">
        <v>111</v>
      </c>
      <c r="AZ8" s="4" t="s">
        <v>112</v>
      </c>
      <c r="BA8" s="4" t="s">
        <v>113</v>
      </c>
      <c r="BB8" s="4" t="s">
        <v>114</v>
      </c>
    </row>
    <row r="9" spans="1:54" x14ac:dyDescent="0.35">
      <c r="A9" s="13" t="s">
        <v>20</v>
      </c>
      <c r="B9" t="str">
        <f>AtomicWeights!$C$2</f>
        <v>yes</v>
      </c>
      <c r="C9" s="14">
        <f t="shared" ref="C9:BB9" si="0">C$6</f>
        <v>0.53256328745235759</v>
      </c>
      <c r="D9" s="14">
        <f t="shared" si="0"/>
        <v>0.40065109872910543</v>
      </c>
      <c r="E9" s="14">
        <f t="shared" si="0"/>
        <v>0.25967765496421091</v>
      </c>
      <c r="F9" s="14">
        <f t="shared" si="0"/>
        <v>0.15201816730644979</v>
      </c>
      <c r="G9" s="14">
        <f t="shared" si="0"/>
        <v>0.2123178597022056</v>
      </c>
      <c r="H9" s="14">
        <f t="shared" si="0"/>
        <v>0.47074307329132364</v>
      </c>
      <c r="I9" s="14">
        <f t="shared" si="0"/>
        <v>0.30056923857295831</v>
      </c>
      <c r="J9" s="14">
        <f t="shared" si="0"/>
        <v>0.22269083013195259</v>
      </c>
      <c r="K9" s="14">
        <f t="shared" si="0"/>
        <v>0.22553801367872053</v>
      </c>
      <c r="L9" s="14">
        <f t="shared" si="0"/>
        <v>0.19659863109647455</v>
      </c>
      <c r="M9" s="14">
        <f t="shared" si="0"/>
        <v>0.11180996708388367</v>
      </c>
      <c r="N9" s="14">
        <f t="shared" si="0"/>
        <v>0.39695811830091304</v>
      </c>
      <c r="O9" s="14">
        <f t="shared" si="0"/>
        <v>0.28530413538527383</v>
      </c>
      <c r="P9" s="14">
        <f t="shared" si="0"/>
        <v>0.15440218492747471</v>
      </c>
      <c r="Q9" s="14">
        <f t="shared" si="0"/>
        <v>0.10434629482279588</v>
      </c>
      <c r="R9" s="14">
        <f t="shared" si="0"/>
        <v>7.168042867575572E-2</v>
      </c>
      <c r="S9" s="14">
        <f t="shared" si="0"/>
        <v>0.25813774205907963</v>
      </c>
      <c r="T9" s="14">
        <f t="shared" si="0"/>
        <v>0.16984869781603387</v>
      </c>
      <c r="U9" s="14">
        <f t="shared" si="0"/>
        <v>0.53545968740587035</v>
      </c>
      <c r="V9" s="14">
        <f t="shared" si="0"/>
        <v>0.68944367036786991</v>
      </c>
      <c r="W9" s="14">
        <f t="shared" si="0"/>
        <v>0.63967385853090653</v>
      </c>
      <c r="X9" s="14">
        <f t="shared" si="0"/>
        <v>0.30095060437292009</v>
      </c>
      <c r="Y9" s="14">
        <f t="shared" si="0"/>
        <v>0.18102890406669739</v>
      </c>
      <c r="Z9" s="14">
        <f t="shared" si="0"/>
        <v>0.20702907646320476</v>
      </c>
      <c r="AA9" s="14">
        <f t="shared" si="0"/>
        <v>0.56357318263732081</v>
      </c>
      <c r="AB9" s="14">
        <f t="shared" si="0"/>
        <v>0.34804920801020928</v>
      </c>
      <c r="AC9" s="14">
        <f t="shared" si="0"/>
        <v>0.59953533107660795</v>
      </c>
      <c r="AD9" s="14">
        <f t="shared" si="0"/>
        <v>0.72707855211434025</v>
      </c>
      <c r="AE9" s="14">
        <f t="shared" si="0"/>
        <v>0.88809325562031638</v>
      </c>
      <c r="AF9" s="14">
        <f t="shared" si="0"/>
        <v>-0.42106170352144562</v>
      </c>
      <c r="AG9" s="14">
        <f t="shared" si="0"/>
        <v>-0.2256558533145275</v>
      </c>
      <c r="AH9" s="14">
        <f t="shared" si="0"/>
        <v>-0.49903306300686212</v>
      </c>
      <c r="AI9" s="14">
        <f t="shared" si="0"/>
        <v>0.12118815751051847</v>
      </c>
      <c r="AJ9" s="14">
        <f t="shared" si="0"/>
        <v>0.11849930068080994</v>
      </c>
      <c r="AK9" s="14">
        <f t="shared" si="0"/>
        <v>0.34803431275923652</v>
      </c>
      <c r="AL9" s="14">
        <f t="shared" si="0"/>
        <v>0.21255604523262792</v>
      </c>
      <c r="AM9" s="14">
        <f t="shared" si="0"/>
        <v>0.14731685176242174</v>
      </c>
      <c r="AN9" s="14">
        <f t="shared" si="0"/>
        <v>0.14623022341109407</v>
      </c>
      <c r="AO9" s="14">
        <f t="shared" si="0"/>
        <v>0.18591166319997213</v>
      </c>
      <c r="AP9" s="14">
        <f t="shared" si="0"/>
        <v>0.14552822041335509</v>
      </c>
      <c r="AQ9" s="14">
        <f t="shared" si="0"/>
        <v>0.14264401258912093</v>
      </c>
      <c r="AR9" s="14">
        <f t="shared" si="0"/>
        <v>0.13763883034093546</v>
      </c>
      <c r="AS9" s="14">
        <f t="shared" si="0"/>
        <v>0.13638417276408324</v>
      </c>
      <c r="AT9" s="14">
        <f t="shared" si="0"/>
        <v>0.13240661302024567</v>
      </c>
      <c r="AU9" s="14">
        <f t="shared" si="0"/>
        <v>0.1311939367119159</v>
      </c>
      <c r="AV9" s="14">
        <f t="shared" si="0"/>
        <v>0.12867931913661504</v>
      </c>
      <c r="AW9" s="14">
        <f t="shared" si="0"/>
        <v>0.12702402274973068</v>
      </c>
      <c r="AX9" s="14">
        <f t="shared" si="0"/>
        <v>0.12547743225755853</v>
      </c>
      <c r="AY9" s="14">
        <f t="shared" si="0"/>
        <v>0.12438792134377205</v>
      </c>
      <c r="AZ9" s="14">
        <f t="shared" si="0"/>
        <v>0.121792903597429</v>
      </c>
      <c r="BA9" s="14">
        <f t="shared" si="0"/>
        <v>0.12061650951196012</v>
      </c>
      <c r="BB9" s="14">
        <f t="shared" si="0"/>
        <v>0.1030071821954692</v>
      </c>
    </row>
    <row r="10" spans="1:54" x14ac:dyDescent="0.35">
      <c r="A10" s="13" t="s">
        <v>22</v>
      </c>
      <c r="B10" t="str">
        <f>AtomicWeights!$C$3</f>
        <v>yes</v>
      </c>
      <c r="C10" s="14">
        <f>IF(C$2=$A10,C$3*AtomicWeights!$B$3/C$5,0)</f>
        <v>0.46743671254764246</v>
      </c>
      <c r="D10" s="14">
        <f>IF(D$2=$A10,D$3*AtomicWeights!$B$3/D$5,0)</f>
        <v>0</v>
      </c>
      <c r="E10" s="14">
        <f>IF(E$2=$A10,E$3*AtomicWeights!$B$3/E$5,0)</f>
        <v>0</v>
      </c>
      <c r="F10" s="14">
        <f>IF(F$2=$A10,F$3*AtomicWeights!$B$3/F$5,0)</f>
        <v>0</v>
      </c>
      <c r="G10" s="14">
        <f>IF(G$2=$A10,G$3*AtomicWeights!$B$3/G$5,0)</f>
        <v>0</v>
      </c>
      <c r="H10" s="14">
        <f>IF(H$2=$A10,H$3*AtomicWeights!$B$3/H$5,0)</f>
        <v>0</v>
      </c>
      <c r="I10" s="14">
        <f>IF(I$2=$A10,I$3*AtomicWeights!$B$3/I$5,0)</f>
        <v>0</v>
      </c>
      <c r="J10" s="14">
        <f>IF(J$2=$A10,J$3*AtomicWeights!$B$3/J$5,0)</f>
        <v>0</v>
      </c>
      <c r="K10" s="14">
        <f>IF(K$2=$A10,K$3*AtomicWeights!$B$3/K$5,0)</f>
        <v>0</v>
      </c>
      <c r="L10" s="14">
        <f>IF(L$2=$A10,L$3*AtomicWeights!$B$3/L$5,0)</f>
        <v>0</v>
      </c>
      <c r="M10" s="14">
        <f>IF(M$2=$A10,M$3*AtomicWeights!$B$3/M$5,0)</f>
        <v>0</v>
      </c>
      <c r="N10" s="14">
        <f>IF(N$2=$A10,N$3*AtomicWeights!$B$3/N$5,0)</f>
        <v>0</v>
      </c>
      <c r="O10" s="14">
        <f>IF(O$2=$A10,O$3*AtomicWeights!$B$3/O$5,0)</f>
        <v>0</v>
      </c>
      <c r="P10" s="14">
        <f>IF(P$2=$A10,P$3*AtomicWeights!$B$3/P$5,0)</f>
        <v>0</v>
      </c>
      <c r="Q10" s="14">
        <f>IF(Q$2=$A10,Q$3*AtomicWeights!$B$3/Q$5,0)</f>
        <v>0</v>
      </c>
      <c r="R10" s="14">
        <f>IF(R$2=$A10,R$3*AtomicWeights!$B$3/R$5,0)</f>
        <v>0</v>
      </c>
      <c r="S10" s="14">
        <f>IF(S$2=$A10,S$3*AtomicWeights!$B$3/S$5,0)</f>
        <v>0</v>
      </c>
      <c r="T10" s="14">
        <f>IF(T$2=$A10,T$3*AtomicWeights!$B$3/T$5,0)</f>
        <v>0</v>
      </c>
      <c r="U10" s="14">
        <f>IF(U$2=$A10,U$3*AtomicWeights!$B$3/U$5,0)</f>
        <v>0</v>
      </c>
      <c r="V10" s="14">
        <f>IF(V$2=$A10,V$3*AtomicWeights!$B$3/V$5,0)</f>
        <v>0</v>
      </c>
      <c r="W10" s="14">
        <f>IF(W$2=$A10,W$3*AtomicWeights!$B$3/W$5,0)</f>
        <v>0</v>
      </c>
      <c r="X10" s="14">
        <f>IF(X$2=$A10,X$3*AtomicWeights!$B$3/X$5,0)</f>
        <v>0</v>
      </c>
      <c r="Y10" s="14">
        <f>IF(Y$2=$A10,Y$3*AtomicWeights!$B$3/Y$5,0)</f>
        <v>0</v>
      </c>
      <c r="Z10" s="14">
        <f>IF(Z$2=$A10,Z$3*AtomicWeights!$B$3/Z$5,0)</f>
        <v>0</v>
      </c>
      <c r="AA10" s="14">
        <f>IF(AA$2=$A10,AA$3*AtomicWeights!$B$3/AA$5,0)</f>
        <v>0</v>
      </c>
      <c r="AB10" s="14">
        <f>IF(AB$2=$A10,AB$3*AtomicWeights!$B$3/AB$5,0)</f>
        <v>0</v>
      </c>
      <c r="AC10" s="14">
        <f>IF(AC$2=$A10,AC$3*AtomicWeights!$B$3/AC$5,0)</f>
        <v>0</v>
      </c>
      <c r="AD10" s="14">
        <f>IF(AD$2=$A10,AD$3*AtomicWeights!$B$3/AD$5,0)</f>
        <v>0</v>
      </c>
      <c r="AE10" s="14">
        <f>IF(AE$2=$A10,AE$3*AtomicWeights!$B$3/AE$5,0)</f>
        <v>0</v>
      </c>
      <c r="AF10" s="14">
        <f>IF(AF$2=$A10,AF$3*AtomicWeights!$B$3/AF$5,0)</f>
        <v>0</v>
      </c>
      <c r="AG10" s="14">
        <f>IF(AG$2=$A10,AG$3*AtomicWeights!$B$3/AG$5,0)</f>
        <v>0</v>
      </c>
      <c r="AH10" s="14">
        <f>IF(AH$2=$A10,AH$3*AtomicWeights!$B$3/AH$5,0)</f>
        <v>0</v>
      </c>
      <c r="AI10" s="14">
        <f>IF(AI$2=$A10,AI$3*AtomicWeights!$B$3/AI$5,0)</f>
        <v>0</v>
      </c>
      <c r="AJ10" s="14">
        <f>IF(AJ$2=$A10,AJ$3*AtomicWeights!$B$3/AJ$5,0)</f>
        <v>0</v>
      </c>
      <c r="AK10" s="14">
        <f>IF(AK$2=$A10,AK$3*AtomicWeights!$B$3/AK$5,0)</f>
        <v>0</v>
      </c>
      <c r="AL10" s="14">
        <f>IF(AL$2=$A10,AL$3*AtomicWeights!$B$3/AL$5,0)</f>
        <v>0</v>
      </c>
      <c r="AM10" s="14">
        <f>IF(AM$2=$A10,AM$3*AtomicWeights!$B$3/AM$5,0)</f>
        <v>0</v>
      </c>
      <c r="AN10" s="14">
        <f>IF(AN$2=$A10,AN$3*AtomicWeights!$B$3/AN$5,0)</f>
        <v>0</v>
      </c>
      <c r="AO10" s="14">
        <f>IF(AO$2=$A10,AO$3*AtomicWeights!$B$3/AO$5,0)</f>
        <v>0</v>
      </c>
      <c r="AP10" s="14">
        <f>IF(AP$2=$A10,AP$3*AtomicWeights!$B$3/AP$5,0)</f>
        <v>0</v>
      </c>
      <c r="AQ10" s="14">
        <f>IF(AQ$2=$A10,AQ$3*AtomicWeights!$B$3/AQ$5,0)</f>
        <v>0</v>
      </c>
      <c r="AR10" s="14">
        <f>IF(AR$2=$A10,AR$3*AtomicWeights!$B$3/AR$5,0)</f>
        <v>0</v>
      </c>
      <c r="AS10" s="14">
        <f>IF(AS$2=$A10,AS$3*AtomicWeights!$B$3/AS$5,0)</f>
        <v>0</v>
      </c>
      <c r="AT10" s="14">
        <f>IF(AT$2=$A10,AT$3*AtomicWeights!$B$3/AT$5,0)</f>
        <v>0</v>
      </c>
      <c r="AU10" s="14">
        <f>IF(AU$2=$A10,AU$3*AtomicWeights!$B$3/AU$5,0)</f>
        <v>0</v>
      </c>
      <c r="AV10" s="14">
        <f>IF(AV$2=$A10,AV$3*AtomicWeights!$B$3/AV$5,0)</f>
        <v>0</v>
      </c>
      <c r="AW10" s="14">
        <f>IF(AW$2=$A10,AW$3*AtomicWeights!$B$3/AW$5,0)</f>
        <v>0</v>
      </c>
      <c r="AX10" s="14">
        <f>IF(AX$2=$A10,AX$3*AtomicWeights!$B$3/AX$5,0)</f>
        <v>0</v>
      </c>
      <c r="AY10" s="14">
        <f>IF(AY$2=$A10,AY$3*AtomicWeights!$B$3/AY$5,0)</f>
        <v>0</v>
      </c>
      <c r="AZ10" s="14">
        <f>IF(AZ$2=$A10,AZ$3*AtomicWeights!$B$3/AZ$5,0)</f>
        <v>0</v>
      </c>
      <c r="BA10" s="14">
        <f>IF(BA$2=$A10,BA$3*AtomicWeights!$B$3/BA$5,0)</f>
        <v>0</v>
      </c>
      <c r="BB10" s="14">
        <f>IF(BB$2=$A10,BB$3*AtomicWeights!$B$3/BB$5,0)</f>
        <v>0</v>
      </c>
    </row>
    <row r="11" spans="1:54" x14ac:dyDescent="0.35">
      <c r="A11" s="13" t="s">
        <v>23</v>
      </c>
      <c r="B11" t="str">
        <f>AtomicWeights!$C$4</f>
        <v>yes</v>
      </c>
      <c r="C11" s="14">
        <f>IF(C$2=$A11,C$3*AtomicWeights!$B$4/C$5,0)</f>
        <v>0</v>
      </c>
      <c r="D11" s="14">
        <f>IF(D$2=$A11,D$3*AtomicWeights!$B$4/D$5,0)</f>
        <v>0.59934890127089469</v>
      </c>
      <c r="E11" s="14">
        <f>IF(E$2=$A11,E$3*AtomicWeights!$B$4/E$5,0)</f>
        <v>0</v>
      </c>
      <c r="F11" s="14">
        <f>IF(F$2=$A11,F$3*AtomicWeights!$B$4/F$5,0)</f>
        <v>0</v>
      </c>
      <c r="G11" s="14">
        <f>IF(G$2=$A11,G$3*AtomicWeights!$B$4/G$5,0)</f>
        <v>0</v>
      </c>
      <c r="H11" s="14">
        <f>IF(H$2=$A11,H$3*AtomicWeights!$B$4/H$5,0)</f>
        <v>0</v>
      </c>
      <c r="I11" s="14">
        <f>IF(I$2=$A11,I$3*AtomicWeights!$B$4/I$5,0)</f>
        <v>0</v>
      </c>
      <c r="J11" s="14">
        <f>IF(J$2=$A11,J$3*AtomicWeights!$B$4/J$5,0)</f>
        <v>0</v>
      </c>
      <c r="K11" s="14">
        <f>IF(K$2=$A11,K$3*AtomicWeights!$B$4/K$5,0)</f>
        <v>0</v>
      </c>
      <c r="L11" s="14">
        <f>IF(L$2=$A11,L$3*AtomicWeights!$B$4/L$5,0)</f>
        <v>0</v>
      </c>
      <c r="M11" s="14">
        <f>IF(M$2=$A11,M$3*AtomicWeights!$B$4/M$5,0)</f>
        <v>0</v>
      </c>
      <c r="N11" s="14">
        <f>IF(N$2=$A11,N$3*AtomicWeights!$B$4/N$5,0)</f>
        <v>0</v>
      </c>
      <c r="O11" s="14">
        <f>IF(O$2=$A11,O$3*AtomicWeights!$B$4/O$5,0)</f>
        <v>0</v>
      </c>
      <c r="P11" s="14">
        <f>IF(P$2=$A11,P$3*AtomicWeights!$B$4/P$5,0)</f>
        <v>0</v>
      </c>
      <c r="Q11" s="14">
        <f>IF(Q$2=$A11,Q$3*AtomicWeights!$B$4/Q$5,0)</f>
        <v>0</v>
      </c>
      <c r="R11" s="14">
        <f>IF(R$2=$A11,R$3*AtomicWeights!$B$4/R$5,0)</f>
        <v>0</v>
      </c>
      <c r="S11" s="14">
        <f>IF(S$2=$A11,S$3*AtomicWeights!$B$4/S$5,0)</f>
        <v>0</v>
      </c>
      <c r="T11" s="14">
        <f>IF(T$2=$A11,T$3*AtomicWeights!$B$4/T$5,0)</f>
        <v>0</v>
      </c>
      <c r="U11" s="14">
        <f>IF(U$2=$A11,U$3*AtomicWeights!$B$4/U$5,0)</f>
        <v>0</v>
      </c>
      <c r="V11" s="14">
        <f>IF(V$2=$A11,V$3*AtomicWeights!$B$4/V$5,0)</f>
        <v>0</v>
      </c>
      <c r="W11" s="14">
        <f>IF(W$2=$A11,W$3*AtomicWeights!$B$4/W$5,0)</f>
        <v>0</v>
      </c>
      <c r="X11" s="14">
        <f>IF(X$2=$A11,X$3*AtomicWeights!$B$4/X$5,0)</f>
        <v>0</v>
      </c>
      <c r="Y11" s="14">
        <f>IF(Y$2=$A11,Y$3*AtomicWeights!$B$4/Y$5,0)</f>
        <v>0</v>
      </c>
      <c r="Z11" s="14">
        <f>IF(Z$2=$A11,Z$3*AtomicWeights!$B$4/Z$5,0)</f>
        <v>0</v>
      </c>
      <c r="AA11" s="14">
        <f>IF(AA$2=$A11,AA$3*AtomicWeights!$B$4/AA$5,0)</f>
        <v>0</v>
      </c>
      <c r="AB11" s="14">
        <f>IF(AB$2=$A11,AB$3*AtomicWeights!$B$4/AB$5,0)</f>
        <v>0</v>
      </c>
      <c r="AC11" s="14">
        <f>IF(AC$2=$A11,AC$3*AtomicWeights!$B$4/AC$5,0)</f>
        <v>0</v>
      </c>
      <c r="AD11" s="14">
        <f>IF(AD$2=$A11,AD$3*AtomicWeights!$B$4/AD$5,0)</f>
        <v>0</v>
      </c>
      <c r="AE11" s="14">
        <f>IF(AE$2=$A11,AE$3*AtomicWeights!$B$4/AE$5,0)</f>
        <v>0</v>
      </c>
      <c r="AF11" s="14">
        <f>IF(AF$2=$A11,AF$3*AtomicWeights!$B$4/AF$5,0)</f>
        <v>0</v>
      </c>
      <c r="AG11" s="14">
        <f>IF(AG$2=$A11,AG$3*AtomicWeights!$B$4/AG$5,0)</f>
        <v>0</v>
      </c>
      <c r="AH11" s="14">
        <f>IF(AH$2=$A11,AH$3*AtomicWeights!$B$4/AH$5,0)</f>
        <v>0</v>
      </c>
      <c r="AI11" s="14">
        <f>IF(AI$2=$A11,AI$3*AtomicWeights!$B$4/AI$5,0)</f>
        <v>0</v>
      </c>
      <c r="AJ11" s="14">
        <f>IF(AJ$2=$A11,AJ$3*AtomicWeights!$B$4/AJ$5,0)</f>
        <v>0</v>
      </c>
      <c r="AK11" s="14">
        <f>IF(AK$2=$A11,AK$3*AtomicWeights!$B$4/AK$5,0)</f>
        <v>0</v>
      </c>
      <c r="AL11" s="14">
        <f>IF(AL$2=$A11,AL$3*AtomicWeights!$B$4/AL$5,0)</f>
        <v>0</v>
      </c>
      <c r="AM11" s="14">
        <f>IF(AM$2=$A11,AM$3*AtomicWeights!$B$4/AM$5,0)</f>
        <v>0</v>
      </c>
      <c r="AN11" s="14">
        <f>IF(AN$2=$A11,AN$3*AtomicWeights!$B$4/AN$5,0)</f>
        <v>0</v>
      </c>
      <c r="AO11" s="14">
        <f>IF(AO$2=$A11,AO$3*AtomicWeights!$B$4/AO$5,0)</f>
        <v>0</v>
      </c>
      <c r="AP11" s="14">
        <f>IF(AP$2=$A11,AP$3*AtomicWeights!$B$4/AP$5,0)</f>
        <v>0</v>
      </c>
      <c r="AQ11" s="14">
        <f>IF(AQ$2=$A11,AQ$3*AtomicWeights!$B$4/AQ$5,0)</f>
        <v>0</v>
      </c>
      <c r="AR11" s="14">
        <f>IF(AR$2=$A11,AR$3*AtomicWeights!$B$4/AR$5,0)</f>
        <v>0</v>
      </c>
      <c r="AS11" s="14">
        <f>IF(AS$2=$A11,AS$3*AtomicWeights!$B$4/AS$5,0)</f>
        <v>0</v>
      </c>
      <c r="AT11" s="14">
        <f>IF(AT$2=$A11,AT$3*AtomicWeights!$B$4/AT$5,0)</f>
        <v>0</v>
      </c>
      <c r="AU11" s="14">
        <f>IF(AU$2=$A11,AU$3*AtomicWeights!$B$4/AU$5,0)</f>
        <v>0</v>
      </c>
      <c r="AV11" s="14">
        <f>IF(AV$2=$A11,AV$3*AtomicWeights!$B$4/AV$5,0)</f>
        <v>0</v>
      </c>
      <c r="AW11" s="14">
        <f>IF(AW$2=$A11,AW$3*AtomicWeights!$B$4/AW$5,0)</f>
        <v>0</v>
      </c>
      <c r="AX11" s="14">
        <f>IF(AX$2=$A11,AX$3*AtomicWeights!$B$4/AX$5,0)</f>
        <v>0</v>
      </c>
      <c r="AY11" s="14">
        <f>IF(AY$2=$A11,AY$3*AtomicWeights!$B$4/AY$5,0)</f>
        <v>0</v>
      </c>
      <c r="AZ11" s="14">
        <f>IF(AZ$2=$A11,AZ$3*AtomicWeights!$B$4/AZ$5,0)</f>
        <v>0</v>
      </c>
      <c r="BA11" s="14">
        <f>IF(BA$2=$A11,BA$3*AtomicWeights!$B$4/BA$5,0)</f>
        <v>0</v>
      </c>
      <c r="BB11" s="14">
        <f>IF(BB$2=$A11,BB$3*AtomicWeights!$B$4/BB$5,0)</f>
        <v>0</v>
      </c>
    </row>
    <row r="12" spans="1:54" x14ac:dyDescent="0.35">
      <c r="A12" s="13" t="s">
        <v>24</v>
      </c>
      <c r="B12" t="str">
        <f>AtomicWeights!$C$5</f>
        <v>NO</v>
      </c>
      <c r="C12" s="14">
        <f>IF(C$2=$A12,C$3*AtomicWeights!$B$5/C$5,0)</f>
        <v>0</v>
      </c>
      <c r="D12" s="14">
        <f>IF(D$2=$A12,D$3*AtomicWeights!$B$5/D$5,0)</f>
        <v>0</v>
      </c>
      <c r="E12" s="14">
        <f>IF(E$2=$A12,E$3*AtomicWeights!$B$5/E$5,0)</f>
        <v>0.74032234503578909</v>
      </c>
      <c r="F12" s="14">
        <f>IF(F$2=$A12,F$3*AtomicWeights!$B$5/F$5,0)</f>
        <v>0</v>
      </c>
      <c r="G12" s="14">
        <f>IF(G$2=$A12,G$3*AtomicWeights!$B$5/G$5,0)</f>
        <v>0</v>
      </c>
      <c r="H12" s="14">
        <f>IF(H$2=$A12,H$3*AtomicWeights!$B$5/H$5,0)</f>
        <v>0</v>
      </c>
      <c r="I12" s="14">
        <f>IF(I$2=$A12,I$3*AtomicWeights!$B$5/I$5,0)</f>
        <v>0</v>
      </c>
      <c r="J12" s="14">
        <f>IF(J$2=$A12,J$3*AtomicWeights!$B$5/J$5,0)</f>
        <v>0</v>
      </c>
      <c r="K12" s="14">
        <f>IF(K$2=$A12,K$3*AtomicWeights!$B$5/K$5,0)</f>
        <v>0</v>
      </c>
      <c r="L12" s="14">
        <f>IF(L$2=$A12,L$3*AtomicWeights!$B$5/L$5,0)</f>
        <v>0</v>
      </c>
      <c r="M12" s="14">
        <f>IF(M$2=$A12,M$3*AtomicWeights!$B$5/M$5,0)</f>
        <v>0</v>
      </c>
      <c r="N12" s="14">
        <f>IF(N$2=$A12,N$3*AtomicWeights!$B$5/N$5,0)</f>
        <v>0</v>
      </c>
      <c r="O12" s="14">
        <f>IF(O$2=$A12,O$3*AtomicWeights!$B$5/O$5,0)</f>
        <v>0</v>
      </c>
      <c r="P12" s="14">
        <f>IF(P$2=$A12,P$3*AtomicWeights!$B$5/P$5,0)</f>
        <v>0</v>
      </c>
      <c r="Q12" s="14">
        <f>IF(Q$2=$A12,Q$3*AtomicWeights!$B$5/Q$5,0)</f>
        <v>0</v>
      </c>
      <c r="R12" s="14">
        <f>IF(R$2=$A12,R$3*AtomicWeights!$B$5/R$5,0)</f>
        <v>0</v>
      </c>
      <c r="S12" s="14">
        <f>IF(S$2=$A12,S$3*AtomicWeights!$B$5/S$5,0)</f>
        <v>0</v>
      </c>
      <c r="T12" s="14">
        <f>IF(T$2=$A12,T$3*AtomicWeights!$B$5/T$5,0)</f>
        <v>0</v>
      </c>
      <c r="U12" s="14">
        <f>IF(U$2=$A12,U$3*AtomicWeights!$B$5/U$5,0)</f>
        <v>0</v>
      </c>
      <c r="V12" s="14">
        <f>IF(V$2=$A12,V$3*AtomicWeights!$B$5/V$5,0)</f>
        <v>0</v>
      </c>
      <c r="W12" s="14">
        <f>IF(W$2=$A12,W$3*AtomicWeights!$B$5/W$5,0)</f>
        <v>0</v>
      </c>
      <c r="X12" s="14">
        <f>IF(X$2=$A12,X$3*AtomicWeights!$B$5/X$5,0)</f>
        <v>0</v>
      </c>
      <c r="Y12" s="14">
        <f>IF(Y$2=$A12,Y$3*AtomicWeights!$B$5/Y$5,0)</f>
        <v>0</v>
      </c>
      <c r="Z12" s="14">
        <f>IF(Z$2=$A12,Z$3*AtomicWeights!$B$5/Z$5,0)</f>
        <v>0</v>
      </c>
      <c r="AA12" s="14">
        <f>IF(AA$2=$A12,AA$3*AtomicWeights!$B$5/AA$5,0)</f>
        <v>0</v>
      </c>
      <c r="AB12" s="14">
        <f>IF(AB$2=$A12,AB$3*AtomicWeights!$B$5/AB$5,0)</f>
        <v>0</v>
      </c>
      <c r="AC12" s="14">
        <f>IF(AC$2=$A12,AC$3*AtomicWeights!$B$5/AC$5,0)</f>
        <v>0</v>
      </c>
      <c r="AD12" s="14">
        <f>IF(AD$2=$A12,AD$3*AtomicWeights!$B$5/AD$5,0)</f>
        <v>0</v>
      </c>
      <c r="AE12" s="14">
        <f>IF(AE$2=$A12,AE$3*AtomicWeights!$B$5/AE$5,0)</f>
        <v>0</v>
      </c>
      <c r="AF12" s="14">
        <f>IF(AF$2=$A12,AF$3*AtomicWeights!$B$5/AF$5,0)</f>
        <v>0</v>
      </c>
      <c r="AG12" s="14">
        <f>IF(AG$2=$A12,AG$3*AtomicWeights!$B$5/AG$5,0)</f>
        <v>0</v>
      </c>
      <c r="AH12" s="14">
        <f>IF(AH$2=$A12,AH$3*AtomicWeights!$B$5/AH$5,0)</f>
        <v>0</v>
      </c>
      <c r="AI12" s="14">
        <f>IF(AI$2=$A12,AI$3*AtomicWeights!$B$5/AI$5,0)</f>
        <v>0</v>
      </c>
      <c r="AJ12" s="14">
        <f>IF(AJ$2=$A12,AJ$3*AtomicWeights!$B$5/AJ$5,0)</f>
        <v>0</v>
      </c>
      <c r="AK12" s="14">
        <f>IF(AK$2=$A12,AK$3*AtomicWeights!$B$5/AK$5,0)</f>
        <v>0</v>
      </c>
      <c r="AL12" s="14">
        <f>IF(AL$2=$A12,AL$3*AtomicWeights!$B$5/AL$5,0)</f>
        <v>0</v>
      </c>
      <c r="AM12" s="14">
        <f>IF(AM$2=$A12,AM$3*AtomicWeights!$B$5/AM$5,0)</f>
        <v>0</v>
      </c>
      <c r="AN12" s="14">
        <f>IF(AN$2=$A12,AN$3*AtomicWeights!$B$5/AN$5,0)</f>
        <v>0</v>
      </c>
      <c r="AO12" s="14">
        <f>IF(AO$2=$A12,AO$3*AtomicWeights!$B$5/AO$5,0)</f>
        <v>0</v>
      </c>
      <c r="AP12" s="14">
        <f>IF(AP$2=$A12,AP$3*AtomicWeights!$B$5/AP$5,0)</f>
        <v>0</v>
      </c>
      <c r="AQ12" s="14">
        <f>IF(AQ$2=$A12,AQ$3*AtomicWeights!$B$5/AQ$5,0)</f>
        <v>0</v>
      </c>
      <c r="AR12" s="14">
        <f>IF(AR$2=$A12,AR$3*AtomicWeights!$B$5/AR$5,0)</f>
        <v>0</v>
      </c>
      <c r="AS12" s="14">
        <f>IF(AS$2=$A12,AS$3*AtomicWeights!$B$5/AS$5,0)</f>
        <v>0</v>
      </c>
      <c r="AT12" s="14">
        <f>IF(AT$2=$A12,AT$3*AtomicWeights!$B$5/AT$5,0)</f>
        <v>0</v>
      </c>
      <c r="AU12" s="14">
        <f>IF(AU$2=$A12,AU$3*AtomicWeights!$B$5/AU$5,0)</f>
        <v>0</v>
      </c>
      <c r="AV12" s="14">
        <f>IF(AV$2=$A12,AV$3*AtomicWeights!$B$5/AV$5,0)</f>
        <v>0</v>
      </c>
      <c r="AW12" s="14">
        <f>IF(AW$2=$A12,AW$3*AtomicWeights!$B$5/AW$5,0)</f>
        <v>0</v>
      </c>
      <c r="AX12" s="14">
        <f>IF(AX$2=$A12,AX$3*AtomicWeights!$B$5/AX$5,0)</f>
        <v>0</v>
      </c>
      <c r="AY12" s="14">
        <f>IF(AY$2=$A12,AY$3*AtomicWeights!$B$5/AY$5,0)</f>
        <v>0</v>
      </c>
      <c r="AZ12" s="14">
        <f>IF(AZ$2=$A12,AZ$3*AtomicWeights!$B$5/AZ$5,0)</f>
        <v>0</v>
      </c>
      <c r="BA12" s="14">
        <f>IF(BA$2=$A12,BA$3*AtomicWeights!$B$5/BA$5,0)</f>
        <v>0</v>
      </c>
      <c r="BB12" s="14">
        <f>IF(BB$2=$A12,BB$3*AtomicWeights!$B$5/BB$5,0)</f>
        <v>0</v>
      </c>
    </row>
    <row r="13" spans="1:54" x14ac:dyDescent="0.35">
      <c r="A13" s="13" t="s">
        <v>26</v>
      </c>
      <c r="B13" t="str">
        <f>AtomicWeights!$C$6</f>
        <v>yes</v>
      </c>
      <c r="C13" s="14">
        <f>IF(C$2=$A13,C$3*AtomicWeights!$B$6/C$5,0)</f>
        <v>0</v>
      </c>
      <c r="D13" s="14">
        <f>IF(D$2=$A13,D$3*AtomicWeights!$B$6/D$5,0)</f>
        <v>0</v>
      </c>
      <c r="E13" s="14">
        <f>IF(E$2=$A13,E$3*AtomicWeights!$B$6/E$5,0)</f>
        <v>0</v>
      </c>
      <c r="F13" s="14">
        <f>IF(F$2=$A13,F$3*AtomicWeights!$B$6/F$5,0)</f>
        <v>0.84798183269355032</v>
      </c>
      <c r="G13" s="14">
        <f>IF(G$2=$A13,G$3*AtomicWeights!$B$6/G$5,0)</f>
        <v>0</v>
      </c>
      <c r="H13" s="14">
        <f>IF(H$2=$A13,H$3*AtomicWeights!$B$6/H$5,0)</f>
        <v>0</v>
      </c>
      <c r="I13" s="14">
        <f>IF(I$2=$A13,I$3*AtomicWeights!$B$6/I$5,0)</f>
        <v>0</v>
      </c>
      <c r="J13" s="14">
        <f>IF(J$2=$A13,J$3*AtomicWeights!$B$6/J$5,0)</f>
        <v>0</v>
      </c>
      <c r="K13" s="14">
        <f>IF(K$2=$A13,K$3*AtomicWeights!$B$6/K$5,0)</f>
        <v>0</v>
      </c>
      <c r="L13" s="14">
        <f>IF(L$2=$A13,L$3*AtomicWeights!$B$6/L$5,0)</f>
        <v>0</v>
      </c>
      <c r="M13" s="14">
        <f>IF(M$2=$A13,M$3*AtomicWeights!$B$6/M$5,0)</f>
        <v>0</v>
      </c>
      <c r="N13" s="14">
        <f>IF(N$2=$A13,N$3*AtomicWeights!$B$6/N$5,0)</f>
        <v>0</v>
      </c>
      <c r="O13" s="14">
        <f>IF(O$2=$A13,O$3*AtomicWeights!$B$6/O$5,0)</f>
        <v>0</v>
      </c>
      <c r="P13" s="14">
        <f>IF(P$2=$A13,P$3*AtomicWeights!$B$6/P$5,0)</f>
        <v>0</v>
      </c>
      <c r="Q13" s="14">
        <f>IF(Q$2=$A13,Q$3*AtomicWeights!$B$6/Q$5,0)</f>
        <v>0</v>
      </c>
      <c r="R13" s="14">
        <f>IF(R$2=$A13,R$3*AtomicWeights!$B$6/R$5,0)</f>
        <v>0</v>
      </c>
      <c r="S13" s="14">
        <f>IF(S$2=$A13,S$3*AtomicWeights!$B$6/S$5,0)</f>
        <v>0</v>
      </c>
      <c r="T13" s="14">
        <f>IF(T$2=$A13,T$3*AtomicWeights!$B$6/T$5,0)</f>
        <v>0</v>
      </c>
      <c r="U13" s="14">
        <f>IF(U$2=$A13,U$3*AtomicWeights!$B$6/U$5,0)</f>
        <v>0</v>
      </c>
      <c r="V13" s="14">
        <f>IF(V$2=$A13,V$3*AtomicWeights!$B$6/V$5,0)</f>
        <v>0</v>
      </c>
      <c r="W13" s="14">
        <f>IF(W$2=$A13,W$3*AtomicWeights!$B$6/W$5,0)</f>
        <v>0</v>
      </c>
      <c r="X13" s="14">
        <f>IF(X$2=$A13,X$3*AtomicWeights!$B$6/X$5,0)</f>
        <v>0</v>
      </c>
      <c r="Y13" s="14">
        <f>IF(Y$2=$A13,Y$3*AtomicWeights!$B$6/Y$5,0)</f>
        <v>0</v>
      </c>
      <c r="Z13" s="14">
        <f>IF(Z$2=$A13,Z$3*AtomicWeights!$B$6/Z$5,0)</f>
        <v>0</v>
      </c>
      <c r="AA13" s="14">
        <f>IF(AA$2=$A13,AA$3*AtomicWeights!$B$6/AA$5,0)</f>
        <v>0</v>
      </c>
      <c r="AB13" s="14">
        <f>IF(AB$2=$A13,AB$3*AtomicWeights!$B$6/AB$5,0)</f>
        <v>0</v>
      </c>
      <c r="AC13" s="14">
        <f>IF(AC$2=$A13,AC$3*AtomicWeights!$B$6/AC$5,0)</f>
        <v>0</v>
      </c>
      <c r="AD13" s="14">
        <f>IF(AD$2=$A13,AD$3*AtomicWeights!$B$6/AD$5,0)</f>
        <v>0</v>
      </c>
      <c r="AE13" s="14">
        <f>IF(AE$2=$A13,AE$3*AtomicWeights!$B$6/AE$5,0)</f>
        <v>0</v>
      </c>
      <c r="AF13" s="14">
        <f>IF(AF$2=$A13,AF$3*AtomicWeights!$B$6/AF$5,0)</f>
        <v>0</v>
      </c>
      <c r="AG13" s="14">
        <f>IF(AG$2=$A13,AG$3*AtomicWeights!$B$6/AG$5,0)</f>
        <v>0</v>
      </c>
      <c r="AH13" s="14">
        <f>IF(AH$2=$A13,AH$3*AtomicWeights!$B$6/AH$5,0)</f>
        <v>0</v>
      </c>
      <c r="AI13" s="14">
        <f>IF(AI$2=$A13,AI$3*AtomicWeights!$B$6/AI$5,0)</f>
        <v>0</v>
      </c>
      <c r="AJ13" s="14">
        <f>IF(AJ$2=$A13,AJ$3*AtomicWeights!$B$6/AJ$5,0)</f>
        <v>0</v>
      </c>
      <c r="AK13" s="14">
        <f>IF(AK$2=$A13,AK$3*AtomicWeights!$B$6/AK$5,0)</f>
        <v>0</v>
      </c>
      <c r="AL13" s="14">
        <f>IF(AL$2=$A13,AL$3*AtomicWeights!$B$6/AL$5,0)</f>
        <v>0</v>
      </c>
      <c r="AM13" s="14">
        <f>IF(AM$2=$A13,AM$3*AtomicWeights!$B$6/AM$5,0)</f>
        <v>0</v>
      </c>
      <c r="AN13" s="14">
        <f>IF(AN$2=$A13,AN$3*AtomicWeights!$B$6/AN$5,0)</f>
        <v>0</v>
      </c>
      <c r="AO13" s="14">
        <f>IF(AO$2=$A13,AO$3*AtomicWeights!$B$6/AO$5,0)</f>
        <v>0</v>
      </c>
      <c r="AP13" s="14">
        <f>IF(AP$2=$A13,AP$3*AtomicWeights!$B$6/AP$5,0)</f>
        <v>0</v>
      </c>
      <c r="AQ13" s="14">
        <f>IF(AQ$2=$A13,AQ$3*AtomicWeights!$B$6/AQ$5,0)</f>
        <v>0</v>
      </c>
      <c r="AR13" s="14">
        <f>IF(AR$2=$A13,AR$3*AtomicWeights!$B$6/AR$5,0)</f>
        <v>0</v>
      </c>
      <c r="AS13" s="14">
        <f>IF(AS$2=$A13,AS$3*AtomicWeights!$B$6/AS$5,0)</f>
        <v>0</v>
      </c>
      <c r="AT13" s="14">
        <f>IF(AT$2=$A13,AT$3*AtomicWeights!$B$6/AT$5,0)</f>
        <v>0</v>
      </c>
      <c r="AU13" s="14">
        <f>IF(AU$2=$A13,AU$3*AtomicWeights!$B$6/AU$5,0)</f>
        <v>0</v>
      </c>
      <c r="AV13" s="14">
        <f>IF(AV$2=$A13,AV$3*AtomicWeights!$B$6/AV$5,0)</f>
        <v>0</v>
      </c>
      <c r="AW13" s="14">
        <f>IF(AW$2=$A13,AW$3*AtomicWeights!$B$6/AW$5,0)</f>
        <v>0</v>
      </c>
      <c r="AX13" s="14">
        <f>IF(AX$2=$A13,AX$3*AtomicWeights!$B$6/AX$5,0)</f>
        <v>0</v>
      </c>
      <c r="AY13" s="14">
        <f>IF(AY$2=$A13,AY$3*AtomicWeights!$B$6/AY$5,0)</f>
        <v>0</v>
      </c>
      <c r="AZ13" s="14">
        <f>IF(AZ$2=$A13,AZ$3*AtomicWeights!$B$6/AZ$5,0)</f>
        <v>0</v>
      </c>
      <c r="BA13" s="14">
        <f>IF(BA$2=$A13,BA$3*AtomicWeights!$B$6/BA$5,0)</f>
        <v>0</v>
      </c>
      <c r="BB13" s="14">
        <f>IF(BB$2=$A13,BB$3*AtomicWeights!$B$6/BB$5,0)</f>
        <v>0</v>
      </c>
    </row>
    <row r="14" spans="1:54" x14ac:dyDescent="0.35">
      <c r="A14" s="13" t="s">
        <v>27</v>
      </c>
      <c r="B14" t="str">
        <f>AtomicWeights!$C$7</f>
        <v>yes</v>
      </c>
      <c r="C14" s="14">
        <f>IF(C$2=$A14,C$3*AtomicWeights!$B$7/C$5,0)</f>
        <v>0</v>
      </c>
      <c r="D14" s="14">
        <f>IF(D$2=$A14,D$3*AtomicWeights!$B$7/D$5,0)</f>
        <v>0</v>
      </c>
      <c r="E14" s="14">
        <f>IF(E$2=$A14,E$3*AtomicWeights!$B$7/E$5,0)</f>
        <v>0</v>
      </c>
      <c r="F14" s="14">
        <f>IF(F$2=$A14,F$3*AtomicWeights!$B$7/F$5,0)</f>
        <v>0</v>
      </c>
      <c r="G14" s="14">
        <f>IF(G$2=$A14,G$3*AtomicWeights!$B$7/G$5,0)</f>
        <v>0.78768214029779438</v>
      </c>
      <c r="H14" s="14">
        <f>IF(H$2=$A14,H$3*AtomicWeights!$B$7/H$5,0)</f>
        <v>0</v>
      </c>
      <c r="I14" s="14">
        <f>IF(I$2=$A14,I$3*AtomicWeights!$B$7/I$5,0)</f>
        <v>0</v>
      </c>
      <c r="J14" s="14">
        <f>IF(J$2=$A14,J$3*AtomicWeights!$B$7/J$5,0)</f>
        <v>0</v>
      </c>
      <c r="K14" s="14">
        <f>IF(K$2=$A14,K$3*AtomicWeights!$B$7/K$5,0)</f>
        <v>0</v>
      </c>
      <c r="L14" s="14">
        <f>IF(L$2=$A14,L$3*AtomicWeights!$B$7/L$5,0)</f>
        <v>0</v>
      </c>
      <c r="M14" s="14">
        <f>IF(M$2=$A14,M$3*AtomicWeights!$B$7/M$5,0)</f>
        <v>0</v>
      </c>
      <c r="N14" s="14">
        <f>IF(N$2=$A14,N$3*AtomicWeights!$B$7/N$5,0)</f>
        <v>0</v>
      </c>
      <c r="O14" s="14">
        <f>IF(O$2=$A14,O$3*AtomicWeights!$B$7/O$5,0)</f>
        <v>0</v>
      </c>
      <c r="P14" s="14">
        <f>IF(P$2=$A14,P$3*AtomicWeights!$B$7/P$5,0)</f>
        <v>0</v>
      </c>
      <c r="Q14" s="14">
        <f>IF(Q$2=$A14,Q$3*AtomicWeights!$B$7/Q$5,0)</f>
        <v>0</v>
      </c>
      <c r="R14" s="14">
        <f>IF(R$2=$A14,R$3*AtomicWeights!$B$7/R$5,0)</f>
        <v>0</v>
      </c>
      <c r="S14" s="14">
        <f>IF(S$2=$A14,S$3*AtomicWeights!$B$7/S$5,0)</f>
        <v>0</v>
      </c>
      <c r="T14" s="14">
        <f>IF(T$2=$A14,T$3*AtomicWeights!$B$7/T$5,0)</f>
        <v>0</v>
      </c>
      <c r="U14" s="14">
        <f>IF(U$2=$A14,U$3*AtomicWeights!$B$7/U$5,0)</f>
        <v>0</v>
      </c>
      <c r="V14" s="14">
        <f>IF(V$2=$A14,V$3*AtomicWeights!$B$7/V$5,0)</f>
        <v>0</v>
      </c>
      <c r="W14" s="14">
        <f>IF(W$2=$A14,W$3*AtomicWeights!$B$7/W$5,0)</f>
        <v>0</v>
      </c>
      <c r="X14" s="14">
        <f>IF(X$2=$A14,X$3*AtomicWeights!$B$7/X$5,0)</f>
        <v>0</v>
      </c>
      <c r="Y14" s="14">
        <f>IF(Y$2=$A14,Y$3*AtomicWeights!$B$7/Y$5,0)</f>
        <v>0</v>
      </c>
      <c r="Z14" s="14">
        <f>IF(Z$2=$A14,Z$3*AtomicWeights!$B$7/Z$5,0)</f>
        <v>0</v>
      </c>
      <c r="AA14" s="14">
        <f>IF(AA$2=$A14,AA$3*AtomicWeights!$B$7/AA$5,0)</f>
        <v>0</v>
      </c>
      <c r="AB14" s="14">
        <f>IF(AB$2=$A14,AB$3*AtomicWeights!$B$7/AB$5,0)</f>
        <v>0</v>
      </c>
      <c r="AC14" s="14">
        <f>IF(AC$2=$A14,AC$3*AtomicWeights!$B$7/AC$5,0)</f>
        <v>0</v>
      </c>
      <c r="AD14" s="14">
        <f>IF(AD$2=$A14,AD$3*AtomicWeights!$B$7/AD$5,0)</f>
        <v>0</v>
      </c>
      <c r="AE14" s="14">
        <f>IF(AE$2=$A14,AE$3*AtomicWeights!$B$7/AE$5,0)</f>
        <v>0</v>
      </c>
      <c r="AF14" s="14">
        <f>IF(AF$2=$A14,AF$3*AtomicWeights!$B$7/AF$5,0)</f>
        <v>0</v>
      </c>
      <c r="AG14" s="14">
        <f>IF(AG$2=$A14,AG$3*AtomicWeights!$B$7/AG$5,0)</f>
        <v>0</v>
      </c>
      <c r="AH14" s="14">
        <f>IF(AH$2=$A14,AH$3*AtomicWeights!$B$7/AH$5,0)</f>
        <v>0</v>
      </c>
      <c r="AI14" s="14">
        <f>IF(AI$2=$A14,AI$3*AtomicWeights!$B$7/AI$5,0)</f>
        <v>0</v>
      </c>
      <c r="AJ14" s="14">
        <f>IF(AJ$2=$A14,AJ$3*AtomicWeights!$B$7/AJ$5,0)</f>
        <v>0</v>
      </c>
      <c r="AK14" s="14">
        <f>IF(AK$2=$A14,AK$3*AtomicWeights!$B$7/AK$5,0)</f>
        <v>0</v>
      </c>
      <c r="AL14" s="14">
        <f>IF(AL$2=$A14,AL$3*AtomicWeights!$B$7/AL$5,0)</f>
        <v>0</v>
      </c>
      <c r="AM14" s="14">
        <f>IF(AM$2=$A14,AM$3*AtomicWeights!$B$7/AM$5,0)</f>
        <v>0</v>
      </c>
      <c r="AN14" s="14">
        <f>IF(AN$2=$A14,AN$3*AtomicWeights!$B$7/AN$5,0)</f>
        <v>0</v>
      </c>
      <c r="AO14" s="14">
        <f>IF(AO$2=$A14,AO$3*AtomicWeights!$B$7/AO$5,0)</f>
        <v>0</v>
      </c>
      <c r="AP14" s="14">
        <f>IF(AP$2=$A14,AP$3*AtomicWeights!$B$7/AP$5,0)</f>
        <v>0</v>
      </c>
      <c r="AQ14" s="14">
        <f>IF(AQ$2=$A14,AQ$3*AtomicWeights!$B$7/AQ$5,0)</f>
        <v>0</v>
      </c>
      <c r="AR14" s="14">
        <f>IF(AR$2=$A14,AR$3*AtomicWeights!$B$7/AR$5,0)</f>
        <v>0</v>
      </c>
      <c r="AS14" s="14">
        <f>IF(AS$2=$A14,AS$3*AtomicWeights!$B$7/AS$5,0)</f>
        <v>0</v>
      </c>
      <c r="AT14" s="14">
        <f>IF(AT$2=$A14,AT$3*AtomicWeights!$B$7/AT$5,0)</f>
        <v>0</v>
      </c>
      <c r="AU14" s="14">
        <f>IF(AU$2=$A14,AU$3*AtomicWeights!$B$7/AU$5,0)</f>
        <v>0</v>
      </c>
      <c r="AV14" s="14">
        <f>IF(AV$2=$A14,AV$3*AtomicWeights!$B$7/AV$5,0)</f>
        <v>0</v>
      </c>
      <c r="AW14" s="14">
        <f>IF(AW$2=$A14,AW$3*AtomicWeights!$B$7/AW$5,0)</f>
        <v>0</v>
      </c>
      <c r="AX14" s="14">
        <f>IF(AX$2=$A14,AX$3*AtomicWeights!$B$7/AX$5,0)</f>
        <v>0</v>
      </c>
      <c r="AY14" s="14">
        <f>IF(AY$2=$A14,AY$3*AtomicWeights!$B$7/AY$5,0)</f>
        <v>0</v>
      </c>
      <c r="AZ14" s="14">
        <f>IF(AZ$2=$A14,AZ$3*AtomicWeights!$B$7/AZ$5,0)</f>
        <v>0</v>
      </c>
      <c r="BA14" s="14">
        <f>IF(BA$2=$A14,BA$3*AtomicWeights!$B$7/BA$5,0)</f>
        <v>0</v>
      </c>
      <c r="BB14" s="14">
        <f>IF(BB$2=$A14,BB$3*AtomicWeights!$B$7/BB$5,0)</f>
        <v>0</v>
      </c>
    </row>
    <row r="15" spans="1:54" x14ac:dyDescent="0.35">
      <c r="A15" s="13" t="s">
        <v>28</v>
      </c>
      <c r="B15" t="str">
        <f>AtomicWeights!$C$8</f>
        <v>yes</v>
      </c>
      <c r="C15" s="14">
        <f>IF(C$2=$A15,C$3*AtomicWeights!$B$8/C$5,0)</f>
        <v>0</v>
      </c>
      <c r="D15" s="14">
        <f>IF(D$2=$A15,D$3*AtomicWeights!$B$8/D$5,0)</f>
        <v>0</v>
      </c>
      <c r="E15" s="14">
        <f>IF(E$2=$A15,E$3*AtomicWeights!$B$8/E$5,0)</f>
        <v>0</v>
      </c>
      <c r="F15" s="14">
        <f>IF(F$2=$A15,F$3*AtomicWeights!$B$8/F$5,0)</f>
        <v>0</v>
      </c>
      <c r="G15" s="14">
        <f>IF(G$2=$A15,G$3*AtomicWeights!$B$8/G$5,0)</f>
        <v>0</v>
      </c>
      <c r="H15" s="14">
        <f>IF(H$2=$A15,H$3*AtomicWeights!$B$8/H$5,0)</f>
        <v>0.52925692670867641</v>
      </c>
      <c r="I15" s="14">
        <f>IF(I$2=$A15,I$3*AtomicWeights!$B$8/I$5,0)</f>
        <v>0</v>
      </c>
      <c r="J15" s="14">
        <f>IF(J$2=$A15,J$3*AtomicWeights!$B$8/J$5,0)</f>
        <v>0</v>
      </c>
      <c r="K15" s="14">
        <f>IF(K$2=$A15,K$3*AtomicWeights!$B$8/K$5,0)</f>
        <v>0</v>
      </c>
      <c r="L15" s="14">
        <f>IF(L$2=$A15,L$3*AtomicWeights!$B$8/L$5,0)</f>
        <v>0</v>
      </c>
      <c r="M15" s="14">
        <f>IF(M$2=$A15,M$3*AtomicWeights!$B$8/M$5,0)</f>
        <v>0</v>
      </c>
      <c r="N15" s="14">
        <f>IF(N$2=$A15,N$3*AtomicWeights!$B$8/N$5,0)</f>
        <v>0</v>
      </c>
      <c r="O15" s="14">
        <f>IF(O$2=$A15,O$3*AtomicWeights!$B$8/O$5,0)</f>
        <v>0</v>
      </c>
      <c r="P15" s="14">
        <f>IF(P$2=$A15,P$3*AtomicWeights!$B$8/P$5,0)</f>
        <v>0</v>
      </c>
      <c r="Q15" s="14">
        <f>IF(Q$2=$A15,Q$3*AtomicWeights!$B$8/Q$5,0)</f>
        <v>0</v>
      </c>
      <c r="R15" s="14">
        <f>IF(R$2=$A15,R$3*AtomicWeights!$B$8/R$5,0)</f>
        <v>0</v>
      </c>
      <c r="S15" s="14">
        <f>IF(S$2=$A15,S$3*AtomicWeights!$B$8/S$5,0)</f>
        <v>0</v>
      </c>
      <c r="T15" s="14">
        <f>IF(T$2=$A15,T$3*AtomicWeights!$B$8/T$5,0)</f>
        <v>0</v>
      </c>
      <c r="U15" s="14">
        <f>IF(U$2=$A15,U$3*AtomicWeights!$B$8/U$5,0)</f>
        <v>0</v>
      </c>
      <c r="V15" s="14">
        <f>IF(V$2=$A15,V$3*AtomicWeights!$B$8/V$5,0)</f>
        <v>0</v>
      </c>
      <c r="W15" s="14">
        <f>IF(W$2=$A15,W$3*AtomicWeights!$B$8/W$5,0)</f>
        <v>0</v>
      </c>
      <c r="X15" s="14">
        <f>IF(X$2=$A15,X$3*AtomicWeights!$B$8/X$5,0)</f>
        <v>0</v>
      </c>
      <c r="Y15" s="14">
        <f>IF(Y$2=$A15,Y$3*AtomicWeights!$B$8/Y$5,0)</f>
        <v>0</v>
      </c>
      <c r="Z15" s="14">
        <f>IF(Z$2=$A15,Z$3*AtomicWeights!$B$8/Z$5,0)</f>
        <v>0</v>
      </c>
      <c r="AA15" s="14">
        <f>IF(AA$2=$A15,AA$3*AtomicWeights!$B$8/AA$5,0)</f>
        <v>0</v>
      </c>
      <c r="AB15" s="14">
        <f>IF(AB$2=$A15,AB$3*AtomicWeights!$B$8/AB$5,0)</f>
        <v>0</v>
      </c>
      <c r="AC15" s="14">
        <f>IF(AC$2=$A15,AC$3*AtomicWeights!$B$8/AC$5,0)</f>
        <v>0</v>
      </c>
      <c r="AD15" s="14">
        <f>IF(AD$2=$A15,AD$3*AtomicWeights!$B$8/AD$5,0)</f>
        <v>0</v>
      </c>
      <c r="AE15" s="14">
        <f>IF(AE$2=$A15,AE$3*AtomicWeights!$B$8/AE$5,0)</f>
        <v>0</v>
      </c>
      <c r="AF15" s="14">
        <f>IF(AF$2=$A15,AF$3*AtomicWeights!$B$8/AF$5,0)</f>
        <v>0</v>
      </c>
      <c r="AG15" s="14">
        <f>IF(AG$2=$A15,AG$3*AtomicWeights!$B$8/AG$5,0)</f>
        <v>0</v>
      </c>
      <c r="AH15" s="14">
        <f>IF(AH$2=$A15,AH$3*AtomicWeights!$B$8/AH$5,0)</f>
        <v>0</v>
      </c>
      <c r="AI15" s="14">
        <f>IF(AI$2=$A15,AI$3*AtomicWeights!$B$8/AI$5,0)</f>
        <v>0</v>
      </c>
      <c r="AJ15" s="14">
        <f>IF(AJ$2=$A15,AJ$3*AtomicWeights!$B$8/AJ$5,0)</f>
        <v>0</v>
      </c>
      <c r="AK15" s="14">
        <f>IF(AK$2=$A15,AK$3*AtomicWeights!$B$8/AK$5,0)</f>
        <v>0</v>
      </c>
      <c r="AL15" s="14">
        <f>IF(AL$2=$A15,AL$3*AtomicWeights!$B$8/AL$5,0)</f>
        <v>0</v>
      </c>
      <c r="AM15" s="14">
        <f>IF(AM$2=$A15,AM$3*AtomicWeights!$B$8/AM$5,0)</f>
        <v>0</v>
      </c>
      <c r="AN15" s="14">
        <f>IF(AN$2=$A15,AN$3*AtomicWeights!$B$8/AN$5,0)</f>
        <v>0</v>
      </c>
      <c r="AO15" s="14">
        <f>IF(AO$2=$A15,AO$3*AtomicWeights!$B$8/AO$5,0)</f>
        <v>0</v>
      </c>
      <c r="AP15" s="14">
        <f>IF(AP$2=$A15,AP$3*AtomicWeights!$B$8/AP$5,0)</f>
        <v>0</v>
      </c>
      <c r="AQ15" s="14">
        <f>IF(AQ$2=$A15,AQ$3*AtomicWeights!$B$8/AQ$5,0)</f>
        <v>0</v>
      </c>
      <c r="AR15" s="14">
        <f>IF(AR$2=$A15,AR$3*AtomicWeights!$B$8/AR$5,0)</f>
        <v>0</v>
      </c>
      <c r="AS15" s="14">
        <f>IF(AS$2=$A15,AS$3*AtomicWeights!$B$8/AS$5,0)</f>
        <v>0</v>
      </c>
      <c r="AT15" s="14">
        <f>IF(AT$2=$A15,AT$3*AtomicWeights!$B$8/AT$5,0)</f>
        <v>0</v>
      </c>
      <c r="AU15" s="14">
        <f>IF(AU$2=$A15,AU$3*AtomicWeights!$B$8/AU$5,0)</f>
        <v>0</v>
      </c>
      <c r="AV15" s="14">
        <f>IF(AV$2=$A15,AV$3*AtomicWeights!$B$8/AV$5,0)</f>
        <v>0</v>
      </c>
      <c r="AW15" s="14">
        <f>IF(AW$2=$A15,AW$3*AtomicWeights!$B$8/AW$5,0)</f>
        <v>0</v>
      </c>
      <c r="AX15" s="14">
        <f>IF(AX$2=$A15,AX$3*AtomicWeights!$B$8/AX$5,0)</f>
        <v>0</v>
      </c>
      <c r="AY15" s="14">
        <f>IF(AY$2=$A15,AY$3*AtomicWeights!$B$8/AY$5,0)</f>
        <v>0</v>
      </c>
      <c r="AZ15" s="14">
        <f>IF(AZ$2=$A15,AZ$3*AtomicWeights!$B$8/AZ$5,0)</f>
        <v>0</v>
      </c>
      <c r="BA15" s="14">
        <f>IF(BA$2=$A15,BA$3*AtomicWeights!$B$8/BA$5,0)</f>
        <v>0</v>
      </c>
      <c r="BB15" s="14">
        <f>IF(BB$2=$A15,BB$3*AtomicWeights!$B$8/BB$5,0)</f>
        <v>0</v>
      </c>
    </row>
    <row r="16" spans="1:54" x14ac:dyDescent="0.35">
      <c r="A16" s="13" t="s">
        <v>29</v>
      </c>
      <c r="B16" t="str">
        <f>AtomicWeights!$C$9</f>
        <v>yes</v>
      </c>
      <c r="C16" s="14">
        <f>IF(C$2=$A16,C$3*AtomicWeights!$B$9/C$5,0)</f>
        <v>0</v>
      </c>
      <c r="D16" s="14">
        <f>IF(D$2=$A16,D$3*AtomicWeights!$B$9/D$5,0)</f>
        <v>0</v>
      </c>
      <c r="E16" s="14">
        <f>IF(E$2=$A16,E$3*AtomicWeights!$B$9/E$5,0)</f>
        <v>0</v>
      </c>
      <c r="F16" s="14">
        <f>IF(F$2=$A16,F$3*AtomicWeights!$B$9/F$5,0)</f>
        <v>0</v>
      </c>
      <c r="G16" s="14">
        <f>IF(G$2=$A16,G$3*AtomicWeights!$B$9/G$5,0)</f>
        <v>0</v>
      </c>
      <c r="H16" s="14">
        <f>IF(H$2=$A16,H$3*AtomicWeights!$B$9/H$5,0)</f>
        <v>0</v>
      </c>
      <c r="I16" s="14">
        <f>IF(I$2=$A16,I$3*AtomicWeights!$B$9/I$5,0)</f>
        <v>0.69943076142704164</v>
      </c>
      <c r="J16" s="14">
        <f>IF(J$2=$A16,J$3*AtomicWeights!$B$9/J$5,0)</f>
        <v>0.77730916986804743</v>
      </c>
      <c r="K16" s="14">
        <f>IF(K$2=$A16,K$3*AtomicWeights!$B$9/K$5,0)</f>
        <v>0</v>
      </c>
      <c r="L16" s="14">
        <f>IF(L$2=$A16,L$3*AtomicWeights!$B$9/L$5,0)</f>
        <v>0</v>
      </c>
      <c r="M16" s="14">
        <f>IF(M$2=$A16,M$3*AtomicWeights!$B$9/M$5,0)</f>
        <v>0</v>
      </c>
      <c r="N16" s="14">
        <f>IF(N$2=$A16,N$3*AtomicWeights!$B$9/N$5,0)</f>
        <v>0</v>
      </c>
      <c r="O16" s="14">
        <f>IF(O$2=$A16,O$3*AtomicWeights!$B$9/O$5,0)</f>
        <v>0</v>
      </c>
      <c r="P16" s="14">
        <f>IF(P$2=$A16,P$3*AtomicWeights!$B$9/P$5,0)</f>
        <v>0</v>
      </c>
      <c r="Q16" s="14">
        <f>IF(Q$2=$A16,Q$3*AtomicWeights!$B$9/Q$5,0)</f>
        <v>0</v>
      </c>
      <c r="R16" s="14">
        <f>IF(R$2=$A16,R$3*AtomicWeights!$B$9/R$5,0)</f>
        <v>0</v>
      </c>
      <c r="S16" s="14">
        <f>IF(S$2=$A16,S$3*AtomicWeights!$B$9/S$5,0)</f>
        <v>0</v>
      </c>
      <c r="T16" s="14">
        <f>IF(T$2=$A16,T$3*AtomicWeights!$B$9/T$5,0)</f>
        <v>0</v>
      </c>
      <c r="U16" s="14">
        <f>IF(U$2=$A16,U$3*AtomicWeights!$B$9/U$5,0)</f>
        <v>0</v>
      </c>
      <c r="V16" s="14">
        <f>IF(V$2=$A16,V$3*AtomicWeights!$B$9/V$5,0)</f>
        <v>0</v>
      </c>
      <c r="W16" s="14">
        <f>IF(W$2=$A16,W$3*AtomicWeights!$B$9/W$5,0)</f>
        <v>0</v>
      </c>
      <c r="X16" s="14">
        <f>IF(X$2=$A16,X$3*AtomicWeights!$B$9/X$5,0)</f>
        <v>0</v>
      </c>
      <c r="Y16" s="14">
        <f>IF(Y$2=$A16,Y$3*AtomicWeights!$B$9/Y$5,0)</f>
        <v>0</v>
      </c>
      <c r="Z16" s="14">
        <f>IF(Z$2=$A16,Z$3*AtomicWeights!$B$9/Z$5,0)</f>
        <v>0</v>
      </c>
      <c r="AA16" s="14">
        <f>IF(AA$2=$A16,AA$3*AtomicWeights!$B$9/AA$5,0)</f>
        <v>0</v>
      </c>
      <c r="AB16" s="14">
        <f>IF(AB$2=$A16,AB$3*AtomicWeights!$B$9/AB$5,0)</f>
        <v>0</v>
      </c>
      <c r="AC16" s="14">
        <f>IF(AC$2=$A16,AC$3*AtomicWeights!$B$9/AC$5,0)</f>
        <v>0</v>
      </c>
      <c r="AD16" s="14">
        <f>IF(AD$2=$A16,AD$3*AtomicWeights!$B$9/AD$5,0)</f>
        <v>0</v>
      </c>
      <c r="AE16" s="14">
        <f>IF(AE$2=$A16,AE$3*AtomicWeights!$B$9/AE$5,0)</f>
        <v>0</v>
      </c>
      <c r="AF16" s="14">
        <f>IF(AF$2=$A16,AF$3*AtomicWeights!$B$9/AF$5,0)</f>
        <v>0</v>
      </c>
      <c r="AG16" s="14">
        <f>IF(AG$2=$A16,AG$3*AtomicWeights!$B$9/AG$5,0)</f>
        <v>0</v>
      </c>
      <c r="AH16" s="14">
        <f>IF(AH$2=$A16,AH$3*AtomicWeights!$B$9/AH$5,0)</f>
        <v>0</v>
      </c>
      <c r="AI16" s="14">
        <f>IF(AI$2=$A16,AI$3*AtomicWeights!$B$9/AI$5,0)</f>
        <v>0</v>
      </c>
      <c r="AJ16" s="14">
        <f>IF(AJ$2=$A16,AJ$3*AtomicWeights!$B$9/AJ$5,0)</f>
        <v>0</v>
      </c>
      <c r="AK16" s="14">
        <f>IF(AK$2=$A16,AK$3*AtomicWeights!$B$9/AK$5,0)</f>
        <v>0</v>
      </c>
      <c r="AL16" s="14">
        <f>IF(AL$2=$A16,AL$3*AtomicWeights!$B$9/AL$5,0)</f>
        <v>0</v>
      </c>
      <c r="AM16" s="14">
        <f>IF(AM$2=$A16,AM$3*AtomicWeights!$B$9/AM$5,0)</f>
        <v>0</v>
      </c>
      <c r="AN16" s="14">
        <f>IF(AN$2=$A16,AN$3*AtomicWeights!$B$9/AN$5,0)</f>
        <v>0</v>
      </c>
      <c r="AO16" s="14">
        <f>IF(AO$2=$A16,AO$3*AtomicWeights!$B$9/AO$5,0)</f>
        <v>0</v>
      </c>
      <c r="AP16" s="14">
        <f>IF(AP$2=$A16,AP$3*AtomicWeights!$B$9/AP$5,0)</f>
        <v>0</v>
      </c>
      <c r="AQ16" s="14">
        <f>IF(AQ$2=$A16,AQ$3*AtomicWeights!$B$9/AQ$5,0)</f>
        <v>0</v>
      </c>
      <c r="AR16" s="14">
        <f>IF(AR$2=$A16,AR$3*AtomicWeights!$B$9/AR$5,0)</f>
        <v>0</v>
      </c>
      <c r="AS16" s="14">
        <f>IF(AS$2=$A16,AS$3*AtomicWeights!$B$9/AS$5,0)</f>
        <v>0</v>
      </c>
      <c r="AT16" s="14">
        <f>IF(AT$2=$A16,AT$3*AtomicWeights!$B$9/AT$5,0)</f>
        <v>0</v>
      </c>
      <c r="AU16" s="14">
        <f>IF(AU$2=$A16,AU$3*AtomicWeights!$B$9/AU$5,0)</f>
        <v>0</v>
      </c>
      <c r="AV16" s="14">
        <f>IF(AV$2=$A16,AV$3*AtomicWeights!$B$9/AV$5,0)</f>
        <v>0</v>
      </c>
      <c r="AW16" s="14">
        <f>IF(AW$2=$A16,AW$3*AtomicWeights!$B$9/AW$5,0)</f>
        <v>0</v>
      </c>
      <c r="AX16" s="14">
        <f>IF(AX$2=$A16,AX$3*AtomicWeights!$B$9/AX$5,0)</f>
        <v>0</v>
      </c>
      <c r="AY16" s="14">
        <f>IF(AY$2=$A16,AY$3*AtomicWeights!$B$9/AY$5,0)</f>
        <v>0</v>
      </c>
      <c r="AZ16" s="14">
        <f>IF(AZ$2=$A16,AZ$3*AtomicWeights!$B$9/AZ$5,0)</f>
        <v>0</v>
      </c>
      <c r="BA16" s="14">
        <f>IF(BA$2=$A16,BA$3*AtomicWeights!$B$9/BA$5,0)</f>
        <v>0</v>
      </c>
      <c r="BB16" s="14">
        <f>IF(BB$2=$A16,BB$3*AtomicWeights!$B$9/BB$5,0)</f>
        <v>0</v>
      </c>
    </row>
    <row r="17" spans="1:54" x14ac:dyDescent="0.35">
      <c r="A17" s="13" t="s">
        <v>30</v>
      </c>
      <c r="B17" t="str">
        <f>AtomicWeights!$C$10</f>
        <v>yes</v>
      </c>
      <c r="C17" s="14">
        <f>IF(C$2=$A17,C$3*AtomicWeights!$B$10/C$5,0)</f>
        <v>0</v>
      </c>
      <c r="D17" s="14">
        <f>IF(D$2=$A17,D$3*AtomicWeights!$B$10/D$5,0)</f>
        <v>0</v>
      </c>
      <c r="E17" s="14">
        <f>IF(E$2=$A17,E$3*AtomicWeights!$B$10/E$5,0)</f>
        <v>0</v>
      </c>
      <c r="F17" s="14">
        <f>IF(F$2=$A17,F$3*AtomicWeights!$B$10/F$5,0)</f>
        <v>0</v>
      </c>
      <c r="G17" s="14">
        <f>IF(G$2=$A17,G$3*AtomicWeights!$B$10/G$5,0)</f>
        <v>0</v>
      </c>
      <c r="H17" s="14">
        <f>IF(H$2=$A17,H$3*AtomicWeights!$B$10/H$5,0)</f>
        <v>0</v>
      </c>
      <c r="I17" s="14">
        <f>IF(I$2=$A17,I$3*AtomicWeights!$B$10/I$5,0)</f>
        <v>0</v>
      </c>
      <c r="J17" s="14">
        <f>IF(J$2=$A17,J$3*AtomicWeights!$B$10/J$5,0)</f>
        <v>0</v>
      </c>
      <c r="K17" s="14">
        <f>IF(K$2=$A17,K$3*AtomicWeights!$B$10/K$5,0)</f>
        <v>0.77446198632127949</v>
      </c>
      <c r="L17" s="14">
        <f>IF(L$2=$A17,L$3*AtomicWeights!$B$10/L$5,0)</f>
        <v>0</v>
      </c>
      <c r="M17" s="14">
        <f>IF(M$2=$A17,M$3*AtomicWeights!$B$10/M$5,0)</f>
        <v>0</v>
      </c>
      <c r="N17" s="14">
        <f>IF(N$2=$A17,N$3*AtomicWeights!$B$10/N$5,0)</f>
        <v>0</v>
      </c>
      <c r="O17" s="14">
        <f>IF(O$2=$A17,O$3*AtomicWeights!$B$10/O$5,0)</f>
        <v>0</v>
      </c>
      <c r="P17" s="14">
        <f>IF(P$2=$A17,P$3*AtomicWeights!$B$10/P$5,0)</f>
        <v>0</v>
      </c>
      <c r="Q17" s="14">
        <f>IF(Q$2=$A17,Q$3*AtomicWeights!$B$10/Q$5,0)</f>
        <v>0</v>
      </c>
      <c r="R17" s="14">
        <f>IF(R$2=$A17,R$3*AtomicWeights!$B$10/R$5,0)</f>
        <v>0</v>
      </c>
      <c r="S17" s="14">
        <f>IF(S$2=$A17,S$3*AtomicWeights!$B$10/S$5,0)</f>
        <v>0</v>
      </c>
      <c r="T17" s="14">
        <f>IF(T$2=$A17,T$3*AtomicWeights!$B$10/T$5,0)</f>
        <v>0</v>
      </c>
      <c r="U17" s="14">
        <f>IF(U$2=$A17,U$3*AtomicWeights!$B$10/U$5,0)</f>
        <v>0</v>
      </c>
      <c r="V17" s="14">
        <f>IF(V$2=$A17,V$3*AtomicWeights!$B$10/V$5,0)</f>
        <v>0</v>
      </c>
      <c r="W17" s="14">
        <f>IF(W$2=$A17,W$3*AtomicWeights!$B$10/W$5,0)</f>
        <v>0</v>
      </c>
      <c r="X17" s="14">
        <f>IF(X$2=$A17,X$3*AtomicWeights!$B$10/X$5,0)</f>
        <v>0</v>
      </c>
      <c r="Y17" s="14">
        <f>IF(Y$2=$A17,Y$3*AtomicWeights!$B$10/Y$5,0)</f>
        <v>0</v>
      </c>
      <c r="Z17" s="14">
        <f>IF(Z$2=$A17,Z$3*AtomicWeights!$B$10/Z$5,0)</f>
        <v>0</v>
      </c>
      <c r="AA17" s="14">
        <f>IF(AA$2=$A17,AA$3*AtomicWeights!$B$10/AA$5,0)</f>
        <v>0</v>
      </c>
      <c r="AB17" s="14">
        <f>IF(AB$2=$A17,AB$3*AtomicWeights!$B$10/AB$5,0)</f>
        <v>0</v>
      </c>
      <c r="AC17" s="14">
        <f>IF(AC$2=$A17,AC$3*AtomicWeights!$B$10/AC$5,0)</f>
        <v>0</v>
      </c>
      <c r="AD17" s="14">
        <f>IF(AD$2=$A17,AD$3*AtomicWeights!$B$10/AD$5,0)</f>
        <v>0</v>
      </c>
      <c r="AE17" s="14">
        <f>IF(AE$2=$A17,AE$3*AtomicWeights!$B$10/AE$5,0)</f>
        <v>0</v>
      </c>
      <c r="AF17" s="14">
        <f>IF(AF$2=$A17,AF$3*AtomicWeights!$B$10/AF$5,0)</f>
        <v>0</v>
      </c>
      <c r="AG17" s="14">
        <f>IF(AG$2=$A17,AG$3*AtomicWeights!$B$10/AG$5,0)</f>
        <v>0</v>
      </c>
      <c r="AH17" s="14">
        <f>IF(AH$2=$A17,AH$3*AtomicWeights!$B$10/AH$5,0)</f>
        <v>0</v>
      </c>
      <c r="AI17" s="14">
        <f>IF(AI$2=$A17,AI$3*AtomicWeights!$B$10/AI$5,0)</f>
        <v>0</v>
      </c>
      <c r="AJ17" s="14">
        <f>IF(AJ$2=$A17,AJ$3*AtomicWeights!$B$10/AJ$5,0)</f>
        <v>0</v>
      </c>
      <c r="AK17" s="14">
        <f>IF(AK$2=$A17,AK$3*AtomicWeights!$B$10/AK$5,0)</f>
        <v>0</v>
      </c>
      <c r="AL17" s="14">
        <f>IF(AL$2=$A17,AL$3*AtomicWeights!$B$10/AL$5,0)</f>
        <v>0</v>
      </c>
      <c r="AM17" s="14">
        <f>IF(AM$2=$A17,AM$3*AtomicWeights!$B$10/AM$5,0)</f>
        <v>0</v>
      </c>
      <c r="AN17" s="14">
        <f>IF(AN$2=$A17,AN$3*AtomicWeights!$B$10/AN$5,0)</f>
        <v>0</v>
      </c>
      <c r="AO17" s="14">
        <f>IF(AO$2=$A17,AO$3*AtomicWeights!$B$10/AO$5,0)</f>
        <v>0</v>
      </c>
      <c r="AP17" s="14">
        <f>IF(AP$2=$A17,AP$3*AtomicWeights!$B$10/AP$5,0)</f>
        <v>0</v>
      </c>
      <c r="AQ17" s="14">
        <f>IF(AQ$2=$A17,AQ$3*AtomicWeights!$B$10/AQ$5,0)</f>
        <v>0</v>
      </c>
      <c r="AR17" s="14">
        <f>IF(AR$2=$A17,AR$3*AtomicWeights!$B$10/AR$5,0)</f>
        <v>0</v>
      </c>
      <c r="AS17" s="14">
        <f>IF(AS$2=$A17,AS$3*AtomicWeights!$B$10/AS$5,0)</f>
        <v>0</v>
      </c>
      <c r="AT17" s="14">
        <f>IF(AT$2=$A17,AT$3*AtomicWeights!$B$10/AT$5,0)</f>
        <v>0</v>
      </c>
      <c r="AU17" s="14">
        <f>IF(AU$2=$A17,AU$3*AtomicWeights!$B$10/AU$5,0)</f>
        <v>0</v>
      </c>
      <c r="AV17" s="14">
        <f>IF(AV$2=$A17,AV$3*AtomicWeights!$B$10/AV$5,0)</f>
        <v>0</v>
      </c>
      <c r="AW17" s="14">
        <f>IF(AW$2=$A17,AW$3*AtomicWeights!$B$10/AW$5,0)</f>
        <v>0</v>
      </c>
      <c r="AX17" s="14">
        <f>IF(AX$2=$A17,AX$3*AtomicWeights!$B$10/AX$5,0)</f>
        <v>0</v>
      </c>
      <c r="AY17" s="14">
        <f>IF(AY$2=$A17,AY$3*AtomicWeights!$B$10/AY$5,0)</f>
        <v>0</v>
      </c>
      <c r="AZ17" s="14">
        <f>IF(AZ$2=$A17,AZ$3*AtomicWeights!$B$10/AZ$5,0)</f>
        <v>0</v>
      </c>
      <c r="BA17" s="14">
        <f>IF(BA$2=$A17,BA$3*AtomicWeights!$B$10/BA$5,0)</f>
        <v>0</v>
      </c>
      <c r="BB17" s="14">
        <f>IF(BB$2=$A17,BB$3*AtomicWeights!$B$10/BB$5,0)</f>
        <v>0</v>
      </c>
    </row>
    <row r="18" spans="1:54" x14ac:dyDescent="0.35">
      <c r="A18" s="13" t="s">
        <v>328</v>
      </c>
      <c r="B18" t="str">
        <f>AtomicWeights!$C$11</f>
        <v>unverified</v>
      </c>
      <c r="C18" s="14">
        <f>IF(C$2=$A18,C$3*AtomicWeights!$B$11/C$5,0)</f>
        <v>0</v>
      </c>
      <c r="D18" s="14">
        <f>IF(D$2=$A18,D$3*AtomicWeights!$B$11/D$5,0)</f>
        <v>0</v>
      </c>
      <c r="E18" s="14">
        <f>IF(E$2=$A18,E$3*AtomicWeights!$B$11/E$5,0)</f>
        <v>0</v>
      </c>
      <c r="F18" s="14">
        <f>IF(F$2=$A18,F$3*AtomicWeights!$B$11/F$5,0)</f>
        <v>0</v>
      </c>
      <c r="G18" s="14">
        <f>IF(G$2=$A18,G$3*AtomicWeights!$B$11/G$5,0)</f>
        <v>0</v>
      </c>
      <c r="H18" s="14">
        <f>IF(H$2=$A18,H$3*AtomicWeights!$B$11/H$5,0)</f>
        <v>0</v>
      </c>
      <c r="I18" s="14">
        <f>IF(I$2=$A18,I$3*AtomicWeights!$B$11/I$5,0)</f>
        <v>0</v>
      </c>
      <c r="J18" s="14">
        <f>IF(J$2=$A18,J$3*AtomicWeights!$B$11/J$5,0)</f>
        <v>0</v>
      </c>
      <c r="K18" s="14">
        <f>IF(K$2=$A18,K$3*AtomicWeights!$B$11/K$5,0)</f>
        <v>0</v>
      </c>
      <c r="L18" s="14">
        <f>IF(L$2=$A18,L$3*AtomicWeights!$B$11/L$5,0)</f>
        <v>0.80340136890352554</v>
      </c>
      <c r="M18" s="14">
        <f>IF(M$2=$A18,M$3*AtomicWeights!$B$11/M$5,0)</f>
        <v>0</v>
      </c>
      <c r="N18" s="14">
        <f>IF(N$2=$A18,N$3*AtomicWeights!$B$11/N$5,0)</f>
        <v>0</v>
      </c>
      <c r="O18" s="14">
        <f>IF(O$2=$A18,O$3*AtomicWeights!$B$11/O$5,0)</f>
        <v>0</v>
      </c>
      <c r="P18" s="14">
        <f>IF(P$2=$A18,P$3*AtomicWeights!$B$11/P$5,0)</f>
        <v>0</v>
      </c>
      <c r="Q18" s="14">
        <f>IF(Q$2=$A18,Q$3*AtomicWeights!$B$11/Q$5,0)</f>
        <v>0</v>
      </c>
      <c r="R18" s="14">
        <f>IF(R$2=$A18,R$3*AtomicWeights!$B$11/R$5,0)</f>
        <v>0</v>
      </c>
      <c r="S18" s="14">
        <f>IF(S$2=$A18,S$3*AtomicWeights!$B$11/S$5,0)</f>
        <v>0</v>
      </c>
      <c r="T18" s="14">
        <f>IF(T$2=$A18,T$3*AtomicWeights!$B$11/T$5,0)</f>
        <v>0</v>
      </c>
      <c r="U18" s="14">
        <f>IF(U$2=$A18,U$3*AtomicWeights!$B$11/U$5,0)</f>
        <v>0</v>
      </c>
      <c r="V18" s="14">
        <f>IF(V$2=$A18,V$3*AtomicWeights!$B$11/V$5,0)</f>
        <v>0</v>
      </c>
      <c r="W18" s="14">
        <f>IF(W$2=$A18,W$3*AtomicWeights!$B$11/W$5,0)</f>
        <v>0</v>
      </c>
      <c r="X18" s="14">
        <f>IF(X$2=$A18,X$3*AtomicWeights!$B$11/X$5,0)</f>
        <v>0</v>
      </c>
      <c r="Y18" s="14">
        <f>IF(Y$2=$A18,Y$3*AtomicWeights!$B$11/Y$5,0)</f>
        <v>0</v>
      </c>
      <c r="Z18" s="14">
        <f>IF(Z$2=$A18,Z$3*AtomicWeights!$B$11/Z$5,0)</f>
        <v>0</v>
      </c>
      <c r="AA18" s="14">
        <f>IF(AA$2=$A18,AA$3*AtomicWeights!$B$11/AA$5,0)</f>
        <v>0</v>
      </c>
      <c r="AB18" s="14">
        <f>IF(AB$2=$A18,AB$3*AtomicWeights!$B$11/AB$5,0)</f>
        <v>0</v>
      </c>
      <c r="AC18" s="14">
        <f>IF(AC$2=$A18,AC$3*AtomicWeights!$B$11/AC$5,0)</f>
        <v>0</v>
      </c>
      <c r="AD18" s="14">
        <f>IF(AD$2=$A18,AD$3*AtomicWeights!$B$11/AD$5,0)</f>
        <v>0</v>
      </c>
      <c r="AE18" s="14">
        <f>IF(AE$2=$A18,AE$3*AtomicWeights!$B$11/AE$5,0)</f>
        <v>0</v>
      </c>
      <c r="AF18" s="14">
        <f>IF(AF$2=$A18,AF$3*AtomicWeights!$B$11/AF$5,0)</f>
        <v>0</v>
      </c>
      <c r="AG18" s="14">
        <f>IF(AG$2=$A18,AG$3*AtomicWeights!$B$11/AG$5,0)</f>
        <v>0</v>
      </c>
      <c r="AH18" s="14">
        <f>IF(AH$2=$A18,AH$3*AtomicWeights!$B$11/AH$5,0)</f>
        <v>0</v>
      </c>
      <c r="AI18" s="14">
        <f>IF(AI$2=$A18,AI$3*AtomicWeights!$B$11/AI$5,0)</f>
        <v>0</v>
      </c>
      <c r="AJ18" s="14">
        <f>IF(AJ$2=$A18,AJ$3*AtomicWeights!$B$11/AJ$5,0)</f>
        <v>0</v>
      </c>
      <c r="AK18" s="14">
        <f>IF(AK$2=$A18,AK$3*AtomicWeights!$B$11/AK$5,0)</f>
        <v>0</v>
      </c>
      <c r="AL18" s="14">
        <f>IF(AL$2=$A18,AL$3*AtomicWeights!$B$11/AL$5,0)</f>
        <v>0</v>
      </c>
      <c r="AM18" s="14">
        <f>IF(AM$2=$A18,AM$3*AtomicWeights!$B$11/AM$5,0)</f>
        <v>0</v>
      </c>
      <c r="AN18" s="14">
        <f>IF(AN$2=$A18,AN$3*AtomicWeights!$B$11/AN$5,0)</f>
        <v>0</v>
      </c>
      <c r="AO18" s="14">
        <f>IF(AO$2=$A18,AO$3*AtomicWeights!$B$11/AO$5,0)</f>
        <v>0</v>
      </c>
      <c r="AP18" s="14">
        <f>IF(AP$2=$A18,AP$3*AtomicWeights!$B$11/AP$5,0)</f>
        <v>0</v>
      </c>
      <c r="AQ18" s="14">
        <f>IF(AQ$2=$A18,AQ$3*AtomicWeights!$B$11/AQ$5,0)</f>
        <v>0</v>
      </c>
      <c r="AR18" s="14">
        <f>IF(AR$2=$A18,AR$3*AtomicWeights!$B$11/AR$5,0)</f>
        <v>0</v>
      </c>
      <c r="AS18" s="14">
        <f>IF(AS$2=$A18,AS$3*AtomicWeights!$B$11/AS$5,0)</f>
        <v>0</v>
      </c>
      <c r="AT18" s="14">
        <f>IF(AT$2=$A18,AT$3*AtomicWeights!$B$11/AT$5,0)</f>
        <v>0</v>
      </c>
      <c r="AU18" s="14">
        <f>IF(AU$2=$A18,AU$3*AtomicWeights!$B$11/AU$5,0)</f>
        <v>0</v>
      </c>
      <c r="AV18" s="14">
        <f>IF(AV$2=$A18,AV$3*AtomicWeights!$B$11/AV$5,0)</f>
        <v>0</v>
      </c>
      <c r="AW18" s="14">
        <f>IF(AW$2=$A18,AW$3*AtomicWeights!$B$11/AW$5,0)</f>
        <v>0</v>
      </c>
      <c r="AX18" s="14">
        <f>IF(AX$2=$A18,AX$3*AtomicWeights!$B$11/AX$5,0)</f>
        <v>0</v>
      </c>
      <c r="AY18" s="14">
        <f>IF(AY$2=$A18,AY$3*AtomicWeights!$B$11/AY$5,0)</f>
        <v>0</v>
      </c>
      <c r="AZ18" s="14">
        <f>IF(AZ$2=$A18,AZ$3*AtomicWeights!$B$11/AZ$5,0)</f>
        <v>0</v>
      </c>
      <c r="BA18" s="14">
        <f>IF(BA$2=$A18,BA$3*AtomicWeights!$B$11/BA$5,0)</f>
        <v>0</v>
      </c>
      <c r="BB18" s="14">
        <f>IF(BB$2=$A18,BB$3*AtomicWeights!$B$11/BB$5,0)</f>
        <v>0</v>
      </c>
    </row>
    <row r="19" spans="1:54" x14ac:dyDescent="0.35">
      <c r="A19" s="13" t="s">
        <v>517</v>
      </c>
      <c r="B19" t="str">
        <f>AtomicWeights!$C$12</f>
        <v>unverified</v>
      </c>
      <c r="C19" s="14">
        <f>IF(C$2=$A19,C$3*AtomicWeights!$B$12/C$5,0)</f>
        <v>0</v>
      </c>
      <c r="D19" s="14">
        <f>IF(D$2=$A19,D$3*AtomicWeights!$B$12/D$5,0)</f>
        <v>0</v>
      </c>
      <c r="E19" s="14">
        <f>IF(E$2=$A19,E$3*AtomicWeights!$B$12/E$5,0)</f>
        <v>0</v>
      </c>
      <c r="F19" s="14">
        <f>IF(F$2=$A19,F$3*AtomicWeights!$B$12/F$5,0)</f>
        <v>0</v>
      </c>
      <c r="G19" s="14">
        <f>IF(G$2=$A19,G$3*AtomicWeights!$B$12/G$5,0)</f>
        <v>0</v>
      </c>
      <c r="H19" s="14">
        <f>IF(H$2=$A19,H$3*AtomicWeights!$B$12/H$5,0)</f>
        <v>0</v>
      </c>
      <c r="I19" s="14">
        <f>IF(I$2=$A19,I$3*AtomicWeights!$B$12/I$5,0)</f>
        <v>0</v>
      </c>
      <c r="J19" s="14">
        <f>IF(J$2=$A19,J$3*AtomicWeights!$B$12/J$5,0)</f>
        <v>0</v>
      </c>
      <c r="K19" s="14">
        <f>IF(K$2=$A19,K$3*AtomicWeights!$B$12/K$5,0)</f>
        <v>0</v>
      </c>
      <c r="L19" s="14">
        <f>IF(L$2=$A19,L$3*AtomicWeights!$B$12/L$5,0)</f>
        <v>0</v>
      </c>
      <c r="M19" s="14">
        <f>IF(M$2=$A19,M$3*AtomicWeights!$B$12/M$5,0)</f>
        <v>0.88819003291611631</v>
      </c>
      <c r="N19" s="14">
        <f>IF(N$2=$A19,N$3*AtomicWeights!$B$12/N$5,0)</f>
        <v>0</v>
      </c>
      <c r="O19" s="14">
        <f>IF(O$2=$A19,O$3*AtomicWeights!$B$12/O$5,0)</f>
        <v>0</v>
      </c>
      <c r="P19" s="14">
        <f>IF(P$2=$A19,P$3*AtomicWeights!$B$12/P$5,0)</f>
        <v>0</v>
      </c>
      <c r="Q19" s="14">
        <f>IF(Q$2=$A19,Q$3*AtomicWeights!$B$12/Q$5,0)</f>
        <v>0</v>
      </c>
      <c r="R19" s="14">
        <f>IF(R$2=$A19,R$3*AtomicWeights!$B$12/R$5,0)</f>
        <v>0</v>
      </c>
      <c r="S19" s="14">
        <f>IF(S$2=$A19,S$3*AtomicWeights!$B$12/S$5,0)</f>
        <v>0</v>
      </c>
      <c r="T19" s="14">
        <f>IF(T$2=$A19,T$3*AtomicWeights!$B$12/T$5,0)</f>
        <v>0</v>
      </c>
      <c r="U19" s="14">
        <f>IF(U$2=$A19,U$3*AtomicWeights!$B$12/U$5,0)</f>
        <v>0</v>
      </c>
      <c r="V19" s="14">
        <f>IF(V$2=$A19,V$3*AtomicWeights!$B$12/V$5,0)</f>
        <v>0</v>
      </c>
      <c r="W19" s="14">
        <f>IF(W$2=$A19,W$3*AtomicWeights!$B$12/W$5,0)</f>
        <v>0</v>
      </c>
      <c r="X19" s="14">
        <f>IF(X$2=$A19,X$3*AtomicWeights!$B$12/X$5,0)</f>
        <v>0</v>
      </c>
      <c r="Y19" s="14">
        <f>IF(Y$2=$A19,Y$3*AtomicWeights!$B$12/Y$5,0)</f>
        <v>0</v>
      </c>
      <c r="Z19" s="14">
        <f>IF(Z$2=$A19,Z$3*AtomicWeights!$B$12/Z$5,0)</f>
        <v>0</v>
      </c>
      <c r="AA19" s="14">
        <f>IF(AA$2=$A19,AA$3*AtomicWeights!$B$12/AA$5,0)</f>
        <v>0</v>
      </c>
      <c r="AB19" s="14">
        <f>IF(AB$2=$A19,AB$3*AtomicWeights!$B$12/AB$5,0)</f>
        <v>0</v>
      </c>
      <c r="AC19" s="14">
        <f>IF(AC$2=$A19,AC$3*AtomicWeights!$B$12/AC$5,0)</f>
        <v>0</v>
      </c>
      <c r="AD19" s="14">
        <f>IF(AD$2=$A19,AD$3*AtomicWeights!$B$12/AD$5,0)</f>
        <v>0</v>
      </c>
      <c r="AE19" s="14">
        <f>IF(AE$2=$A19,AE$3*AtomicWeights!$B$12/AE$5,0)</f>
        <v>0</v>
      </c>
      <c r="AF19" s="14">
        <f>IF(AF$2=$A19,AF$3*AtomicWeights!$B$12/AF$5,0)</f>
        <v>0</v>
      </c>
      <c r="AG19" s="14">
        <f>IF(AG$2=$A19,AG$3*AtomicWeights!$B$12/AG$5,0)</f>
        <v>0</v>
      </c>
      <c r="AH19" s="14">
        <f>IF(AH$2=$A19,AH$3*AtomicWeights!$B$12/AH$5,0)</f>
        <v>0</v>
      </c>
      <c r="AI19" s="14">
        <f>IF(AI$2=$A19,AI$3*AtomicWeights!$B$12/AI$5,0)</f>
        <v>0</v>
      </c>
      <c r="AJ19" s="14">
        <f>IF(AJ$2=$A19,AJ$3*AtomicWeights!$B$12/AJ$5,0)</f>
        <v>0</v>
      </c>
      <c r="AK19" s="14">
        <f>IF(AK$2=$A19,AK$3*AtomicWeights!$B$12/AK$5,0)</f>
        <v>0</v>
      </c>
      <c r="AL19" s="14">
        <f>IF(AL$2=$A19,AL$3*AtomicWeights!$B$12/AL$5,0)</f>
        <v>0</v>
      </c>
      <c r="AM19" s="14">
        <f>IF(AM$2=$A19,AM$3*AtomicWeights!$B$12/AM$5,0)</f>
        <v>0</v>
      </c>
      <c r="AN19" s="14">
        <f>IF(AN$2=$A19,AN$3*AtomicWeights!$B$12/AN$5,0)</f>
        <v>0</v>
      </c>
      <c r="AO19" s="14">
        <f>IF(AO$2=$A19,AO$3*AtomicWeights!$B$12/AO$5,0)</f>
        <v>0</v>
      </c>
      <c r="AP19" s="14">
        <f>IF(AP$2=$A19,AP$3*AtomicWeights!$B$12/AP$5,0)</f>
        <v>0</v>
      </c>
      <c r="AQ19" s="14">
        <f>IF(AQ$2=$A19,AQ$3*AtomicWeights!$B$12/AQ$5,0)</f>
        <v>0</v>
      </c>
      <c r="AR19" s="14">
        <f>IF(AR$2=$A19,AR$3*AtomicWeights!$B$12/AR$5,0)</f>
        <v>0</v>
      </c>
      <c r="AS19" s="14">
        <f>IF(AS$2=$A19,AS$3*AtomicWeights!$B$12/AS$5,0)</f>
        <v>0</v>
      </c>
      <c r="AT19" s="14">
        <f>IF(AT$2=$A19,AT$3*AtomicWeights!$B$12/AT$5,0)</f>
        <v>0</v>
      </c>
      <c r="AU19" s="14">
        <f>IF(AU$2=$A19,AU$3*AtomicWeights!$B$12/AU$5,0)</f>
        <v>0</v>
      </c>
      <c r="AV19" s="14">
        <f>IF(AV$2=$A19,AV$3*AtomicWeights!$B$12/AV$5,0)</f>
        <v>0</v>
      </c>
      <c r="AW19" s="14">
        <f>IF(AW$2=$A19,AW$3*AtomicWeights!$B$12/AW$5,0)</f>
        <v>0</v>
      </c>
      <c r="AX19" s="14">
        <f>IF(AX$2=$A19,AX$3*AtomicWeights!$B$12/AX$5,0)</f>
        <v>0</v>
      </c>
      <c r="AY19" s="14">
        <f>IF(AY$2=$A19,AY$3*AtomicWeights!$B$12/AY$5,0)</f>
        <v>0</v>
      </c>
      <c r="AZ19" s="14">
        <f>IF(AZ$2=$A19,AZ$3*AtomicWeights!$B$12/AZ$5,0)</f>
        <v>0</v>
      </c>
      <c r="BA19" s="14">
        <f>IF(BA$2=$A19,BA$3*AtomicWeights!$B$12/BA$5,0)</f>
        <v>0</v>
      </c>
      <c r="BB19" s="14">
        <f>IF(BB$2=$A19,BB$3*AtomicWeights!$B$12/BB$5,0)</f>
        <v>0</v>
      </c>
    </row>
    <row r="20" spans="1:54" x14ac:dyDescent="0.35">
      <c r="A20" s="13" t="s">
        <v>31</v>
      </c>
      <c r="B20" t="str">
        <f>AtomicWeights!$C$13</f>
        <v>yes</v>
      </c>
      <c r="C20" s="14">
        <f>IF(C$2=$A20,C$3*AtomicWeights!$B$13/C$5,0)</f>
        <v>0</v>
      </c>
      <c r="D20" s="14">
        <f>IF(D$2=$A20,D$3*AtomicWeights!$B$13/D$5,0)</f>
        <v>0</v>
      </c>
      <c r="E20" s="14">
        <f>IF(E$2=$A20,E$3*AtomicWeights!$B$13/E$5,0)</f>
        <v>0</v>
      </c>
      <c r="F20" s="14">
        <f>IF(F$2=$A20,F$3*AtomicWeights!$B$13/F$5,0)</f>
        <v>0</v>
      </c>
      <c r="G20" s="14">
        <f>IF(G$2=$A20,G$3*AtomicWeights!$B$13/G$5,0)</f>
        <v>0</v>
      </c>
      <c r="H20" s="14">
        <f>IF(H$2=$A20,H$3*AtomicWeights!$B$13/H$5,0)</f>
        <v>0</v>
      </c>
      <c r="I20" s="14">
        <f>IF(I$2=$A20,I$3*AtomicWeights!$B$13/I$5,0)</f>
        <v>0</v>
      </c>
      <c r="J20" s="14">
        <f>IF(J$2=$A20,J$3*AtomicWeights!$B$13/J$5,0)</f>
        <v>0</v>
      </c>
      <c r="K20" s="14">
        <f>IF(K$2=$A20,K$3*AtomicWeights!$B$13/K$5,0)</f>
        <v>0</v>
      </c>
      <c r="L20" s="14">
        <f>IF(L$2=$A20,L$3*AtomicWeights!$B$13/L$5,0)</f>
        <v>0</v>
      </c>
      <c r="M20" s="14">
        <f>IF(M$2=$A20,M$3*AtomicWeights!$B$13/M$5,0)</f>
        <v>0</v>
      </c>
      <c r="N20" s="14">
        <f>IF(N$2=$A20,N$3*AtomicWeights!$B$13/N$5,0)</f>
        <v>0.6030418816990869</v>
      </c>
      <c r="O20" s="14">
        <f>IF(O$2=$A20,O$3*AtomicWeights!$B$13/O$5,0)</f>
        <v>0</v>
      </c>
      <c r="P20" s="14">
        <f>IF(P$2=$A20,P$3*AtomicWeights!$B$13/P$5,0)</f>
        <v>0</v>
      </c>
      <c r="Q20" s="14">
        <f>IF(Q$2=$A20,Q$3*AtomicWeights!$B$13/Q$5,0)</f>
        <v>0</v>
      </c>
      <c r="R20" s="14">
        <f>IF(R$2=$A20,R$3*AtomicWeights!$B$13/R$5,0)</f>
        <v>0</v>
      </c>
      <c r="S20" s="14">
        <f>IF(S$2=$A20,S$3*AtomicWeights!$B$13/S$5,0)</f>
        <v>0</v>
      </c>
      <c r="T20" s="14">
        <f>IF(T$2=$A20,T$3*AtomicWeights!$B$13/T$5,0)</f>
        <v>0</v>
      </c>
      <c r="U20" s="14">
        <f>IF(U$2=$A20,U$3*AtomicWeights!$B$13/U$5,0)</f>
        <v>0</v>
      </c>
      <c r="V20" s="14">
        <f>IF(V$2=$A20,V$3*AtomicWeights!$B$13/V$5,0)</f>
        <v>0</v>
      </c>
      <c r="W20" s="14">
        <f>IF(W$2=$A20,W$3*AtomicWeights!$B$13/W$5,0)</f>
        <v>0</v>
      </c>
      <c r="X20" s="14">
        <f>IF(X$2=$A20,X$3*AtomicWeights!$B$13/X$5,0)</f>
        <v>0</v>
      </c>
      <c r="Y20" s="14">
        <f>IF(Y$2=$A20,Y$3*AtomicWeights!$B$13/Y$5,0)</f>
        <v>0</v>
      </c>
      <c r="Z20" s="14">
        <f>IF(Z$2=$A20,Z$3*AtomicWeights!$B$13/Z$5,0)</f>
        <v>0</v>
      </c>
      <c r="AA20" s="14">
        <f>IF(AA$2=$A20,AA$3*AtomicWeights!$B$13/AA$5,0)</f>
        <v>0</v>
      </c>
      <c r="AB20" s="14">
        <f>IF(AB$2=$A20,AB$3*AtomicWeights!$B$13/AB$5,0)</f>
        <v>0</v>
      </c>
      <c r="AC20" s="14">
        <f>IF(AC$2=$A20,AC$3*AtomicWeights!$B$13/AC$5,0)</f>
        <v>0</v>
      </c>
      <c r="AD20" s="14">
        <f>IF(AD$2=$A20,AD$3*AtomicWeights!$B$13/AD$5,0)</f>
        <v>0</v>
      </c>
      <c r="AE20" s="14">
        <f>IF(AE$2=$A20,AE$3*AtomicWeights!$B$13/AE$5,0)</f>
        <v>0</v>
      </c>
      <c r="AF20" s="14">
        <f>IF(AF$2=$A20,AF$3*AtomicWeights!$B$13/AF$5,0)</f>
        <v>0</v>
      </c>
      <c r="AG20" s="14">
        <f>IF(AG$2=$A20,AG$3*AtomicWeights!$B$13/AG$5,0)</f>
        <v>0</v>
      </c>
      <c r="AH20" s="14">
        <f>IF(AH$2=$A20,AH$3*AtomicWeights!$B$13/AH$5,0)</f>
        <v>0</v>
      </c>
      <c r="AI20" s="14">
        <f>IF(AI$2=$A20,AI$3*AtomicWeights!$B$13/AI$5,0)</f>
        <v>0</v>
      </c>
      <c r="AJ20" s="14">
        <f>IF(AJ$2=$A20,AJ$3*AtomicWeights!$B$13/AJ$5,0)</f>
        <v>0</v>
      </c>
      <c r="AK20" s="14">
        <f>IF(AK$2=$A20,AK$3*AtomicWeights!$B$13/AK$5,0)</f>
        <v>0</v>
      </c>
      <c r="AL20" s="14">
        <f>IF(AL$2=$A20,AL$3*AtomicWeights!$B$13/AL$5,0)</f>
        <v>0</v>
      </c>
      <c r="AM20" s="14">
        <f>IF(AM$2=$A20,AM$3*AtomicWeights!$B$13/AM$5,0)</f>
        <v>0</v>
      </c>
      <c r="AN20" s="14">
        <f>IF(AN$2=$A20,AN$3*AtomicWeights!$B$13/AN$5,0)</f>
        <v>0</v>
      </c>
      <c r="AO20" s="14">
        <f>IF(AO$2=$A20,AO$3*AtomicWeights!$B$13/AO$5,0)</f>
        <v>0</v>
      </c>
      <c r="AP20" s="14">
        <f>IF(AP$2=$A20,AP$3*AtomicWeights!$B$13/AP$5,0)</f>
        <v>0</v>
      </c>
      <c r="AQ20" s="14">
        <f>IF(AQ$2=$A20,AQ$3*AtomicWeights!$B$13/AQ$5,0)</f>
        <v>0</v>
      </c>
      <c r="AR20" s="14">
        <f>IF(AR$2=$A20,AR$3*AtomicWeights!$B$13/AR$5,0)</f>
        <v>0</v>
      </c>
      <c r="AS20" s="14">
        <f>IF(AS$2=$A20,AS$3*AtomicWeights!$B$13/AS$5,0)</f>
        <v>0</v>
      </c>
      <c r="AT20" s="14">
        <f>IF(AT$2=$A20,AT$3*AtomicWeights!$B$13/AT$5,0)</f>
        <v>0</v>
      </c>
      <c r="AU20" s="14">
        <f>IF(AU$2=$A20,AU$3*AtomicWeights!$B$13/AU$5,0)</f>
        <v>0</v>
      </c>
      <c r="AV20" s="14">
        <f>IF(AV$2=$A20,AV$3*AtomicWeights!$B$13/AV$5,0)</f>
        <v>0</v>
      </c>
      <c r="AW20" s="14">
        <f>IF(AW$2=$A20,AW$3*AtomicWeights!$B$13/AW$5,0)</f>
        <v>0</v>
      </c>
      <c r="AX20" s="14">
        <f>IF(AX$2=$A20,AX$3*AtomicWeights!$B$13/AX$5,0)</f>
        <v>0</v>
      </c>
      <c r="AY20" s="14">
        <f>IF(AY$2=$A20,AY$3*AtomicWeights!$B$13/AY$5,0)</f>
        <v>0</v>
      </c>
      <c r="AZ20" s="14">
        <f>IF(AZ$2=$A20,AZ$3*AtomicWeights!$B$13/AZ$5,0)</f>
        <v>0</v>
      </c>
      <c r="BA20" s="14">
        <f>IF(BA$2=$A20,BA$3*AtomicWeights!$B$13/BA$5,0)</f>
        <v>0</v>
      </c>
      <c r="BB20" s="14">
        <f>IF(BB$2=$A20,BB$3*AtomicWeights!$B$13/BB$5,0)</f>
        <v>0</v>
      </c>
    </row>
    <row r="21" spans="1:54" x14ac:dyDescent="0.35">
      <c r="A21" s="13" t="s">
        <v>32</v>
      </c>
      <c r="B21" t="str">
        <f>AtomicWeights!$C$14</f>
        <v>yes</v>
      </c>
      <c r="C21" s="14">
        <f>IF(C$2=$A21,C$3*AtomicWeights!$B$14/C$5,0)</f>
        <v>0</v>
      </c>
      <c r="D21" s="14">
        <f>IF(D$2=$A21,D$3*AtomicWeights!$B$14/D$5,0)</f>
        <v>0</v>
      </c>
      <c r="E21" s="14">
        <f>IF(E$2=$A21,E$3*AtomicWeights!$B$14/E$5,0)</f>
        <v>0</v>
      </c>
      <c r="F21" s="14">
        <f>IF(F$2=$A21,F$3*AtomicWeights!$B$14/F$5,0)</f>
        <v>0</v>
      </c>
      <c r="G21" s="14">
        <f>IF(G$2=$A21,G$3*AtomicWeights!$B$14/G$5,0)</f>
        <v>0</v>
      </c>
      <c r="H21" s="14">
        <f>IF(H$2=$A21,H$3*AtomicWeights!$B$14/H$5,0)</f>
        <v>0</v>
      </c>
      <c r="I21" s="14">
        <f>IF(I$2=$A21,I$3*AtomicWeights!$B$14/I$5,0)</f>
        <v>0</v>
      </c>
      <c r="J21" s="14">
        <f>IF(J$2=$A21,J$3*AtomicWeights!$B$14/J$5,0)</f>
        <v>0</v>
      </c>
      <c r="K21" s="14">
        <f>IF(K$2=$A21,K$3*AtomicWeights!$B$14/K$5,0)</f>
        <v>0</v>
      </c>
      <c r="L21" s="14">
        <f>IF(L$2=$A21,L$3*AtomicWeights!$B$14/L$5,0)</f>
        <v>0</v>
      </c>
      <c r="M21" s="14">
        <f>IF(M$2=$A21,M$3*AtomicWeights!$B$14/M$5,0)</f>
        <v>0</v>
      </c>
      <c r="N21" s="14">
        <f>IF(N$2=$A21,N$3*AtomicWeights!$B$14/N$5,0)</f>
        <v>0</v>
      </c>
      <c r="O21" s="14">
        <f>IF(O$2=$A21,O$3*AtomicWeights!$B$14/O$5,0)</f>
        <v>0.71469586461472612</v>
      </c>
      <c r="P21" s="14">
        <f>IF(P$2=$A21,P$3*AtomicWeights!$B$14/P$5,0)</f>
        <v>0</v>
      </c>
      <c r="Q21" s="14">
        <f>IF(Q$2=$A21,Q$3*AtomicWeights!$B$14/Q$5,0)</f>
        <v>0</v>
      </c>
      <c r="R21" s="14">
        <f>IF(R$2=$A21,R$3*AtomicWeights!$B$14/R$5,0)</f>
        <v>0</v>
      </c>
      <c r="S21" s="14">
        <f>IF(S$2=$A21,S$3*AtomicWeights!$B$14/S$5,0)</f>
        <v>0</v>
      </c>
      <c r="T21" s="14">
        <f>IF(T$2=$A21,T$3*AtomicWeights!$B$14/T$5,0)</f>
        <v>0</v>
      </c>
      <c r="U21" s="14">
        <f>IF(U$2=$A21,U$3*AtomicWeights!$B$14/U$5,0)</f>
        <v>0</v>
      </c>
      <c r="V21" s="14">
        <f>IF(V$2=$A21,V$3*AtomicWeights!$B$14/V$5,0)</f>
        <v>0</v>
      </c>
      <c r="W21" s="14">
        <f>IF(W$2=$A21,W$3*AtomicWeights!$B$14/W$5,0)</f>
        <v>0</v>
      </c>
      <c r="X21" s="14">
        <f>IF(X$2=$A21,X$3*AtomicWeights!$B$14/X$5,0)</f>
        <v>0</v>
      </c>
      <c r="Y21" s="14">
        <f>IF(Y$2=$A21,Y$3*AtomicWeights!$B$14/Y$5,0)</f>
        <v>0</v>
      </c>
      <c r="Z21" s="14">
        <f>IF(Z$2=$A21,Z$3*AtomicWeights!$B$14/Z$5,0)</f>
        <v>0</v>
      </c>
      <c r="AA21" s="14">
        <f>IF(AA$2=$A21,AA$3*AtomicWeights!$B$14/AA$5,0)</f>
        <v>0</v>
      </c>
      <c r="AB21" s="14">
        <f>IF(AB$2=$A21,AB$3*AtomicWeights!$B$14/AB$5,0)</f>
        <v>0</v>
      </c>
      <c r="AC21" s="14">
        <f>IF(AC$2=$A21,AC$3*AtomicWeights!$B$14/AC$5,0)</f>
        <v>0</v>
      </c>
      <c r="AD21" s="14">
        <f>IF(AD$2=$A21,AD$3*AtomicWeights!$B$14/AD$5,0)</f>
        <v>0</v>
      </c>
      <c r="AE21" s="14">
        <f>IF(AE$2=$A21,AE$3*AtomicWeights!$B$14/AE$5,0)</f>
        <v>0</v>
      </c>
      <c r="AF21" s="14">
        <f>IF(AF$2=$A21,AF$3*AtomicWeights!$B$14/AF$5,0)</f>
        <v>0</v>
      </c>
      <c r="AG21" s="14">
        <f>IF(AG$2=$A21,AG$3*AtomicWeights!$B$14/AG$5,0)</f>
        <v>0</v>
      </c>
      <c r="AH21" s="14">
        <f>IF(AH$2=$A21,AH$3*AtomicWeights!$B$14/AH$5,0)</f>
        <v>0</v>
      </c>
      <c r="AI21" s="14">
        <f>IF(AI$2=$A21,AI$3*AtomicWeights!$B$14/AI$5,0)</f>
        <v>0</v>
      </c>
      <c r="AJ21" s="14">
        <f>IF(AJ$2=$A21,AJ$3*AtomicWeights!$B$14/AJ$5,0)</f>
        <v>0</v>
      </c>
      <c r="AK21" s="14">
        <f>IF(AK$2=$A21,AK$3*AtomicWeights!$B$14/AK$5,0)</f>
        <v>0</v>
      </c>
      <c r="AL21" s="14">
        <f>IF(AL$2=$A21,AL$3*AtomicWeights!$B$14/AL$5,0)</f>
        <v>0</v>
      </c>
      <c r="AM21" s="14">
        <f>IF(AM$2=$A21,AM$3*AtomicWeights!$B$14/AM$5,0)</f>
        <v>0</v>
      </c>
      <c r="AN21" s="14">
        <f>IF(AN$2=$A21,AN$3*AtomicWeights!$B$14/AN$5,0)</f>
        <v>0</v>
      </c>
      <c r="AO21" s="14">
        <f>IF(AO$2=$A21,AO$3*AtomicWeights!$B$14/AO$5,0)</f>
        <v>0</v>
      </c>
      <c r="AP21" s="14">
        <f>IF(AP$2=$A21,AP$3*AtomicWeights!$B$14/AP$5,0)</f>
        <v>0</v>
      </c>
      <c r="AQ21" s="14">
        <f>IF(AQ$2=$A21,AQ$3*AtomicWeights!$B$14/AQ$5,0)</f>
        <v>0</v>
      </c>
      <c r="AR21" s="14">
        <f>IF(AR$2=$A21,AR$3*AtomicWeights!$B$14/AR$5,0)</f>
        <v>0</v>
      </c>
      <c r="AS21" s="14">
        <f>IF(AS$2=$A21,AS$3*AtomicWeights!$B$14/AS$5,0)</f>
        <v>0</v>
      </c>
      <c r="AT21" s="14">
        <f>IF(AT$2=$A21,AT$3*AtomicWeights!$B$14/AT$5,0)</f>
        <v>0</v>
      </c>
      <c r="AU21" s="14">
        <f>IF(AU$2=$A21,AU$3*AtomicWeights!$B$14/AU$5,0)</f>
        <v>0</v>
      </c>
      <c r="AV21" s="14">
        <f>IF(AV$2=$A21,AV$3*AtomicWeights!$B$14/AV$5,0)</f>
        <v>0</v>
      </c>
      <c r="AW21" s="14">
        <f>IF(AW$2=$A21,AW$3*AtomicWeights!$B$14/AW$5,0)</f>
        <v>0</v>
      </c>
      <c r="AX21" s="14">
        <f>IF(AX$2=$A21,AX$3*AtomicWeights!$B$14/AX$5,0)</f>
        <v>0</v>
      </c>
      <c r="AY21" s="14">
        <f>IF(AY$2=$A21,AY$3*AtomicWeights!$B$14/AY$5,0)</f>
        <v>0</v>
      </c>
      <c r="AZ21" s="14">
        <f>IF(AZ$2=$A21,AZ$3*AtomicWeights!$B$14/AZ$5,0)</f>
        <v>0</v>
      </c>
      <c r="BA21" s="14">
        <f>IF(BA$2=$A21,BA$3*AtomicWeights!$B$14/BA$5,0)</f>
        <v>0</v>
      </c>
      <c r="BB21" s="14">
        <f>IF(BB$2=$A21,BB$3*AtomicWeights!$B$14/BB$5,0)</f>
        <v>0</v>
      </c>
    </row>
    <row r="22" spans="1:54" x14ac:dyDescent="0.35">
      <c r="A22" s="13" t="s">
        <v>33</v>
      </c>
      <c r="B22" t="str">
        <f>AtomicWeights!$C$15</f>
        <v>yes</v>
      </c>
      <c r="C22" s="14">
        <f>IF(C$2=$A22,C$3*AtomicWeights!$B$15/C$5,0)</f>
        <v>0</v>
      </c>
      <c r="D22" s="14">
        <f>IF(D$2=$A22,D$3*AtomicWeights!$B$15/D$5,0)</f>
        <v>0</v>
      </c>
      <c r="E22" s="14">
        <f>IF(E$2=$A22,E$3*AtomicWeights!$B$15/E$5,0)</f>
        <v>0</v>
      </c>
      <c r="F22" s="14">
        <f>IF(F$2=$A22,F$3*AtomicWeights!$B$15/F$5,0)</f>
        <v>0</v>
      </c>
      <c r="G22" s="14">
        <f>IF(G$2=$A22,G$3*AtomicWeights!$B$15/G$5,0)</f>
        <v>0</v>
      </c>
      <c r="H22" s="14">
        <f>IF(H$2=$A22,H$3*AtomicWeights!$B$15/H$5,0)</f>
        <v>0</v>
      </c>
      <c r="I22" s="14">
        <f>IF(I$2=$A22,I$3*AtomicWeights!$B$15/I$5,0)</f>
        <v>0</v>
      </c>
      <c r="J22" s="14">
        <f>IF(J$2=$A22,J$3*AtomicWeights!$B$15/J$5,0)</f>
        <v>0</v>
      </c>
      <c r="K22" s="14">
        <f>IF(K$2=$A22,K$3*AtomicWeights!$B$15/K$5,0)</f>
        <v>0</v>
      </c>
      <c r="L22" s="14">
        <f>IF(L$2=$A22,L$3*AtomicWeights!$B$15/L$5,0)</f>
        <v>0</v>
      </c>
      <c r="M22" s="14">
        <f>IF(M$2=$A22,M$3*AtomicWeights!$B$15/M$5,0)</f>
        <v>0</v>
      </c>
      <c r="N22" s="14">
        <f>IF(N$2=$A22,N$3*AtomicWeights!$B$15/N$5,0)</f>
        <v>0</v>
      </c>
      <c r="O22" s="14">
        <f>IF(O$2=$A22,O$3*AtomicWeights!$B$15/O$5,0)</f>
        <v>0</v>
      </c>
      <c r="P22" s="14">
        <f>IF(P$2=$A22,P$3*AtomicWeights!$B$15/P$5,0)</f>
        <v>0.84559781507252541</v>
      </c>
      <c r="Q22" s="14">
        <f>IF(Q$2=$A22,Q$3*AtomicWeights!$B$15/Q$5,0)</f>
        <v>0</v>
      </c>
      <c r="R22" s="14">
        <f>IF(R$2=$A22,R$3*AtomicWeights!$B$15/R$5,0)</f>
        <v>0</v>
      </c>
      <c r="S22" s="14">
        <f>IF(S$2=$A22,S$3*AtomicWeights!$B$15/S$5,0)</f>
        <v>0</v>
      </c>
      <c r="T22" s="14">
        <f>IF(T$2=$A22,T$3*AtomicWeights!$B$15/T$5,0)</f>
        <v>0</v>
      </c>
      <c r="U22" s="14">
        <f>IF(U$2=$A22,U$3*AtomicWeights!$B$15/U$5,0)</f>
        <v>0</v>
      </c>
      <c r="V22" s="14">
        <f>IF(V$2=$A22,V$3*AtomicWeights!$B$15/V$5,0)</f>
        <v>0</v>
      </c>
      <c r="W22" s="14">
        <f>IF(W$2=$A22,W$3*AtomicWeights!$B$15/W$5,0)</f>
        <v>0</v>
      </c>
      <c r="X22" s="14">
        <f>IF(X$2=$A22,X$3*AtomicWeights!$B$15/X$5,0)</f>
        <v>0</v>
      </c>
      <c r="Y22" s="14">
        <f>IF(Y$2=$A22,Y$3*AtomicWeights!$B$15/Y$5,0)</f>
        <v>0</v>
      </c>
      <c r="Z22" s="14">
        <f>IF(Z$2=$A22,Z$3*AtomicWeights!$B$15/Z$5,0)</f>
        <v>0</v>
      </c>
      <c r="AA22" s="14">
        <f>IF(AA$2=$A22,AA$3*AtomicWeights!$B$15/AA$5,0)</f>
        <v>0</v>
      </c>
      <c r="AB22" s="14">
        <f>IF(AB$2=$A22,AB$3*AtomicWeights!$B$15/AB$5,0)</f>
        <v>0</v>
      </c>
      <c r="AC22" s="14">
        <f>IF(AC$2=$A22,AC$3*AtomicWeights!$B$15/AC$5,0)</f>
        <v>0</v>
      </c>
      <c r="AD22" s="14">
        <f>IF(AD$2=$A22,AD$3*AtomicWeights!$B$15/AD$5,0)</f>
        <v>0</v>
      </c>
      <c r="AE22" s="14">
        <f>IF(AE$2=$A22,AE$3*AtomicWeights!$B$15/AE$5,0)</f>
        <v>0</v>
      </c>
      <c r="AF22" s="14">
        <f>IF(AF$2=$A22,AF$3*AtomicWeights!$B$15/AF$5,0)</f>
        <v>0</v>
      </c>
      <c r="AG22" s="14">
        <f>IF(AG$2=$A22,AG$3*AtomicWeights!$B$15/AG$5,0)</f>
        <v>0</v>
      </c>
      <c r="AH22" s="14">
        <f>IF(AH$2=$A22,AH$3*AtomicWeights!$B$15/AH$5,0)</f>
        <v>0</v>
      </c>
      <c r="AI22" s="14">
        <f>IF(AI$2=$A22,AI$3*AtomicWeights!$B$15/AI$5,0)</f>
        <v>0</v>
      </c>
      <c r="AJ22" s="14">
        <f>IF(AJ$2=$A22,AJ$3*AtomicWeights!$B$15/AJ$5,0)</f>
        <v>0</v>
      </c>
      <c r="AK22" s="14">
        <f>IF(AK$2=$A22,AK$3*AtomicWeights!$B$15/AK$5,0)</f>
        <v>0</v>
      </c>
      <c r="AL22" s="14">
        <f>IF(AL$2=$A22,AL$3*AtomicWeights!$B$15/AL$5,0)</f>
        <v>0</v>
      </c>
      <c r="AM22" s="14">
        <f>IF(AM$2=$A22,AM$3*AtomicWeights!$B$15/AM$5,0)</f>
        <v>0</v>
      </c>
      <c r="AN22" s="14">
        <f>IF(AN$2=$A22,AN$3*AtomicWeights!$B$15/AN$5,0)</f>
        <v>0</v>
      </c>
      <c r="AO22" s="14">
        <f>IF(AO$2=$A22,AO$3*AtomicWeights!$B$15/AO$5,0)</f>
        <v>0</v>
      </c>
      <c r="AP22" s="14">
        <f>IF(AP$2=$A22,AP$3*AtomicWeights!$B$15/AP$5,0)</f>
        <v>0</v>
      </c>
      <c r="AQ22" s="14">
        <f>IF(AQ$2=$A22,AQ$3*AtomicWeights!$B$15/AQ$5,0)</f>
        <v>0</v>
      </c>
      <c r="AR22" s="14">
        <f>IF(AR$2=$A22,AR$3*AtomicWeights!$B$15/AR$5,0)</f>
        <v>0</v>
      </c>
      <c r="AS22" s="14">
        <f>IF(AS$2=$A22,AS$3*AtomicWeights!$B$15/AS$5,0)</f>
        <v>0</v>
      </c>
      <c r="AT22" s="14">
        <f>IF(AT$2=$A22,AT$3*AtomicWeights!$B$15/AT$5,0)</f>
        <v>0</v>
      </c>
      <c r="AU22" s="14">
        <f>IF(AU$2=$A22,AU$3*AtomicWeights!$B$15/AU$5,0)</f>
        <v>0</v>
      </c>
      <c r="AV22" s="14">
        <f>IF(AV$2=$A22,AV$3*AtomicWeights!$B$15/AV$5,0)</f>
        <v>0</v>
      </c>
      <c r="AW22" s="14">
        <f>IF(AW$2=$A22,AW$3*AtomicWeights!$B$15/AW$5,0)</f>
        <v>0</v>
      </c>
      <c r="AX22" s="14">
        <f>IF(AX$2=$A22,AX$3*AtomicWeights!$B$15/AX$5,0)</f>
        <v>0</v>
      </c>
      <c r="AY22" s="14">
        <f>IF(AY$2=$A22,AY$3*AtomicWeights!$B$15/AY$5,0)</f>
        <v>0</v>
      </c>
      <c r="AZ22" s="14">
        <f>IF(AZ$2=$A22,AZ$3*AtomicWeights!$B$15/AZ$5,0)</f>
        <v>0</v>
      </c>
      <c r="BA22" s="14">
        <f>IF(BA$2=$A22,BA$3*AtomicWeights!$B$15/BA$5,0)</f>
        <v>0</v>
      </c>
      <c r="BB22" s="14">
        <f>IF(BB$2=$A22,BB$3*AtomicWeights!$B$15/BB$5,0)</f>
        <v>0</v>
      </c>
    </row>
    <row r="23" spans="1:54" x14ac:dyDescent="0.35">
      <c r="A23" s="13" t="s">
        <v>34</v>
      </c>
      <c r="B23" t="str">
        <f>AtomicWeights!$C$16</f>
        <v>yes</v>
      </c>
      <c r="C23" s="14">
        <f>IF(C$2=$A23,C$3*AtomicWeights!$B$16/C$5,0)</f>
        <v>0</v>
      </c>
      <c r="D23" s="14">
        <f>IF(D$2=$A23,D$3*AtomicWeights!$B$16/D$5,0)</f>
        <v>0</v>
      </c>
      <c r="E23" s="14">
        <f>IF(E$2=$A23,E$3*AtomicWeights!$B$16/E$5,0)</f>
        <v>0</v>
      </c>
      <c r="F23" s="14">
        <f>IF(F$2=$A23,F$3*AtomicWeights!$B$16/F$5,0)</f>
        <v>0</v>
      </c>
      <c r="G23" s="14">
        <f>IF(G$2=$A23,G$3*AtomicWeights!$B$16/G$5,0)</f>
        <v>0</v>
      </c>
      <c r="H23" s="14">
        <f>IF(H$2=$A23,H$3*AtomicWeights!$B$16/H$5,0)</f>
        <v>0</v>
      </c>
      <c r="I23" s="14">
        <f>IF(I$2=$A23,I$3*AtomicWeights!$B$16/I$5,0)</f>
        <v>0</v>
      </c>
      <c r="J23" s="14">
        <f>IF(J$2=$A23,J$3*AtomicWeights!$B$16/J$5,0)</f>
        <v>0</v>
      </c>
      <c r="K23" s="14">
        <f>IF(K$2=$A23,K$3*AtomicWeights!$B$16/K$5,0)</f>
        <v>0</v>
      </c>
      <c r="L23" s="14">
        <f>IF(L$2=$A23,L$3*AtomicWeights!$B$16/L$5,0)</f>
        <v>0</v>
      </c>
      <c r="M23" s="14">
        <f>IF(M$2=$A23,M$3*AtomicWeights!$B$16/M$5,0)</f>
        <v>0</v>
      </c>
      <c r="N23" s="14">
        <f>IF(N$2=$A23,N$3*AtomicWeights!$B$16/N$5,0)</f>
        <v>0</v>
      </c>
      <c r="O23" s="14">
        <f>IF(O$2=$A23,O$3*AtomicWeights!$B$16/O$5,0)</f>
        <v>0</v>
      </c>
      <c r="P23" s="14">
        <f>IF(P$2=$A23,P$3*AtomicWeights!$B$16/P$5,0)</f>
        <v>0</v>
      </c>
      <c r="Q23" s="14">
        <f>IF(Q$2=$A23,Q$3*AtomicWeights!$B$16/Q$5,0)</f>
        <v>0.89565370517720411</v>
      </c>
      <c r="R23" s="14">
        <f>IF(R$2=$A23,R$3*AtomicWeights!$B$16/R$5,0)</f>
        <v>0</v>
      </c>
      <c r="S23" s="14">
        <f>IF(S$2=$A23,S$3*AtomicWeights!$B$16/S$5,0)</f>
        <v>0</v>
      </c>
      <c r="T23" s="14">
        <f>IF(T$2=$A23,T$3*AtomicWeights!$B$16/T$5,0)</f>
        <v>0</v>
      </c>
      <c r="U23" s="14">
        <f>IF(U$2=$A23,U$3*AtomicWeights!$B$16/U$5,0)</f>
        <v>0</v>
      </c>
      <c r="V23" s="14">
        <f>IF(V$2=$A23,V$3*AtomicWeights!$B$16/V$5,0)</f>
        <v>0</v>
      </c>
      <c r="W23" s="14">
        <f>IF(W$2=$A23,W$3*AtomicWeights!$B$16/W$5,0)</f>
        <v>0</v>
      </c>
      <c r="X23" s="14">
        <f>IF(X$2=$A23,X$3*AtomicWeights!$B$16/X$5,0)</f>
        <v>0</v>
      </c>
      <c r="Y23" s="14">
        <f>IF(Y$2=$A23,Y$3*AtomicWeights!$B$16/Y$5,0)</f>
        <v>0</v>
      </c>
      <c r="Z23" s="14">
        <f>IF(Z$2=$A23,Z$3*AtomicWeights!$B$16/Z$5,0)</f>
        <v>0</v>
      </c>
      <c r="AA23" s="14">
        <f>IF(AA$2=$A23,AA$3*AtomicWeights!$B$16/AA$5,0)</f>
        <v>0</v>
      </c>
      <c r="AB23" s="14">
        <f>IF(AB$2=$A23,AB$3*AtomicWeights!$B$16/AB$5,0)</f>
        <v>0</v>
      </c>
      <c r="AC23" s="14">
        <f>IF(AC$2=$A23,AC$3*AtomicWeights!$B$16/AC$5,0)</f>
        <v>0</v>
      </c>
      <c r="AD23" s="14">
        <f>IF(AD$2=$A23,AD$3*AtomicWeights!$B$16/AD$5,0)</f>
        <v>0</v>
      </c>
      <c r="AE23" s="14">
        <f>IF(AE$2=$A23,AE$3*AtomicWeights!$B$16/AE$5,0)</f>
        <v>0</v>
      </c>
      <c r="AF23" s="14">
        <f>IF(AF$2=$A23,AF$3*AtomicWeights!$B$16/AF$5,0)</f>
        <v>0</v>
      </c>
      <c r="AG23" s="14">
        <f>IF(AG$2=$A23,AG$3*AtomicWeights!$B$16/AG$5,0)</f>
        <v>0</v>
      </c>
      <c r="AH23" s="14">
        <f>IF(AH$2=$A23,AH$3*AtomicWeights!$B$16/AH$5,0)</f>
        <v>0</v>
      </c>
      <c r="AI23" s="14">
        <f>IF(AI$2=$A23,AI$3*AtomicWeights!$B$16/AI$5,0)</f>
        <v>0</v>
      </c>
      <c r="AJ23" s="14">
        <f>IF(AJ$2=$A23,AJ$3*AtomicWeights!$B$16/AJ$5,0)</f>
        <v>0</v>
      </c>
      <c r="AK23" s="14">
        <f>IF(AK$2=$A23,AK$3*AtomicWeights!$B$16/AK$5,0)</f>
        <v>0</v>
      </c>
      <c r="AL23" s="14">
        <f>IF(AL$2=$A23,AL$3*AtomicWeights!$B$16/AL$5,0)</f>
        <v>0</v>
      </c>
      <c r="AM23" s="14">
        <f>IF(AM$2=$A23,AM$3*AtomicWeights!$B$16/AM$5,0)</f>
        <v>0</v>
      </c>
      <c r="AN23" s="14">
        <f>IF(AN$2=$A23,AN$3*AtomicWeights!$B$16/AN$5,0)</f>
        <v>0</v>
      </c>
      <c r="AO23" s="14">
        <f>IF(AO$2=$A23,AO$3*AtomicWeights!$B$16/AO$5,0)</f>
        <v>0</v>
      </c>
      <c r="AP23" s="14">
        <f>IF(AP$2=$A23,AP$3*AtomicWeights!$B$16/AP$5,0)</f>
        <v>0</v>
      </c>
      <c r="AQ23" s="14">
        <f>IF(AQ$2=$A23,AQ$3*AtomicWeights!$B$16/AQ$5,0)</f>
        <v>0</v>
      </c>
      <c r="AR23" s="14">
        <f>IF(AR$2=$A23,AR$3*AtomicWeights!$B$16/AR$5,0)</f>
        <v>0</v>
      </c>
      <c r="AS23" s="14">
        <f>IF(AS$2=$A23,AS$3*AtomicWeights!$B$16/AS$5,0)</f>
        <v>0</v>
      </c>
      <c r="AT23" s="14">
        <f>IF(AT$2=$A23,AT$3*AtomicWeights!$B$16/AT$5,0)</f>
        <v>0</v>
      </c>
      <c r="AU23" s="14">
        <f>IF(AU$2=$A23,AU$3*AtomicWeights!$B$16/AU$5,0)</f>
        <v>0</v>
      </c>
      <c r="AV23" s="14">
        <f>IF(AV$2=$A23,AV$3*AtomicWeights!$B$16/AV$5,0)</f>
        <v>0</v>
      </c>
      <c r="AW23" s="14">
        <f>IF(AW$2=$A23,AW$3*AtomicWeights!$B$16/AW$5,0)</f>
        <v>0</v>
      </c>
      <c r="AX23" s="14">
        <f>IF(AX$2=$A23,AX$3*AtomicWeights!$B$16/AX$5,0)</f>
        <v>0</v>
      </c>
      <c r="AY23" s="14">
        <f>IF(AY$2=$A23,AY$3*AtomicWeights!$B$16/AY$5,0)</f>
        <v>0</v>
      </c>
      <c r="AZ23" s="14">
        <f>IF(AZ$2=$A23,AZ$3*AtomicWeights!$B$16/AZ$5,0)</f>
        <v>0</v>
      </c>
      <c r="BA23" s="14">
        <f>IF(BA$2=$A23,BA$3*AtomicWeights!$B$16/BA$5,0)</f>
        <v>0</v>
      </c>
      <c r="BB23" s="14">
        <f>IF(BB$2=$A23,BB$3*AtomicWeights!$B$16/BB$5,0)</f>
        <v>0</v>
      </c>
    </row>
    <row r="24" spans="1:54" x14ac:dyDescent="0.35">
      <c r="A24" s="13" t="s">
        <v>35</v>
      </c>
      <c r="B24" t="str">
        <f>AtomicWeights!$C$17</f>
        <v>yes</v>
      </c>
      <c r="C24" s="14">
        <f>IF(C$2=$A24,C$3*AtomicWeights!$B$17/C$5,0)</f>
        <v>0</v>
      </c>
      <c r="D24" s="14">
        <f>IF(D$2=$A24,D$3*AtomicWeights!$B$17/D$5,0)</f>
        <v>0</v>
      </c>
      <c r="E24" s="14">
        <f>IF(E$2=$A24,E$3*AtomicWeights!$B$17/E$5,0)</f>
        <v>0</v>
      </c>
      <c r="F24" s="14">
        <f>IF(F$2=$A24,F$3*AtomicWeights!$B$17/F$5,0)</f>
        <v>0</v>
      </c>
      <c r="G24" s="14">
        <f>IF(G$2=$A24,G$3*AtomicWeights!$B$17/G$5,0)</f>
        <v>0</v>
      </c>
      <c r="H24" s="14">
        <f>IF(H$2=$A24,H$3*AtomicWeights!$B$17/H$5,0)</f>
        <v>0</v>
      </c>
      <c r="I24" s="14">
        <f>IF(I$2=$A24,I$3*AtomicWeights!$B$17/I$5,0)</f>
        <v>0</v>
      </c>
      <c r="J24" s="14">
        <f>IF(J$2=$A24,J$3*AtomicWeights!$B$17/J$5,0)</f>
        <v>0</v>
      </c>
      <c r="K24" s="14">
        <f>IF(K$2=$A24,K$3*AtomicWeights!$B$17/K$5,0)</f>
        <v>0</v>
      </c>
      <c r="L24" s="14">
        <f>IF(L$2=$A24,L$3*AtomicWeights!$B$17/L$5,0)</f>
        <v>0</v>
      </c>
      <c r="M24" s="14">
        <f>IF(M$2=$A24,M$3*AtomicWeights!$B$17/M$5,0)</f>
        <v>0</v>
      </c>
      <c r="N24" s="14">
        <f>IF(N$2=$A24,N$3*AtomicWeights!$B$17/N$5,0)</f>
        <v>0</v>
      </c>
      <c r="O24" s="14">
        <f>IF(O$2=$A24,O$3*AtomicWeights!$B$17/O$5,0)</f>
        <v>0</v>
      </c>
      <c r="P24" s="14">
        <f>IF(P$2=$A24,P$3*AtomicWeights!$B$17/P$5,0)</f>
        <v>0</v>
      </c>
      <c r="Q24" s="14">
        <f>IF(Q$2=$A24,Q$3*AtomicWeights!$B$17/Q$5,0)</f>
        <v>0</v>
      </c>
      <c r="R24" s="14">
        <f>IF(R$2=$A24,R$3*AtomicWeights!$B$17/R$5,0)</f>
        <v>0.92831957132424425</v>
      </c>
      <c r="S24" s="14">
        <f>IF(S$2=$A24,S$3*AtomicWeights!$B$17/S$5,0)</f>
        <v>0</v>
      </c>
      <c r="T24" s="14">
        <f>IF(T$2=$A24,T$3*AtomicWeights!$B$17/T$5,0)</f>
        <v>0</v>
      </c>
      <c r="U24" s="14">
        <f>IF(U$2=$A24,U$3*AtomicWeights!$B$17/U$5,0)</f>
        <v>0</v>
      </c>
      <c r="V24" s="14">
        <f>IF(V$2=$A24,V$3*AtomicWeights!$B$17/V$5,0)</f>
        <v>0</v>
      </c>
      <c r="W24" s="14">
        <f>IF(W$2=$A24,W$3*AtomicWeights!$B$17/W$5,0)</f>
        <v>0</v>
      </c>
      <c r="X24" s="14">
        <f>IF(X$2=$A24,X$3*AtomicWeights!$B$17/X$5,0)</f>
        <v>0</v>
      </c>
      <c r="Y24" s="14">
        <f>IF(Y$2=$A24,Y$3*AtomicWeights!$B$17/Y$5,0)</f>
        <v>0</v>
      </c>
      <c r="Z24" s="14">
        <f>IF(Z$2=$A24,Z$3*AtomicWeights!$B$17/Z$5,0)</f>
        <v>0</v>
      </c>
      <c r="AA24" s="14">
        <f>IF(AA$2=$A24,AA$3*AtomicWeights!$B$17/AA$5,0)</f>
        <v>0</v>
      </c>
      <c r="AB24" s="14">
        <f>IF(AB$2=$A24,AB$3*AtomicWeights!$B$17/AB$5,0)</f>
        <v>0</v>
      </c>
      <c r="AC24" s="14">
        <f>IF(AC$2=$A24,AC$3*AtomicWeights!$B$17/AC$5,0)</f>
        <v>0</v>
      </c>
      <c r="AD24" s="14">
        <f>IF(AD$2=$A24,AD$3*AtomicWeights!$B$17/AD$5,0)</f>
        <v>0</v>
      </c>
      <c r="AE24" s="14">
        <f>IF(AE$2=$A24,AE$3*AtomicWeights!$B$17/AE$5,0)</f>
        <v>0</v>
      </c>
      <c r="AF24" s="14">
        <f>IF(AF$2=$A24,AF$3*AtomicWeights!$B$17/AF$5,0)</f>
        <v>0</v>
      </c>
      <c r="AG24" s="14">
        <f>IF(AG$2=$A24,AG$3*AtomicWeights!$B$17/AG$5,0)</f>
        <v>0</v>
      </c>
      <c r="AH24" s="14">
        <f>IF(AH$2=$A24,AH$3*AtomicWeights!$B$17/AH$5,0)</f>
        <v>0</v>
      </c>
      <c r="AI24" s="14">
        <f>IF(AI$2=$A24,AI$3*AtomicWeights!$B$17/AI$5,0)</f>
        <v>0</v>
      </c>
      <c r="AJ24" s="14">
        <f>IF(AJ$2=$A24,AJ$3*AtomicWeights!$B$17/AJ$5,0)</f>
        <v>0</v>
      </c>
      <c r="AK24" s="14">
        <f>IF(AK$2=$A24,AK$3*AtomicWeights!$B$17/AK$5,0)</f>
        <v>0</v>
      </c>
      <c r="AL24" s="14">
        <f>IF(AL$2=$A24,AL$3*AtomicWeights!$B$17/AL$5,0)</f>
        <v>0</v>
      </c>
      <c r="AM24" s="14">
        <f>IF(AM$2=$A24,AM$3*AtomicWeights!$B$17/AM$5,0)</f>
        <v>0</v>
      </c>
      <c r="AN24" s="14">
        <f>IF(AN$2=$A24,AN$3*AtomicWeights!$B$17/AN$5,0)</f>
        <v>0</v>
      </c>
      <c r="AO24" s="14">
        <f>IF(AO$2=$A24,AO$3*AtomicWeights!$B$17/AO$5,0)</f>
        <v>0</v>
      </c>
      <c r="AP24" s="14">
        <f>IF(AP$2=$A24,AP$3*AtomicWeights!$B$17/AP$5,0)</f>
        <v>0</v>
      </c>
      <c r="AQ24" s="14">
        <f>IF(AQ$2=$A24,AQ$3*AtomicWeights!$B$17/AQ$5,0)</f>
        <v>0</v>
      </c>
      <c r="AR24" s="14">
        <f>IF(AR$2=$A24,AR$3*AtomicWeights!$B$17/AR$5,0)</f>
        <v>0</v>
      </c>
      <c r="AS24" s="14">
        <f>IF(AS$2=$A24,AS$3*AtomicWeights!$B$17/AS$5,0)</f>
        <v>0</v>
      </c>
      <c r="AT24" s="14">
        <f>IF(AT$2=$A24,AT$3*AtomicWeights!$B$17/AT$5,0)</f>
        <v>0</v>
      </c>
      <c r="AU24" s="14">
        <f>IF(AU$2=$A24,AU$3*AtomicWeights!$B$17/AU$5,0)</f>
        <v>0</v>
      </c>
      <c r="AV24" s="14">
        <f>IF(AV$2=$A24,AV$3*AtomicWeights!$B$17/AV$5,0)</f>
        <v>0</v>
      </c>
      <c r="AW24" s="14">
        <f>IF(AW$2=$A24,AW$3*AtomicWeights!$B$17/AW$5,0)</f>
        <v>0</v>
      </c>
      <c r="AX24" s="14">
        <f>IF(AX$2=$A24,AX$3*AtomicWeights!$B$17/AX$5,0)</f>
        <v>0</v>
      </c>
      <c r="AY24" s="14">
        <f>IF(AY$2=$A24,AY$3*AtomicWeights!$B$17/AY$5,0)</f>
        <v>0</v>
      </c>
      <c r="AZ24" s="14">
        <f>IF(AZ$2=$A24,AZ$3*AtomicWeights!$B$17/AZ$5,0)</f>
        <v>0</v>
      </c>
      <c r="BA24" s="14">
        <f>IF(BA$2=$A24,BA$3*AtomicWeights!$B$17/BA$5,0)</f>
        <v>0</v>
      </c>
      <c r="BB24" s="14">
        <f>IF(BB$2=$A24,BB$3*AtomicWeights!$B$17/BB$5,0)</f>
        <v>0</v>
      </c>
    </row>
    <row r="25" spans="1:54" x14ac:dyDescent="0.35">
      <c r="A25" s="13" t="s">
        <v>36</v>
      </c>
      <c r="B25" t="str">
        <f>AtomicWeights!$C$18</f>
        <v>yes</v>
      </c>
      <c r="C25" s="14">
        <f>IF(C$2=$A25,C$3*AtomicWeights!$B$18/C$5,0)</f>
        <v>0</v>
      </c>
      <c r="D25" s="14">
        <f>IF(D$2=$A25,D$3*AtomicWeights!$B$18/D$5,0)</f>
        <v>0</v>
      </c>
      <c r="E25" s="14">
        <f>IF(E$2=$A25,E$3*AtomicWeights!$B$18/E$5,0)</f>
        <v>0</v>
      </c>
      <c r="F25" s="14">
        <f>IF(F$2=$A25,F$3*AtomicWeights!$B$18/F$5,0)</f>
        <v>0</v>
      </c>
      <c r="G25" s="14">
        <f>IF(G$2=$A25,G$3*AtomicWeights!$B$18/G$5,0)</f>
        <v>0</v>
      </c>
      <c r="H25" s="14">
        <f>IF(H$2=$A25,H$3*AtomicWeights!$B$18/H$5,0)</f>
        <v>0</v>
      </c>
      <c r="I25" s="14">
        <f>IF(I$2=$A25,I$3*AtomicWeights!$B$18/I$5,0)</f>
        <v>0</v>
      </c>
      <c r="J25" s="14">
        <f>IF(J$2=$A25,J$3*AtomicWeights!$B$18/J$5,0)</f>
        <v>0</v>
      </c>
      <c r="K25" s="14">
        <f>IF(K$2=$A25,K$3*AtomicWeights!$B$18/K$5,0)</f>
        <v>0</v>
      </c>
      <c r="L25" s="14">
        <f>IF(L$2=$A25,L$3*AtomicWeights!$B$18/L$5,0)</f>
        <v>0</v>
      </c>
      <c r="M25" s="14">
        <f>IF(M$2=$A25,M$3*AtomicWeights!$B$18/M$5,0)</f>
        <v>0</v>
      </c>
      <c r="N25" s="14">
        <f>IF(N$2=$A25,N$3*AtomicWeights!$B$18/N$5,0)</f>
        <v>0</v>
      </c>
      <c r="O25" s="14">
        <f>IF(O$2=$A25,O$3*AtomicWeights!$B$18/O$5,0)</f>
        <v>0</v>
      </c>
      <c r="P25" s="14">
        <f>IF(P$2=$A25,P$3*AtomicWeights!$B$18/P$5,0)</f>
        <v>0</v>
      </c>
      <c r="Q25" s="14">
        <f>IF(Q$2=$A25,Q$3*AtomicWeights!$B$18/Q$5,0)</f>
        <v>0</v>
      </c>
      <c r="R25" s="14">
        <f>IF(R$2=$A25,R$3*AtomicWeights!$B$18/R$5,0)</f>
        <v>0</v>
      </c>
      <c r="S25" s="14">
        <f>IF(S$2=$A25,S$3*AtomicWeights!$B$18/S$5,0)</f>
        <v>0.74186225794092031</v>
      </c>
      <c r="T25" s="14">
        <f>IF(T$2=$A25,T$3*AtomicWeights!$B$18/T$5,0)</f>
        <v>0</v>
      </c>
      <c r="U25" s="14">
        <f>IF(U$2=$A25,U$3*AtomicWeights!$B$18/U$5,0)</f>
        <v>0</v>
      </c>
      <c r="V25" s="14">
        <f>IF(V$2=$A25,V$3*AtomicWeights!$B$18/V$5,0)</f>
        <v>0</v>
      </c>
      <c r="W25" s="14">
        <f>IF(W$2=$A25,W$3*AtomicWeights!$B$18/W$5,0)</f>
        <v>0</v>
      </c>
      <c r="X25" s="14">
        <f>IF(X$2=$A25,X$3*AtomicWeights!$B$18/X$5,0)</f>
        <v>0</v>
      </c>
      <c r="Y25" s="14">
        <f>IF(Y$2=$A25,Y$3*AtomicWeights!$B$18/Y$5,0)</f>
        <v>0</v>
      </c>
      <c r="Z25" s="14">
        <f>IF(Z$2=$A25,Z$3*AtomicWeights!$B$18/Z$5,0)</f>
        <v>0</v>
      </c>
      <c r="AA25" s="14">
        <f>IF(AA$2=$A25,AA$3*AtomicWeights!$B$18/AA$5,0)</f>
        <v>0</v>
      </c>
      <c r="AB25" s="14">
        <f>IF(AB$2=$A25,AB$3*AtomicWeights!$B$18/AB$5,0)</f>
        <v>0</v>
      </c>
      <c r="AC25" s="14">
        <f>IF(AC$2=$A25,AC$3*AtomicWeights!$B$18/AC$5,0)</f>
        <v>0</v>
      </c>
      <c r="AD25" s="14">
        <f>IF(AD$2=$A25,AD$3*AtomicWeights!$B$18/AD$5,0)</f>
        <v>0</v>
      </c>
      <c r="AE25" s="14">
        <f>IF(AE$2=$A25,AE$3*AtomicWeights!$B$18/AE$5,0)</f>
        <v>0</v>
      </c>
      <c r="AF25" s="14">
        <f>IF(AF$2=$A25,AF$3*AtomicWeights!$B$18/AF$5,0)</f>
        <v>0</v>
      </c>
      <c r="AG25" s="14">
        <f>IF(AG$2=$A25,AG$3*AtomicWeights!$B$18/AG$5,0)</f>
        <v>0</v>
      </c>
      <c r="AH25" s="14">
        <f>IF(AH$2=$A25,AH$3*AtomicWeights!$B$18/AH$5,0)</f>
        <v>0</v>
      </c>
      <c r="AI25" s="14">
        <f>IF(AI$2=$A25,AI$3*AtomicWeights!$B$18/AI$5,0)</f>
        <v>0</v>
      </c>
      <c r="AJ25" s="14">
        <f>IF(AJ$2=$A25,AJ$3*AtomicWeights!$B$18/AJ$5,0)</f>
        <v>0</v>
      </c>
      <c r="AK25" s="14">
        <f>IF(AK$2=$A25,AK$3*AtomicWeights!$B$18/AK$5,0)</f>
        <v>0</v>
      </c>
      <c r="AL25" s="14">
        <f>IF(AL$2=$A25,AL$3*AtomicWeights!$B$18/AL$5,0)</f>
        <v>0</v>
      </c>
      <c r="AM25" s="14">
        <f>IF(AM$2=$A25,AM$3*AtomicWeights!$B$18/AM$5,0)</f>
        <v>0</v>
      </c>
      <c r="AN25" s="14">
        <f>IF(AN$2=$A25,AN$3*AtomicWeights!$B$18/AN$5,0)</f>
        <v>0</v>
      </c>
      <c r="AO25" s="14">
        <f>IF(AO$2=$A25,AO$3*AtomicWeights!$B$18/AO$5,0)</f>
        <v>0</v>
      </c>
      <c r="AP25" s="14">
        <f>IF(AP$2=$A25,AP$3*AtomicWeights!$B$18/AP$5,0)</f>
        <v>0</v>
      </c>
      <c r="AQ25" s="14">
        <f>IF(AQ$2=$A25,AQ$3*AtomicWeights!$B$18/AQ$5,0)</f>
        <v>0</v>
      </c>
      <c r="AR25" s="14">
        <f>IF(AR$2=$A25,AR$3*AtomicWeights!$B$18/AR$5,0)</f>
        <v>0</v>
      </c>
      <c r="AS25" s="14">
        <f>IF(AS$2=$A25,AS$3*AtomicWeights!$B$18/AS$5,0)</f>
        <v>0</v>
      </c>
      <c r="AT25" s="14">
        <f>IF(AT$2=$A25,AT$3*AtomicWeights!$B$18/AT$5,0)</f>
        <v>0</v>
      </c>
      <c r="AU25" s="14">
        <f>IF(AU$2=$A25,AU$3*AtomicWeights!$B$18/AU$5,0)</f>
        <v>0</v>
      </c>
      <c r="AV25" s="14">
        <f>IF(AV$2=$A25,AV$3*AtomicWeights!$B$18/AV$5,0)</f>
        <v>0</v>
      </c>
      <c r="AW25" s="14">
        <f>IF(AW$2=$A25,AW$3*AtomicWeights!$B$18/AW$5,0)</f>
        <v>0</v>
      </c>
      <c r="AX25" s="14">
        <f>IF(AX$2=$A25,AX$3*AtomicWeights!$B$18/AX$5,0)</f>
        <v>0</v>
      </c>
      <c r="AY25" s="14">
        <f>IF(AY$2=$A25,AY$3*AtomicWeights!$B$18/AY$5,0)</f>
        <v>0</v>
      </c>
      <c r="AZ25" s="14">
        <f>IF(AZ$2=$A25,AZ$3*AtomicWeights!$B$18/AZ$5,0)</f>
        <v>0</v>
      </c>
      <c r="BA25" s="14">
        <f>IF(BA$2=$A25,BA$3*AtomicWeights!$B$18/BA$5,0)</f>
        <v>0</v>
      </c>
      <c r="BB25" s="14">
        <f>IF(BB$2=$A25,BB$3*AtomicWeights!$B$18/BB$5,0)</f>
        <v>0</v>
      </c>
    </row>
    <row r="26" spans="1:54" x14ac:dyDescent="0.35">
      <c r="A26" s="13" t="s">
        <v>37</v>
      </c>
      <c r="B26" t="str">
        <f>AtomicWeights!$C$19</f>
        <v>yes</v>
      </c>
      <c r="C26" s="14">
        <f>IF(C$2=$A26,C$3*AtomicWeights!$B$19/C$5,0)</f>
        <v>0</v>
      </c>
      <c r="D26" s="14">
        <f>IF(D$2=$A26,D$3*AtomicWeights!$B$19/D$5,0)</f>
        <v>0</v>
      </c>
      <c r="E26" s="14">
        <f>IF(E$2=$A26,E$3*AtomicWeights!$B$19/E$5,0)</f>
        <v>0</v>
      </c>
      <c r="F26" s="14">
        <f>IF(F$2=$A26,F$3*AtomicWeights!$B$19/F$5,0)</f>
        <v>0</v>
      </c>
      <c r="G26" s="14">
        <f>IF(G$2=$A26,G$3*AtomicWeights!$B$19/G$5,0)</f>
        <v>0</v>
      </c>
      <c r="H26" s="14">
        <f>IF(H$2=$A26,H$3*AtomicWeights!$B$19/H$5,0)</f>
        <v>0</v>
      </c>
      <c r="I26" s="14">
        <f>IF(I$2=$A26,I$3*AtomicWeights!$B$19/I$5,0)</f>
        <v>0</v>
      </c>
      <c r="J26" s="14">
        <f>IF(J$2=$A26,J$3*AtomicWeights!$B$19/J$5,0)</f>
        <v>0</v>
      </c>
      <c r="K26" s="14">
        <f>IF(K$2=$A26,K$3*AtomicWeights!$B$19/K$5,0)</f>
        <v>0</v>
      </c>
      <c r="L26" s="14">
        <f>IF(L$2=$A26,L$3*AtomicWeights!$B$19/L$5,0)</f>
        <v>0</v>
      </c>
      <c r="M26" s="14">
        <f>IF(M$2=$A26,M$3*AtomicWeights!$B$19/M$5,0)</f>
        <v>0</v>
      </c>
      <c r="N26" s="14">
        <f>IF(N$2=$A26,N$3*AtomicWeights!$B$19/N$5,0)</f>
        <v>0</v>
      </c>
      <c r="O26" s="14">
        <f>IF(O$2=$A26,O$3*AtomicWeights!$B$19/O$5,0)</f>
        <v>0</v>
      </c>
      <c r="P26" s="14">
        <f>IF(P$2=$A26,P$3*AtomicWeights!$B$19/P$5,0)</f>
        <v>0</v>
      </c>
      <c r="Q26" s="14">
        <f>IF(Q$2=$A26,Q$3*AtomicWeights!$B$19/Q$5,0)</f>
        <v>0</v>
      </c>
      <c r="R26" s="14">
        <f>IF(R$2=$A26,R$3*AtomicWeights!$B$19/R$5,0)</f>
        <v>0</v>
      </c>
      <c r="S26" s="14">
        <f>IF(S$2=$A26,S$3*AtomicWeights!$B$19/S$5,0)</f>
        <v>0</v>
      </c>
      <c r="T26" s="14">
        <f>IF(T$2=$A26,T$3*AtomicWeights!$B$19/T$5,0)</f>
        <v>0.83015130218396616</v>
      </c>
      <c r="U26" s="14">
        <f>IF(U$2=$A26,U$3*AtomicWeights!$B$19/U$5,0)</f>
        <v>0</v>
      </c>
      <c r="V26" s="14">
        <f>IF(V$2=$A26,V$3*AtomicWeights!$B$19/V$5,0)</f>
        <v>0</v>
      </c>
      <c r="W26" s="14">
        <f>IF(W$2=$A26,W$3*AtomicWeights!$B$19/W$5,0)</f>
        <v>0</v>
      </c>
      <c r="X26" s="14">
        <f>IF(X$2=$A26,X$3*AtomicWeights!$B$19/X$5,0)</f>
        <v>0</v>
      </c>
      <c r="Y26" s="14">
        <f>IF(Y$2=$A26,Y$3*AtomicWeights!$B$19/Y$5,0)</f>
        <v>0</v>
      </c>
      <c r="Z26" s="14">
        <f>IF(Z$2=$A26,Z$3*AtomicWeights!$B$19/Z$5,0)</f>
        <v>0</v>
      </c>
      <c r="AA26" s="14">
        <f>IF(AA$2=$A26,AA$3*AtomicWeights!$B$19/AA$5,0)</f>
        <v>0</v>
      </c>
      <c r="AB26" s="14">
        <f>IF(AB$2=$A26,AB$3*AtomicWeights!$B$19/AB$5,0)</f>
        <v>0</v>
      </c>
      <c r="AC26" s="14">
        <f>IF(AC$2=$A26,AC$3*AtomicWeights!$B$19/AC$5,0)</f>
        <v>0</v>
      </c>
      <c r="AD26" s="14">
        <f>IF(AD$2=$A26,AD$3*AtomicWeights!$B$19/AD$5,0)</f>
        <v>0</v>
      </c>
      <c r="AE26" s="14">
        <f>IF(AE$2=$A26,AE$3*AtomicWeights!$B$19/AE$5,0)</f>
        <v>0</v>
      </c>
      <c r="AF26" s="14">
        <f>IF(AF$2=$A26,AF$3*AtomicWeights!$B$19/AF$5,0)</f>
        <v>0</v>
      </c>
      <c r="AG26" s="14">
        <f>IF(AG$2=$A26,AG$3*AtomicWeights!$B$19/AG$5,0)</f>
        <v>0</v>
      </c>
      <c r="AH26" s="14">
        <f>IF(AH$2=$A26,AH$3*AtomicWeights!$B$19/AH$5,0)</f>
        <v>0</v>
      </c>
      <c r="AI26" s="14">
        <f>IF(AI$2=$A26,AI$3*AtomicWeights!$B$19/AI$5,0)</f>
        <v>0</v>
      </c>
      <c r="AJ26" s="14">
        <f>IF(AJ$2=$A26,AJ$3*AtomicWeights!$B$19/AJ$5,0)</f>
        <v>0</v>
      </c>
      <c r="AK26" s="14">
        <f>IF(AK$2=$A26,AK$3*AtomicWeights!$B$19/AK$5,0)</f>
        <v>0</v>
      </c>
      <c r="AL26" s="14">
        <f>IF(AL$2=$A26,AL$3*AtomicWeights!$B$19/AL$5,0)</f>
        <v>0</v>
      </c>
      <c r="AM26" s="14">
        <f>IF(AM$2=$A26,AM$3*AtomicWeights!$B$19/AM$5,0)</f>
        <v>0</v>
      </c>
      <c r="AN26" s="14">
        <f>IF(AN$2=$A26,AN$3*AtomicWeights!$B$19/AN$5,0)</f>
        <v>0</v>
      </c>
      <c r="AO26" s="14">
        <f>IF(AO$2=$A26,AO$3*AtomicWeights!$B$19/AO$5,0)</f>
        <v>0</v>
      </c>
      <c r="AP26" s="14">
        <f>IF(AP$2=$A26,AP$3*AtomicWeights!$B$19/AP$5,0)</f>
        <v>0</v>
      </c>
      <c r="AQ26" s="14">
        <f>IF(AQ$2=$A26,AQ$3*AtomicWeights!$B$19/AQ$5,0)</f>
        <v>0</v>
      </c>
      <c r="AR26" s="14">
        <f>IF(AR$2=$A26,AR$3*AtomicWeights!$B$19/AR$5,0)</f>
        <v>0</v>
      </c>
      <c r="AS26" s="14">
        <f>IF(AS$2=$A26,AS$3*AtomicWeights!$B$19/AS$5,0)</f>
        <v>0</v>
      </c>
      <c r="AT26" s="14">
        <f>IF(AT$2=$A26,AT$3*AtomicWeights!$B$19/AT$5,0)</f>
        <v>0</v>
      </c>
      <c r="AU26" s="14">
        <f>IF(AU$2=$A26,AU$3*AtomicWeights!$B$19/AU$5,0)</f>
        <v>0</v>
      </c>
      <c r="AV26" s="14">
        <f>IF(AV$2=$A26,AV$3*AtomicWeights!$B$19/AV$5,0)</f>
        <v>0</v>
      </c>
      <c r="AW26" s="14">
        <f>IF(AW$2=$A26,AW$3*AtomicWeights!$B$19/AW$5,0)</f>
        <v>0</v>
      </c>
      <c r="AX26" s="14">
        <f>IF(AX$2=$A26,AX$3*AtomicWeights!$B$19/AX$5,0)</f>
        <v>0</v>
      </c>
      <c r="AY26" s="14">
        <f>IF(AY$2=$A26,AY$3*AtomicWeights!$B$19/AY$5,0)</f>
        <v>0</v>
      </c>
      <c r="AZ26" s="14">
        <f>IF(AZ$2=$A26,AZ$3*AtomicWeights!$B$19/AZ$5,0)</f>
        <v>0</v>
      </c>
      <c r="BA26" s="14">
        <f>IF(BA$2=$A26,BA$3*AtomicWeights!$B$19/BA$5,0)</f>
        <v>0</v>
      </c>
      <c r="BB26" s="14">
        <f>IF(BB$2=$A26,BB$3*AtomicWeights!$B$19/BB$5,0)</f>
        <v>0</v>
      </c>
    </row>
    <row r="27" spans="1:54" x14ac:dyDescent="0.35">
      <c r="A27" s="13" t="s">
        <v>428</v>
      </c>
      <c r="B27" t="str">
        <f>AtomicWeights!$C$20</f>
        <v>unverified</v>
      </c>
      <c r="C27" s="14">
        <f>IF(C$2=$A27,C$3*AtomicWeights!$B$20/C$5,0)</f>
        <v>0</v>
      </c>
      <c r="D27" s="14">
        <f>IF(D$2=$A27,D$3*AtomicWeights!$B$20/D$5,0)</f>
        <v>0</v>
      </c>
      <c r="E27" s="14">
        <f>IF(E$2=$A27,E$3*AtomicWeights!$B$20/E$5,0)</f>
        <v>0</v>
      </c>
      <c r="F27" s="14">
        <f>IF(F$2=$A27,F$3*AtomicWeights!$B$20/F$5,0)</f>
        <v>0</v>
      </c>
      <c r="G27" s="14">
        <f>IF(G$2=$A27,G$3*AtomicWeights!$B$20/G$5,0)</f>
        <v>0</v>
      </c>
      <c r="H27" s="14">
        <f>IF(H$2=$A27,H$3*AtomicWeights!$B$20/H$5,0)</f>
        <v>0</v>
      </c>
      <c r="I27" s="14">
        <f>IF(I$2=$A27,I$3*AtomicWeights!$B$20/I$5,0)</f>
        <v>0</v>
      </c>
      <c r="J27" s="14">
        <f>IF(J$2=$A27,J$3*AtomicWeights!$B$20/J$5,0)</f>
        <v>0</v>
      </c>
      <c r="K27" s="14">
        <f>IF(K$2=$A27,K$3*AtomicWeights!$B$20/K$5,0)</f>
        <v>0</v>
      </c>
      <c r="L27" s="14">
        <f>IF(L$2=$A27,L$3*AtomicWeights!$B$20/L$5,0)</f>
        <v>0</v>
      </c>
      <c r="M27" s="14">
        <f>IF(M$2=$A27,M$3*AtomicWeights!$B$20/M$5,0)</f>
        <v>0</v>
      </c>
      <c r="N27" s="14">
        <f>IF(N$2=$A27,N$3*AtomicWeights!$B$20/N$5,0)</f>
        <v>0</v>
      </c>
      <c r="O27" s="14">
        <f>IF(O$2=$A27,O$3*AtomicWeights!$B$20/O$5,0)</f>
        <v>0</v>
      </c>
      <c r="P27" s="14">
        <f>IF(P$2=$A27,P$3*AtomicWeights!$B$20/P$5,0)</f>
        <v>0</v>
      </c>
      <c r="Q27" s="14">
        <f>IF(Q$2=$A27,Q$3*AtomicWeights!$B$20/Q$5,0)</f>
        <v>0</v>
      </c>
      <c r="R27" s="14">
        <f>IF(R$2=$A27,R$3*AtomicWeights!$B$20/R$5,0)</f>
        <v>0</v>
      </c>
      <c r="S27" s="14">
        <f>IF(S$2=$A27,S$3*AtomicWeights!$B$20/S$5,0)</f>
        <v>0</v>
      </c>
      <c r="T27" s="14">
        <f>IF(T$2=$A27,T$3*AtomicWeights!$B$20/T$5,0)</f>
        <v>0</v>
      </c>
      <c r="U27" s="14">
        <f>IF(U$2=$A27,U$3*AtomicWeights!$B$20/U$5,0)</f>
        <v>0.46454031259412965</v>
      </c>
      <c r="V27" s="14">
        <f>IF(V$2=$A27,V$3*AtomicWeights!$B$20/V$5,0)</f>
        <v>0</v>
      </c>
      <c r="W27" s="14">
        <f>IF(W$2=$A27,W$3*AtomicWeights!$B$20/W$5,0)</f>
        <v>0</v>
      </c>
      <c r="X27" s="14">
        <f>IF(X$2=$A27,X$3*AtomicWeights!$B$20/X$5,0)</f>
        <v>0</v>
      </c>
      <c r="Y27" s="14">
        <f>IF(Y$2=$A27,Y$3*AtomicWeights!$B$20/Y$5,0)</f>
        <v>0</v>
      </c>
      <c r="Z27" s="14">
        <f>IF(Z$2=$A27,Z$3*AtomicWeights!$B$20/Z$5,0)</f>
        <v>0</v>
      </c>
      <c r="AA27" s="14">
        <f>IF(AA$2=$A27,AA$3*AtomicWeights!$B$20/AA$5,0)</f>
        <v>0</v>
      </c>
      <c r="AB27" s="14">
        <f>IF(AB$2=$A27,AB$3*AtomicWeights!$B$20/AB$5,0)</f>
        <v>0</v>
      </c>
      <c r="AC27" s="14">
        <f>IF(AC$2=$A27,AC$3*AtomicWeights!$B$20/AC$5,0)</f>
        <v>0</v>
      </c>
      <c r="AD27" s="14">
        <f>IF(AD$2=$A27,AD$3*AtomicWeights!$B$20/AD$5,0)</f>
        <v>0</v>
      </c>
      <c r="AE27" s="14">
        <f>IF(AE$2=$A27,AE$3*AtomicWeights!$B$20/AE$5,0)</f>
        <v>0</v>
      </c>
      <c r="AF27" s="14">
        <f>IF(AF$2=$A27,AF$3*AtomicWeights!$B$20/AF$5,0)</f>
        <v>0</v>
      </c>
      <c r="AG27" s="14">
        <f>IF(AG$2=$A27,AG$3*AtomicWeights!$B$20/AG$5,0)</f>
        <v>0</v>
      </c>
      <c r="AH27" s="14">
        <f>IF(AH$2=$A27,AH$3*AtomicWeights!$B$20/AH$5,0)</f>
        <v>0</v>
      </c>
      <c r="AI27" s="14">
        <f>IF(AI$2=$A27,AI$3*AtomicWeights!$B$20/AI$5,0)</f>
        <v>0</v>
      </c>
      <c r="AJ27" s="14">
        <f>IF(AJ$2=$A27,AJ$3*AtomicWeights!$B$20/AJ$5,0)</f>
        <v>0</v>
      </c>
      <c r="AK27" s="14">
        <f>IF(AK$2=$A27,AK$3*AtomicWeights!$B$20/AK$5,0)</f>
        <v>0</v>
      </c>
      <c r="AL27" s="14">
        <f>IF(AL$2=$A27,AL$3*AtomicWeights!$B$20/AL$5,0)</f>
        <v>0</v>
      </c>
      <c r="AM27" s="14">
        <f>IF(AM$2=$A27,AM$3*AtomicWeights!$B$20/AM$5,0)</f>
        <v>0</v>
      </c>
      <c r="AN27" s="14">
        <f>IF(AN$2=$A27,AN$3*AtomicWeights!$B$20/AN$5,0)</f>
        <v>0</v>
      </c>
      <c r="AO27" s="14">
        <f>IF(AO$2=$A27,AO$3*AtomicWeights!$B$20/AO$5,0)</f>
        <v>0</v>
      </c>
      <c r="AP27" s="14">
        <f>IF(AP$2=$A27,AP$3*AtomicWeights!$B$20/AP$5,0)</f>
        <v>0</v>
      </c>
      <c r="AQ27" s="14">
        <f>IF(AQ$2=$A27,AQ$3*AtomicWeights!$B$20/AQ$5,0)</f>
        <v>0</v>
      </c>
      <c r="AR27" s="14">
        <f>IF(AR$2=$A27,AR$3*AtomicWeights!$B$20/AR$5,0)</f>
        <v>0</v>
      </c>
      <c r="AS27" s="14">
        <f>IF(AS$2=$A27,AS$3*AtomicWeights!$B$20/AS$5,0)</f>
        <v>0</v>
      </c>
      <c r="AT27" s="14">
        <f>IF(AT$2=$A27,AT$3*AtomicWeights!$B$20/AT$5,0)</f>
        <v>0</v>
      </c>
      <c r="AU27" s="14">
        <f>IF(AU$2=$A27,AU$3*AtomicWeights!$B$20/AU$5,0)</f>
        <v>0</v>
      </c>
      <c r="AV27" s="14">
        <f>IF(AV$2=$A27,AV$3*AtomicWeights!$B$20/AV$5,0)</f>
        <v>0</v>
      </c>
      <c r="AW27" s="14">
        <f>IF(AW$2=$A27,AW$3*AtomicWeights!$B$20/AW$5,0)</f>
        <v>0</v>
      </c>
      <c r="AX27" s="14">
        <f>IF(AX$2=$A27,AX$3*AtomicWeights!$B$20/AX$5,0)</f>
        <v>0</v>
      </c>
      <c r="AY27" s="14">
        <f>IF(AY$2=$A27,AY$3*AtomicWeights!$B$20/AY$5,0)</f>
        <v>0</v>
      </c>
      <c r="AZ27" s="14">
        <f>IF(AZ$2=$A27,AZ$3*AtomicWeights!$B$20/AZ$5,0)</f>
        <v>0</v>
      </c>
      <c r="BA27" s="14">
        <f>IF(BA$2=$A27,BA$3*AtomicWeights!$B$20/BA$5,0)</f>
        <v>0</v>
      </c>
      <c r="BB27" s="14">
        <f>IF(BB$2=$A27,BB$3*AtomicWeights!$B$20/BB$5,0)</f>
        <v>0</v>
      </c>
    </row>
    <row r="28" spans="1:54" x14ac:dyDescent="0.35">
      <c r="A28" s="13" t="s">
        <v>429</v>
      </c>
      <c r="B28" t="str">
        <f>AtomicWeights!$C$21</f>
        <v>unverified</v>
      </c>
      <c r="C28" s="14">
        <f>IF(C$2=$A28,C$3*AtomicWeights!$B$21/C$5,0)</f>
        <v>0</v>
      </c>
      <c r="D28" s="14">
        <f>IF(D$2=$A28,D$3*AtomicWeights!$B$21/D$5,0)</f>
        <v>0</v>
      </c>
      <c r="E28" s="14">
        <f>IF(E$2=$A28,E$3*AtomicWeights!$B$21/E$5,0)</f>
        <v>0</v>
      </c>
      <c r="F28" s="14">
        <f>IF(F$2=$A28,F$3*AtomicWeights!$B$21/F$5,0)</f>
        <v>0</v>
      </c>
      <c r="G28" s="14">
        <f>IF(G$2=$A28,G$3*AtomicWeights!$B$21/G$5,0)</f>
        <v>0</v>
      </c>
      <c r="H28" s="14">
        <f>IF(H$2=$A28,H$3*AtomicWeights!$B$21/H$5,0)</f>
        <v>0</v>
      </c>
      <c r="I28" s="14">
        <f>IF(I$2=$A28,I$3*AtomicWeights!$B$21/I$5,0)</f>
        <v>0</v>
      </c>
      <c r="J28" s="14">
        <f>IF(J$2=$A28,J$3*AtomicWeights!$B$21/J$5,0)</f>
        <v>0</v>
      </c>
      <c r="K28" s="14">
        <f>IF(K$2=$A28,K$3*AtomicWeights!$B$21/K$5,0)</f>
        <v>0</v>
      </c>
      <c r="L28" s="14">
        <f>IF(L$2=$A28,L$3*AtomicWeights!$B$21/L$5,0)</f>
        <v>0</v>
      </c>
      <c r="M28" s="14">
        <f>IF(M$2=$A28,M$3*AtomicWeights!$B$21/M$5,0)</f>
        <v>0</v>
      </c>
      <c r="N28" s="14">
        <f>IF(N$2=$A28,N$3*AtomicWeights!$B$21/N$5,0)</f>
        <v>0</v>
      </c>
      <c r="O28" s="14">
        <f>IF(O$2=$A28,O$3*AtomicWeights!$B$21/O$5,0)</f>
        <v>0</v>
      </c>
      <c r="P28" s="14">
        <f>IF(P$2=$A28,P$3*AtomicWeights!$B$21/P$5,0)</f>
        <v>0</v>
      </c>
      <c r="Q28" s="14">
        <f>IF(Q$2=$A28,Q$3*AtomicWeights!$B$21/Q$5,0)</f>
        <v>0</v>
      </c>
      <c r="R28" s="14">
        <f>IF(R$2=$A28,R$3*AtomicWeights!$B$21/R$5,0)</f>
        <v>0</v>
      </c>
      <c r="S28" s="14">
        <f>IF(S$2=$A28,S$3*AtomicWeights!$B$21/S$5,0)</f>
        <v>0</v>
      </c>
      <c r="T28" s="14">
        <f>IF(T$2=$A28,T$3*AtomicWeights!$B$21/T$5,0)</f>
        <v>0</v>
      </c>
      <c r="U28" s="14">
        <f>IF(U$2=$A28,U$3*AtomicWeights!$B$21/U$5,0)</f>
        <v>0</v>
      </c>
      <c r="V28" s="14">
        <f>IF(V$2=$A28,V$3*AtomicWeights!$B$21/V$5,0)</f>
        <v>0.31055632963213009</v>
      </c>
      <c r="W28" s="14">
        <f>IF(W$2=$A28,W$3*AtomicWeights!$B$21/W$5,0)</f>
        <v>0</v>
      </c>
      <c r="X28" s="14">
        <f>IF(X$2=$A28,X$3*AtomicWeights!$B$21/X$5,0)</f>
        <v>0</v>
      </c>
      <c r="Y28" s="14">
        <f>IF(Y$2=$A28,Y$3*AtomicWeights!$B$21/Y$5,0)</f>
        <v>0</v>
      </c>
      <c r="Z28" s="14">
        <f>IF(Z$2=$A28,Z$3*AtomicWeights!$B$21/Z$5,0)</f>
        <v>0</v>
      </c>
      <c r="AA28" s="14">
        <f>IF(AA$2=$A28,AA$3*AtomicWeights!$B$21/AA$5,0)</f>
        <v>0</v>
      </c>
      <c r="AB28" s="14">
        <f>IF(AB$2=$A28,AB$3*AtomicWeights!$B$21/AB$5,0)</f>
        <v>0</v>
      </c>
      <c r="AC28" s="14">
        <f>IF(AC$2=$A28,AC$3*AtomicWeights!$B$21/AC$5,0)</f>
        <v>0</v>
      </c>
      <c r="AD28" s="14">
        <f>IF(AD$2=$A28,AD$3*AtomicWeights!$B$21/AD$5,0)</f>
        <v>0</v>
      </c>
      <c r="AE28" s="14">
        <f>IF(AE$2=$A28,AE$3*AtomicWeights!$B$21/AE$5,0)</f>
        <v>0</v>
      </c>
      <c r="AF28" s="14">
        <f>IF(AF$2=$A28,AF$3*AtomicWeights!$B$21/AF$5,0)</f>
        <v>0</v>
      </c>
      <c r="AG28" s="14">
        <f>IF(AG$2=$A28,AG$3*AtomicWeights!$B$21/AG$5,0)</f>
        <v>0</v>
      </c>
      <c r="AH28" s="14">
        <f>IF(AH$2=$A28,AH$3*AtomicWeights!$B$21/AH$5,0)</f>
        <v>0</v>
      </c>
      <c r="AI28" s="14">
        <f>IF(AI$2=$A28,AI$3*AtomicWeights!$B$21/AI$5,0)</f>
        <v>0</v>
      </c>
      <c r="AJ28" s="14">
        <f>IF(AJ$2=$A28,AJ$3*AtomicWeights!$B$21/AJ$5,0)</f>
        <v>0</v>
      </c>
      <c r="AK28" s="14">
        <f>IF(AK$2=$A28,AK$3*AtomicWeights!$B$21/AK$5,0)</f>
        <v>0</v>
      </c>
      <c r="AL28" s="14">
        <f>IF(AL$2=$A28,AL$3*AtomicWeights!$B$21/AL$5,0)</f>
        <v>0</v>
      </c>
      <c r="AM28" s="14">
        <f>IF(AM$2=$A28,AM$3*AtomicWeights!$B$21/AM$5,0)</f>
        <v>0</v>
      </c>
      <c r="AN28" s="14">
        <f>IF(AN$2=$A28,AN$3*AtomicWeights!$B$21/AN$5,0)</f>
        <v>0</v>
      </c>
      <c r="AO28" s="14">
        <f>IF(AO$2=$A28,AO$3*AtomicWeights!$B$21/AO$5,0)</f>
        <v>0</v>
      </c>
      <c r="AP28" s="14">
        <f>IF(AP$2=$A28,AP$3*AtomicWeights!$B$21/AP$5,0)</f>
        <v>0</v>
      </c>
      <c r="AQ28" s="14">
        <f>IF(AQ$2=$A28,AQ$3*AtomicWeights!$B$21/AQ$5,0)</f>
        <v>0</v>
      </c>
      <c r="AR28" s="14">
        <f>IF(AR$2=$A28,AR$3*AtomicWeights!$B$21/AR$5,0)</f>
        <v>0</v>
      </c>
      <c r="AS28" s="14">
        <f>IF(AS$2=$A28,AS$3*AtomicWeights!$B$21/AS$5,0)</f>
        <v>0</v>
      </c>
      <c r="AT28" s="14">
        <f>IF(AT$2=$A28,AT$3*AtomicWeights!$B$21/AT$5,0)</f>
        <v>0</v>
      </c>
      <c r="AU28" s="14">
        <f>IF(AU$2=$A28,AU$3*AtomicWeights!$B$21/AU$5,0)</f>
        <v>0</v>
      </c>
      <c r="AV28" s="14">
        <f>IF(AV$2=$A28,AV$3*AtomicWeights!$B$21/AV$5,0)</f>
        <v>0</v>
      </c>
      <c r="AW28" s="14">
        <f>IF(AW$2=$A28,AW$3*AtomicWeights!$B$21/AW$5,0)</f>
        <v>0</v>
      </c>
      <c r="AX28" s="14">
        <f>IF(AX$2=$A28,AX$3*AtomicWeights!$B$21/AX$5,0)</f>
        <v>0</v>
      </c>
      <c r="AY28" s="14">
        <f>IF(AY$2=$A28,AY$3*AtomicWeights!$B$21/AY$5,0)</f>
        <v>0</v>
      </c>
      <c r="AZ28" s="14">
        <f>IF(AZ$2=$A28,AZ$3*AtomicWeights!$B$21/AZ$5,0)</f>
        <v>0</v>
      </c>
      <c r="BA28" s="14">
        <f>IF(BA$2=$A28,BA$3*AtomicWeights!$B$21/BA$5,0)</f>
        <v>0</v>
      </c>
      <c r="BB28" s="14">
        <f>IF(BB$2=$A28,BB$3*AtomicWeights!$B$21/BB$5,0)</f>
        <v>0</v>
      </c>
    </row>
    <row r="29" spans="1:54" x14ac:dyDescent="0.35">
      <c r="A29" s="13" t="s">
        <v>38</v>
      </c>
      <c r="B29" t="str">
        <f>AtomicWeights!$C$22</f>
        <v>yes</v>
      </c>
      <c r="C29" s="14">
        <f>IF(C$2=$A29,C$3*AtomicWeights!$B$22/C$5,0)</f>
        <v>0</v>
      </c>
      <c r="D29" s="14">
        <f>IF(D$2=$A29,D$3*AtomicWeights!$B$22/D$5,0)</f>
        <v>0</v>
      </c>
      <c r="E29" s="14">
        <f>IF(E$2=$A29,E$3*AtomicWeights!$B$22/E$5,0)</f>
        <v>0</v>
      </c>
      <c r="F29" s="14">
        <f>IF(F$2=$A29,F$3*AtomicWeights!$B$22/F$5,0)</f>
        <v>0</v>
      </c>
      <c r="G29" s="14">
        <f>IF(G$2=$A29,G$3*AtomicWeights!$B$22/G$5,0)</f>
        <v>0</v>
      </c>
      <c r="H29" s="14">
        <f>IF(H$2=$A29,H$3*AtomicWeights!$B$22/H$5,0)</f>
        <v>0</v>
      </c>
      <c r="I29" s="14">
        <f>IF(I$2=$A29,I$3*AtomicWeights!$B$22/I$5,0)</f>
        <v>0</v>
      </c>
      <c r="J29" s="14">
        <f>IF(J$2=$A29,J$3*AtomicWeights!$B$22/J$5,0)</f>
        <v>0</v>
      </c>
      <c r="K29" s="14">
        <f>IF(K$2=$A29,K$3*AtomicWeights!$B$22/K$5,0)</f>
        <v>0</v>
      </c>
      <c r="L29" s="14">
        <f>IF(L$2=$A29,L$3*AtomicWeights!$B$22/L$5,0)</f>
        <v>0</v>
      </c>
      <c r="M29" s="14">
        <f>IF(M$2=$A29,M$3*AtomicWeights!$B$22/M$5,0)</f>
        <v>0</v>
      </c>
      <c r="N29" s="14">
        <f>IF(N$2=$A29,N$3*AtomicWeights!$B$22/N$5,0)</f>
        <v>0</v>
      </c>
      <c r="O29" s="14">
        <f>IF(O$2=$A29,O$3*AtomicWeights!$B$22/O$5,0)</f>
        <v>0</v>
      </c>
      <c r="P29" s="14">
        <f>IF(P$2=$A29,P$3*AtomicWeights!$B$22/P$5,0)</f>
        <v>0</v>
      </c>
      <c r="Q29" s="14">
        <f>IF(Q$2=$A29,Q$3*AtomicWeights!$B$22/Q$5,0)</f>
        <v>0</v>
      </c>
      <c r="R29" s="14">
        <f>IF(R$2=$A29,R$3*AtomicWeights!$B$22/R$5,0)</f>
        <v>0</v>
      </c>
      <c r="S29" s="14">
        <f>IF(S$2=$A29,S$3*AtomicWeights!$B$22/S$5,0)</f>
        <v>0</v>
      </c>
      <c r="T29" s="14">
        <f>IF(T$2=$A29,T$3*AtomicWeights!$B$22/T$5,0)</f>
        <v>0</v>
      </c>
      <c r="U29" s="14">
        <f>IF(U$2=$A29,U$3*AtomicWeights!$B$22/U$5,0)</f>
        <v>0</v>
      </c>
      <c r="V29" s="14">
        <f>IF(V$2=$A29,V$3*AtomicWeights!$B$22/V$5,0)</f>
        <v>0</v>
      </c>
      <c r="W29" s="14">
        <f>IF(W$2=$A29,W$3*AtomicWeights!$B$22/W$5,0)</f>
        <v>0.36032614146909347</v>
      </c>
      <c r="X29" s="14">
        <f>IF(X$2=$A29,X$3*AtomicWeights!$B$22/X$5,0)</f>
        <v>0</v>
      </c>
      <c r="Y29" s="14">
        <f>IF(Y$2=$A29,Y$3*AtomicWeights!$B$22/Y$5,0)</f>
        <v>0</v>
      </c>
      <c r="Z29" s="14">
        <f>IF(Z$2=$A29,Z$3*AtomicWeights!$B$22/Z$5,0)</f>
        <v>0</v>
      </c>
      <c r="AA29" s="14">
        <f>IF(AA$2=$A29,AA$3*AtomicWeights!$B$22/AA$5,0)</f>
        <v>0</v>
      </c>
      <c r="AB29" s="14">
        <f>IF(AB$2=$A29,AB$3*AtomicWeights!$B$22/AB$5,0)</f>
        <v>0</v>
      </c>
      <c r="AC29" s="14">
        <f>IF(AC$2=$A29,AC$3*AtomicWeights!$B$22/AC$5,0)</f>
        <v>0</v>
      </c>
      <c r="AD29" s="14">
        <f>IF(AD$2=$A29,AD$3*AtomicWeights!$B$22/AD$5,0)</f>
        <v>0</v>
      </c>
      <c r="AE29" s="14">
        <f>IF(AE$2=$A29,AE$3*AtomicWeights!$B$22/AE$5,0)</f>
        <v>0</v>
      </c>
      <c r="AF29" s="14">
        <f>IF(AF$2=$A29,AF$3*AtomicWeights!$B$22/AF$5,0)</f>
        <v>0</v>
      </c>
      <c r="AG29" s="14">
        <f>IF(AG$2=$A29,AG$3*AtomicWeights!$B$22/AG$5,0)</f>
        <v>0</v>
      </c>
      <c r="AH29" s="14">
        <f>IF(AH$2=$A29,AH$3*AtomicWeights!$B$22/AH$5,0)</f>
        <v>0</v>
      </c>
      <c r="AI29" s="14">
        <f>IF(AI$2=$A29,AI$3*AtomicWeights!$B$22/AI$5,0)</f>
        <v>0</v>
      </c>
      <c r="AJ29" s="14">
        <f>IF(AJ$2=$A29,AJ$3*AtomicWeights!$B$22/AJ$5,0)</f>
        <v>0</v>
      </c>
      <c r="AK29" s="14">
        <f>IF(AK$2=$A29,AK$3*AtomicWeights!$B$22/AK$5,0)</f>
        <v>0</v>
      </c>
      <c r="AL29" s="14">
        <f>IF(AL$2=$A29,AL$3*AtomicWeights!$B$22/AL$5,0)</f>
        <v>0</v>
      </c>
      <c r="AM29" s="14">
        <f>IF(AM$2=$A29,AM$3*AtomicWeights!$B$22/AM$5,0)</f>
        <v>0</v>
      </c>
      <c r="AN29" s="14">
        <f>IF(AN$2=$A29,AN$3*AtomicWeights!$B$22/AN$5,0)</f>
        <v>0</v>
      </c>
      <c r="AO29" s="14">
        <f>IF(AO$2=$A29,AO$3*AtomicWeights!$B$22/AO$5,0)</f>
        <v>0</v>
      </c>
      <c r="AP29" s="14">
        <f>IF(AP$2=$A29,AP$3*AtomicWeights!$B$22/AP$5,0)</f>
        <v>0</v>
      </c>
      <c r="AQ29" s="14">
        <f>IF(AQ$2=$A29,AQ$3*AtomicWeights!$B$22/AQ$5,0)</f>
        <v>0</v>
      </c>
      <c r="AR29" s="14">
        <f>IF(AR$2=$A29,AR$3*AtomicWeights!$B$22/AR$5,0)</f>
        <v>0</v>
      </c>
      <c r="AS29" s="14">
        <f>IF(AS$2=$A29,AS$3*AtomicWeights!$B$22/AS$5,0)</f>
        <v>0</v>
      </c>
      <c r="AT29" s="14">
        <f>IF(AT$2=$A29,AT$3*AtomicWeights!$B$22/AT$5,0)</f>
        <v>0</v>
      </c>
      <c r="AU29" s="14">
        <f>IF(AU$2=$A29,AU$3*AtomicWeights!$B$22/AU$5,0)</f>
        <v>0</v>
      </c>
      <c r="AV29" s="14">
        <f>IF(AV$2=$A29,AV$3*AtomicWeights!$B$22/AV$5,0)</f>
        <v>0</v>
      </c>
      <c r="AW29" s="14">
        <f>IF(AW$2=$A29,AW$3*AtomicWeights!$B$22/AW$5,0)</f>
        <v>0</v>
      </c>
      <c r="AX29" s="14">
        <f>IF(AX$2=$A29,AX$3*AtomicWeights!$B$22/AX$5,0)</f>
        <v>0</v>
      </c>
      <c r="AY29" s="14">
        <f>IF(AY$2=$A29,AY$3*AtomicWeights!$B$22/AY$5,0)</f>
        <v>0</v>
      </c>
      <c r="AZ29" s="14">
        <f>IF(AZ$2=$A29,AZ$3*AtomicWeights!$B$22/AZ$5,0)</f>
        <v>0</v>
      </c>
      <c r="BA29" s="14">
        <f>IF(BA$2=$A29,BA$3*AtomicWeights!$B$22/BA$5,0)</f>
        <v>0</v>
      </c>
      <c r="BB29" s="14">
        <f>IF(BB$2=$A29,BB$3*AtomicWeights!$B$22/BB$5,0)</f>
        <v>0</v>
      </c>
    </row>
    <row r="30" spans="1:54" x14ac:dyDescent="0.35">
      <c r="A30" s="13" t="s">
        <v>39</v>
      </c>
      <c r="B30" t="str">
        <f>AtomicWeights!$C$23</f>
        <v>NO</v>
      </c>
      <c r="C30" s="14">
        <f>IF(C$2=$A30,C$3*AtomicWeights!$B$23/C$5,0)</f>
        <v>0</v>
      </c>
      <c r="D30" s="14">
        <f>IF(D$2=$A30,D$3*AtomicWeights!$B$23/D$5,0)</f>
        <v>0</v>
      </c>
      <c r="E30" s="14">
        <f>IF(E$2=$A30,E$3*AtomicWeights!$B$23/E$5,0)</f>
        <v>0</v>
      </c>
      <c r="F30" s="14">
        <f>IF(F$2=$A30,F$3*AtomicWeights!$B$23/F$5,0)</f>
        <v>0</v>
      </c>
      <c r="G30" s="14">
        <f>IF(G$2=$A30,G$3*AtomicWeights!$B$23/G$5,0)</f>
        <v>0</v>
      </c>
      <c r="H30" s="14">
        <f>IF(H$2=$A30,H$3*AtomicWeights!$B$23/H$5,0)</f>
        <v>0</v>
      </c>
      <c r="I30" s="14">
        <f>IF(I$2=$A30,I$3*AtomicWeights!$B$23/I$5,0)</f>
        <v>0</v>
      </c>
      <c r="J30" s="14">
        <f>IF(J$2=$A30,J$3*AtomicWeights!$B$23/J$5,0)</f>
        <v>0</v>
      </c>
      <c r="K30" s="14">
        <f>IF(K$2=$A30,K$3*AtomicWeights!$B$23/K$5,0)</f>
        <v>0</v>
      </c>
      <c r="L30" s="14">
        <f>IF(L$2=$A30,L$3*AtomicWeights!$B$23/L$5,0)</f>
        <v>0</v>
      </c>
      <c r="M30" s="14">
        <f>IF(M$2=$A30,M$3*AtomicWeights!$B$23/M$5,0)</f>
        <v>0</v>
      </c>
      <c r="N30" s="14">
        <f>IF(N$2=$A30,N$3*AtomicWeights!$B$23/N$5,0)</f>
        <v>0</v>
      </c>
      <c r="O30" s="14">
        <f>IF(O$2=$A30,O$3*AtomicWeights!$B$23/O$5,0)</f>
        <v>0</v>
      </c>
      <c r="P30" s="14">
        <f>IF(P$2=$A30,P$3*AtomicWeights!$B$23/P$5,0)</f>
        <v>0</v>
      </c>
      <c r="Q30" s="14">
        <f>IF(Q$2=$A30,Q$3*AtomicWeights!$B$23/Q$5,0)</f>
        <v>0</v>
      </c>
      <c r="R30" s="14">
        <f>IF(R$2=$A30,R$3*AtomicWeights!$B$23/R$5,0)</f>
        <v>0</v>
      </c>
      <c r="S30" s="14">
        <f>IF(S$2=$A30,S$3*AtomicWeights!$B$23/S$5,0)</f>
        <v>0</v>
      </c>
      <c r="T30" s="14">
        <f>IF(T$2=$A30,T$3*AtomicWeights!$B$23/T$5,0)</f>
        <v>0</v>
      </c>
      <c r="U30" s="14">
        <f>IF(U$2=$A30,U$3*AtomicWeights!$B$23/U$5,0)</f>
        <v>0</v>
      </c>
      <c r="V30" s="14">
        <f>IF(V$2=$A30,V$3*AtomicWeights!$B$23/V$5,0)</f>
        <v>0</v>
      </c>
      <c r="W30" s="14">
        <f>IF(W$2=$A30,W$3*AtomicWeights!$B$23/W$5,0)</f>
        <v>0</v>
      </c>
      <c r="X30" s="14">
        <f>IF(X$2=$A30,X$3*AtomicWeights!$B$23/X$5,0)</f>
        <v>0.69904939562708002</v>
      </c>
      <c r="Y30" s="14">
        <f>IF(Y$2=$A30,Y$3*AtomicWeights!$B$23/Y$5,0)</f>
        <v>0</v>
      </c>
      <c r="Z30" s="14">
        <f>IF(Z$2=$A30,Z$3*AtomicWeights!$B$23/Z$5,0)</f>
        <v>0</v>
      </c>
      <c r="AA30" s="14">
        <f>IF(AA$2=$A30,AA$3*AtomicWeights!$B$23/AA$5,0)</f>
        <v>0</v>
      </c>
      <c r="AB30" s="14">
        <f>IF(AB$2=$A30,AB$3*AtomicWeights!$B$23/AB$5,0)</f>
        <v>0</v>
      </c>
      <c r="AC30" s="14">
        <f>IF(AC$2=$A30,AC$3*AtomicWeights!$B$23/AC$5,0)</f>
        <v>0</v>
      </c>
      <c r="AD30" s="14">
        <f>IF(AD$2=$A30,AD$3*AtomicWeights!$B$23/AD$5,0)</f>
        <v>0</v>
      </c>
      <c r="AE30" s="14">
        <f>IF(AE$2=$A30,AE$3*AtomicWeights!$B$23/AE$5,0)</f>
        <v>0</v>
      </c>
      <c r="AF30" s="14">
        <f>IF(AF$2=$A30,AF$3*AtomicWeights!$B$23/AF$5,0)</f>
        <v>0</v>
      </c>
      <c r="AG30" s="14">
        <f>IF(AG$2=$A30,AG$3*AtomicWeights!$B$23/AG$5,0)</f>
        <v>0</v>
      </c>
      <c r="AH30" s="14">
        <f>IF(AH$2=$A30,AH$3*AtomicWeights!$B$23/AH$5,0)</f>
        <v>0</v>
      </c>
      <c r="AI30" s="14">
        <f>IF(AI$2=$A30,AI$3*AtomicWeights!$B$23/AI$5,0)</f>
        <v>0</v>
      </c>
      <c r="AJ30" s="14">
        <f>IF(AJ$2=$A30,AJ$3*AtomicWeights!$B$23/AJ$5,0)</f>
        <v>0</v>
      </c>
      <c r="AK30" s="14">
        <f>IF(AK$2=$A30,AK$3*AtomicWeights!$B$23/AK$5,0)</f>
        <v>0</v>
      </c>
      <c r="AL30" s="14">
        <f>IF(AL$2=$A30,AL$3*AtomicWeights!$B$23/AL$5,0)</f>
        <v>0</v>
      </c>
      <c r="AM30" s="14">
        <f>IF(AM$2=$A30,AM$3*AtomicWeights!$B$23/AM$5,0)</f>
        <v>0</v>
      </c>
      <c r="AN30" s="14">
        <f>IF(AN$2=$A30,AN$3*AtomicWeights!$B$23/AN$5,0)</f>
        <v>0</v>
      </c>
      <c r="AO30" s="14">
        <f>IF(AO$2=$A30,AO$3*AtomicWeights!$B$23/AO$5,0)</f>
        <v>0</v>
      </c>
      <c r="AP30" s="14">
        <f>IF(AP$2=$A30,AP$3*AtomicWeights!$B$23/AP$5,0)</f>
        <v>0</v>
      </c>
      <c r="AQ30" s="14">
        <f>IF(AQ$2=$A30,AQ$3*AtomicWeights!$B$23/AQ$5,0)</f>
        <v>0</v>
      </c>
      <c r="AR30" s="14">
        <f>IF(AR$2=$A30,AR$3*AtomicWeights!$B$23/AR$5,0)</f>
        <v>0</v>
      </c>
      <c r="AS30" s="14">
        <f>IF(AS$2=$A30,AS$3*AtomicWeights!$B$23/AS$5,0)</f>
        <v>0</v>
      </c>
      <c r="AT30" s="14">
        <f>IF(AT$2=$A30,AT$3*AtomicWeights!$B$23/AT$5,0)</f>
        <v>0</v>
      </c>
      <c r="AU30" s="14">
        <f>IF(AU$2=$A30,AU$3*AtomicWeights!$B$23/AU$5,0)</f>
        <v>0</v>
      </c>
      <c r="AV30" s="14">
        <f>IF(AV$2=$A30,AV$3*AtomicWeights!$B$23/AV$5,0)</f>
        <v>0</v>
      </c>
      <c r="AW30" s="14">
        <f>IF(AW$2=$A30,AW$3*AtomicWeights!$B$23/AW$5,0)</f>
        <v>0</v>
      </c>
      <c r="AX30" s="14">
        <f>IF(AX$2=$A30,AX$3*AtomicWeights!$B$23/AX$5,0)</f>
        <v>0</v>
      </c>
      <c r="AY30" s="14">
        <f>IF(AY$2=$A30,AY$3*AtomicWeights!$B$23/AY$5,0)</f>
        <v>0</v>
      </c>
      <c r="AZ30" s="14">
        <f>IF(AZ$2=$A30,AZ$3*AtomicWeights!$B$23/AZ$5,0)</f>
        <v>0</v>
      </c>
      <c r="BA30" s="14">
        <f>IF(BA$2=$A30,BA$3*AtomicWeights!$B$23/BA$5,0)</f>
        <v>0</v>
      </c>
      <c r="BB30" s="14">
        <f>IF(BB$2=$A30,BB$3*AtomicWeights!$B$23/BB$5,0)</f>
        <v>0</v>
      </c>
    </row>
    <row r="31" spans="1:54" x14ac:dyDescent="0.35">
      <c r="A31" s="13" t="s">
        <v>40</v>
      </c>
      <c r="B31" t="str">
        <f>AtomicWeights!$C$24</f>
        <v>yes</v>
      </c>
      <c r="C31" s="14">
        <f>IF(C$2=$A31,C$3*AtomicWeights!$B$24/C$5,0)</f>
        <v>0</v>
      </c>
      <c r="D31" s="14">
        <f>IF(D$2=$A31,D$3*AtomicWeights!$B$24/D$5,0)</f>
        <v>0</v>
      </c>
      <c r="E31" s="14">
        <f>IF(E$2=$A31,E$3*AtomicWeights!$B$24/E$5,0)</f>
        <v>0</v>
      </c>
      <c r="F31" s="14">
        <f>IF(F$2=$A31,F$3*AtomicWeights!$B$24/F$5,0)</f>
        <v>0</v>
      </c>
      <c r="G31" s="14">
        <f>IF(G$2=$A31,G$3*AtomicWeights!$B$24/G$5,0)</f>
        <v>0</v>
      </c>
      <c r="H31" s="14">
        <f>IF(H$2=$A31,H$3*AtomicWeights!$B$24/H$5,0)</f>
        <v>0</v>
      </c>
      <c r="I31" s="14">
        <f>IF(I$2=$A31,I$3*AtomicWeights!$B$24/I$5,0)</f>
        <v>0</v>
      </c>
      <c r="J31" s="14">
        <f>IF(J$2=$A31,J$3*AtomicWeights!$B$24/J$5,0)</f>
        <v>0</v>
      </c>
      <c r="K31" s="14">
        <f>IF(K$2=$A31,K$3*AtomicWeights!$B$24/K$5,0)</f>
        <v>0</v>
      </c>
      <c r="L31" s="14">
        <f>IF(L$2=$A31,L$3*AtomicWeights!$B$24/L$5,0)</f>
        <v>0</v>
      </c>
      <c r="M31" s="14">
        <f>IF(M$2=$A31,M$3*AtomicWeights!$B$24/M$5,0)</f>
        <v>0</v>
      </c>
      <c r="N31" s="14">
        <f>IF(N$2=$A31,N$3*AtomicWeights!$B$24/N$5,0)</f>
        <v>0</v>
      </c>
      <c r="O31" s="14">
        <f>IF(O$2=$A31,O$3*AtomicWeights!$B$24/O$5,0)</f>
        <v>0</v>
      </c>
      <c r="P31" s="14">
        <f>IF(P$2=$A31,P$3*AtomicWeights!$B$24/P$5,0)</f>
        <v>0</v>
      </c>
      <c r="Q31" s="14">
        <f>IF(Q$2=$A31,Q$3*AtomicWeights!$B$24/Q$5,0)</f>
        <v>0</v>
      </c>
      <c r="R31" s="14">
        <f>IF(R$2=$A31,R$3*AtomicWeights!$B$24/R$5,0)</f>
        <v>0</v>
      </c>
      <c r="S31" s="14">
        <f>IF(S$2=$A31,S$3*AtomicWeights!$B$24/S$5,0)</f>
        <v>0</v>
      </c>
      <c r="T31" s="14">
        <f>IF(T$2=$A31,T$3*AtomicWeights!$B$24/T$5,0)</f>
        <v>0</v>
      </c>
      <c r="U31" s="14">
        <f>IF(U$2=$A31,U$3*AtomicWeights!$B$24/U$5,0)</f>
        <v>0</v>
      </c>
      <c r="V31" s="14">
        <f>IF(V$2=$A31,V$3*AtomicWeights!$B$24/V$5,0)</f>
        <v>0</v>
      </c>
      <c r="W31" s="14">
        <f>IF(W$2=$A31,W$3*AtomicWeights!$B$24/W$5,0)</f>
        <v>0</v>
      </c>
      <c r="X31" s="14">
        <f>IF(X$2=$A31,X$3*AtomicWeights!$B$24/X$5,0)</f>
        <v>0</v>
      </c>
      <c r="Y31" s="14">
        <f>IF(Y$2=$A31,Y$3*AtomicWeights!$B$24/Y$5,0)</f>
        <v>0.81897109593330264</v>
      </c>
      <c r="Z31" s="14">
        <f>IF(Z$2=$A31,Z$3*AtomicWeights!$B$24/Z$5,0)</f>
        <v>0</v>
      </c>
      <c r="AA31" s="14">
        <f>IF(AA$2=$A31,AA$3*AtomicWeights!$B$24/AA$5,0)</f>
        <v>0</v>
      </c>
      <c r="AB31" s="14">
        <f>IF(AB$2=$A31,AB$3*AtomicWeights!$B$24/AB$5,0)</f>
        <v>0</v>
      </c>
      <c r="AC31" s="14">
        <f>IF(AC$2=$A31,AC$3*AtomicWeights!$B$24/AC$5,0)</f>
        <v>0</v>
      </c>
      <c r="AD31" s="14">
        <f>IF(AD$2=$A31,AD$3*AtomicWeights!$B$24/AD$5,0)</f>
        <v>0</v>
      </c>
      <c r="AE31" s="14">
        <f>IF(AE$2=$A31,AE$3*AtomicWeights!$B$24/AE$5,0)</f>
        <v>0</v>
      </c>
      <c r="AF31" s="14">
        <f>IF(AF$2=$A31,AF$3*AtomicWeights!$B$24/AF$5,0)</f>
        <v>0</v>
      </c>
      <c r="AG31" s="14">
        <f>IF(AG$2=$A31,AG$3*AtomicWeights!$B$24/AG$5,0)</f>
        <v>0</v>
      </c>
      <c r="AH31" s="14">
        <f>IF(AH$2=$A31,AH$3*AtomicWeights!$B$24/AH$5,0)</f>
        <v>0</v>
      </c>
      <c r="AI31" s="14">
        <f>IF(AI$2=$A31,AI$3*AtomicWeights!$B$24/AI$5,0)</f>
        <v>0</v>
      </c>
      <c r="AJ31" s="14">
        <f>IF(AJ$2=$A31,AJ$3*AtomicWeights!$B$24/AJ$5,0)</f>
        <v>0</v>
      </c>
      <c r="AK31" s="14">
        <f>IF(AK$2=$A31,AK$3*AtomicWeights!$B$24/AK$5,0)</f>
        <v>0</v>
      </c>
      <c r="AL31" s="14">
        <f>IF(AL$2=$A31,AL$3*AtomicWeights!$B$24/AL$5,0)</f>
        <v>0</v>
      </c>
      <c r="AM31" s="14">
        <f>IF(AM$2=$A31,AM$3*AtomicWeights!$B$24/AM$5,0)</f>
        <v>0</v>
      </c>
      <c r="AN31" s="14">
        <f>IF(AN$2=$A31,AN$3*AtomicWeights!$B$24/AN$5,0)</f>
        <v>0</v>
      </c>
      <c r="AO31" s="14">
        <f>IF(AO$2=$A31,AO$3*AtomicWeights!$B$24/AO$5,0)</f>
        <v>0</v>
      </c>
      <c r="AP31" s="14">
        <f>IF(AP$2=$A31,AP$3*AtomicWeights!$B$24/AP$5,0)</f>
        <v>0</v>
      </c>
      <c r="AQ31" s="14">
        <f>IF(AQ$2=$A31,AQ$3*AtomicWeights!$B$24/AQ$5,0)</f>
        <v>0</v>
      </c>
      <c r="AR31" s="14">
        <f>IF(AR$2=$A31,AR$3*AtomicWeights!$B$24/AR$5,0)</f>
        <v>0</v>
      </c>
      <c r="AS31" s="14">
        <f>IF(AS$2=$A31,AS$3*AtomicWeights!$B$24/AS$5,0)</f>
        <v>0</v>
      </c>
      <c r="AT31" s="14">
        <f>IF(AT$2=$A31,AT$3*AtomicWeights!$B$24/AT$5,0)</f>
        <v>0</v>
      </c>
      <c r="AU31" s="14">
        <f>IF(AU$2=$A31,AU$3*AtomicWeights!$B$24/AU$5,0)</f>
        <v>0</v>
      </c>
      <c r="AV31" s="14">
        <f>IF(AV$2=$A31,AV$3*AtomicWeights!$B$24/AV$5,0)</f>
        <v>0</v>
      </c>
      <c r="AW31" s="14">
        <f>IF(AW$2=$A31,AW$3*AtomicWeights!$B$24/AW$5,0)</f>
        <v>0</v>
      </c>
      <c r="AX31" s="14">
        <f>IF(AX$2=$A31,AX$3*AtomicWeights!$B$24/AX$5,0)</f>
        <v>0</v>
      </c>
      <c r="AY31" s="14">
        <f>IF(AY$2=$A31,AY$3*AtomicWeights!$B$24/AY$5,0)</f>
        <v>0</v>
      </c>
      <c r="AZ31" s="14">
        <f>IF(AZ$2=$A31,AZ$3*AtomicWeights!$B$24/AZ$5,0)</f>
        <v>0</v>
      </c>
      <c r="BA31" s="14">
        <f>IF(BA$2=$A31,BA$3*AtomicWeights!$B$24/BA$5,0)</f>
        <v>0</v>
      </c>
      <c r="BB31" s="14">
        <f>IF(BB$2=$A31,BB$3*AtomicWeights!$B$24/BB$5,0)</f>
        <v>0</v>
      </c>
    </row>
    <row r="32" spans="1:54" x14ac:dyDescent="0.35">
      <c r="A32" s="13" t="s">
        <v>41</v>
      </c>
      <c r="B32" t="str">
        <f>AtomicWeights!$C$25</f>
        <v>yes</v>
      </c>
      <c r="C32" s="14">
        <f>IF(C$2=$A32,C$3*AtomicWeights!$B$25/C$5,0)</f>
        <v>0</v>
      </c>
      <c r="D32" s="14">
        <f>IF(D$2=$A32,D$3*AtomicWeights!$B$25/D$5,0)</f>
        <v>0</v>
      </c>
      <c r="E32" s="14">
        <f>IF(E$2=$A32,E$3*AtomicWeights!$B$25/E$5,0)</f>
        <v>0</v>
      </c>
      <c r="F32" s="14">
        <f>IF(F$2=$A32,F$3*AtomicWeights!$B$25/F$5,0)</f>
        <v>0</v>
      </c>
      <c r="G32" s="14">
        <f>IF(G$2=$A32,G$3*AtomicWeights!$B$25/G$5,0)</f>
        <v>0</v>
      </c>
      <c r="H32" s="14">
        <f>IF(H$2=$A32,H$3*AtomicWeights!$B$25/H$5,0)</f>
        <v>0</v>
      </c>
      <c r="I32" s="14">
        <f>IF(I$2=$A32,I$3*AtomicWeights!$B$25/I$5,0)</f>
        <v>0</v>
      </c>
      <c r="J32" s="14">
        <f>IF(J$2=$A32,J$3*AtomicWeights!$B$25/J$5,0)</f>
        <v>0</v>
      </c>
      <c r="K32" s="14">
        <f>IF(K$2=$A32,K$3*AtomicWeights!$B$25/K$5,0)</f>
        <v>0</v>
      </c>
      <c r="L32" s="14">
        <f>IF(L$2=$A32,L$3*AtomicWeights!$B$25/L$5,0)</f>
        <v>0</v>
      </c>
      <c r="M32" s="14">
        <f>IF(M$2=$A32,M$3*AtomicWeights!$B$25/M$5,0)</f>
        <v>0</v>
      </c>
      <c r="N32" s="14">
        <f>IF(N$2=$A32,N$3*AtomicWeights!$B$25/N$5,0)</f>
        <v>0</v>
      </c>
      <c r="O32" s="14">
        <f>IF(O$2=$A32,O$3*AtomicWeights!$B$25/O$5,0)</f>
        <v>0</v>
      </c>
      <c r="P32" s="14">
        <f>IF(P$2=$A32,P$3*AtomicWeights!$B$25/P$5,0)</f>
        <v>0</v>
      </c>
      <c r="Q32" s="14">
        <f>IF(Q$2=$A32,Q$3*AtomicWeights!$B$25/Q$5,0)</f>
        <v>0</v>
      </c>
      <c r="R32" s="14">
        <f>IF(R$2=$A32,R$3*AtomicWeights!$B$25/R$5,0)</f>
        <v>0</v>
      </c>
      <c r="S32" s="14">
        <f>IF(S$2=$A32,S$3*AtomicWeights!$B$25/S$5,0)</f>
        <v>0</v>
      </c>
      <c r="T32" s="14">
        <f>IF(T$2=$A32,T$3*AtomicWeights!$B$25/T$5,0)</f>
        <v>0</v>
      </c>
      <c r="U32" s="14">
        <f>IF(U$2=$A32,U$3*AtomicWeights!$B$25/U$5,0)</f>
        <v>0</v>
      </c>
      <c r="V32" s="14">
        <f>IF(V$2=$A32,V$3*AtomicWeights!$B$25/V$5,0)</f>
        <v>0</v>
      </c>
      <c r="W32" s="14">
        <f>IF(W$2=$A32,W$3*AtomicWeights!$B$25/W$5,0)</f>
        <v>0</v>
      </c>
      <c r="X32" s="14">
        <f>IF(X$2=$A32,X$3*AtomicWeights!$B$25/X$5,0)</f>
        <v>0</v>
      </c>
      <c r="Y32" s="14">
        <f>IF(Y$2=$A32,Y$3*AtomicWeights!$B$25/Y$5,0)</f>
        <v>0</v>
      </c>
      <c r="Z32" s="14">
        <f>IF(Z$2=$A32,Z$3*AtomicWeights!$B$25/Z$5,0)</f>
        <v>0.79297092353679532</v>
      </c>
      <c r="AA32" s="14">
        <f>IF(AA$2=$A32,AA$3*AtomicWeights!$B$25/AA$5,0)</f>
        <v>0</v>
      </c>
      <c r="AB32" s="14">
        <f>IF(AB$2=$A32,AB$3*AtomicWeights!$B$25/AB$5,0)</f>
        <v>0</v>
      </c>
      <c r="AC32" s="14">
        <f>IF(AC$2=$A32,AC$3*AtomicWeights!$B$25/AC$5,0)</f>
        <v>0</v>
      </c>
      <c r="AD32" s="14">
        <f>IF(AD$2=$A32,AD$3*AtomicWeights!$B$25/AD$5,0)</f>
        <v>0</v>
      </c>
      <c r="AE32" s="14">
        <f>IF(AE$2=$A32,AE$3*AtomicWeights!$B$25/AE$5,0)</f>
        <v>0</v>
      </c>
      <c r="AF32" s="14">
        <f>IF(AF$2=$A32,AF$3*AtomicWeights!$B$25/AF$5,0)</f>
        <v>0</v>
      </c>
      <c r="AG32" s="14">
        <f>IF(AG$2=$A32,AG$3*AtomicWeights!$B$25/AG$5,0)</f>
        <v>0</v>
      </c>
      <c r="AH32" s="14">
        <f>IF(AH$2=$A32,AH$3*AtomicWeights!$B$25/AH$5,0)</f>
        <v>0</v>
      </c>
      <c r="AI32" s="14">
        <f>IF(AI$2=$A32,AI$3*AtomicWeights!$B$25/AI$5,0)</f>
        <v>0</v>
      </c>
      <c r="AJ32" s="14">
        <f>IF(AJ$2=$A32,AJ$3*AtomicWeights!$B$25/AJ$5,0)</f>
        <v>0</v>
      </c>
      <c r="AK32" s="14">
        <f>IF(AK$2=$A32,AK$3*AtomicWeights!$B$25/AK$5,0)</f>
        <v>0</v>
      </c>
      <c r="AL32" s="14">
        <f>IF(AL$2=$A32,AL$3*AtomicWeights!$B$25/AL$5,0)</f>
        <v>0</v>
      </c>
      <c r="AM32" s="14">
        <f>IF(AM$2=$A32,AM$3*AtomicWeights!$B$25/AM$5,0)</f>
        <v>0</v>
      </c>
      <c r="AN32" s="14">
        <f>IF(AN$2=$A32,AN$3*AtomicWeights!$B$25/AN$5,0)</f>
        <v>0</v>
      </c>
      <c r="AO32" s="14">
        <f>IF(AO$2=$A32,AO$3*AtomicWeights!$B$25/AO$5,0)</f>
        <v>0</v>
      </c>
      <c r="AP32" s="14">
        <f>IF(AP$2=$A32,AP$3*AtomicWeights!$B$25/AP$5,0)</f>
        <v>0</v>
      </c>
      <c r="AQ32" s="14">
        <f>IF(AQ$2=$A32,AQ$3*AtomicWeights!$B$25/AQ$5,0)</f>
        <v>0</v>
      </c>
      <c r="AR32" s="14">
        <f>IF(AR$2=$A32,AR$3*AtomicWeights!$B$25/AR$5,0)</f>
        <v>0</v>
      </c>
      <c r="AS32" s="14">
        <f>IF(AS$2=$A32,AS$3*AtomicWeights!$B$25/AS$5,0)</f>
        <v>0</v>
      </c>
      <c r="AT32" s="14">
        <f>IF(AT$2=$A32,AT$3*AtomicWeights!$B$25/AT$5,0)</f>
        <v>0</v>
      </c>
      <c r="AU32" s="14">
        <f>IF(AU$2=$A32,AU$3*AtomicWeights!$B$25/AU$5,0)</f>
        <v>0</v>
      </c>
      <c r="AV32" s="14">
        <f>IF(AV$2=$A32,AV$3*AtomicWeights!$B$25/AV$5,0)</f>
        <v>0</v>
      </c>
      <c r="AW32" s="14">
        <f>IF(AW$2=$A32,AW$3*AtomicWeights!$B$25/AW$5,0)</f>
        <v>0</v>
      </c>
      <c r="AX32" s="14">
        <f>IF(AX$2=$A32,AX$3*AtomicWeights!$B$25/AX$5,0)</f>
        <v>0</v>
      </c>
      <c r="AY32" s="14">
        <f>IF(AY$2=$A32,AY$3*AtomicWeights!$B$25/AY$5,0)</f>
        <v>0</v>
      </c>
      <c r="AZ32" s="14">
        <f>IF(AZ$2=$A32,AZ$3*AtomicWeights!$B$25/AZ$5,0)</f>
        <v>0</v>
      </c>
      <c r="BA32" s="14">
        <f>IF(BA$2=$A32,BA$3*AtomicWeights!$B$25/BA$5,0)</f>
        <v>0</v>
      </c>
      <c r="BB32" s="14">
        <f>IF(BB$2=$A32,BB$3*AtomicWeights!$B$25/BB$5,0)</f>
        <v>0</v>
      </c>
    </row>
    <row r="33" spans="1:54" x14ac:dyDescent="0.35">
      <c r="A33" s="13" t="s">
        <v>42</v>
      </c>
      <c r="B33" t="str">
        <f>AtomicWeights!$C$26</f>
        <v>yes</v>
      </c>
      <c r="C33" s="14">
        <f>IF(C$2=$A33,C$3*AtomicWeights!$B$26/C$5,0)</f>
        <v>0</v>
      </c>
      <c r="D33" s="14">
        <f>IF(D$2=$A33,D$3*AtomicWeights!$B$26/D$5,0)</f>
        <v>0</v>
      </c>
      <c r="E33" s="14">
        <f>IF(E$2=$A33,E$3*AtomicWeights!$B$26/E$5,0)</f>
        <v>0</v>
      </c>
      <c r="F33" s="14">
        <f>IF(F$2=$A33,F$3*AtomicWeights!$B$26/F$5,0)</f>
        <v>0</v>
      </c>
      <c r="G33" s="14">
        <f>IF(G$2=$A33,G$3*AtomicWeights!$B$26/G$5,0)</f>
        <v>0</v>
      </c>
      <c r="H33" s="14">
        <f>IF(H$2=$A33,H$3*AtomicWeights!$B$26/H$5,0)</f>
        <v>0</v>
      </c>
      <c r="I33" s="14">
        <f>IF(I$2=$A33,I$3*AtomicWeights!$B$26/I$5,0)</f>
        <v>0</v>
      </c>
      <c r="J33" s="14">
        <f>IF(J$2=$A33,J$3*AtomicWeights!$B$26/J$5,0)</f>
        <v>0</v>
      </c>
      <c r="K33" s="14">
        <f>IF(K$2=$A33,K$3*AtomicWeights!$B$26/K$5,0)</f>
        <v>0</v>
      </c>
      <c r="L33" s="14">
        <f>IF(L$2=$A33,L$3*AtomicWeights!$B$26/L$5,0)</f>
        <v>0</v>
      </c>
      <c r="M33" s="14">
        <f>IF(M$2=$A33,M$3*AtomicWeights!$B$26/M$5,0)</f>
        <v>0</v>
      </c>
      <c r="N33" s="14">
        <f>IF(N$2=$A33,N$3*AtomicWeights!$B$26/N$5,0)</f>
        <v>0</v>
      </c>
      <c r="O33" s="14">
        <f>IF(O$2=$A33,O$3*AtomicWeights!$B$26/O$5,0)</f>
        <v>0</v>
      </c>
      <c r="P33" s="14">
        <f>IF(P$2=$A33,P$3*AtomicWeights!$B$26/P$5,0)</f>
        <v>0</v>
      </c>
      <c r="Q33" s="14">
        <f>IF(Q$2=$A33,Q$3*AtomicWeights!$B$26/Q$5,0)</f>
        <v>0</v>
      </c>
      <c r="R33" s="14">
        <f>IF(R$2=$A33,R$3*AtomicWeights!$B$26/R$5,0)</f>
        <v>0</v>
      </c>
      <c r="S33" s="14">
        <f>IF(S$2=$A33,S$3*AtomicWeights!$B$26/S$5,0)</f>
        <v>0</v>
      </c>
      <c r="T33" s="14">
        <f>IF(T$2=$A33,T$3*AtomicWeights!$B$26/T$5,0)</f>
        <v>0</v>
      </c>
      <c r="U33" s="14">
        <f>IF(U$2=$A33,U$3*AtomicWeights!$B$26/U$5,0)</f>
        <v>0</v>
      </c>
      <c r="V33" s="14">
        <f>IF(V$2=$A33,V$3*AtomicWeights!$B$26/V$5,0)</f>
        <v>0</v>
      </c>
      <c r="W33" s="14">
        <f>IF(W$2=$A33,W$3*AtomicWeights!$B$26/W$5,0)</f>
        <v>0</v>
      </c>
      <c r="X33" s="14">
        <f>IF(X$2=$A33,X$3*AtomicWeights!$B$26/X$5,0)</f>
        <v>0</v>
      </c>
      <c r="Y33" s="14">
        <f>IF(Y$2=$A33,Y$3*AtomicWeights!$B$26/Y$5,0)</f>
        <v>0</v>
      </c>
      <c r="Z33" s="14">
        <f>IF(Z$2=$A33,Z$3*AtomicWeights!$B$26/Z$5,0)</f>
        <v>0</v>
      </c>
      <c r="AA33" s="14">
        <f>IF(AA$2=$A33,AA$3*AtomicWeights!$B$26/AA$5,0)</f>
        <v>0.43642681736267919</v>
      </c>
      <c r="AB33" s="14">
        <f>IF(AB$2=$A33,AB$3*AtomicWeights!$B$26/AB$5,0)</f>
        <v>0</v>
      </c>
      <c r="AC33" s="14">
        <f>IF(AC$2=$A33,AC$3*AtomicWeights!$B$26/AC$5,0)</f>
        <v>0</v>
      </c>
      <c r="AD33" s="14">
        <f>IF(AD$2=$A33,AD$3*AtomicWeights!$B$26/AD$5,0)</f>
        <v>0</v>
      </c>
      <c r="AE33" s="14">
        <f>IF(AE$2=$A33,AE$3*AtomicWeights!$B$26/AE$5,0)</f>
        <v>0</v>
      </c>
      <c r="AF33" s="14">
        <f>IF(AF$2=$A33,AF$3*AtomicWeights!$B$26/AF$5,0)</f>
        <v>0</v>
      </c>
      <c r="AG33" s="14">
        <f>IF(AG$2=$A33,AG$3*AtomicWeights!$B$26/AG$5,0)</f>
        <v>0</v>
      </c>
      <c r="AH33" s="14">
        <f>IF(AH$2=$A33,AH$3*AtomicWeights!$B$26/AH$5,0)</f>
        <v>0</v>
      </c>
      <c r="AI33" s="14">
        <f>IF(AI$2=$A33,AI$3*AtomicWeights!$B$26/AI$5,0)</f>
        <v>0</v>
      </c>
      <c r="AJ33" s="14">
        <f>IF(AJ$2=$A33,AJ$3*AtomicWeights!$B$26/AJ$5,0)</f>
        <v>0</v>
      </c>
      <c r="AK33" s="14">
        <f>IF(AK$2=$A33,AK$3*AtomicWeights!$B$26/AK$5,0)</f>
        <v>0</v>
      </c>
      <c r="AL33" s="14">
        <f>IF(AL$2=$A33,AL$3*AtomicWeights!$B$26/AL$5,0)</f>
        <v>0</v>
      </c>
      <c r="AM33" s="14">
        <f>IF(AM$2=$A33,AM$3*AtomicWeights!$B$26/AM$5,0)</f>
        <v>0</v>
      </c>
      <c r="AN33" s="14">
        <f>IF(AN$2=$A33,AN$3*AtomicWeights!$B$26/AN$5,0)</f>
        <v>0</v>
      </c>
      <c r="AO33" s="14">
        <f>IF(AO$2=$A33,AO$3*AtomicWeights!$B$26/AO$5,0)</f>
        <v>0</v>
      </c>
      <c r="AP33" s="14">
        <f>IF(AP$2=$A33,AP$3*AtomicWeights!$B$26/AP$5,0)</f>
        <v>0</v>
      </c>
      <c r="AQ33" s="14">
        <f>IF(AQ$2=$A33,AQ$3*AtomicWeights!$B$26/AQ$5,0)</f>
        <v>0</v>
      </c>
      <c r="AR33" s="14">
        <f>IF(AR$2=$A33,AR$3*AtomicWeights!$B$26/AR$5,0)</f>
        <v>0</v>
      </c>
      <c r="AS33" s="14">
        <f>IF(AS$2=$A33,AS$3*AtomicWeights!$B$26/AS$5,0)</f>
        <v>0</v>
      </c>
      <c r="AT33" s="14">
        <f>IF(AT$2=$A33,AT$3*AtomicWeights!$B$26/AT$5,0)</f>
        <v>0</v>
      </c>
      <c r="AU33" s="14">
        <f>IF(AU$2=$A33,AU$3*AtomicWeights!$B$26/AU$5,0)</f>
        <v>0</v>
      </c>
      <c r="AV33" s="14">
        <f>IF(AV$2=$A33,AV$3*AtomicWeights!$B$26/AV$5,0)</f>
        <v>0</v>
      </c>
      <c r="AW33" s="14">
        <f>IF(AW$2=$A33,AW$3*AtomicWeights!$B$26/AW$5,0)</f>
        <v>0</v>
      </c>
      <c r="AX33" s="14">
        <f>IF(AX$2=$A33,AX$3*AtomicWeights!$B$26/AX$5,0)</f>
        <v>0</v>
      </c>
      <c r="AY33" s="14">
        <f>IF(AY$2=$A33,AY$3*AtomicWeights!$B$26/AY$5,0)</f>
        <v>0</v>
      </c>
      <c r="AZ33" s="14">
        <f>IF(AZ$2=$A33,AZ$3*AtomicWeights!$B$26/AZ$5,0)</f>
        <v>0</v>
      </c>
      <c r="BA33" s="14">
        <f>IF(BA$2=$A33,BA$3*AtomicWeights!$B$26/BA$5,0)</f>
        <v>0</v>
      </c>
      <c r="BB33" s="14">
        <f>IF(BB$2=$A33,BB$3*AtomicWeights!$B$26/BB$5,0)</f>
        <v>0</v>
      </c>
    </row>
    <row r="34" spans="1:54" x14ac:dyDescent="0.35">
      <c r="A34" s="13" t="s">
        <v>43</v>
      </c>
      <c r="B34" t="str">
        <f>AtomicWeights!$C$27</f>
        <v>yes</v>
      </c>
      <c r="C34" s="14">
        <f>IF(C$2=$A34,C$3*AtomicWeights!$B$27/C$5,0)</f>
        <v>0</v>
      </c>
      <c r="D34" s="14">
        <f>IF(D$2=$A34,D$3*AtomicWeights!$B$27/D$5,0)</f>
        <v>0</v>
      </c>
      <c r="E34" s="14">
        <f>IF(E$2=$A34,E$3*AtomicWeights!$B$27/E$5,0)</f>
        <v>0</v>
      </c>
      <c r="F34" s="14">
        <f>IF(F$2=$A34,F$3*AtomicWeights!$B$27/F$5,0)</f>
        <v>0</v>
      </c>
      <c r="G34" s="14">
        <f>IF(G$2=$A34,G$3*AtomicWeights!$B$27/G$5,0)</f>
        <v>0</v>
      </c>
      <c r="H34" s="14">
        <f>IF(H$2=$A34,H$3*AtomicWeights!$B$27/H$5,0)</f>
        <v>0</v>
      </c>
      <c r="I34" s="14">
        <f>IF(I$2=$A34,I$3*AtomicWeights!$B$27/I$5,0)</f>
        <v>0</v>
      </c>
      <c r="J34" s="14">
        <f>IF(J$2=$A34,J$3*AtomicWeights!$B$27/J$5,0)</f>
        <v>0</v>
      </c>
      <c r="K34" s="14">
        <f>IF(K$2=$A34,K$3*AtomicWeights!$B$27/K$5,0)</f>
        <v>0</v>
      </c>
      <c r="L34" s="14">
        <f>IF(L$2=$A34,L$3*AtomicWeights!$B$27/L$5,0)</f>
        <v>0</v>
      </c>
      <c r="M34" s="14">
        <f>IF(M$2=$A34,M$3*AtomicWeights!$B$27/M$5,0)</f>
        <v>0</v>
      </c>
      <c r="N34" s="14">
        <f>IF(N$2=$A34,N$3*AtomicWeights!$B$27/N$5,0)</f>
        <v>0</v>
      </c>
      <c r="O34" s="14">
        <f>IF(O$2=$A34,O$3*AtomicWeights!$B$27/O$5,0)</f>
        <v>0</v>
      </c>
      <c r="P34" s="14">
        <f>IF(P$2=$A34,P$3*AtomicWeights!$B$27/P$5,0)</f>
        <v>0</v>
      </c>
      <c r="Q34" s="14">
        <f>IF(Q$2=$A34,Q$3*AtomicWeights!$B$27/Q$5,0)</f>
        <v>0</v>
      </c>
      <c r="R34" s="14">
        <f>IF(R$2=$A34,R$3*AtomicWeights!$B$27/R$5,0)</f>
        <v>0</v>
      </c>
      <c r="S34" s="14">
        <f>IF(S$2=$A34,S$3*AtomicWeights!$B$27/S$5,0)</f>
        <v>0</v>
      </c>
      <c r="T34" s="14">
        <f>IF(T$2=$A34,T$3*AtomicWeights!$B$27/T$5,0)</f>
        <v>0</v>
      </c>
      <c r="U34" s="14">
        <f>IF(U$2=$A34,U$3*AtomicWeights!$B$27/U$5,0)</f>
        <v>0</v>
      </c>
      <c r="V34" s="14">
        <f>IF(V$2=$A34,V$3*AtomicWeights!$B$27/V$5,0)</f>
        <v>0</v>
      </c>
      <c r="W34" s="14">
        <f>IF(W$2=$A34,W$3*AtomicWeights!$B$27/W$5,0)</f>
        <v>0</v>
      </c>
      <c r="X34" s="14">
        <f>IF(X$2=$A34,X$3*AtomicWeights!$B$27/X$5,0)</f>
        <v>0</v>
      </c>
      <c r="Y34" s="14">
        <f>IF(Y$2=$A34,Y$3*AtomicWeights!$B$27/Y$5,0)</f>
        <v>0</v>
      </c>
      <c r="Z34" s="14">
        <f>IF(Z$2=$A34,Z$3*AtomicWeights!$B$27/Z$5,0)</f>
        <v>0</v>
      </c>
      <c r="AA34" s="14">
        <f>IF(AA$2=$A34,AA$3*AtomicWeights!$B$27/AA$5,0)</f>
        <v>0</v>
      </c>
      <c r="AB34" s="14">
        <f>IF(AB$2=$A34,AB$3*AtomicWeights!$B$27/AB$5,0)</f>
        <v>0.65195079198979067</v>
      </c>
      <c r="AC34" s="14">
        <f>IF(AC$2=$A34,AC$3*AtomicWeights!$B$27/AC$5,0)</f>
        <v>0</v>
      </c>
      <c r="AD34" s="14">
        <f>IF(AD$2=$A34,AD$3*AtomicWeights!$B$27/AD$5,0)</f>
        <v>0</v>
      </c>
      <c r="AE34" s="14">
        <f>IF(AE$2=$A34,AE$3*AtomicWeights!$B$27/AE$5,0)</f>
        <v>0</v>
      </c>
      <c r="AF34" s="14">
        <f>IF(AF$2=$A34,AF$3*AtomicWeights!$B$27/AF$5,0)</f>
        <v>0</v>
      </c>
      <c r="AG34" s="14">
        <f>IF(AG$2=$A34,AG$3*AtomicWeights!$B$27/AG$5,0)</f>
        <v>0</v>
      </c>
      <c r="AH34" s="14">
        <f>IF(AH$2=$A34,AH$3*AtomicWeights!$B$27/AH$5,0)</f>
        <v>0</v>
      </c>
      <c r="AI34" s="14">
        <f>IF(AI$2=$A34,AI$3*AtomicWeights!$B$27/AI$5,0)</f>
        <v>0</v>
      </c>
      <c r="AJ34" s="14">
        <f>IF(AJ$2=$A34,AJ$3*AtomicWeights!$B$27/AJ$5,0)</f>
        <v>0</v>
      </c>
      <c r="AK34" s="14">
        <f>IF(AK$2=$A34,AK$3*AtomicWeights!$B$27/AK$5,0)</f>
        <v>0</v>
      </c>
      <c r="AL34" s="14">
        <f>IF(AL$2=$A34,AL$3*AtomicWeights!$B$27/AL$5,0)</f>
        <v>0</v>
      </c>
      <c r="AM34" s="14">
        <f>IF(AM$2=$A34,AM$3*AtomicWeights!$B$27/AM$5,0)</f>
        <v>0</v>
      </c>
      <c r="AN34" s="14">
        <f>IF(AN$2=$A34,AN$3*AtomicWeights!$B$27/AN$5,0)</f>
        <v>0</v>
      </c>
      <c r="AO34" s="14">
        <f>IF(AO$2=$A34,AO$3*AtomicWeights!$B$27/AO$5,0)</f>
        <v>0</v>
      </c>
      <c r="AP34" s="14">
        <f>IF(AP$2=$A34,AP$3*AtomicWeights!$B$27/AP$5,0)</f>
        <v>0</v>
      </c>
      <c r="AQ34" s="14">
        <f>IF(AQ$2=$A34,AQ$3*AtomicWeights!$B$27/AQ$5,0)</f>
        <v>0</v>
      </c>
      <c r="AR34" s="14">
        <f>IF(AR$2=$A34,AR$3*AtomicWeights!$B$27/AR$5,0)</f>
        <v>0</v>
      </c>
      <c r="AS34" s="14">
        <f>IF(AS$2=$A34,AS$3*AtomicWeights!$B$27/AS$5,0)</f>
        <v>0</v>
      </c>
      <c r="AT34" s="14">
        <f>IF(AT$2=$A34,AT$3*AtomicWeights!$B$27/AT$5,0)</f>
        <v>0</v>
      </c>
      <c r="AU34" s="14">
        <f>IF(AU$2=$A34,AU$3*AtomicWeights!$B$27/AU$5,0)</f>
        <v>0</v>
      </c>
      <c r="AV34" s="14">
        <f>IF(AV$2=$A34,AV$3*AtomicWeights!$B$27/AV$5,0)</f>
        <v>0</v>
      </c>
      <c r="AW34" s="14">
        <f>IF(AW$2=$A34,AW$3*AtomicWeights!$B$27/AW$5,0)</f>
        <v>0</v>
      </c>
      <c r="AX34" s="14">
        <f>IF(AX$2=$A34,AX$3*AtomicWeights!$B$27/AX$5,0)</f>
        <v>0</v>
      </c>
      <c r="AY34" s="14">
        <f>IF(AY$2=$A34,AY$3*AtomicWeights!$B$27/AY$5,0)</f>
        <v>0</v>
      </c>
      <c r="AZ34" s="14">
        <f>IF(AZ$2=$A34,AZ$3*AtomicWeights!$B$27/AZ$5,0)</f>
        <v>0</v>
      </c>
      <c r="BA34" s="14">
        <f>IF(BA$2=$A34,BA$3*AtomicWeights!$B$27/BA$5,0)</f>
        <v>0</v>
      </c>
      <c r="BB34" s="14">
        <f>IF(BB$2=$A34,BB$3*AtomicWeights!$B$27/BB$5,0)</f>
        <v>0</v>
      </c>
    </row>
    <row r="35" spans="1:54" x14ac:dyDescent="0.35">
      <c r="A35" s="13" t="s">
        <v>44</v>
      </c>
      <c r="B35" t="str">
        <f>AtomicWeights!$C$28</f>
        <v>yes</v>
      </c>
      <c r="C35" s="14">
        <f>IF(C$2=$A35,C$3*AtomicWeights!$B$28/C$5,0)</f>
        <v>0</v>
      </c>
      <c r="D35" s="14">
        <f>IF(D$2=$A35,D$3*AtomicWeights!$B$28/D$5,0)</f>
        <v>0</v>
      </c>
      <c r="E35" s="14">
        <f>IF(E$2=$A35,E$3*AtomicWeights!$B$28/E$5,0)</f>
        <v>0</v>
      </c>
      <c r="F35" s="14">
        <f>IF(F$2=$A35,F$3*AtomicWeights!$B$28/F$5,0)</f>
        <v>0</v>
      </c>
      <c r="G35" s="14">
        <f>IF(G$2=$A35,G$3*AtomicWeights!$B$28/G$5,0)</f>
        <v>0</v>
      </c>
      <c r="H35" s="14">
        <f>IF(H$2=$A35,H$3*AtomicWeights!$B$28/H$5,0)</f>
        <v>0</v>
      </c>
      <c r="I35" s="14">
        <f>IF(I$2=$A35,I$3*AtomicWeights!$B$28/I$5,0)</f>
        <v>0</v>
      </c>
      <c r="J35" s="14">
        <f>IF(J$2=$A35,J$3*AtomicWeights!$B$28/J$5,0)</f>
        <v>0</v>
      </c>
      <c r="K35" s="14">
        <f>IF(K$2=$A35,K$3*AtomicWeights!$B$28/K$5,0)</f>
        <v>0</v>
      </c>
      <c r="L35" s="14">
        <f>IF(L$2=$A35,L$3*AtomicWeights!$B$28/L$5,0)</f>
        <v>0</v>
      </c>
      <c r="M35" s="14">
        <f>IF(M$2=$A35,M$3*AtomicWeights!$B$28/M$5,0)</f>
        <v>0</v>
      </c>
      <c r="N35" s="14">
        <f>IF(N$2=$A35,N$3*AtomicWeights!$B$28/N$5,0)</f>
        <v>0</v>
      </c>
      <c r="O35" s="14">
        <f>IF(O$2=$A35,O$3*AtomicWeights!$B$28/O$5,0)</f>
        <v>0</v>
      </c>
      <c r="P35" s="14">
        <f>IF(P$2=$A35,P$3*AtomicWeights!$B$28/P$5,0)</f>
        <v>0</v>
      </c>
      <c r="Q35" s="14">
        <f>IF(Q$2=$A35,Q$3*AtomicWeights!$B$28/Q$5,0)</f>
        <v>0</v>
      </c>
      <c r="R35" s="14">
        <f>IF(R$2=$A35,R$3*AtomicWeights!$B$28/R$5,0)</f>
        <v>0</v>
      </c>
      <c r="S35" s="14">
        <f>IF(S$2=$A35,S$3*AtomicWeights!$B$28/S$5,0)</f>
        <v>0</v>
      </c>
      <c r="T35" s="14">
        <f>IF(T$2=$A35,T$3*AtomicWeights!$B$28/T$5,0)</f>
        <v>0</v>
      </c>
      <c r="U35" s="14">
        <f>IF(U$2=$A35,U$3*AtomicWeights!$B$28/U$5,0)</f>
        <v>0</v>
      </c>
      <c r="V35" s="14">
        <f>IF(V$2=$A35,V$3*AtomicWeights!$B$28/V$5,0)</f>
        <v>0</v>
      </c>
      <c r="W35" s="14">
        <f>IF(W$2=$A35,W$3*AtomicWeights!$B$28/W$5,0)</f>
        <v>0</v>
      </c>
      <c r="X35" s="14">
        <f>IF(X$2=$A35,X$3*AtomicWeights!$B$28/X$5,0)</f>
        <v>0</v>
      </c>
      <c r="Y35" s="14">
        <f>IF(Y$2=$A35,Y$3*AtomicWeights!$B$28/Y$5,0)</f>
        <v>0</v>
      </c>
      <c r="Z35" s="14">
        <f>IF(Z$2=$A35,Z$3*AtomicWeights!$B$28/Z$5,0)</f>
        <v>0</v>
      </c>
      <c r="AA35" s="14">
        <f>IF(AA$2=$A35,AA$3*AtomicWeights!$B$28/AA$5,0)</f>
        <v>0</v>
      </c>
      <c r="AB35" s="14">
        <f>IF(AB$2=$A35,AB$3*AtomicWeights!$B$28/AB$5,0)</f>
        <v>0</v>
      </c>
      <c r="AC35" s="14">
        <f>IF(AC$2=$A35,AC$3*AtomicWeights!$B$28/AC$5,0)</f>
        <v>0.40046466892339211</v>
      </c>
      <c r="AD35" s="14">
        <f>IF(AD$2=$A35,AD$3*AtomicWeights!$B$28/AD$5,0)</f>
        <v>0</v>
      </c>
      <c r="AE35" s="14">
        <f>IF(AE$2=$A35,AE$3*AtomicWeights!$B$28/AE$5,0)</f>
        <v>0</v>
      </c>
      <c r="AF35" s="14">
        <f>IF(AF$2=$A35,AF$3*AtomicWeights!$B$28/AF$5,0)</f>
        <v>0</v>
      </c>
      <c r="AG35" s="14">
        <f>IF(AG$2=$A35,AG$3*AtomicWeights!$B$28/AG$5,0)</f>
        <v>0</v>
      </c>
      <c r="AH35" s="14">
        <f>IF(AH$2=$A35,AH$3*AtomicWeights!$B$28/AH$5,0)</f>
        <v>1</v>
      </c>
      <c r="AI35" s="14">
        <f>IF(AI$2=$A35,AI$3*AtomicWeights!$B$28/AI$5,0)</f>
        <v>0</v>
      </c>
      <c r="AJ35" s="14">
        <f>IF(AJ$2=$A35,AJ$3*AtomicWeights!$B$28/AJ$5,0)</f>
        <v>0</v>
      </c>
      <c r="AK35" s="14">
        <f>IF(AK$2=$A35,AK$3*AtomicWeights!$B$28/AK$5,0)</f>
        <v>0</v>
      </c>
      <c r="AL35" s="14">
        <f>IF(AL$2=$A35,AL$3*AtomicWeights!$B$28/AL$5,0)</f>
        <v>0</v>
      </c>
      <c r="AM35" s="14">
        <f>IF(AM$2=$A35,AM$3*AtomicWeights!$B$28/AM$5,0)</f>
        <v>0</v>
      </c>
      <c r="AN35" s="14">
        <f>IF(AN$2=$A35,AN$3*AtomicWeights!$B$28/AN$5,0)</f>
        <v>0</v>
      </c>
      <c r="AO35" s="14">
        <f>IF(AO$2=$A35,AO$3*AtomicWeights!$B$28/AO$5,0)</f>
        <v>0</v>
      </c>
      <c r="AP35" s="14">
        <f>IF(AP$2=$A35,AP$3*AtomicWeights!$B$28/AP$5,0)</f>
        <v>0</v>
      </c>
      <c r="AQ35" s="14">
        <f>IF(AQ$2=$A35,AQ$3*AtomicWeights!$B$28/AQ$5,0)</f>
        <v>0</v>
      </c>
      <c r="AR35" s="14">
        <f>IF(AR$2=$A35,AR$3*AtomicWeights!$B$28/AR$5,0)</f>
        <v>0</v>
      </c>
      <c r="AS35" s="14">
        <f>IF(AS$2=$A35,AS$3*AtomicWeights!$B$28/AS$5,0)</f>
        <v>0</v>
      </c>
      <c r="AT35" s="14">
        <f>IF(AT$2=$A35,AT$3*AtomicWeights!$B$28/AT$5,0)</f>
        <v>0</v>
      </c>
      <c r="AU35" s="14">
        <f>IF(AU$2=$A35,AU$3*AtomicWeights!$B$28/AU$5,0)</f>
        <v>0</v>
      </c>
      <c r="AV35" s="14">
        <f>IF(AV$2=$A35,AV$3*AtomicWeights!$B$28/AV$5,0)</f>
        <v>0</v>
      </c>
      <c r="AW35" s="14">
        <f>IF(AW$2=$A35,AW$3*AtomicWeights!$B$28/AW$5,0)</f>
        <v>0</v>
      </c>
      <c r="AX35" s="14">
        <f>IF(AX$2=$A35,AX$3*AtomicWeights!$B$28/AX$5,0)</f>
        <v>0</v>
      </c>
      <c r="AY35" s="14">
        <f>IF(AY$2=$A35,AY$3*AtomicWeights!$B$28/AY$5,0)</f>
        <v>0</v>
      </c>
      <c r="AZ35" s="14">
        <f>IF(AZ$2=$A35,AZ$3*AtomicWeights!$B$28/AZ$5,0)</f>
        <v>0</v>
      </c>
      <c r="BA35" s="14">
        <f>IF(BA$2=$A35,BA$3*AtomicWeights!$B$28/BA$5,0)</f>
        <v>0</v>
      </c>
      <c r="BB35" s="14">
        <f>IF(BB$2=$A35,BB$3*AtomicWeights!$B$28/BB$5,0)</f>
        <v>0</v>
      </c>
    </row>
    <row r="36" spans="1:54" x14ac:dyDescent="0.35">
      <c r="A36" s="13" t="s">
        <v>45</v>
      </c>
      <c r="B36" t="str">
        <f>AtomicWeights!$C$29</f>
        <v>yes</v>
      </c>
      <c r="C36" s="14">
        <f>IF(C$2=$A36,C$3*AtomicWeights!$B$29/C$5,0)</f>
        <v>0</v>
      </c>
      <c r="D36" s="14">
        <f>IF(D$2=$A36,D$3*AtomicWeights!$B$29/D$5,0)</f>
        <v>0</v>
      </c>
      <c r="E36" s="14">
        <f>IF(E$2=$A36,E$3*AtomicWeights!$B$29/E$5,0)</f>
        <v>0</v>
      </c>
      <c r="F36" s="14">
        <f>IF(F$2=$A36,F$3*AtomicWeights!$B$29/F$5,0)</f>
        <v>0</v>
      </c>
      <c r="G36" s="14">
        <f>IF(G$2=$A36,G$3*AtomicWeights!$B$29/G$5,0)</f>
        <v>0</v>
      </c>
      <c r="H36" s="14">
        <f>IF(H$2=$A36,H$3*AtomicWeights!$B$29/H$5,0)</f>
        <v>0</v>
      </c>
      <c r="I36" s="14">
        <f>IF(I$2=$A36,I$3*AtomicWeights!$B$29/I$5,0)</f>
        <v>0</v>
      </c>
      <c r="J36" s="14">
        <f>IF(J$2=$A36,J$3*AtomicWeights!$B$29/J$5,0)</f>
        <v>0</v>
      </c>
      <c r="K36" s="14">
        <f>IF(K$2=$A36,K$3*AtomicWeights!$B$29/K$5,0)</f>
        <v>0</v>
      </c>
      <c r="L36" s="14">
        <f>IF(L$2=$A36,L$3*AtomicWeights!$B$29/L$5,0)</f>
        <v>0</v>
      </c>
      <c r="M36" s="14">
        <f>IF(M$2=$A36,M$3*AtomicWeights!$B$29/M$5,0)</f>
        <v>0</v>
      </c>
      <c r="N36" s="14">
        <f>IF(N$2=$A36,N$3*AtomicWeights!$B$29/N$5,0)</f>
        <v>0</v>
      </c>
      <c r="O36" s="14">
        <f>IF(O$2=$A36,O$3*AtomicWeights!$B$29/O$5,0)</f>
        <v>0</v>
      </c>
      <c r="P36" s="14">
        <f>IF(P$2=$A36,P$3*AtomicWeights!$B$29/P$5,0)</f>
        <v>0</v>
      </c>
      <c r="Q36" s="14">
        <f>IF(Q$2=$A36,Q$3*AtomicWeights!$B$29/Q$5,0)</f>
        <v>0</v>
      </c>
      <c r="R36" s="14">
        <f>IF(R$2=$A36,R$3*AtomicWeights!$B$29/R$5,0)</f>
        <v>0</v>
      </c>
      <c r="S36" s="14">
        <f>IF(S$2=$A36,S$3*AtomicWeights!$B$29/S$5,0)</f>
        <v>0</v>
      </c>
      <c r="T36" s="14">
        <f>IF(T$2=$A36,T$3*AtomicWeights!$B$29/T$5,0)</f>
        <v>0</v>
      </c>
      <c r="U36" s="14">
        <f>IF(U$2=$A36,U$3*AtomicWeights!$B$29/U$5,0)</f>
        <v>0</v>
      </c>
      <c r="V36" s="14">
        <f>IF(V$2=$A36,V$3*AtomicWeights!$B$29/V$5,0)</f>
        <v>0</v>
      </c>
      <c r="W36" s="14">
        <f>IF(W$2=$A36,W$3*AtomicWeights!$B$29/W$5,0)</f>
        <v>0</v>
      </c>
      <c r="X36" s="14">
        <f>IF(X$2=$A36,X$3*AtomicWeights!$B$29/X$5,0)</f>
        <v>0</v>
      </c>
      <c r="Y36" s="14">
        <f>IF(Y$2=$A36,Y$3*AtomicWeights!$B$29/Y$5,0)</f>
        <v>0</v>
      </c>
      <c r="Z36" s="14">
        <f>IF(Z$2=$A36,Z$3*AtomicWeights!$B$29/Z$5,0)</f>
        <v>0</v>
      </c>
      <c r="AA36" s="14">
        <f>IF(AA$2=$A36,AA$3*AtomicWeights!$B$29/AA$5,0)</f>
        <v>0</v>
      </c>
      <c r="AB36" s="14">
        <f>IF(AB$2=$A36,AB$3*AtomicWeights!$B$29/AB$5,0)</f>
        <v>0</v>
      </c>
      <c r="AC36" s="14">
        <f>IF(AC$2=$A36,AC$3*AtomicWeights!$B$29/AC$5,0)</f>
        <v>0</v>
      </c>
      <c r="AD36" s="14">
        <f>IF(AD$2=$A36,AD$3*AtomicWeights!$B$29/AD$5,0)</f>
        <v>0.27292144788565975</v>
      </c>
      <c r="AE36" s="14">
        <f>IF(AE$2=$A36,AE$3*AtomicWeights!$B$29/AE$5,0)</f>
        <v>0</v>
      </c>
      <c r="AF36" s="14">
        <f>IF(AF$2=$A36,AF$3*AtomicWeights!$B$29/AF$5,0)</f>
        <v>0</v>
      </c>
      <c r="AG36" s="14">
        <f>IF(AG$2=$A36,AG$3*AtomicWeights!$B$29/AG$5,0)</f>
        <v>0</v>
      </c>
      <c r="AH36" s="14">
        <f>IF(AH$2=$A36,AH$3*AtomicWeights!$B$29/AH$5,0)</f>
        <v>0</v>
      </c>
      <c r="AI36" s="14">
        <f>IF(AI$2=$A36,AI$3*AtomicWeights!$B$29/AI$5,0)</f>
        <v>0</v>
      </c>
      <c r="AJ36" s="14">
        <f>IF(AJ$2=$A36,AJ$3*AtomicWeights!$B$29/AJ$5,0)</f>
        <v>0</v>
      </c>
      <c r="AK36" s="14">
        <f>IF(AK$2=$A36,AK$3*AtomicWeights!$B$29/AK$5,0)</f>
        <v>0</v>
      </c>
      <c r="AL36" s="14">
        <f>IF(AL$2=$A36,AL$3*AtomicWeights!$B$29/AL$5,0)</f>
        <v>0</v>
      </c>
      <c r="AM36" s="14">
        <f>IF(AM$2=$A36,AM$3*AtomicWeights!$B$29/AM$5,0)</f>
        <v>0</v>
      </c>
      <c r="AN36" s="14">
        <f>IF(AN$2=$A36,AN$3*AtomicWeights!$B$29/AN$5,0)</f>
        <v>0</v>
      </c>
      <c r="AO36" s="14">
        <f>IF(AO$2=$A36,AO$3*AtomicWeights!$B$29/AO$5,0)</f>
        <v>0</v>
      </c>
      <c r="AP36" s="14">
        <f>IF(AP$2=$A36,AP$3*AtomicWeights!$B$29/AP$5,0)</f>
        <v>0</v>
      </c>
      <c r="AQ36" s="14">
        <f>IF(AQ$2=$A36,AQ$3*AtomicWeights!$B$29/AQ$5,0)</f>
        <v>0</v>
      </c>
      <c r="AR36" s="14">
        <f>IF(AR$2=$A36,AR$3*AtomicWeights!$B$29/AR$5,0)</f>
        <v>0</v>
      </c>
      <c r="AS36" s="14">
        <f>IF(AS$2=$A36,AS$3*AtomicWeights!$B$29/AS$5,0)</f>
        <v>0</v>
      </c>
      <c r="AT36" s="14">
        <f>IF(AT$2=$A36,AT$3*AtomicWeights!$B$29/AT$5,0)</f>
        <v>0</v>
      </c>
      <c r="AU36" s="14">
        <f>IF(AU$2=$A36,AU$3*AtomicWeights!$B$29/AU$5,0)</f>
        <v>0</v>
      </c>
      <c r="AV36" s="14">
        <f>IF(AV$2=$A36,AV$3*AtomicWeights!$B$29/AV$5,0)</f>
        <v>0</v>
      </c>
      <c r="AW36" s="14">
        <f>IF(AW$2=$A36,AW$3*AtomicWeights!$B$29/AW$5,0)</f>
        <v>0</v>
      </c>
      <c r="AX36" s="14">
        <f>IF(AX$2=$A36,AX$3*AtomicWeights!$B$29/AX$5,0)</f>
        <v>0</v>
      </c>
      <c r="AY36" s="14">
        <f>IF(AY$2=$A36,AY$3*AtomicWeights!$B$29/AY$5,0)</f>
        <v>0</v>
      </c>
      <c r="AZ36" s="14">
        <f>IF(AZ$2=$A36,AZ$3*AtomicWeights!$B$29/AZ$5,0)</f>
        <v>0</v>
      </c>
      <c r="BA36" s="14">
        <f>IF(BA$2=$A36,BA$3*AtomicWeights!$B$29/BA$5,0)</f>
        <v>0</v>
      </c>
      <c r="BB36" s="14">
        <f>IF(BB$2=$A36,BB$3*AtomicWeights!$B$29/BB$5,0)</f>
        <v>0</v>
      </c>
    </row>
    <row r="37" spans="1:54" x14ac:dyDescent="0.35">
      <c r="A37" s="13" t="s">
        <v>46</v>
      </c>
      <c r="B37" t="str">
        <f>AtomicWeights!$C$30</f>
        <v>yes</v>
      </c>
      <c r="C37" s="14">
        <f>IF(C$2=$A37,C$3*AtomicWeights!$B$30/C$5,0)</f>
        <v>0</v>
      </c>
      <c r="D37" s="14">
        <f>IF(D$2=$A37,D$3*AtomicWeights!$B$30/D$5,0)</f>
        <v>0</v>
      </c>
      <c r="E37" s="14">
        <f>IF(E$2=$A37,E$3*AtomicWeights!$B$30/E$5,0)</f>
        <v>0</v>
      </c>
      <c r="F37" s="14">
        <f>IF(F$2=$A37,F$3*AtomicWeights!$B$30/F$5,0)</f>
        <v>0</v>
      </c>
      <c r="G37" s="14">
        <f>IF(G$2=$A37,G$3*AtomicWeights!$B$30/G$5,0)</f>
        <v>0</v>
      </c>
      <c r="H37" s="14">
        <f>IF(H$2=$A37,H$3*AtomicWeights!$B$30/H$5,0)</f>
        <v>0</v>
      </c>
      <c r="I37" s="14">
        <f>IF(I$2=$A37,I$3*AtomicWeights!$B$30/I$5,0)</f>
        <v>0</v>
      </c>
      <c r="J37" s="14">
        <f>IF(J$2=$A37,J$3*AtomicWeights!$B$30/J$5,0)</f>
        <v>0</v>
      </c>
      <c r="K37" s="14">
        <f>IF(K$2=$A37,K$3*AtomicWeights!$B$30/K$5,0)</f>
        <v>0</v>
      </c>
      <c r="L37" s="14">
        <f>IF(L$2=$A37,L$3*AtomicWeights!$B$30/L$5,0)</f>
        <v>0</v>
      </c>
      <c r="M37" s="14">
        <f>IF(M$2=$A37,M$3*AtomicWeights!$B$30/M$5,0)</f>
        <v>0</v>
      </c>
      <c r="N37" s="14">
        <f>IF(N$2=$A37,N$3*AtomicWeights!$B$30/N$5,0)</f>
        <v>0</v>
      </c>
      <c r="O37" s="14">
        <f>IF(O$2=$A37,O$3*AtomicWeights!$B$30/O$5,0)</f>
        <v>0</v>
      </c>
      <c r="P37" s="14">
        <f>IF(P$2=$A37,P$3*AtomicWeights!$B$30/P$5,0)</f>
        <v>0</v>
      </c>
      <c r="Q37" s="14">
        <f>IF(Q$2=$A37,Q$3*AtomicWeights!$B$30/Q$5,0)</f>
        <v>0</v>
      </c>
      <c r="R37" s="14">
        <f>IF(R$2=$A37,R$3*AtomicWeights!$B$30/R$5,0)</f>
        <v>0</v>
      </c>
      <c r="S37" s="14">
        <f>IF(S$2=$A37,S$3*AtomicWeights!$B$30/S$5,0)</f>
        <v>0</v>
      </c>
      <c r="T37" s="14">
        <f>IF(T$2=$A37,T$3*AtomicWeights!$B$30/T$5,0)</f>
        <v>0</v>
      </c>
      <c r="U37" s="14">
        <f>IF(U$2=$A37,U$3*AtomicWeights!$B$30/U$5,0)</f>
        <v>0</v>
      </c>
      <c r="V37" s="14">
        <f>IF(V$2=$A37,V$3*AtomicWeights!$B$30/V$5,0)</f>
        <v>0</v>
      </c>
      <c r="W37" s="14">
        <f>IF(W$2=$A37,W$3*AtomicWeights!$B$30/W$5,0)</f>
        <v>0</v>
      </c>
      <c r="X37" s="14">
        <f>IF(X$2=$A37,X$3*AtomicWeights!$B$30/X$5,0)</f>
        <v>0</v>
      </c>
      <c r="Y37" s="14">
        <f>IF(Y$2=$A37,Y$3*AtomicWeights!$B$30/Y$5,0)</f>
        <v>0</v>
      </c>
      <c r="Z37" s="14">
        <f>IF(Z$2=$A37,Z$3*AtomicWeights!$B$30/Z$5,0)</f>
        <v>0</v>
      </c>
      <c r="AA37" s="14">
        <f>IF(AA$2=$A37,AA$3*AtomicWeights!$B$30/AA$5,0)</f>
        <v>0</v>
      </c>
      <c r="AB37" s="14">
        <f>IF(AB$2=$A37,AB$3*AtomicWeights!$B$30/AB$5,0)</f>
        <v>0</v>
      </c>
      <c r="AC37" s="14">
        <f>IF(AC$2=$A37,AC$3*AtomicWeights!$B$30/AC$5,0)</f>
        <v>0</v>
      </c>
      <c r="AD37" s="14">
        <f>IF(AD$2=$A37,AD$3*AtomicWeights!$B$30/AD$5,0)</f>
        <v>0</v>
      </c>
      <c r="AE37" s="14">
        <f>IF(AE$2=$A37,AE$3*AtomicWeights!$B$30/AE$5,0)</f>
        <v>0.11190674437968359</v>
      </c>
      <c r="AF37" s="14">
        <f>IF(AF$2=$A37,AF$3*AtomicWeights!$B$30/AF$5,0)</f>
        <v>0</v>
      </c>
      <c r="AG37" s="14">
        <f>IF(AG$2=$A37,AG$3*AtomicWeights!$B$30/AG$5,0)</f>
        <v>0</v>
      </c>
      <c r="AH37" s="14">
        <f>IF(AH$2=$A37,AH$3*AtomicWeights!$B$30/AH$5,0)</f>
        <v>0</v>
      </c>
      <c r="AI37" s="14">
        <f>IF(AI$2=$A37,AI$3*AtomicWeights!$B$30/AI$5,0)</f>
        <v>0</v>
      </c>
      <c r="AJ37" s="14">
        <f>IF(AJ$2=$A37,AJ$3*AtomicWeights!$B$30/AJ$5,0)</f>
        <v>0</v>
      </c>
      <c r="AK37" s="14">
        <f>IF(AK$2=$A37,AK$3*AtomicWeights!$B$30/AK$5,0)</f>
        <v>0</v>
      </c>
      <c r="AL37" s="14">
        <f>IF(AL$2=$A37,AL$3*AtomicWeights!$B$30/AL$5,0)</f>
        <v>0</v>
      </c>
      <c r="AM37" s="14">
        <f>IF(AM$2=$A37,AM$3*AtomicWeights!$B$30/AM$5,0)</f>
        <v>0</v>
      </c>
      <c r="AN37" s="14">
        <f>IF(AN$2=$A37,AN$3*AtomicWeights!$B$30/AN$5,0)</f>
        <v>0</v>
      </c>
      <c r="AO37" s="14">
        <f>IF(AO$2=$A37,AO$3*AtomicWeights!$B$30/AO$5,0)</f>
        <v>0</v>
      </c>
      <c r="AP37" s="14">
        <f>IF(AP$2=$A37,AP$3*AtomicWeights!$B$30/AP$5,0)</f>
        <v>0</v>
      </c>
      <c r="AQ37" s="14">
        <f>IF(AQ$2=$A37,AQ$3*AtomicWeights!$B$30/AQ$5,0)</f>
        <v>0</v>
      </c>
      <c r="AR37" s="14">
        <f>IF(AR$2=$A37,AR$3*AtomicWeights!$B$30/AR$5,0)</f>
        <v>0</v>
      </c>
      <c r="AS37" s="14">
        <f>IF(AS$2=$A37,AS$3*AtomicWeights!$B$30/AS$5,0)</f>
        <v>0</v>
      </c>
      <c r="AT37" s="14">
        <f>IF(AT$2=$A37,AT$3*AtomicWeights!$B$30/AT$5,0)</f>
        <v>0</v>
      </c>
      <c r="AU37" s="14">
        <f>IF(AU$2=$A37,AU$3*AtomicWeights!$B$30/AU$5,0)</f>
        <v>0</v>
      </c>
      <c r="AV37" s="14">
        <f>IF(AV$2=$A37,AV$3*AtomicWeights!$B$30/AV$5,0)</f>
        <v>0</v>
      </c>
      <c r="AW37" s="14">
        <f>IF(AW$2=$A37,AW$3*AtomicWeights!$B$30/AW$5,0)</f>
        <v>0</v>
      </c>
      <c r="AX37" s="14">
        <f>IF(AX$2=$A37,AX$3*AtomicWeights!$B$30/AX$5,0)</f>
        <v>0</v>
      </c>
      <c r="AY37" s="14">
        <f>IF(AY$2=$A37,AY$3*AtomicWeights!$B$30/AY$5,0)</f>
        <v>0</v>
      </c>
      <c r="AZ37" s="14">
        <f>IF(AZ$2=$A37,AZ$3*AtomicWeights!$B$30/AZ$5,0)</f>
        <v>0</v>
      </c>
      <c r="BA37" s="14">
        <f>IF(BA$2=$A37,BA$3*AtomicWeights!$B$30/BA$5,0)</f>
        <v>0</v>
      </c>
      <c r="BB37" s="14">
        <f>IF(BB$2=$A37,BB$3*AtomicWeights!$B$30/BB$5,0)</f>
        <v>0</v>
      </c>
    </row>
    <row r="38" spans="1:54" x14ac:dyDescent="0.35">
      <c r="A38" s="13" t="s">
        <v>47</v>
      </c>
      <c r="B38" t="str">
        <f>AtomicWeights!$C$31</f>
        <v>yes</v>
      </c>
      <c r="C38" s="14">
        <f>IF(C$2=$A38,C$3*AtomicWeights!$B$31/C$5,0)</f>
        <v>0</v>
      </c>
      <c r="D38" s="14">
        <f>IF(D$2=$A38,D$3*AtomicWeights!$B$31/D$5,0)</f>
        <v>0</v>
      </c>
      <c r="E38" s="14">
        <f>IF(E$2=$A38,E$3*AtomicWeights!$B$31/E$5,0)</f>
        <v>0</v>
      </c>
      <c r="F38" s="14">
        <f>IF(F$2=$A38,F$3*AtomicWeights!$B$31/F$5,0)</f>
        <v>0</v>
      </c>
      <c r="G38" s="14">
        <f>IF(G$2=$A38,G$3*AtomicWeights!$B$31/G$5,0)</f>
        <v>0</v>
      </c>
      <c r="H38" s="14">
        <f>IF(H$2=$A38,H$3*AtomicWeights!$B$31/H$5,0)</f>
        <v>0</v>
      </c>
      <c r="I38" s="14">
        <f>IF(I$2=$A38,I$3*AtomicWeights!$B$31/I$5,0)</f>
        <v>0</v>
      </c>
      <c r="J38" s="14">
        <f>IF(J$2=$A38,J$3*AtomicWeights!$B$31/J$5,0)</f>
        <v>0</v>
      </c>
      <c r="K38" s="14">
        <f>IF(K$2=$A38,K$3*AtomicWeights!$B$31/K$5,0)</f>
        <v>0</v>
      </c>
      <c r="L38" s="14">
        <f>IF(L$2=$A38,L$3*AtomicWeights!$B$31/L$5,0)</f>
        <v>0</v>
      </c>
      <c r="M38" s="14">
        <f>IF(M$2=$A38,M$3*AtomicWeights!$B$31/M$5,0)</f>
        <v>0</v>
      </c>
      <c r="N38" s="14">
        <f>IF(N$2=$A38,N$3*AtomicWeights!$B$31/N$5,0)</f>
        <v>0</v>
      </c>
      <c r="O38" s="14">
        <f>IF(O$2=$A38,O$3*AtomicWeights!$B$31/O$5,0)</f>
        <v>0</v>
      </c>
      <c r="P38" s="14">
        <f>IF(P$2=$A38,P$3*AtomicWeights!$B$31/P$5,0)</f>
        <v>0</v>
      </c>
      <c r="Q38" s="14">
        <f>IF(Q$2=$A38,Q$3*AtomicWeights!$B$31/Q$5,0)</f>
        <v>0</v>
      </c>
      <c r="R38" s="14">
        <f>IF(R$2=$A38,R$3*AtomicWeights!$B$31/R$5,0)</f>
        <v>0</v>
      </c>
      <c r="S38" s="14">
        <f>IF(S$2=$A38,S$3*AtomicWeights!$B$31/S$5,0)</f>
        <v>0</v>
      </c>
      <c r="T38" s="14">
        <f>IF(T$2=$A38,T$3*AtomicWeights!$B$31/T$5,0)</f>
        <v>0</v>
      </c>
      <c r="U38" s="14">
        <f>IF(U$2=$A38,U$3*AtomicWeights!$B$31/U$5,0)</f>
        <v>0</v>
      </c>
      <c r="V38" s="14">
        <f>IF(V$2=$A38,V$3*AtomicWeights!$B$31/V$5,0)</f>
        <v>0</v>
      </c>
      <c r="W38" s="14">
        <f>IF(W$2=$A38,W$3*AtomicWeights!$B$31/W$5,0)</f>
        <v>0</v>
      </c>
      <c r="X38" s="14">
        <f>IF(X$2=$A38,X$3*AtomicWeights!$B$31/X$5,0)</f>
        <v>0</v>
      </c>
      <c r="Y38" s="14">
        <f>IF(Y$2=$A38,Y$3*AtomicWeights!$B$31/Y$5,0)</f>
        <v>0</v>
      </c>
      <c r="Z38" s="14">
        <f>IF(Z$2=$A38,Z$3*AtomicWeights!$B$31/Z$5,0)</f>
        <v>0</v>
      </c>
      <c r="AA38" s="14">
        <f>IF(AA$2=$A38,AA$3*AtomicWeights!$B$31/AA$5,0)</f>
        <v>0</v>
      </c>
      <c r="AB38" s="14">
        <f>IF(AB$2=$A38,AB$3*AtomicWeights!$B$31/AB$5,0)</f>
        <v>0</v>
      </c>
      <c r="AC38" s="14">
        <f>IF(AC$2=$A38,AC$3*AtomicWeights!$B$31/AC$5,0)</f>
        <v>0</v>
      </c>
      <c r="AD38" s="14">
        <f>IF(AD$2=$A38,AD$3*AtomicWeights!$B$31/AD$5,0)</f>
        <v>0</v>
      </c>
      <c r="AE38" s="14">
        <f>IF(AE$2=$A38,AE$3*AtomicWeights!$B$31/AE$5,0)</f>
        <v>0</v>
      </c>
      <c r="AF38" s="14">
        <f>IF(AF$2=$A38,AF$3*AtomicWeights!$B$31/AF$5,0)</f>
        <v>1</v>
      </c>
      <c r="AG38" s="14">
        <f>IF(AG$2=$A38,AG$3*AtomicWeights!$B$31/AG$5,0)</f>
        <v>0</v>
      </c>
      <c r="AH38" s="14">
        <f>IF(AH$2=$A38,AH$3*AtomicWeights!$B$31/AH$5,0)</f>
        <v>0</v>
      </c>
      <c r="AI38" s="14">
        <f>IF(AI$2=$A38,AI$3*AtomicWeights!$B$31/AI$5,0)</f>
        <v>0</v>
      </c>
      <c r="AJ38" s="14">
        <f>IF(AJ$2=$A38,AJ$3*AtomicWeights!$B$31/AJ$5,0)</f>
        <v>0</v>
      </c>
      <c r="AK38" s="14">
        <f>IF(AK$2=$A38,AK$3*AtomicWeights!$B$31/AK$5,0)</f>
        <v>0</v>
      </c>
      <c r="AL38" s="14">
        <f>IF(AL$2=$A38,AL$3*AtomicWeights!$B$31/AL$5,0)</f>
        <v>0</v>
      </c>
      <c r="AM38" s="14">
        <f>IF(AM$2=$A38,AM$3*AtomicWeights!$B$31/AM$5,0)</f>
        <v>0</v>
      </c>
      <c r="AN38" s="14">
        <f>IF(AN$2=$A38,AN$3*AtomicWeights!$B$31/AN$5,0)</f>
        <v>0</v>
      </c>
      <c r="AO38" s="14">
        <f>IF(AO$2=$A38,AO$3*AtomicWeights!$B$31/AO$5,0)</f>
        <v>0</v>
      </c>
      <c r="AP38" s="14">
        <f>IF(AP$2=$A38,AP$3*AtomicWeights!$B$31/AP$5,0)</f>
        <v>0</v>
      </c>
      <c r="AQ38" s="14">
        <f>IF(AQ$2=$A38,AQ$3*AtomicWeights!$B$31/AQ$5,0)</f>
        <v>0</v>
      </c>
      <c r="AR38" s="14">
        <f>IF(AR$2=$A38,AR$3*AtomicWeights!$B$31/AR$5,0)</f>
        <v>0</v>
      </c>
      <c r="AS38" s="14">
        <f>IF(AS$2=$A38,AS$3*AtomicWeights!$B$31/AS$5,0)</f>
        <v>0</v>
      </c>
      <c r="AT38" s="14">
        <f>IF(AT$2=$A38,AT$3*AtomicWeights!$B$31/AT$5,0)</f>
        <v>0</v>
      </c>
      <c r="AU38" s="14">
        <f>IF(AU$2=$A38,AU$3*AtomicWeights!$B$31/AU$5,0)</f>
        <v>0</v>
      </c>
      <c r="AV38" s="14">
        <f>IF(AV$2=$A38,AV$3*AtomicWeights!$B$31/AV$5,0)</f>
        <v>0</v>
      </c>
      <c r="AW38" s="14">
        <f>IF(AW$2=$A38,AW$3*AtomicWeights!$B$31/AW$5,0)</f>
        <v>0</v>
      </c>
      <c r="AX38" s="14">
        <f>IF(AX$2=$A38,AX$3*AtomicWeights!$B$31/AX$5,0)</f>
        <v>0</v>
      </c>
      <c r="AY38" s="14">
        <f>IF(AY$2=$A38,AY$3*AtomicWeights!$B$31/AY$5,0)</f>
        <v>0</v>
      </c>
      <c r="AZ38" s="14">
        <f>IF(AZ$2=$A38,AZ$3*AtomicWeights!$B$31/AZ$5,0)</f>
        <v>0</v>
      </c>
      <c r="BA38" s="14">
        <f>IF(BA$2=$A38,BA$3*AtomicWeights!$B$31/BA$5,0)</f>
        <v>0</v>
      </c>
      <c r="BB38" s="14">
        <f>IF(BB$2=$A38,BB$3*AtomicWeights!$B$31/BB$5,0)</f>
        <v>0</v>
      </c>
    </row>
    <row r="39" spans="1:54" x14ac:dyDescent="0.35">
      <c r="A39" s="13" t="s">
        <v>48</v>
      </c>
      <c r="B39" t="str">
        <f>AtomicWeights!$C$32</f>
        <v>yes</v>
      </c>
      <c r="C39" s="14">
        <f>IF(C$2=$A39,C$3*AtomicWeights!$B$32/C$5,0)</f>
        <v>0</v>
      </c>
      <c r="D39" s="14">
        <f>IF(D$2=$A39,D$3*AtomicWeights!$B$32/D$5,0)</f>
        <v>0</v>
      </c>
      <c r="E39" s="14">
        <f>IF(E$2=$A39,E$3*AtomicWeights!$B$32/E$5,0)</f>
        <v>0</v>
      </c>
      <c r="F39" s="14">
        <f>IF(F$2=$A39,F$3*AtomicWeights!$B$32/F$5,0)</f>
        <v>0</v>
      </c>
      <c r="G39" s="14">
        <f>IF(G$2=$A39,G$3*AtomicWeights!$B$32/G$5,0)</f>
        <v>0</v>
      </c>
      <c r="H39" s="14">
        <f>IF(H$2=$A39,H$3*AtomicWeights!$B$32/H$5,0)</f>
        <v>0</v>
      </c>
      <c r="I39" s="14">
        <f>IF(I$2=$A39,I$3*AtomicWeights!$B$32/I$5,0)</f>
        <v>0</v>
      </c>
      <c r="J39" s="14">
        <f>IF(J$2=$A39,J$3*AtomicWeights!$B$32/J$5,0)</f>
        <v>0</v>
      </c>
      <c r="K39" s="14">
        <f>IF(K$2=$A39,K$3*AtomicWeights!$B$32/K$5,0)</f>
        <v>0</v>
      </c>
      <c r="L39" s="14">
        <f>IF(L$2=$A39,L$3*AtomicWeights!$B$32/L$5,0)</f>
        <v>0</v>
      </c>
      <c r="M39" s="14">
        <f>IF(M$2=$A39,M$3*AtomicWeights!$B$32/M$5,0)</f>
        <v>0</v>
      </c>
      <c r="N39" s="14">
        <f>IF(N$2=$A39,N$3*AtomicWeights!$B$32/N$5,0)</f>
        <v>0</v>
      </c>
      <c r="O39" s="14">
        <f>IF(O$2=$A39,O$3*AtomicWeights!$B$32/O$5,0)</f>
        <v>0</v>
      </c>
      <c r="P39" s="14">
        <f>IF(P$2=$A39,P$3*AtomicWeights!$B$32/P$5,0)</f>
        <v>0</v>
      </c>
      <c r="Q39" s="14">
        <f>IF(Q$2=$A39,Q$3*AtomicWeights!$B$32/Q$5,0)</f>
        <v>0</v>
      </c>
      <c r="R39" s="14">
        <f>IF(R$2=$A39,R$3*AtomicWeights!$B$32/R$5,0)</f>
        <v>0</v>
      </c>
      <c r="S39" s="14">
        <f>IF(S$2=$A39,S$3*AtomicWeights!$B$32/S$5,0)</f>
        <v>0</v>
      </c>
      <c r="T39" s="14">
        <f>IF(T$2=$A39,T$3*AtomicWeights!$B$32/T$5,0)</f>
        <v>0</v>
      </c>
      <c r="U39" s="14">
        <f>IF(U$2=$A39,U$3*AtomicWeights!$B$32/U$5,0)</f>
        <v>0</v>
      </c>
      <c r="V39" s="14">
        <f>IF(V$2=$A39,V$3*AtomicWeights!$B$32/V$5,0)</f>
        <v>0</v>
      </c>
      <c r="W39" s="14">
        <f>IF(W$2=$A39,W$3*AtomicWeights!$B$32/W$5,0)</f>
        <v>0</v>
      </c>
      <c r="X39" s="14">
        <f>IF(X$2=$A39,X$3*AtomicWeights!$B$32/X$5,0)</f>
        <v>0</v>
      </c>
      <c r="Y39" s="14">
        <f>IF(Y$2=$A39,Y$3*AtomicWeights!$B$32/Y$5,0)</f>
        <v>0</v>
      </c>
      <c r="Z39" s="14">
        <f>IF(Z$2=$A39,Z$3*AtomicWeights!$B$32/Z$5,0)</f>
        <v>0</v>
      </c>
      <c r="AA39" s="14">
        <f>IF(AA$2=$A39,AA$3*AtomicWeights!$B$32/AA$5,0)</f>
        <v>0</v>
      </c>
      <c r="AB39" s="14">
        <f>IF(AB$2=$A39,AB$3*AtomicWeights!$B$32/AB$5,0)</f>
        <v>0</v>
      </c>
      <c r="AC39" s="14">
        <f>IF(AC$2=$A39,AC$3*AtomicWeights!$B$32/AC$5,0)</f>
        <v>0</v>
      </c>
      <c r="AD39" s="14">
        <f>IF(AD$2=$A39,AD$3*AtomicWeights!$B$32/AD$5,0)</f>
        <v>0</v>
      </c>
      <c r="AE39" s="14">
        <f>IF(AE$2=$A39,AE$3*AtomicWeights!$B$32/AE$5,0)</f>
        <v>0</v>
      </c>
      <c r="AF39" s="14">
        <f>IF(AF$2=$A39,AF$3*AtomicWeights!$B$32/AF$5,0)</f>
        <v>0</v>
      </c>
      <c r="AG39" s="14">
        <f>IF(AG$2=$A39,AG$3*AtomicWeights!$B$32/AG$5,0)</f>
        <v>1</v>
      </c>
      <c r="AH39" s="14">
        <f>IF(AH$2=$A39,AH$3*AtomicWeights!$B$32/AH$5,0)</f>
        <v>0</v>
      </c>
      <c r="AI39" s="14">
        <f>IF(AI$2=$A39,AI$3*AtomicWeights!$B$32/AI$5,0)</f>
        <v>0</v>
      </c>
      <c r="AJ39" s="14">
        <f>IF(AJ$2=$A39,AJ$3*AtomicWeights!$B$32/AJ$5,0)</f>
        <v>0</v>
      </c>
      <c r="AK39" s="14">
        <f>IF(AK$2=$A39,AK$3*AtomicWeights!$B$32/AK$5,0)</f>
        <v>0</v>
      </c>
      <c r="AL39" s="14">
        <f>IF(AL$2=$A39,AL$3*AtomicWeights!$B$32/AL$5,0)</f>
        <v>0</v>
      </c>
      <c r="AM39" s="14">
        <f>IF(AM$2=$A39,AM$3*AtomicWeights!$B$32/AM$5,0)</f>
        <v>0</v>
      </c>
      <c r="AN39" s="14">
        <f>IF(AN$2=$A39,AN$3*AtomicWeights!$B$32/AN$5,0)</f>
        <v>0</v>
      </c>
      <c r="AO39" s="14">
        <f>IF(AO$2=$A39,AO$3*AtomicWeights!$B$32/AO$5,0)</f>
        <v>0</v>
      </c>
      <c r="AP39" s="14">
        <f>IF(AP$2=$A39,AP$3*AtomicWeights!$B$32/AP$5,0)</f>
        <v>0</v>
      </c>
      <c r="AQ39" s="14">
        <f>IF(AQ$2=$A39,AQ$3*AtomicWeights!$B$32/AQ$5,0)</f>
        <v>0</v>
      </c>
      <c r="AR39" s="14">
        <f>IF(AR$2=$A39,AR$3*AtomicWeights!$B$32/AR$5,0)</f>
        <v>0</v>
      </c>
      <c r="AS39" s="14">
        <f>IF(AS$2=$A39,AS$3*AtomicWeights!$B$32/AS$5,0)</f>
        <v>0</v>
      </c>
      <c r="AT39" s="14">
        <f>IF(AT$2=$A39,AT$3*AtomicWeights!$B$32/AT$5,0)</f>
        <v>0</v>
      </c>
      <c r="AU39" s="14">
        <f>IF(AU$2=$A39,AU$3*AtomicWeights!$B$32/AU$5,0)</f>
        <v>0</v>
      </c>
      <c r="AV39" s="14">
        <f>IF(AV$2=$A39,AV$3*AtomicWeights!$B$32/AV$5,0)</f>
        <v>0</v>
      </c>
      <c r="AW39" s="14">
        <f>IF(AW$2=$A39,AW$3*AtomicWeights!$B$32/AW$5,0)</f>
        <v>0</v>
      </c>
      <c r="AX39" s="14">
        <f>IF(AX$2=$A39,AX$3*AtomicWeights!$B$32/AX$5,0)</f>
        <v>0</v>
      </c>
      <c r="AY39" s="14">
        <f>IF(AY$2=$A39,AY$3*AtomicWeights!$B$32/AY$5,0)</f>
        <v>0</v>
      </c>
      <c r="AZ39" s="14">
        <f>IF(AZ$2=$A39,AZ$3*AtomicWeights!$B$32/AZ$5,0)</f>
        <v>0</v>
      </c>
      <c r="BA39" s="14">
        <f>IF(BA$2=$A39,BA$3*AtomicWeights!$B$32/BA$5,0)</f>
        <v>0</v>
      </c>
      <c r="BB39" s="14">
        <f>IF(BB$2=$A39,BB$3*AtomicWeights!$B$32/BB$5,0)</f>
        <v>0</v>
      </c>
    </row>
    <row r="40" spans="1:54" x14ac:dyDescent="0.35">
      <c r="A40" s="13" t="s">
        <v>49</v>
      </c>
      <c r="B40" t="str">
        <f>AtomicWeights!$C$33</f>
        <v>NO</v>
      </c>
      <c r="C40" s="14">
        <f>IF(C$2=$A40,C$3*AtomicWeights!$B$33/C$5,0)</f>
        <v>0</v>
      </c>
      <c r="D40" s="14">
        <f>IF(D$2=$A40,D$3*AtomicWeights!$B$33/D$5,0)</f>
        <v>0</v>
      </c>
      <c r="E40" s="14">
        <f>IF(E$2=$A40,E$3*AtomicWeights!$B$33/E$5,0)</f>
        <v>0</v>
      </c>
      <c r="F40" s="14">
        <f>IF(F$2=$A40,F$3*AtomicWeights!$B$33/F$5,0)</f>
        <v>0</v>
      </c>
      <c r="G40" s="14">
        <f>IF(G$2=$A40,G$3*AtomicWeights!$B$33/G$5,0)</f>
        <v>0</v>
      </c>
      <c r="H40" s="14">
        <f>IF(H$2=$A40,H$3*AtomicWeights!$B$33/H$5,0)</f>
        <v>0</v>
      </c>
      <c r="I40" s="14">
        <f>IF(I$2=$A40,I$3*AtomicWeights!$B$33/I$5,0)</f>
        <v>0</v>
      </c>
      <c r="J40" s="14">
        <f>IF(J$2=$A40,J$3*AtomicWeights!$B$33/J$5,0)</f>
        <v>0</v>
      </c>
      <c r="K40" s="14">
        <f>IF(K$2=$A40,K$3*AtomicWeights!$B$33/K$5,0)</f>
        <v>0</v>
      </c>
      <c r="L40" s="14">
        <f>IF(L$2=$A40,L$3*AtomicWeights!$B$33/L$5,0)</f>
        <v>0</v>
      </c>
      <c r="M40" s="14">
        <f>IF(M$2=$A40,M$3*AtomicWeights!$B$33/M$5,0)</f>
        <v>0</v>
      </c>
      <c r="N40" s="14">
        <f>IF(N$2=$A40,N$3*AtomicWeights!$B$33/N$5,0)</f>
        <v>0</v>
      </c>
      <c r="O40" s="14">
        <f>IF(O$2=$A40,O$3*AtomicWeights!$B$33/O$5,0)</f>
        <v>0</v>
      </c>
      <c r="P40" s="14">
        <f>IF(P$2=$A40,P$3*AtomicWeights!$B$33/P$5,0)</f>
        <v>0</v>
      </c>
      <c r="Q40" s="14">
        <f>IF(Q$2=$A40,Q$3*AtomicWeights!$B$33/Q$5,0)</f>
        <v>0</v>
      </c>
      <c r="R40" s="14">
        <f>IF(R$2=$A40,R$3*AtomicWeights!$B$33/R$5,0)</f>
        <v>0</v>
      </c>
      <c r="S40" s="14">
        <f>IF(S$2=$A40,S$3*AtomicWeights!$B$33/S$5,0)</f>
        <v>0</v>
      </c>
      <c r="T40" s="14">
        <f>IF(T$2=$A40,T$3*AtomicWeights!$B$33/T$5,0)</f>
        <v>0</v>
      </c>
      <c r="U40" s="14">
        <f>IF(U$2=$A40,U$3*AtomicWeights!$B$33/U$5,0)</f>
        <v>0</v>
      </c>
      <c r="V40" s="14">
        <f>IF(V$2=$A40,V$3*AtomicWeights!$B$33/V$5,0)</f>
        <v>0</v>
      </c>
      <c r="W40" s="14">
        <f>IF(W$2=$A40,W$3*AtomicWeights!$B$33/W$5,0)</f>
        <v>0</v>
      </c>
      <c r="X40" s="14">
        <f>IF(X$2=$A40,X$3*AtomicWeights!$B$33/X$5,0)</f>
        <v>0</v>
      </c>
      <c r="Y40" s="14">
        <f>IF(Y$2=$A40,Y$3*AtomicWeights!$B$33/Y$5,0)</f>
        <v>0</v>
      </c>
      <c r="Z40" s="14">
        <f>IF(Z$2=$A40,Z$3*AtomicWeights!$B$33/Z$5,0)</f>
        <v>0</v>
      </c>
      <c r="AA40" s="14">
        <f>IF(AA$2=$A40,AA$3*AtomicWeights!$B$33/AA$5,0)</f>
        <v>0</v>
      </c>
      <c r="AB40" s="14">
        <f>IF(AB$2=$A40,AB$3*AtomicWeights!$B$33/AB$5,0)</f>
        <v>0</v>
      </c>
      <c r="AC40" s="14">
        <f>IF(AC$2=$A40,AC$3*AtomicWeights!$B$33/AC$5,0)</f>
        <v>0</v>
      </c>
      <c r="AD40" s="14">
        <f>IF(AD$2=$A40,AD$3*AtomicWeights!$B$33/AD$5,0)</f>
        <v>0</v>
      </c>
      <c r="AE40" s="14">
        <f>IF(AE$2=$A40,AE$3*AtomicWeights!$B$33/AE$5,0)</f>
        <v>0</v>
      </c>
      <c r="AF40" s="14">
        <f>IF(AF$2=$A40,AF$3*AtomicWeights!$B$33/AF$5,0)</f>
        <v>0</v>
      </c>
      <c r="AG40" s="14">
        <f>IF(AG$2=$A40,AG$3*AtomicWeights!$B$33/AG$5,0)</f>
        <v>0</v>
      </c>
      <c r="AH40" s="14">
        <f>IF(AH$2=$A40,AH$3*AtomicWeights!$B$33/AH$5,0)</f>
        <v>0</v>
      </c>
      <c r="AI40" s="14">
        <f>IF(AI$2=$A40,AI$3*AtomicWeights!$B$33/AI$5,0)</f>
        <v>0.87881184248948152</v>
      </c>
      <c r="AJ40" s="14">
        <f>IF(AJ$2=$A40,AJ$3*AtomicWeights!$B$33/AJ$5,0)</f>
        <v>0</v>
      </c>
      <c r="AK40" s="14">
        <f>IF(AK$2=$A40,AK$3*AtomicWeights!$B$33/AK$5,0)</f>
        <v>0</v>
      </c>
      <c r="AL40" s="14">
        <f>IF(AL$2=$A40,AL$3*AtomicWeights!$B$33/AL$5,0)</f>
        <v>0</v>
      </c>
      <c r="AM40" s="14">
        <f>IF(AM$2=$A40,AM$3*AtomicWeights!$B$33/AM$5,0)</f>
        <v>0</v>
      </c>
      <c r="AN40" s="14">
        <f>IF(AN$2=$A40,AN$3*AtomicWeights!$B$33/AN$5,0)</f>
        <v>0</v>
      </c>
      <c r="AO40" s="14">
        <f>IF(AO$2=$A40,AO$3*AtomicWeights!$B$33/AO$5,0)</f>
        <v>0</v>
      </c>
      <c r="AP40" s="14">
        <f>IF(AP$2=$A40,AP$3*AtomicWeights!$B$33/AP$5,0)</f>
        <v>0</v>
      </c>
      <c r="AQ40" s="14">
        <f>IF(AQ$2=$A40,AQ$3*AtomicWeights!$B$33/AQ$5,0)</f>
        <v>0</v>
      </c>
      <c r="AR40" s="14">
        <f>IF(AR$2=$A40,AR$3*AtomicWeights!$B$33/AR$5,0)</f>
        <v>0</v>
      </c>
      <c r="AS40" s="14">
        <f>IF(AS$2=$A40,AS$3*AtomicWeights!$B$33/AS$5,0)</f>
        <v>0</v>
      </c>
      <c r="AT40" s="14">
        <f>IF(AT$2=$A40,AT$3*AtomicWeights!$B$33/AT$5,0)</f>
        <v>0</v>
      </c>
      <c r="AU40" s="14">
        <f>IF(AU$2=$A40,AU$3*AtomicWeights!$B$33/AU$5,0)</f>
        <v>0</v>
      </c>
      <c r="AV40" s="14">
        <f>IF(AV$2=$A40,AV$3*AtomicWeights!$B$33/AV$5,0)</f>
        <v>0</v>
      </c>
      <c r="AW40" s="14">
        <f>IF(AW$2=$A40,AW$3*AtomicWeights!$B$33/AW$5,0)</f>
        <v>0</v>
      </c>
      <c r="AX40" s="14">
        <f>IF(AX$2=$A40,AX$3*AtomicWeights!$B$33/AX$5,0)</f>
        <v>0</v>
      </c>
      <c r="AY40" s="14">
        <f>IF(AY$2=$A40,AY$3*AtomicWeights!$B$33/AY$5,0)</f>
        <v>0</v>
      </c>
      <c r="AZ40" s="14">
        <f>IF(AZ$2=$A40,AZ$3*AtomicWeights!$B$33/AZ$5,0)</f>
        <v>0</v>
      </c>
      <c r="BA40" s="14">
        <f>IF(BA$2=$A40,BA$3*AtomicWeights!$B$33/BA$5,0)</f>
        <v>0</v>
      </c>
      <c r="BB40" s="14">
        <f>IF(BB$2=$A40,BB$3*AtomicWeights!$B$33/BB$5,0)</f>
        <v>0</v>
      </c>
    </row>
    <row r="41" spans="1:54" x14ac:dyDescent="0.35">
      <c r="A41" s="13" t="s">
        <v>50</v>
      </c>
      <c r="B41" t="str">
        <f>AtomicWeights!$C$34</f>
        <v>NO</v>
      </c>
      <c r="C41" s="14">
        <f>IF(C$2=$A41,C$3*AtomicWeights!$B$34/C$5,0)</f>
        <v>0</v>
      </c>
      <c r="D41" s="14">
        <f>IF(D$2=$A41,D$3*AtomicWeights!$B$34/D$5,0)</f>
        <v>0</v>
      </c>
      <c r="E41" s="14">
        <f>IF(E$2=$A41,E$3*AtomicWeights!$B$34/E$5,0)</f>
        <v>0</v>
      </c>
      <c r="F41" s="14">
        <f>IF(F$2=$A41,F$3*AtomicWeights!$B$34/F$5,0)</f>
        <v>0</v>
      </c>
      <c r="G41" s="14">
        <f>IF(G$2=$A41,G$3*AtomicWeights!$B$34/G$5,0)</f>
        <v>0</v>
      </c>
      <c r="H41" s="14">
        <f>IF(H$2=$A41,H$3*AtomicWeights!$B$34/H$5,0)</f>
        <v>0</v>
      </c>
      <c r="I41" s="14">
        <f>IF(I$2=$A41,I$3*AtomicWeights!$B$34/I$5,0)</f>
        <v>0</v>
      </c>
      <c r="J41" s="14">
        <f>IF(J$2=$A41,J$3*AtomicWeights!$B$34/J$5,0)</f>
        <v>0</v>
      </c>
      <c r="K41" s="14">
        <f>IF(K$2=$A41,K$3*AtomicWeights!$B$34/K$5,0)</f>
        <v>0</v>
      </c>
      <c r="L41" s="14">
        <f>IF(L$2=$A41,L$3*AtomicWeights!$B$34/L$5,0)</f>
        <v>0</v>
      </c>
      <c r="M41" s="14">
        <f>IF(M$2=$A41,M$3*AtomicWeights!$B$34/M$5,0)</f>
        <v>0</v>
      </c>
      <c r="N41" s="14">
        <f>IF(N$2=$A41,N$3*AtomicWeights!$B$34/N$5,0)</f>
        <v>0</v>
      </c>
      <c r="O41" s="14">
        <f>IF(O$2=$A41,O$3*AtomicWeights!$B$34/O$5,0)</f>
        <v>0</v>
      </c>
      <c r="P41" s="14">
        <f>IF(P$2=$A41,P$3*AtomicWeights!$B$34/P$5,0)</f>
        <v>0</v>
      </c>
      <c r="Q41" s="14">
        <f>IF(Q$2=$A41,Q$3*AtomicWeights!$B$34/Q$5,0)</f>
        <v>0</v>
      </c>
      <c r="R41" s="14">
        <f>IF(R$2=$A41,R$3*AtomicWeights!$B$34/R$5,0)</f>
        <v>0</v>
      </c>
      <c r="S41" s="14">
        <f>IF(S$2=$A41,S$3*AtomicWeights!$B$34/S$5,0)</f>
        <v>0</v>
      </c>
      <c r="T41" s="14">
        <f>IF(T$2=$A41,T$3*AtomicWeights!$B$34/T$5,0)</f>
        <v>0</v>
      </c>
      <c r="U41" s="14">
        <f>IF(U$2=$A41,U$3*AtomicWeights!$B$34/U$5,0)</f>
        <v>0</v>
      </c>
      <c r="V41" s="14">
        <f>IF(V$2=$A41,V$3*AtomicWeights!$B$34/V$5,0)</f>
        <v>0</v>
      </c>
      <c r="W41" s="14">
        <f>IF(W$2=$A41,W$3*AtomicWeights!$B$34/W$5,0)</f>
        <v>0</v>
      </c>
      <c r="X41" s="14">
        <f>IF(X$2=$A41,X$3*AtomicWeights!$B$34/X$5,0)</f>
        <v>0</v>
      </c>
      <c r="Y41" s="14">
        <f>IF(Y$2=$A41,Y$3*AtomicWeights!$B$34/Y$5,0)</f>
        <v>0</v>
      </c>
      <c r="Z41" s="14">
        <f>IF(Z$2=$A41,Z$3*AtomicWeights!$B$34/Z$5,0)</f>
        <v>0</v>
      </c>
      <c r="AA41" s="14">
        <f>IF(AA$2=$A41,AA$3*AtomicWeights!$B$34/AA$5,0)</f>
        <v>0</v>
      </c>
      <c r="AB41" s="14">
        <f>IF(AB$2=$A41,AB$3*AtomicWeights!$B$34/AB$5,0)</f>
        <v>0</v>
      </c>
      <c r="AC41" s="14">
        <f>IF(AC$2=$A41,AC$3*AtomicWeights!$B$34/AC$5,0)</f>
        <v>0</v>
      </c>
      <c r="AD41" s="14">
        <f>IF(AD$2=$A41,AD$3*AtomicWeights!$B$34/AD$5,0)</f>
        <v>0</v>
      </c>
      <c r="AE41" s="14">
        <f>IF(AE$2=$A41,AE$3*AtomicWeights!$B$34/AE$5,0)</f>
        <v>0</v>
      </c>
      <c r="AF41" s="14">
        <f>IF(AF$2=$A41,AF$3*AtomicWeights!$B$34/AF$5,0)</f>
        <v>0</v>
      </c>
      <c r="AG41" s="14">
        <f>IF(AG$2=$A41,AG$3*AtomicWeights!$B$34/AG$5,0)</f>
        <v>0</v>
      </c>
      <c r="AH41" s="14">
        <f>IF(AH$2=$A41,AH$3*AtomicWeights!$B$34/AH$5,0)</f>
        <v>0</v>
      </c>
      <c r="AI41" s="14">
        <f>IF(AI$2=$A41,AI$3*AtomicWeights!$B$34/AI$5,0)</f>
        <v>0</v>
      </c>
      <c r="AJ41" s="14">
        <f>IF(AJ$2=$A41,AJ$3*AtomicWeights!$B$34/AJ$5,0)</f>
        <v>0.88150069931919006</v>
      </c>
      <c r="AK41" s="14">
        <f>IF(AK$2=$A41,AK$3*AtomicWeights!$B$34/AK$5,0)</f>
        <v>0</v>
      </c>
      <c r="AL41" s="14">
        <f>IF(AL$2=$A41,AL$3*AtomicWeights!$B$34/AL$5,0)</f>
        <v>0</v>
      </c>
      <c r="AM41" s="14">
        <f>IF(AM$2=$A41,AM$3*AtomicWeights!$B$34/AM$5,0)</f>
        <v>0</v>
      </c>
      <c r="AN41" s="14">
        <f>IF(AN$2=$A41,AN$3*AtomicWeights!$B$34/AN$5,0)</f>
        <v>0</v>
      </c>
      <c r="AO41" s="14">
        <f>IF(AO$2=$A41,AO$3*AtomicWeights!$B$34/AO$5,0)</f>
        <v>0</v>
      </c>
      <c r="AP41" s="14">
        <f>IF(AP$2=$A41,AP$3*AtomicWeights!$B$34/AP$5,0)</f>
        <v>0</v>
      </c>
      <c r="AQ41" s="14">
        <f>IF(AQ$2=$A41,AQ$3*AtomicWeights!$B$34/AQ$5,0)</f>
        <v>0</v>
      </c>
      <c r="AR41" s="14">
        <f>IF(AR$2=$A41,AR$3*AtomicWeights!$B$34/AR$5,0)</f>
        <v>0</v>
      </c>
      <c r="AS41" s="14">
        <f>IF(AS$2=$A41,AS$3*AtomicWeights!$B$34/AS$5,0)</f>
        <v>0</v>
      </c>
      <c r="AT41" s="14">
        <f>IF(AT$2=$A41,AT$3*AtomicWeights!$B$34/AT$5,0)</f>
        <v>0</v>
      </c>
      <c r="AU41" s="14">
        <f>IF(AU$2=$A41,AU$3*AtomicWeights!$B$34/AU$5,0)</f>
        <v>0</v>
      </c>
      <c r="AV41" s="14">
        <f>IF(AV$2=$A41,AV$3*AtomicWeights!$B$34/AV$5,0)</f>
        <v>0</v>
      </c>
      <c r="AW41" s="14">
        <f>IF(AW$2=$A41,AW$3*AtomicWeights!$B$34/AW$5,0)</f>
        <v>0</v>
      </c>
      <c r="AX41" s="14">
        <f>IF(AX$2=$A41,AX$3*AtomicWeights!$B$34/AX$5,0)</f>
        <v>0</v>
      </c>
      <c r="AY41" s="14">
        <f>IF(AY$2=$A41,AY$3*AtomicWeights!$B$34/AY$5,0)</f>
        <v>0</v>
      </c>
      <c r="AZ41" s="14">
        <f>IF(AZ$2=$A41,AZ$3*AtomicWeights!$B$34/AZ$5,0)</f>
        <v>0</v>
      </c>
      <c r="BA41" s="14">
        <f>IF(BA$2=$A41,BA$3*AtomicWeights!$B$34/BA$5,0)</f>
        <v>0</v>
      </c>
      <c r="BB41" s="14">
        <f>IF(BB$2=$A41,BB$3*AtomicWeights!$B$34/BB$5,0)</f>
        <v>0</v>
      </c>
    </row>
    <row r="42" spans="1:54" x14ac:dyDescent="0.35">
      <c r="A42" s="13" t="s">
        <v>51</v>
      </c>
      <c r="B42" t="str">
        <f>AtomicWeights!$C$35</f>
        <v>yes</v>
      </c>
      <c r="C42" s="14">
        <f>IF(C$2=$A42,C$3*AtomicWeights!$B$35/C$5,0)</f>
        <v>0</v>
      </c>
      <c r="D42" s="14">
        <f>IF(D$2=$A42,D$3*AtomicWeights!$B$35/D$5,0)</f>
        <v>0</v>
      </c>
      <c r="E42" s="14">
        <f>IF(E$2=$A42,E$3*AtomicWeights!$B$35/E$5,0)</f>
        <v>0</v>
      </c>
      <c r="F42" s="14">
        <f>IF(F$2=$A42,F$3*AtomicWeights!$B$35/F$5,0)</f>
        <v>0</v>
      </c>
      <c r="G42" s="14">
        <f>IF(G$2=$A42,G$3*AtomicWeights!$B$35/G$5,0)</f>
        <v>0</v>
      </c>
      <c r="H42" s="14">
        <f>IF(H$2=$A42,H$3*AtomicWeights!$B$35/H$5,0)</f>
        <v>0</v>
      </c>
      <c r="I42" s="14">
        <f>IF(I$2=$A42,I$3*AtomicWeights!$B$35/I$5,0)</f>
        <v>0</v>
      </c>
      <c r="J42" s="14">
        <f>IF(J$2=$A42,J$3*AtomicWeights!$B$35/J$5,0)</f>
        <v>0</v>
      </c>
      <c r="K42" s="14">
        <f>IF(K$2=$A42,K$3*AtomicWeights!$B$35/K$5,0)</f>
        <v>0</v>
      </c>
      <c r="L42" s="14">
        <f>IF(L$2=$A42,L$3*AtomicWeights!$B$35/L$5,0)</f>
        <v>0</v>
      </c>
      <c r="M42" s="14">
        <f>IF(M$2=$A42,M$3*AtomicWeights!$B$35/M$5,0)</f>
        <v>0</v>
      </c>
      <c r="N42" s="14">
        <f>IF(N$2=$A42,N$3*AtomicWeights!$B$35/N$5,0)</f>
        <v>0</v>
      </c>
      <c r="O42" s="14">
        <f>IF(O$2=$A42,O$3*AtomicWeights!$B$35/O$5,0)</f>
        <v>0</v>
      </c>
      <c r="P42" s="14">
        <f>IF(P$2=$A42,P$3*AtomicWeights!$B$35/P$5,0)</f>
        <v>0</v>
      </c>
      <c r="Q42" s="14">
        <f>IF(Q$2=$A42,Q$3*AtomicWeights!$B$35/Q$5,0)</f>
        <v>0</v>
      </c>
      <c r="R42" s="14">
        <f>IF(R$2=$A42,R$3*AtomicWeights!$B$35/R$5,0)</f>
        <v>0</v>
      </c>
      <c r="S42" s="14">
        <f>IF(S$2=$A42,S$3*AtomicWeights!$B$35/S$5,0)</f>
        <v>0</v>
      </c>
      <c r="T42" s="14">
        <f>IF(T$2=$A42,T$3*AtomicWeights!$B$35/T$5,0)</f>
        <v>0</v>
      </c>
      <c r="U42" s="14">
        <f>IF(U$2=$A42,U$3*AtomicWeights!$B$35/U$5,0)</f>
        <v>0</v>
      </c>
      <c r="V42" s="14">
        <f>IF(V$2=$A42,V$3*AtomicWeights!$B$35/V$5,0)</f>
        <v>0</v>
      </c>
      <c r="W42" s="14">
        <f>IF(W$2=$A42,W$3*AtomicWeights!$B$35/W$5,0)</f>
        <v>0</v>
      </c>
      <c r="X42" s="14">
        <f>IF(X$2=$A42,X$3*AtomicWeights!$B$35/X$5,0)</f>
        <v>0</v>
      </c>
      <c r="Y42" s="14">
        <f>IF(Y$2=$A42,Y$3*AtomicWeights!$B$35/Y$5,0)</f>
        <v>0</v>
      </c>
      <c r="Z42" s="14">
        <f>IF(Z$2=$A42,Z$3*AtomicWeights!$B$35/Z$5,0)</f>
        <v>0</v>
      </c>
      <c r="AA42" s="14">
        <f>IF(AA$2=$A42,AA$3*AtomicWeights!$B$35/AA$5,0)</f>
        <v>0</v>
      </c>
      <c r="AB42" s="14">
        <f>IF(AB$2=$A42,AB$3*AtomicWeights!$B$35/AB$5,0)</f>
        <v>0</v>
      </c>
      <c r="AC42" s="14">
        <f>IF(AC$2=$A42,AC$3*AtomicWeights!$B$35/AC$5,0)</f>
        <v>0</v>
      </c>
      <c r="AD42" s="14">
        <f>IF(AD$2=$A42,AD$3*AtomicWeights!$B$35/AD$5,0)</f>
        <v>0</v>
      </c>
      <c r="AE42" s="14">
        <f>IF(AE$2=$A42,AE$3*AtomicWeights!$B$35/AE$5,0)</f>
        <v>0</v>
      </c>
      <c r="AF42" s="14">
        <f>IF(AF$2=$A42,AF$3*AtomicWeights!$B$35/AF$5,0)</f>
        <v>0</v>
      </c>
      <c r="AG42" s="14">
        <f>IF(AG$2=$A42,AG$3*AtomicWeights!$B$35/AG$5,0)</f>
        <v>0</v>
      </c>
      <c r="AH42" s="14">
        <f>IF(AH$2=$A42,AH$3*AtomicWeights!$B$35/AH$5,0)</f>
        <v>0</v>
      </c>
      <c r="AI42" s="14">
        <f>IF(AI$2=$A42,AI$3*AtomicWeights!$B$35/AI$5,0)</f>
        <v>0</v>
      </c>
      <c r="AJ42" s="14">
        <f>IF(AJ$2=$A42,AJ$3*AtomicWeights!$B$35/AJ$5,0)</f>
        <v>0</v>
      </c>
      <c r="AK42" s="14">
        <f>IF(AK$2=$A42,AK$3*AtomicWeights!$B$35/AK$5,0)</f>
        <v>0.65196568724076354</v>
      </c>
      <c r="AL42" s="14">
        <f>IF(AL$2=$A42,AL$3*AtomicWeights!$B$35/AL$5,0)</f>
        <v>0</v>
      </c>
      <c r="AM42" s="14">
        <f>IF(AM$2=$A42,AM$3*AtomicWeights!$B$35/AM$5,0)</f>
        <v>0</v>
      </c>
      <c r="AN42" s="14">
        <f>IF(AN$2=$A42,AN$3*AtomicWeights!$B$35/AN$5,0)</f>
        <v>0</v>
      </c>
      <c r="AO42" s="14">
        <f>IF(AO$2=$A42,AO$3*AtomicWeights!$B$35/AO$5,0)</f>
        <v>0</v>
      </c>
      <c r="AP42" s="14">
        <f>IF(AP$2=$A42,AP$3*AtomicWeights!$B$35/AP$5,0)</f>
        <v>0</v>
      </c>
      <c r="AQ42" s="14">
        <f>IF(AQ$2=$A42,AQ$3*AtomicWeights!$B$35/AQ$5,0)</f>
        <v>0</v>
      </c>
      <c r="AR42" s="14">
        <f>IF(AR$2=$A42,AR$3*AtomicWeights!$B$35/AR$5,0)</f>
        <v>0</v>
      </c>
      <c r="AS42" s="14">
        <f>IF(AS$2=$A42,AS$3*AtomicWeights!$B$35/AS$5,0)</f>
        <v>0</v>
      </c>
      <c r="AT42" s="14">
        <f>IF(AT$2=$A42,AT$3*AtomicWeights!$B$35/AT$5,0)</f>
        <v>0</v>
      </c>
      <c r="AU42" s="14">
        <f>IF(AU$2=$A42,AU$3*AtomicWeights!$B$35/AU$5,0)</f>
        <v>0</v>
      </c>
      <c r="AV42" s="14">
        <f>IF(AV$2=$A42,AV$3*AtomicWeights!$B$35/AV$5,0)</f>
        <v>0</v>
      </c>
      <c r="AW42" s="14">
        <f>IF(AW$2=$A42,AW$3*AtomicWeights!$B$35/AW$5,0)</f>
        <v>0</v>
      </c>
      <c r="AX42" s="14">
        <f>IF(AX$2=$A42,AX$3*AtomicWeights!$B$35/AX$5,0)</f>
        <v>0</v>
      </c>
      <c r="AY42" s="14">
        <f>IF(AY$2=$A42,AY$3*AtomicWeights!$B$35/AY$5,0)</f>
        <v>0</v>
      </c>
      <c r="AZ42" s="14">
        <f>IF(AZ$2=$A42,AZ$3*AtomicWeights!$B$35/AZ$5,0)</f>
        <v>0</v>
      </c>
      <c r="BA42" s="14">
        <f>IF(BA$2=$A42,BA$3*AtomicWeights!$B$35/BA$5,0)</f>
        <v>0</v>
      </c>
      <c r="BB42" s="14">
        <f>IF(BB$2=$A42,BB$3*AtomicWeights!$B$35/BB$5,0)</f>
        <v>0</v>
      </c>
    </row>
    <row r="43" spans="1:54" x14ac:dyDescent="0.35">
      <c r="A43" s="13" t="s">
        <v>52</v>
      </c>
      <c r="B43" t="str">
        <f>AtomicWeights!$C$36</f>
        <v>yes</v>
      </c>
      <c r="C43" s="14">
        <f>IF(C$2=$A43,C$3*AtomicWeights!$B$36/C$5,0)</f>
        <v>0</v>
      </c>
      <c r="D43" s="14">
        <f>IF(D$2=$A43,D$3*AtomicWeights!$B$36/D$5,0)</f>
        <v>0</v>
      </c>
      <c r="E43" s="14">
        <f>IF(E$2=$A43,E$3*AtomicWeights!$B$36/E$5,0)</f>
        <v>0</v>
      </c>
      <c r="F43" s="14">
        <f>IF(F$2=$A43,F$3*AtomicWeights!$B$36/F$5,0)</f>
        <v>0</v>
      </c>
      <c r="G43" s="14">
        <f>IF(G$2=$A43,G$3*AtomicWeights!$B$36/G$5,0)</f>
        <v>0</v>
      </c>
      <c r="H43" s="14">
        <f>IF(H$2=$A43,H$3*AtomicWeights!$B$36/H$5,0)</f>
        <v>0</v>
      </c>
      <c r="I43" s="14">
        <f>IF(I$2=$A43,I$3*AtomicWeights!$B$36/I$5,0)</f>
        <v>0</v>
      </c>
      <c r="J43" s="14">
        <f>IF(J$2=$A43,J$3*AtomicWeights!$B$36/J$5,0)</f>
        <v>0</v>
      </c>
      <c r="K43" s="14">
        <f>IF(K$2=$A43,K$3*AtomicWeights!$B$36/K$5,0)</f>
        <v>0</v>
      </c>
      <c r="L43" s="14">
        <f>IF(L$2=$A43,L$3*AtomicWeights!$B$36/L$5,0)</f>
        <v>0</v>
      </c>
      <c r="M43" s="14">
        <f>IF(M$2=$A43,M$3*AtomicWeights!$B$36/M$5,0)</f>
        <v>0</v>
      </c>
      <c r="N43" s="14">
        <f>IF(N$2=$A43,N$3*AtomicWeights!$B$36/N$5,0)</f>
        <v>0</v>
      </c>
      <c r="O43" s="14">
        <f>IF(O$2=$A43,O$3*AtomicWeights!$B$36/O$5,0)</f>
        <v>0</v>
      </c>
      <c r="P43" s="14">
        <f>IF(P$2=$A43,P$3*AtomicWeights!$B$36/P$5,0)</f>
        <v>0</v>
      </c>
      <c r="Q43" s="14">
        <f>IF(Q$2=$A43,Q$3*AtomicWeights!$B$36/Q$5,0)</f>
        <v>0</v>
      </c>
      <c r="R43" s="14">
        <f>IF(R$2=$A43,R$3*AtomicWeights!$B$36/R$5,0)</f>
        <v>0</v>
      </c>
      <c r="S43" s="14">
        <f>IF(S$2=$A43,S$3*AtomicWeights!$B$36/S$5,0)</f>
        <v>0</v>
      </c>
      <c r="T43" s="14">
        <f>IF(T$2=$A43,T$3*AtomicWeights!$B$36/T$5,0)</f>
        <v>0</v>
      </c>
      <c r="U43" s="14">
        <f>IF(U$2=$A43,U$3*AtomicWeights!$B$36/U$5,0)</f>
        <v>0</v>
      </c>
      <c r="V43" s="14">
        <f>IF(V$2=$A43,V$3*AtomicWeights!$B$36/V$5,0)</f>
        <v>0</v>
      </c>
      <c r="W43" s="14">
        <f>IF(W$2=$A43,W$3*AtomicWeights!$B$36/W$5,0)</f>
        <v>0</v>
      </c>
      <c r="X43" s="14">
        <f>IF(X$2=$A43,X$3*AtomicWeights!$B$36/X$5,0)</f>
        <v>0</v>
      </c>
      <c r="Y43" s="14">
        <f>IF(Y$2=$A43,Y$3*AtomicWeights!$B$36/Y$5,0)</f>
        <v>0</v>
      </c>
      <c r="Z43" s="14">
        <f>IF(Z$2=$A43,Z$3*AtomicWeights!$B$36/Z$5,0)</f>
        <v>0</v>
      </c>
      <c r="AA43" s="14">
        <f>IF(AA$2=$A43,AA$3*AtomicWeights!$B$36/AA$5,0)</f>
        <v>0</v>
      </c>
      <c r="AB43" s="14">
        <f>IF(AB$2=$A43,AB$3*AtomicWeights!$B$36/AB$5,0)</f>
        <v>0</v>
      </c>
      <c r="AC43" s="14">
        <f>IF(AC$2=$A43,AC$3*AtomicWeights!$B$36/AC$5,0)</f>
        <v>0</v>
      </c>
      <c r="AD43" s="14">
        <f>IF(AD$2=$A43,AD$3*AtomicWeights!$B$36/AD$5,0)</f>
        <v>0</v>
      </c>
      <c r="AE43" s="14">
        <f>IF(AE$2=$A43,AE$3*AtomicWeights!$B$36/AE$5,0)</f>
        <v>0</v>
      </c>
      <c r="AF43" s="14">
        <f>IF(AF$2=$A43,AF$3*AtomicWeights!$B$36/AF$5,0)</f>
        <v>0</v>
      </c>
      <c r="AG43" s="14">
        <f>IF(AG$2=$A43,AG$3*AtomicWeights!$B$36/AG$5,0)</f>
        <v>0</v>
      </c>
      <c r="AH43" s="14">
        <f>IF(AH$2=$A43,AH$3*AtomicWeights!$B$36/AH$5,0)</f>
        <v>0</v>
      </c>
      <c r="AI43" s="14">
        <f>IF(AI$2=$A43,AI$3*AtomicWeights!$B$36/AI$5,0)</f>
        <v>0</v>
      </c>
      <c r="AJ43" s="14">
        <f>IF(AJ$2=$A43,AJ$3*AtomicWeights!$B$36/AJ$5,0)</f>
        <v>0</v>
      </c>
      <c r="AK43" s="14">
        <f>IF(AK$2=$A43,AK$3*AtomicWeights!$B$36/AK$5,0)</f>
        <v>0</v>
      </c>
      <c r="AL43" s="14">
        <f>IF(AL$2=$A43,AL$3*AtomicWeights!$B$36/AL$5,0)</f>
        <v>0.78744395476737217</v>
      </c>
      <c r="AM43" s="14">
        <f>IF(AM$2=$A43,AM$3*AtomicWeights!$B$36/AM$5,0)</f>
        <v>0</v>
      </c>
      <c r="AN43" s="14">
        <f>IF(AN$2=$A43,AN$3*AtomicWeights!$B$36/AN$5,0)</f>
        <v>0</v>
      </c>
      <c r="AO43" s="14">
        <f>IF(AO$2=$A43,AO$3*AtomicWeights!$B$36/AO$5,0)</f>
        <v>0</v>
      </c>
      <c r="AP43" s="14">
        <f>IF(AP$2=$A43,AP$3*AtomicWeights!$B$36/AP$5,0)</f>
        <v>0</v>
      </c>
      <c r="AQ43" s="14">
        <f>IF(AQ$2=$A43,AQ$3*AtomicWeights!$B$36/AQ$5,0)</f>
        <v>0</v>
      </c>
      <c r="AR43" s="14">
        <f>IF(AR$2=$A43,AR$3*AtomicWeights!$B$36/AR$5,0)</f>
        <v>0</v>
      </c>
      <c r="AS43" s="14">
        <f>IF(AS$2=$A43,AS$3*AtomicWeights!$B$36/AS$5,0)</f>
        <v>0</v>
      </c>
      <c r="AT43" s="14">
        <f>IF(AT$2=$A43,AT$3*AtomicWeights!$B$36/AT$5,0)</f>
        <v>0</v>
      </c>
      <c r="AU43" s="14">
        <f>IF(AU$2=$A43,AU$3*AtomicWeights!$B$36/AU$5,0)</f>
        <v>0</v>
      </c>
      <c r="AV43" s="14">
        <f>IF(AV$2=$A43,AV$3*AtomicWeights!$B$36/AV$5,0)</f>
        <v>0</v>
      </c>
      <c r="AW43" s="14">
        <f>IF(AW$2=$A43,AW$3*AtomicWeights!$B$36/AW$5,0)</f>
        <v>0</v>
      </c>
      <c r="AX43" s="14">
        <f>IF(AX$2=$A43,AX$3*AtomicWeights!$B$36/AX$5,0)</f>
        <v>0</v>
      </c>
      <c r="AY43" s="14">
        <f>IF(AY$2=$A43,AY$3*AtomicWeights!$B$36/AY$5,0)</f>
        <v>0</v>
      </c>
      <c r="AZ43" s="14">
        <f>IF(AZ$2=$A43,AZ$3*AtomicWeights!$B$36/AZ$5,0)</f>
        <v>0</v>
      </c>
      <c r="BA43" s="14">
        <f>IF(BA$2=$A43,BA$3*AtomicWeights!$B$36/BA$5,0)</f>
        <v>0</v>
      </c>
      <c r="BB43" s="14">
        <f>IF(BB$2=$A43,BB$3*AtomicWeights!$B$36/BB$5,0)</f>
        <v>0</v>
      </c>
    </row>
    <row r="44" spans="1:54" x14ac:dyDescent="0.35">
      <c r="A44" s="13" t="s">
        <v>53</v>
      </c>
      <c r="B44" t="str">
        <f>AtomicWeights!$C$37</f>
        <v>yes</v>
      </c>
      <c r="C44" s="14">
        <f>IF(C$2=$A44,C$3*AtomicWeights!$B$37/C$5,0)</f>
        <v>0</v>
      </c>
      <c r="D44" s="14">
        <f>IF(D$2=$A44,D$3*AtomicWeights!$B$37/D$5,0)</f>
        <v>0</v>
      </c>
      <c r="E44" s="14">
        <f>IF(E$2=$A44,E$3*AtomicWeights!$B$37/E$5,0)</f>
        <v>0</v>
      </c>
      <c r="F44" s="14">
        <f>IF(F$2=$A44,F$3*AtomicWeights!$B$37/F$5,0)</f>
        <v>0</v>
      </c>
      <c r="G44" s="14">
        <f>IF(G$2=$A44,G$3*AtomicWeights!$B$37/G$5,0)</f>
        <v>0</v>
      </c>
      <c r="H44" s="14">
        <f>IF(H$2=$A44,H$3*AtomicWeights!$B$37/H$5,0)</f>
        <v>0</v>
      </c>
      <c r="I44" s="14">
        <f>IF(I$2=$A44,I$3*AtomicWeights!$B$37/I$5,0)</f>
        <v>0</v>
      </c>
      <c r="J44" s="14">
        <f>IF(J$2=$A44,J$3*AtomicWeights!$B$37/J$5,0)</f>
        <v>0</v>
      </c>
      <c r="K44" s="14">
        <f>IF(K$2=$A44,K$3*AtomicWeights!$B$37/K$5,0)</f>
        <v>0</v>
      </c>
      <c r="L44" s="14">
        <f>IF(L$2=$A44,L$3*AtomicWeights!$B$37/L$5,0)</f>
        <v>0</v>
      </c>
      <c r="M44" s="14">
        <f>IF(M$2=$A44,M$3*AtomicWeights!$B$37/M$5,0)</f>
        <v>0</v>
      </c>
      <c r="N44" s="14">
        <f>IF(N$2=$A44,N$3*AtomicWeights!$B$37/N$5,0)</f>
        <v>0</v>
      </c>
      <c r="O44" s="14">
        <f>IF(O$2=$A44,O$3*AtomicWeights!$B$37/O$5,0)</f>
        <v>0</v>
      </c>
      <c r="P44" s="14">
        <f>IF(P$2=$A44,P$3*AtomicWeights!$B$37/P$5,0)</f>
        <v>0</v>
      </c>
      <c r="Q44" s="14">
        <f>IF(Q$2=$A44,Q$3*AtomicWeights!$B$37/Q$5,0)</f>
        <v>0</v>
      </c>
      <c r="R44" s="14">
        <f>IF(R$2=$A44,R$3*AtomicWeights!$B$37/R$5,0)</f>
        <v>0</v>
      </c>
      <c r="S44" s="14">
        <f>IF(S$2=$A44,S$3*AtomicWeights!$B$37/S$5,0)</f>
        <v>0</v>
      </c>
      <c r="T44" s="14">
        <f>IF(T$2=$A44,T$3*AtomicWeights!$B$37/T$5,0)</f>
        <v>0</v>
      </c>
      <c r="U44" s="14">
        <f>IF(U$2=$A44,U$3*AtomicWeights!$B$37/U$5,0)</f>
        <v>0</v>
      </c>
      <c r="V44" s="14">
        <f>IF(V$2=$A44,V$3*AtomicWeights!$B$37/V$5,0)</f>
        <v>0</v>
      </c>
      <c r="W44" s="14">
        <f>IF(W$2=$A44,W$3*AtomicWeights!$B$37/W$5,0)</f>
        <v>0</v>
      </c>
      <c r="X44" s="14">
        <f>IF(X$2=$A44,X$3*AtomicWeights!$B$37/X$5,0)</f>
        <v>0</v>
      </c>
      <c r="Y44" s="14">
        <f>IF(Y$2=$A44,Y$3*AtomicWeights!$B$37/Y$5,0)</f>
        <v>0</v>
      </c>
      <c r="Z44" s="14">
        <f>IF(Z$2=$A44,Z$3*AtomicWeights!$B$37/Z$5,0)</f>
        <v>0</v>
      </c>
      <c r="AA44" s="14">
        <f>IF(AA$2=$A44,AA$3*AtomicWeights!$B$37/AA$5,0)</f>
        <v>0</v>
      </c>
      <c r="AB44" s="14">
        <f>IF(AB$2=$A44,AB$3*AtomicWeights!$B$37/AB$5,0)</f>
        <v>0</v>
      </c>
      <c r="AC44" s="14">
        <f>IF(AC$2=$A44,AC$3*AtomicWeights!$B$37/AC$5,0)</f>
        <v>0</v>
      </c>
      <c r="AD44" s="14">
        <f>IF(AD$2=$A44,AD$3*AtomicWeights!$B$37/AD$5,0)</f>
        <v>0</v>
      </c>
      <c r="AE44" s="14">
        <f>IF(AE$2=$A44,AE$3*AtomicWeights!$B$37/AE$5,0)</f>
        <v>0</v>
      </c>
      <c r="AF44" s="14">
        <f>IF(AF$2=$A44,AF$3*AtomicWeights!$B$37/AF$5,0)</f>
        <v>0</v>
      </c>
      <c r="AG44" s="14">
        <f>IF(AG$2=$A44,AG$3*AtomicWeights!$B$37/AG$5,0)</f>
        <v>0</v>
      </c>
      <c r="AH44" s="14">
        <f>IF(AH$2=$A44,AH$3*AtomicWeights!$B$37/AH$5,0)</f>
        <v>0</v>
      </c>
      <c r="AI44" s="14">
        <f>IF(AI$2=$A44,AI$3*AtomicWeights!$B$37/AI$5,0)</f>
        <v>0</v>
      </c>
      <c r="AJ44" s="14">
        <f>IF(AJ$2=$A44,AJ$3*AtomicWeights!$B$37/AJ$5,0)</f>
        <v>0</v>
      </c>
      <c r="AK44" s="14">
        <f>IF(AK$2=$A44,AK$3*AtomicWeights!$B$37/AK$5,0)</f>
        <v>0</v>
      </c>
      <c r="AL44" s="14">
        <f>IF(AL$2=$A44,AL$3*AtomicWeights!$B$37/AL$5,0)</f>
        <v>0</v>
      </c>
      <c r="AM44" s="14">
        <f>IF(AM$2=$A44,AM$3*AtomicWeights!$B$37/AM$5,0)</f>
        <v>0.85268314823757818</v>
      </c>
      <c r="AN44" s="14">
        <f>IF(AN$2=$A44,AN$3*AtomicWeights!$B$37/AN$5,0)</f>
        <v>0</v>
      </c>
      <c r="AO44" s="14">
        <f>IF(AO$2=$A44,AO$3*AtomicWeights!$B$37/AO$5,0)</f>
        <v>0</v>
      </c>
      <c r="AP44" s="14">
        <f>IF(AP$2=$A44,AP$3*AtomicWeights!$B$37/AP$5,0)</f>
        <v>0</v>
      </c>
      <c r="AQ44" s="14">
        <f>IF(AQ$2=$A44,AQ$3*AtomicWeights!$B$37/AQ$5,0)</f>
        <v>0</v>
      </c>
      <c r="AR44" s="14">
        <f>IF(AR$2=$A44,AR$3*AtomicWeights!$B$37/AR$5,0)</f>
        <v>0</v>
      </c>
      <c r="AS44" s="14">
        <f>IF(AS$2=$A44,AS$3*AtomicWeights!$B$37/AS$5,0)</f>
        <v>0</v>
      </c>
      <c r="AT44" s="14">
        <f>IF(AT$2=$A44,AT$3*AtomicWeights!$B$37/AT$5,0)</f>
        <v>0</v>
      </c>
      <c r="AU44" s="14">
        <f>IF(AU$2=$A44,AU$3*AtomicWeights!$B$37/AU$5,0)</f>
        <v>0</v>
      </c>
      <c r="AV44" s="14">
        <f>IF(AV$2=$A44,AV$3*AtomicWeights!$B$37/AV$5,0)</f>
        <v>0</v>
      </c>
      <c r="AW44" s="14">
        <f>IF(AW$2=$A44,AW$3*AtomicWeights!$B$37/AW$5,0)</f>
        <v>0</v>
      </c>
      <c r="AX44" s="14">
        <f>IF(AX$2=$A44,AX$3*AtomicWeights!$B$37/AX$5,0)</f>
        <v>0</v>
      </c>
      <c r="AY44" s="14">
        <f>IF(AY$2=$A44,AY$3*AtomicWeights!$B$37/AY$5,0)</f>
        <v>0</v>
      </c>
      <c r="AZ44" s="14">
        <f>IF(AZ$2=$A44,AZ$3*AtomicWeights!$B$37/AZ$5,0)</f>
        <v>0</v>
      </c>
      <c r="BA44" s="14">
        <f>IF(BA$2=$A44,BA$3*AtomicWeights!$B$37/BA$5,0)</f>
        <v>0</v>
      </c>
      <c r="BB44" s="14">
        <f>IF(BB$2=$A44,BB$3*AtomicWeights!$B$37/BB$5,0)</f>
        <v>0</v>
      </c>
    </row>
    <row r="45" spans="1:54" x14ac:dyDescent="0.35">
      <c r="A45" s="13" t="s">
        <v>54</v>
      </c>
      <c r="B45" t="str">
        <f>AtomicWeights!$C$38</f>
        <v>yes</v>
      </c>
      <c r="C45" s="14">
        <f>IF(C$2=$A45,C$3*AtomicWeights!$B$38/C$5,0)</f>
        <v>0</v>
      </c>
      <c r="D45" s="14">
        <f>IF(D$2=$A45,D$3*AtomicWeights!$B$38/D$5,0)</f>
        <v>0</v>
      </c>
      <c r="E45" s="14">
        <f>IF(E$2=$A45,E$3*AtomicWeights!$B$38/E$5,0)</f>
        <v>0</v>
      </c>
      <c r="F45" s="14">
        <f>IF(F$2=$A45,F$3*AtomicWeights!$B$38/F$5,0)</f>
        <v>0</v>
      </c>
      <c r="G45" s="14">
        <f>IF(G$2=$A45,G$3*AtomicWeights!$B$38/G$5,0)</f>
        <v>0</v>
      </c>
      <c r="H45" s="14">
        <f>IF(H$2=$A45,H$3*AtomicWeights!$B$38/H$5,0)</f>
        <v>0</v>
      </c>
      <c r="I45" s="14">
        <f>IF(I$2=$A45,I$3*AtomicWeights!$B$38/I$5,0)</f>
        <v>0</v>
      </c>
      <c r="J45" s="14">
        <f>IF(J$2=$A45,J$3*AtomicWeights!$B$38/J$5,0)</f>
        <v>0</v>
      </c>
      <c r="K45" s="14">
        <f>IF(K$2=$A45,K$3*AtomicWeights!$B$38/K$5,0)</f>
        <v>0</v>
      </c>
      <c r="L45" s="14">
        <f>IF(L$2=$A45,L$3*AtomicWeights!$B$38/L$5,0)</f>
        <v>0</v>
      </c>
      <c r="M45" s="14">
        <f>IF(M$2=$A45,M$3*AtomicWeights!$B$38/M$5,0)</f>
        <v>0</v>
      </c>
      <c r="N45" s="14">
        <f>IF(N$2=$A45,N$3*AtomicWeights!$B$38/N$5,0)</f>
        <v>0</v>
      </c>
      <c r="O45" s="14">
        <f>IF(O$2=$A45,O$3*AtomicWeights!$B$38/O$5,0)</f>
        <v>0</v>
      </c>
      <c r="P45" s="14">
        <f>IF(P$2=$A45,P$3*AtomicWeights!$B$38/P$5,0)</f>
        <v>0</v>
      </c>
      <c r="Q45" s="14">
        <f>IF(Q$2=$A45,Q$3*AtomicWeights!$B$38/Q$5,0)</f>
        <v>0</v>
      </c>
      <c r="R45" s="14">
        <f>IF(R$2=$A45,R$3*AtomicWeights!$B$38/R$5,0)</f>
        <v>0</v>
      </c>
      <c r="S45" s="14">
        <f>IF(S$2=$A45,S$3*AtomicWeights!$B$38/S$5,0)</f>
        <v>0</v>
      </c>
      <c r="T45" s="14">
        <f>IF(T$2=$A45,T$3*AtomicWeights!$B$38/T$5,0)</f>
        <v>0</v>
      </c>
      <c r="U45" s="14">
        <f>IF(U$2=$A45,U$3*AtomicWeights!$B$38/U$5,0)</f>
        <v>0</v>
      </c>
      <c r="V45" s="14">
        <f>IF(V$2=$A45,V$3*AtomicWeights!$B$38/V$5,0)</f>
        <v>0</v>
      </c>
      <c r="W45" s="14">
        <f>IF(W$2=$A45,W$3*AtomicWeights!$B$38/W$5,0)</f>
        <v>0</v>
      </c>
      <c r="X45" s="14">
        <f>IF(X$2=$A45,X$3*AtomicWeights!$B$38/X$5,0)</f>
        <v>0</v>
      </c>
      <c r="Y45" s="14">
        <f>IF(Y$2=$A45,Y$3*AtomicWeights!$B$38/Y$5,0)</f>
        <v>0</v>
      </c>
      <c r="Z45" s="14">
        <f>IF(Z$2=$A45,Z$3*AtomicWeights!$B$38/Z$5,0)</f>
        <v>0</v>
      </c>
      <c r="AA45" s="14">
        <f>IF(AA$2=$A45,AA$3*AtomicWeights!$B$38/AA$5,0)</f>
        <v>0</v>
      </c>
      <c r="AB45" s="14">
        <f>IF(AB$2=$A45,AB$3*AtomicWeights!$B$38/AB$5,0)</f>
        <v>0</v>
      </c>
      <c r="AC45" s="14">
        <f>IF(AC$2=$A45,AC$3*AtomicWeights!$B$38/AC$5,0)</f>
        <v>0</v>
      </c>
      <c r="AD45" s="14">
        <f>IF(AD$2=$A45,AD$3*AtomicWeights!$B$38/AD$5,0)</f>
        <v>0</v>
      </c>
      <c r="AE45" s="14">
        <f>IF(AE$2=$A45,AE$3*AtomicWeights!$B$38/AE$5,0)</f>
        <v>0</v>
      </c>
      <c r="AF45" s="14">
        <f>IF(AF$2=$A45,AF$3*AtomicWeights!$B$38/AF$5,0)</f>
        <v>0</v>
      </c>
      <c r="AG45" s="14">
        <f>IF(AG$2=$A45,AG$3*AtomicWeights!$B$38/AG$5,0)</f>
        <v>0</v>
      </c>
      <c r="AH45" s="14">
        <f>IF(AH$2=$A45,AH$3*AtomicWeights!$B$38/AH$5,0)</f>
        <v>0</v>
      </c>
      <c r="AI45" s="14">
        <f>IF(AI$2=$A45,AI$3*AtomicWeights!$B$38/AI$5,0)</f>
        <v>0</v>
      </c>
      <c r="AJ45" s="14">
        <f>IF(AJ$2=$A45,AJ$3*AtomicWeights!$B$38/AJ$5,0)</f>
        <v>0</v>
      </c>
      <c r="AK45" s="14">
        <f>IF(AK$2=$A45,AK$3*AtomicWeights!$B$38/AK$5,0)</f>
        <v>0</v>
      </c>
      <c r="AL45" s="14">
        <f>IF(AL$2=$A45,AL$3*AtomicWeights!$B$38/AL$5,0)</f>
        <v>0</v>
      </c>
      <c r="AM45" s="14">
        <f>IF(AM$2=$A45,AM$3*AtomicWeights!$B$38/AM$5,0)</f>
        <v>0</v>
      </c>
      <c r="AN45" s="14">
        <f>IF(AN$2=$A45,AN$3*AtomicWeights!$B$38/AN$5,0)</f>
        <v>0.85376977658890585</v>
      </c>
      <c r="AO45" s="14">
        <f>IF(AO$2=$A45,AO$3*AtomicWeights!$B$38/AO$5,0)</f>
        <v>0.8140883368000279</v>
      </c>
      <c r="AP45" s="14">
        <f>IF(AP$2=$A45,AP$3*AtomicWeights!$B$38/AP$5,0)</f>
        <v>0</v>
      </c>
      <c r="AQ45" s="14">
        <f>IF(AQ$2=$A45,AQ$3*AtomicWeights!$B$38/AQ$5,0)</f>
        <v>0</v>
      </c>
      <c r="AR45" s="14">
        <f>IF(AR$2=$A45,AR$3*AtomicWeights!$B$38/AR$5,0)</f>
        <v>0</v>
      </c>
      <c r="AS45" s="14">
        <f>IF(AS$2=$A45,AS$3*AtomicWeights!$B$38/AS$5,0)</f>
        <v>0</v>
      </c>
      <c r="AT45" s="14">
        <f>IF(AT$2=$A45,AT$3*AtomicWeights!$B$38/AT$5,0)</f>
        <v>0</v>
      </c>
      <c r="AU45" s="14">
        <f>IF(AU$2=$A45,AU$3*AtomicWeights!$B$38/AU$5,0)</f>
        <v>0</v>
      </c>
      <c r="AV45" s="14">
        <f>IF(AV$2=$A45,AV$3*AtomicWeights!$B$38/AV$5,0)</f>
        <v>0</v>
      </c>
      <c r="AW45" s="14">
        <f>IF(AW$2=$A45,AW$3*AtomicWeights!$B$38/AW$5,0)</f>
        <v>0</v>
      </c>
      <c r="AX45" s="14">
        <f>IF(AX$2=$A45,AX$3*AtomicWeights!$B$38/AX$5,0)</f>
        <v>0</v>
      </c>
      <c r="AY45" s="14">
        <f>IF(AY$2=$A45,AY$3*AtomicWeights!$B$38/AY$5,0)</f>
        <v>0</v>
      </c>
      <c r="AZ45" s="14">
        <f>IF(AZ$2=$A45,AZ$3*AtomicWeights!$B$38/AZ$5,0)</f>
        <v>0</v>
      </c>
      <c r="BA45" s="14">
        <f>IF(BA$2=$A45,BA$3*AtomicWeights!$B$38/BA$5,0)</f>
        <v>0</v>
      </c>
      <c r="BB45" s="14">
        <f>IF(BB$2=$A45,BB$3*AtomicWeights!$B$38/BB$5,0)</f>
        <v>0</v>
      </c>
    </row>
    <row r="46" spans="1:54" x14ac:dyDescent="0.35">
      <c r="A46" s="13" t="s">
        <v>55</v>
      </c>
      <c r="B46" t="str">
        <f>AtomicWeights!$C$39</f>
        <v>yes</v>
      </c>
      <c r="C46" s="14">
        <f>IF(C$2=$A46,C$3*AtomicWeights!$B$39/C$5,0)</f>
        <v>0</v>
      </c>
      <c r="D46" s="14">
        <f>IF(D$2=$A46,D$3*AtomicWeights!$B$39/D$5,0)</f>
        <v>0</v>
      </c>
      <c r="E46" s="14">
        <f>IF(E$2=$A46,E$3*AtomicWeights!$B$39/E$5,0)</f>
        <v>0</v>
      </c>
      <c r="F46" s="14">
        <f>IF(F$2=$A46,F$3*AtomicWeights!$B$39/F$5,0)</f>
        <v>0</v>
      </c>
      <c r="G46" s="14">
        <f>IF(G$2=$A46,G$3*AtomicWeights!$B$39/G$5,0)</f>
        <v>0</v>
      </c>
      <c r="H46" s="14">
        <f>IF(H$2=$A46,H$3*AtomicWeights!$B$39/H$5,0)</f>
        <v>0</v>
      </c>
      <c r="I46" s="14">
        <f>IF(I$2=$A46,I$3*AtomicWeights!$B$39/I$5,0)</f>
        <v>0</v>
      </c>
      <c r="J46" s="14">
        <f>IF(J$2=$A46,J$3*AtomicWeights!$B$39/J$5,0)</f>
        <v>0</v>
      </c>
      <c r="K46" s="14">
        <f>IF(K$2=$A46,K$3*AtomicWeights!$B$39/K$5,0)</f>
        <v>0</v>
      </c>
      <c r="L46" s="14">
        <f>IF(L$2=$A46,L$3*AtomicWeights!$B$39/L$5,0)</f>
        <v>0</v>
      </c>
      <c r="M46" s="14">
        <f>IF(M$2=$A46,M$3*AtomicWeights!$B$39/M$5,0)</f>
        <v>0</v>
      </c>
      <c r="N46" s="14">
        <f>IF(N$2=$A46,N$3*AtomicWeights!$B$39/N$5,0)</f>
        <v>0</v>
      </c>
      <c r="O46" s="14">
        <f>IF(O$2=$A46,O$3*AtomicWeights!$B$39/O$5,0)</f>
        <v>0</v>
      </c>
      <c r="P46" s="14">
        <f>IF(P$2=$A46,P$3*AtomicWeights!$B$39/P$5,0)</f>
        <v>0</v>
      </c>
      <c r="Q46" s="14">
        <f>IF(Q$2=$A46,Q$3*AtomicWeights!$B$39/Q$5,0)</f>
        <v>0</v>
      </c>
      <c r="R46" s="14">
        <f>IF(R$2=$A46,R$3*AtomicWeights!$B$39/R$5,0)</f>
        <v>0</v>
      </c>
      <c r="S46" s="14">
        <f>IF(S$2=$A46,S$3*AtomicWeights!$B$39/S$5,0)</f>
        <v>0</v>
      </c>
      <c r="T46" s="14">
        <f>IF(T$2=$A46,T$3*AtomicWeights!$B$39/T$5,0)</f>
        <v>0</v>
      </c>
      <c r="U46" s="14">
        <f>IF(U$2=$A46,U$3*AtomicWeights!$B$39/U$5,0)</f>
        <v>0</v>
      </c>
      <c r="V46" s="14">
        <f>IF(V$2=$A46,V$3*AtomicWeights!$B$39/V$5,0)</f>
        <v>0</v>
      </c>
      <c r="W46" s="14">
        <f>IF(W$2=$A46,W$3*AtomicWeights!$B$39/W$5,0)</f>
        <v>0</v>
      </c>
      <c r="X46" s="14">
        <f>IF(X$2=$A46,X$3*AtomicWeights!$B$39/X$5,0)</f>
        <v>0</v>
      </c>
      <c r="Y46" s="14">
        <f>IF(Y$2=$A46,Y$3*AtomicWeights!$B$39/Y$5,0)</f>
        <v>0</v>
      </c>
      <c r="Z46" s="14">
        <f>IF(Z$2=$A46,Z$3*AtomicWeights!$B$39/Z$5,0)</f>
        <v>0</v>
      </c>
      <c r="AA46" s="14">
        <f>IF(AA$2=$A46,AA$3*AtomicWeights!$B$39/AA$5,0)</f>
        <v>0</v>
      </c>
      <c r="AB46" s="14">
        <f>IF(AB$2=$A46,AB$3*AtomicWeights!$B$39/AB$5,0)</f>
        <v>0</v>
      </c>
      <c r="AC46" s="14">
        <f>IF(AC$2=$A46,AC$3*AtomicWeights!$B$39/AC$5,0)</f>
        <v>0</v>
      </c>
      <c r="AD46" s="14">
        <f>IF(AD$2=$A46,AD$3*AtomicWeights!$B$39/AD$5,0)</f>
        <v>0</v>
      </c>
      <c r="AE46" s="14">
        <f>IF(AE$2=$A46,AE$3*AtomicWeights!$B$39/AE$5,0)</f>
        <v>0</v>
      </c>
      <c r="AF46" s="14">
        <f>IF(AF$2=$A46,AF$3*AtomicWeights!$B$39/AF$5,0)</f>
        <v>0</v>
      </c>
      <c r="AG46" s="14">
        <f>IF(AG$2=$A46,AG$3*AtomicWeights!$B$39/AG$5,0)</f>
        <v>0</v>
      </c>
      <c r="AH46" s="14">
        <f>IF(AH$2=$A46,AH$3*AtomicWeights!$B$39/AH$5,0)</f>
        <v>0</v>
      </c>
      <c r="AI46" s="14">
        <f>IF(AI$2=$A46,AI$3*AtomicWeights!$B$39/AI$5,0)</f>
        <v>0</v>
      </c>
      <c r="AJ46" s="14">
        <f>IF(AJ$2=$A46,AJ$3*AtomicWeights!$B$39/AJ$5,0)</f>
        <v>0</v>
      </c>
      <c r="AK46" s="14">
        <f>IF(AK$2=$A46,AK$3*AtomicWeights!$B$39/AK$5,0)</f>
        <v>0</v>
      </c>
      <c r="AL46" s="14">
        <f>IF(AL$2=$A46,AL$3*AtomicWeights!$B$39/AL$5,0)</f>
        <v>0</v>
      </c>
      <c r="AM46" s="14">
        <f>IF(AM$2=$A46,AM$3*AtomicWeights!$B$39/AM$5,0)</f>
        <v>0</v>
      </c>
      <c r="AN46" s="14">
        <f>IF(AN$2=$A46,AN$3*AtomicWeights!$B$39/AN$5,0)</f>
        <v>0</v>
      </c>
      <c r="AO46" s="14">
        <f>IF(AO$2=$A46,AO$3*AtomicWeights!$B$39/AO$5,0)</f>
        <v>0</v>
      </c>
      <c r="AP46" s="14">
        <f>IF(AP$2=$A46,AP$3*AtomicWeights!$B$39/AP$5,0)</f>
        <v>0.85447177958664489</v>
      </c>
      <c r="AQ46" s="14">
        <f>IF(AQ$2=$A46,AQ$3*AtomicWeights!$B$39/AQ$5,0)</f>
        <v>0</v>
      </c>
      <c r="AR46" s="14">
        <f>IF(AR$2=$A46,AR$3*AtomicWeights!$B$39/AR$5,0)</f>
        <v>0</v>
      </c>
      <c r="AS46" s="14">
        <f>IF(AS$2=$A46,AS$3*AtomicWeights!$B$39/AS$5,0)</f>
        <v>0</v>
      </c>
      <c r="AT46" s="14">
        <f>IF(AT$2=$A46,AT$3*AtomicWeights!$B$39/AT$5,0)</f>
        <v>0</v>
      </c>
      <c r="AU46" s="14">
        <f>IF(AU$2=$A46,AU$3*AtomicWeights!$B$39/AU$5,0)</f>
        <v>0</v>
      </c>
      <c r="AV46" s="14">
        <f>IF(AV$2=$A46,AV$3*AtomicWeights!$B$39/AV$5,0)</f>
        <v>0</v>
      </c>
      <c r="AW46" s="14">
        <f>IF(AW$2=$A46,AW$3*AtomicWeights!$B$39/AW$5,0)</f>
        <v>0</v>
      </c>
      <c r="AX46" s="14">
        <f>IF(AX$2=$A46,AX$3*AtomicWeights!$B$39/AX$5,0)</f>
        <v>0</v>
      </c>
      <c r="AY46" s="14">
        <f>IF(AY$2=$A46,AY$3*AtomicWeights!$B$39/AY$5,0)</f>
        <v>0</v>
      </c>
      <c r="AZ46" s="14">
        <f>IF(AZ$2=$A46,AZ$3*AtomicWeights!$B$39/AZ$5,0)</f>
        <v>0</v>
      </c>
      <c r="BA46" s="14">
        <f>IF(BA$2=$A46,BA$3*AtomicWeights!$B$39/BA$5,0)</f>
        <v>0</v>
      </c>
      <c r="BB46" s="14">
        <f>IF(BB$2=$A46,BB$3*AtomicWeights!$B$39/BB$5,0)</f>
        <v>0</v>
      </c>
    </row>
    <row r="47" spans="1:54" x14ac:dyDescent="0.35">
      <c r="A47" s="13" t="s">
        <v>56</v>
      </c>
      <c r="B47" t="str">
        <f>AtomicWeights!$C$40</f>
        <v>yes</v>
      </c>
      <c r="C47" s="14">
        <f>IF(C$2=$A47,C$3*AtomicWeights!$B$40/C$5,0)</f>
        <v>0</v>
      </c>
      <c r="D47" s="14">
        <f>IF(D$2=$A47,D$3*AtomicWeights!$B$40/D$5,0)</f>
        <v>0</v>
      </c>
      <c r="E47" s="14">
        <f>IF(E$2=$A47,E$3*AtomicWeights!$B$40/E$5,0)</f>
        <v>0</v>
      </c>
      <c r="F47" s="14">
        <f>IF(F$2=$A47,F$3*AtomicWeights!$B$40/F$5,0)</f>
        <v>0</v>
      </c>
      <c r="G47" s="14">
        <f>IF(G$2=$A47,G$3*AtomicWeights!$B$40/G$5,0)</f>
        <v>0</v>
      </c>
      <c r="H47" s="14">
        <f>IF(H$2=$A47,H$3*AtomicWeights!$B$40/H$5,0)</f>
        <v>0</v>
      </c>
      <c r="I47" s="14">
        <f>IF(I$2=$A47,I$3*AtomicWeights!$B$40/I$5,0)</f>
        <v>0</v>
      </c>
      <c r="J47" s="14">
        <f>IF(J$2=$A47,J$3*AtomicWeights!$B$40/J$5,0)</f>
        <v>0</v>
      </c>
      <c r="K47" s="14">
        <f>IF(K$2=$A47,K$3*AtomicWeights!$B$40/K$5,0)</f>
        <v>0</v>
      </c>
      <c r="L47" s="14">
        <f>IF(L$2=$A47,L$3*AtomicWeights!$B$40/L$5,0)</f>
        <v>0</v>
      </c>
      <c r="M47" s="14">
        <f>IF(M$2=$A47,M$3*AtomicWeights!$B$40/M$5,0)</f>
        <v>0</v>
      </c>
      <c r="N47" s="14">
        <f>IF(N$2=$A47,N$3*AtomicWeights!$B$40/N$5,0)</f>
        <v>0</v>
      </c>
      <c r="O47" s="14">
        <f>IF(O$2=$A47,O$3*AtomicWeights!$B$40/O$5,0)</f>
        <v>0</v>
      </c>
      <c r="P47" s="14">
        <f>IF(P$2=$A47,P$3*AtomicWeights!$B$40/P$5,0)</f>
        <v>0</v>
      </c>
      <c r="Q47" s="14">
        <f>IF(Q$2=$A47,Q$3*AtomicWeights!$B$40/Q$5,0)</f>
        <v>0</v>
      </c>
      <c r="R47" s="14">
        <f>IF(R$2=$A47,R$3*AtomicWeights!$B$40/R$5,0)</f>
        <v>0</v>
      </c>
      <c r="S47" s="14">
        <f>IF(S$2=$A47,S$3*AtomicWeights!$B$40/S$5,0)</f>
        <v>0</v>
      </c>
      <c r="T47" s="14">
        <f>IF(T$2=$A47,T$3*AtomicWeights!$B$40/T$5,0)</f>
        <v>0</v>
      </c>
      <c r="U47" s="14">
        <f>IF(U$2=$A47,U$3*AtomicWeights!$B$40/U$5,0)</f>
        <v>0</v>
      </c>
      <c r="V47" s="14">
        <f>IF(V$2=$A47,V$3*AtomicWeights!$B$40/V$5,0)</f>
        <v>0</v>
      </c>
      <c r="W47" s="14">
        <f>IF(W$2=$A47,W$3*AtomicWeights!$B$40/W$5,0)</f>
        <v>0</v>
      </c>
      <c r="X47" s="14">
        <f>IF(X$2=$A47,X$3*AtomicWeights!$B$40/X$5,0)</f>
        <v>0</v>
      </c>
      <c r="Y47" s="14">
        <f>IF(Y$2=$A47,Y$3*AtomicWeights!$B$40/Y$5,0)</f>
        <v>0</v>
      </c>
      <c r="Z47" s="14">
        <f>IF(Z$2=$A47,Z$3*AtomicWeights!$B$40/Z$5,0)</f>
        <v>0</v>
      </c>
      <c r="AA47" s="14">
        <f>IF(AA$2=$A47,AA$3*AtomicWeights!$B$40/AA$5,0)</f>
        <v>0</v>
      </c>
      <c r="AB47" s="14">
        <f>IF(AB$2=$A47,AB$3*AtomicWeights!$B$40/AB$5,0)</f>
        <v>0</v>
      </c>
      <c r="AC47" s="14">
        <f>IF(AC$2=$A47,AC$3*AtomicWeights!$B$40/AC$5,0)</f>
        <v>0</v>
      </c>
      <c r="AD47" s="14">
        <f>IF(AD$2=$A47,AD$3*AtomicWeights!$B$40/AD$5,0)</f>
        <v>0</v>
      </c>
      <c r="AE47" s="14">
        <f>IF(AE$2=$A47,AE$3*AtomicWeights!$B$40/AE$5,0)</f>
        <v>0</v>
      </c>
      <c r="AF47" s="14">
        <f>IF(AF$2=$A47,AF$3*AtomicWeights!$B$40/AF$5,0)</f>
        <v>0</v>
      </c>
      <c r="AG47" s="14">
        <f>IF(AG$2=$A47,AG$3*AtomicWeights!$B$40/AG$5,0)</f>
        <v>0</v>
      </c>
      <c r="AH47" s="14">
        <f>IF(AH$2=$A47,AH$3*AtomicWeights!$B$40/AH$5,0)</f>
        <v>0</v>
      </c>
      <c r="AI47" s="14">
        <f>IF(AI$2=$A47,AI$3*AtomicWeights!$B$40/AI$5,0)</f>
        <v>0</v>
      </c>
      <c r="AJ47" s="14">
        <f>IF(AJ$2=$A47,AJ$3*AtomicWeights!$B$40/AJ$5,0)</f>
        <v>0</v>
      </c>
      <c r="AK47" s="14">
        <f>IF(AK$2=$A47,AK$3*AtomicWeights!$B$40/AK$5,0)</f>
        <v>0</v>
      </c>
      <c r="AL47" s="14">
        <f>IF(AL$2=$A47,AL$3*AtomicWeights!$B$40/AL$5,0)</f>
        <v>0</v>
      </c>
      <c r="AM47" s="14">
        <f>IF(AM$2=$A47,AM$3*AtomicWeights!$B$40/AM$5,0)</f>
        <v>0</v>
      </c>
      <c r="AN47" s="14">
        <f>IF(AN$2=$A47,AN$3*AtomicWeights!$B$40/AN$5,0)</f>
        <v>0</v>
      </c>
      <c r="AO47" s="14">
        <f>IF(AO$2=$A47,AO$3*AtomicWeights!$B$40/AO$5,0)</f>
        <v>0</v>
      </c>
      <c r="AP47" s="14">
        <f>IF(AP$2=$A47,AP$3*AtomicWeights!$B$40/AP$5,0)</f>
        <v>0</v>
      </c>
      <c r="AQ47" s="14">
        <f>IF(AQ$2=$A47,AQ$3*AtomicWeights!$B$40/AQ$5,0)</f>
        <v>0.85735598741087904</v>
      </c>
      <c r="AR47" s="14">
        <f>IF(AR$2=$A47,AR$3*AtomicWeights!$B$40/AR$5,0)</f>
        <v>0</v>
      </c>
      <c r="AS47" s="14">
        <f>IF(AS$2=$A47,AS$3*AtomicWeights!$B$40/AS$5,0)</f>
        <v>0</v>
      </c>
      <c r="AT47" s="14">
        <f>IF(AT$2=$A47,AT$3*AtomicWeights!$B$40/AT$5,0)</f>
        <v>0</v>
      </c>
      <c r="AU47" s="14">
        <f>IF(AU$2=$A47,AU$3*AtomicWeights!$B$40/AU$5,0)</f>
        <v>0</v>
      </c>
      <c r="AV47" s="14">
        <f>IF(AV$2=$A47,AV$3*AtomicWeights!$B$40/AV$5,0)</f>
        <v>0</v>
      </c>
      <c r="AW47" s="14">
        <f>IF(AW$2=$A47,AW$3*AtomicWeights!$B$40/AW$5,0)</f>
        <v>0</v>
      </c>
      <c r="AX47" s="14">
        <f>IF(AX$2=$A47,AX$3*AtomicWeights!$B$40/AX$5,0)</f>
        <v>0</v>
      </c>
      <c r="AY47" s="14">
        <f>IF(AY$2=$A47,AY$3*AtomicWeights!$B$40/AY$5,0)</f>
        <v>0</v>
      </c>
      <c r="AZ47" s="14">
        <f>IF(AZ$2=$A47,AZ$3*AtomicWeights!$B$40/AZ$5,0)</f>
        <v>0</v>
      </c>
      <c r="BA47" s="14">
        <f>IF(BA$2=$A47,BA$3*AtomicWeights!$B$40/BA$5,0)</f>
        <v>0</v>
      </c>
      <c r="BB47" s="14">
        <f>IF(BB$2=$A47,BB$3*AtomicWeights!$B$40/BB$5,0)</f>
        <v>0</v>
      </c>
    </row>
    <row r="48" spans="1:54" x14ac:dyDescent="0.35">
      <c r="A48" s="13" t="s">
        <v>57</v>
      </c>
      <c r="B48" t="str">
        <f>AtomicWeights!$C$41</f>
        <v>yes</v>
      </c>
      <c r="C48" s="14">
        <f>IF(C$2=$A48,C$3*AtomicWeights!$B$41/C$5,0)</f>
        <v>0</v>
      </c>
      <c r="D48" s="14">
        <f>IF(D$2=$A48,D$3*AtomicWeights!$B$41/D$5,0)</f>
        <v>0</v>
      </c>
      <c r="E48" s="14">
        <f>IF(E$2=$A48,E$3*AtomicWeights!$B$41/E$5,0)</f>
        <v>0</v>
      </c>
      <c r="F48" s="14">
        <f>IF(F$2=$A48,F$3*AtomicWeights!$B$41/F$5,0)</f>
        <v>0</v>
      </c>
      <c r="G48" s="14">
        <f>IF(G$2=$A48,G$3*AtomicWeights!$B$41/G$5,0)</f>
        <v>0</v>
      </c>
      <c r="H48" s="14">
        <f>IF(H$2=$A48,H$3*AtomicWeights!$B$41/H$5,0)</f>
        <v>0</v>
      </c>
      <c r="I48" s="14">
        <f>IF(I$2=$A48,I$3*AtomicWeights!$B$41/I$5,0)</f>
        <v>0</v>
      </c>
      <c r="J48" s="14">
        <f>IF(J$2=$A48,J$3*AtomicWeights!$B$41/J$5,0)</f>
        <v>0</v>
      </c>
      <c r="K48" s="14">
        <f>IF(K$2=$A48,K$3*AtomicWeights!$B$41/K$5,0)</f>
        <v>0</v>
      </c>
      <c r="L48" s="14">
        <f>IF(L$2=$A48,L$3*AtomicWeights!$B$41/L$5,0)</f>
        <v>0</v>
      </c>
      <c r="M48" s="14">
        <f>IF(M$2=$A48,M$3*AtomicWeights!$B$41/M$5,0)</f>
        <v>0</v>
      </c>
      <c r="N48" s="14">
        <f>IF(N$2=$A48,N$3*AtomicWeights!$B$41/N$5,0)</f>
        <v>0</v>
      </c>
      <c r="O48" s="14">
        <f>IF(O$2=$A48,O$3*AtomicWeights!$B$41/O$5,0)</f>
        <v>0</v>
      </c>
      <c r="P48" s="14">
        <f>IF(P$2=$A48,P$3*AtomicWeights!$B$41/P$5,0)</f>
        <v>0</v>
      </c>
      <c r="Q48" s="14">
        <f>IF(Q$2=$A48,Q$3*AtomicWeights!$B$41/Q$5,0)</f>
        <v>0</v>
      </c>
      <c r="R48" s="14">
        <f>IF(R$2=$A48,R$3*AtomicWeights!$B$41/R$5,0)</f>
        <v>0</v>
      </c>
      <c r="S48" s="14">
        <f>IF(S$2=$A48,S$3*AtomicWeights!$B$41/S$5,0)</f>
        <v>0</v>
      </c>
      <c r="T48" s="14">
        <f>IF(T$2=$A48,T$3*AtomicWeights!$B$41/T$5,0)</f>
        <v>0</v>
      </c>
      <c r="U48" s="14">
        <f>IF(U$2=$A48,U$3*AtomicWeights!$B$41/U$5,0)</f>
        <v>0</v>
      </c>
      <c r="V48" s="14">
        <f>IF(V$2=$A48,V$3*AtomicWeights!$B$41/V$5,0)</f>
        <v>0</v>
      </c>
      <c r="W48" s="14">
        <f>IF(W$2=$A48,W$3*AtomicWeights!$B$41/W$5,0)</f>
        <v>0</v>
      </c>
      <c r="X48" s="14">
        <f>IF(X$2=$A48,X$3*AtomicWeights!$B$41/X$5,0)</f>
        <v>0</v>
      </c>
      <c r="Y48" s="14">
        <f>IF(Y$2=$A48,Y$3*AtomicWeights!$B$41/Y$5,0)</f>
        <v>0</v>
      </c>
      <c r="Z48" s="14">
        <f>IF(Z$2=$A48,Z$3*AtomicWeights!$B$41/Z$5,0)</f>
        <v>0</v>
      </c>
      <c r="AA48" s="14">
        <f>IF(AA$2=$A48,AA$3*AtomicWeights!$B$41/AA$5,0)</f>
        <v>0</v>
      </c>
      <c r="AB48" s="14">
        <f>IF(AB$2=$A48,AB$3*AtomicWeights!$B$41/AB$5,0)</f>
        <v>0</v>
      </c>
      <c r="AC48" s="14">
        <f>IF(AC$2=$A48,AC$3*AtomicWeights!$B$41/AC$5,0)</f>
        <v>0</v>
      </c>
      <c r="AD48" s="14">
        <f>IF(AD$2=$A48,AD$3*AtomicWeights!$B$41/AD$5,0)</f>
        <v>0</v>
      </c>
      <c r="AE48" s="14">
        <f>IF(AE$2=$A48,AE$3*AtomicWeights!$B$41/AE$5,0)</f>
        <v>0</v>
      </c>
      <c r="AF48" s="14">
        <f>IF(AF$2=$A48,AF$3*AtomicWeights!$B$41/AF$5,0)</f>
        <v>0</v>
      </c>
      <c r="AG48" s="14">
        <f>IF(AG$2=$A48,AG$3*AtomicWeights!$B$41/AG$5,0)</f>
        <v>0</v>
      </c>
      <c r="AH48" s="14">
        <f>IF(AH$2=$A48,AH$3*AtomicWeights!$B$41/AH$5,0)</f>
        <v>0</v>
      </c>
      <c r="AI48" s="14">
        <f>IF(AI$2=$A48,AI$3*AtomicWeights!$B$41/AI$5,0)</f>
        <v>0</v>
      </c>
      <c r="AJ48" s="14">
        <f>IF(AJ$2=$A48,AJ$3*AtomicWeights!$B$41/AJ$5,0)</f>
        <v>0</v>
      </c>
      <c r="AK48" s="14">
        <f>IF(AK$2=$A48,AK$3*AtomicWeights!$B$41/AK$5,0)</f>
        <v>0</v>
      </c>
      <c r="AL48" s="14">
        <f>IF(AL$2=$A48,AL$3*AtomicWeights!$B$41/AL$5,0)</f>
        <v>0</v>
      </c>
      <c r="AM48" s="14">
        <f>IF(AM$2=$A48,AM$3*AtomicWeights!$B$41/AM$5,0)</f>
        <v>0</v>
      </c>
      <c r="AN48" s="14">
        <f>IF(AN$2=$A48,AN$3*AtomicWeights!$B$41/AN$5,0)</f>
        <v>0</v>
      </c>
      <c r="AO48" s="14">
        <f>IF(AO$2=$A48,AO$3*AtomicWeights!$B$41/AO$5,0)</f>
        <v>0</v>
      </c>
      <c r="AP48" s="14">
        <f>IF(AP$2=$A48,AP$3*AtomicWeights!$B$41/AP$5,0)</f>
        <v>0</v>
      </c>
      <c r="AQ48" s="14">
        <f>IF(AQ$2=$A48,AQ$3*AtomicWeights!$B$41/AQ$5,0)</f>
        <v>0</v>
      </c>
      <c r="AR48" s="14">
        <f>IF(AR$2=$A48,AR$3*AtomicWeights!$B$41/AR$5,0)</f>
        <v>0.86236116965906451</v>
      </c>
      <c r="AS48" s="14">
        <f>IF(AS$2=$A48,AS$3*AtomicWeights!$B$41/AS$5,0)</f>
        <v>0</v>
      </c>
      <c r="AT48" s="14">
        <f>IF(AT$2=$A48,AT$3*AtomicWeights!$B$41/AT$5,0)</f>
        <v>0</v>
      </c>
      <c r="AU48" s="14">
        <f>IF(AU$2=$A48,AU$3*AtomicWeights!$B$41/AU$5,0)</f>
        <v>0</v>
      </c>
      <c r="AV48" s="14">
        <f>IF(AV$2=$A48,AV$3*AtomicWeights!$B$41/AV$5,0)</f>
        <v>0</v>
      </c>
      <c r="AW48" s="14">
        <f>IF(AW$2=$A48,AW$3*AtomicWeights!$B$41/AW$5,0)</f>
        <v>0</v>
      </c>
      <c r="AX48" s="14">
        <f>IF(AX$2=$A48,AX$3*AtomicWeights!$B$41/AX$5,0)</f>
        <v>0</v>
      </c>
      <c r="AY48" s="14">
        <f>IF(AY$2=$A48,AY$3*AtomicWeights!$B$41/AY$5,0)</f>
        <v>0</v>
      </c>
      <c r="AZ48" s="14">
        <f>IF(AZ$2=$A48,AZ$3*AtomicWeights!$B$41/AZ$5,0)</f>
        <v>0</v>
      </c>
      <c r="BA48" s="14">
        <f>IF(BA$2=$A48,BA$3*AtomicWeights!$B$41/BA$5,0)</f>
        <v>0</v>
      </c>
      <c r="BB48" s="14">
        <f>IF(BB$2=$A48,BB$3*AtomicWeights!$B$41/BB$5,0)</f>
        <v>0</v>
      </c>
    </row>
    <row r="49" spans="1:54" x14ac:dyDescent="0.35">
      <c r="A49" s="13" t="s">
        <v>58</v>
      </c>
      <c r="B49" t="str">
        <f>AtomicWeights!$C$42</f>
        <v>yes</v>
      </c>
      <c r="C49" s="14">
        <f>IF(C$2=$A49,C$3*AtomicWeights!$B$42/C$5,0)</f>
        <v>0</v>
      </c>
      <c r="D49" s="14">
        <f>IF(D$2=$A49,D$3*AtomicWeights!$B$42/D$5,0)</f>
        <v>0</v>
      </c>
      <c r="E49" s="14">
        <f>IF(E$2=$A49,E$3*AtomicWeights!$B$42/E$5,0)</f>
        <v>0</v>
      </c>
      <c r="F49" s="14">
        <f>IF(F$2=$A49,F$3*AtomicWeights!$B$42/F$5,0)</f>
        <v>0</v>
      </c>
      <c r="G49" s="14">
        <f>IF(G$2=$A49,G$3*AtomicWeights!$B$42/G$5,0)</f>
        <v>0</v>
      </c>
      <c r="H49" s="14">
        <f>IF(H$2=$A49,H$3*AtomicWeights!$B$42/H$5,0)</f>
        <v>0</v>
      </c>
      <c r="I49" s="14">
        <f>IF(I$2=$A49,I$3*AtomicWeights!$B$42/I$5,0)</f>
        <v>0</v>
      </c>
      <c r="J49" s="14">
        <f>IF(J$2=$A49,J$3*AtomicWeights!$B$42/J$5,0)</f>
        <v>0</v>
      </c>
      <c r="K49" s="14">
        <f>IF(K$2=$A49,K$3*AtomicWeights!$B$42/K$5,0)</f>
        <v>0</v>
      </c>
      <c r="L49" s="14">
        <f>IF(L$2=$A49,L$3*AtomicWeights!$B$42/L$5,0)</f>
        <v>0</v>
      </c>
      <c r="M49" s="14">
        <f>IF(M$2=$A49,M$3*AtomicWeights!$B$42/M$5,0)</f>
        <v>0</v>
      </c>
      <c r="N49" s="14">
        <f>IF(N$2=$A49,N$3*AtomicWeights!$B$42/N$5,0)</f>
        <v>0</v>
      </c>
      <c r="O49" s="14">
        <f>IF(O$2=$A49,O$3*AtomicWeights!$B$42/O$5,0)</f>
        <v>0</v>
      </c>
      <c r="P49" s="14">
        <f>IF(P$2=$A49,P$3*AtomicWeights!$B$42/P$5,0)</f>
        <v>0</v>
      </c>
      <c r="Q49" s="14">
        <f>IF(Q$2=$A49,Q$3*AtomicWeights!$B$42/Q$5,0)</f>
        <v>0</v>
      </c>
      <c r="R49" s="14">
        <f>IF(R$2=$A49,R$3*AtomicWeights!$B$42/R$5,0)</f>
        <v>0</v>
      </c>
      <c r="S49" s="14">
        <f>IF(S$2=$A49,S$3*AtomicWeights!$B$42/S$5,0)</f>
        <v>0</v>
      </c>
      <c r="T49" s="14">
        <f>IF(T$2=$A49,T$3*AtomicWeights!$B$42/T$5,0)</f>
        <v>0</v>
      </c>
      <c r="U49" s="14">
        <f>IF(U$2=$A49,U$3*AtomicWeights!$B$42/U$5,0)</f>
        <v>0</v>
      </c>
      <c r="V49" s="14">
        <f>IF(V$2=$A49,V$3*AtomicWeights!$B$42/V$5,0)</f>
        <v>0</v>
      </c>
      <c r="W49" s="14">
        <f>IF(W$2=$A49,W$3*AtomicWeights!$B$42/W$5,0)</f>
        <v>0</v>
      </c>
      <c r="X49" s="14">
        <f>IF(X$2=$A49,X$3*AtomicWeights!$B$42/X$5,0)</f>
        <v>0</v>
      </c>
      <c r="Y49" s="14">
        <f>IF(Y$2=$A49,Y$3*AtomicWeights!$B$42/Y$5,0)</f>
        <v>0</v>
      </c>
      <c r="Z49" s="14">
        <f>IF(Z$2=$A49,Z$3*AtomicWeights!$B$42/Z$5,0)</f>
        <v>0</v>
      </c>
      <c r="AA49" s="14">
        <f>IF(AA$2=$A49,AA$3*AtomicWeights!$B$42/AA$5,0)</f>
        <v>0</v>
      </c>
      <c r="AB49" s="14">
        <f>IF(AB$2=$A49,AB$3*AtomicWeights!$B$42/AB$5,0)</f>
        <v>0</v>
      </c>
      <c r="AC49" s="14">
        <f>IF(AC$2=$A49,AC$3*AtomicWeights!$B$42/AC$5,0)</f>
        <v>0</v>
      </c>
      <c r="AD49" s="14">
        <f>IF(AD$2=$A49,AD$3*AtomicWeights!$B$42/AD$5,0)</f>
        <v>0</v>
      </c>
      <c r="AE49" s="14">
        <f>IF(AE$2=$A49,AE$3*AtomicWeights!$B$42/AE$5,0)</f>
        <v>0</v>
      </c>
      <c r="AF49" s="14">
        <f>IF(AF$2=$A49,AF$3*AtomicWeights!$B$42/AF$5,0)</f>
        <v>0</v>
      </c>
      <c r="AG49" s="14">
        <f>IF(AG$2=$A49,AG$3*AtomicWeights!$B$42/AG$5,0)</f>
        <v>0</v>
      </c>
      <c r="AH49" s="14">
        <f>IF(AH$2=$A49,AH$3*AtomicWeights!$B$42/AH$5,0)</f>
        <v>0</v>
      </c>
      <c r="AI49" s="14">
        <f>IF(AI$2=$A49,AI$3*AtomicWeights!$B$42/AI$5,0)</f>
        <v>0</v>
      </c>
      <c r="AJ49" s="14">
        <f>IF(AJ$2=$A49,AJ$3*AtomicWeights!$B$42/AJ$5,0)</f>
        <v>0</v>
      </c>
      <c r="AK49" s="14">
        <f>IF(AK$2=$A49,AK$3*AtomicWeights!$B$42/AK$5,0)</f>
        <v>0</v>
      </c>
      <c r="AL49" s="14">
        <f>IF(AL$2=$A49,AL$3*AtomicWeights!$B$42/AL$5,0)</f>
        <v>0</v>
      </c>
      <c r="AM49" s="14">
        <f>IF(AM$2=$A49,AM$3*AtomicWeights!$B$42/AM$5,0)</f>
        <v>0</v>
      </c>
      <c r="AN49" s="14">
        <f>IF(AN$2=$A49,AN$3*AtomicWeights!$B$42/AN$5,0)</f>
        <v>0</v>
      </c>
      <c r="AO49" s="14">
        <f>IF(AO$2=$A49,AO$3*AtomicWeights!$B$42/AO$5,0)</f>
        <v>0</v>
      </c>
      <c r="AP49" s="14">
        <f>IF(AP$2=$A49,AP$3*AtomicWeights!$B$42/AP$5,0)</f>
        <v>0</v>
      </c>
      <c r="AQ49" s="14">
        <f>IF(AQ$2=$A49,AQ$3*AtomicWeights!$B$42/AQ$5,0)</f>
        <v>0</v>
      </c>
      <c r="AR49" s="14">
        <f>IF(AR$2=$A49,AR$3*AtomicWeights!$B$42/AR$5,0)</f>
        <v>0</v>
      </c>
      <c r="AS49" s="14">
        <f>IF(AS$2=$A49,AS$3*AtomicWeights!$B$42/AS$5,0)</f>
        <v>0.86361582723591668</v>
      </c>
      <c r="AT49" s="14">
        <f>IF(AT$2=$A49,AT$3*AtomicWeights!$B$42/AT$5,0)</f>
        <v>0</v>
      </c>
      <c r="AU49" s="14">
        <f>IF(AU$2=$A49,AU$3*AtomicWeights!$B$42/AU$5,0)</f>
        <v>0</v>
      </c>
      <c r="AV49" s="14">
        <f>IF(AV$2=$A49,AV$3*AtomicWeights!$B$42/AV$5,0)</f>
        <v>0</v>
      </c>
      <c r="AW49" s="14">
        <f>IF(AW$2=$A49,AW$3*AtomicWeights!$B$42/AW$5,0)</f>
        <v>0</v>
      </c>
      <c r="AX49" s="14">
        <f>IF(AX$2=$A49,AX$3*AtomicWeights!$B$42/AX$5,0)</f>
        <v>0</v>
      </c>
      <c r="AY49" s="14">
        <f>IF(AY$2=$A49,AY$3*AtomicWeights!$B$42/AY$5,0)</f>
        <v>0</v>
      </c>
      <c r="AZ49" s="14">
        <f>IF(AZ$2=$A49,AZ$3*AtomicWeights!$B$42/AZ$5,0)</f>
        <v>0</v>
      </c>
      <c r="BA49" s="14">
        <f>IF(BA$2=$A49,BA$3*AtomicWeights!$B$42/BA$5,0)</f>
        <v>0</v>
      </c>
      <c r="BB49" s="14">
        <f>IF(BB$2=$A49,BB$3*AtomicWeights!$B$42/BB$5,0)</f>
        <v>0</v>
      </c>
    </row>
    <row r="50" spans="1:54" x14ac:dyDescent="0.35">
      <c r="A50" s="13" t="s">
        <v>59</v>
      </c>
      <c r="B50" t="str">
        <f>AtomicWeights!$C$43</f>
        <v>yes</v>
      </c>
      <c r="C50" s="14">
        <f>IF(C$2=$A50,C$3*AtomicWeights!$B$43/C$5,0)</f>
        <v>0</v>
      </c>
      <c r="D50" s="14">
        <f>IF(D$2=$A50,D$3*AtomicWeights!$B$43/D$5,0)</f>
        <v>0</v>
      </c>
      <c r="E50" s="14">
        <f>IF(E$2=$A50,E$3*AtomicWeights!$B$43/E$5,0)</f>
        <v>0</v>
      </c>
      <c r="F50" s="14">
        <f>IF(F$2=$A50,F$3*AtomicWeights!$B$43/F$5,0)</f>
        <v>0</v>
      </c>
      <c r="G50" s="14">
        <f>IF(G$2=$A50,G$3*AtomicWeights!$B$43/G$5,0)</f>
        <v>0</v>
      </c>
      <c r="H50" s="14">
        <f>IF(H$2=$A50,H$3*AtomicWeights!$B$43/H$5,0)</f>
        <v>0</v>
      </c>
      <c r="I50" s="14">
        <f>IF(I$2=$A50,I$3*AtomicWeights!$B$43/I$5,0)</f>
        <v>0</v>
      </c>
      <c r="J50" s="14">
        <f>IF(J$2=$A50,J$3*AtomicWeights!$B$43/J$5,0)</f>
        <v>0</v>
      </c>
      <c r="K50" s="14">
        <f>IF(K$2=$A50,K$3*AtomicWeights!$B$43/K$5,0)</f>
        <v>0</v>
      </c>
      <c r="L50" s="14">
        <f>IF(L$2=$A50,L$3*AtomicWeights!$B$43/L$5,0)</f>
        <v>0</v>
      </c>
      <c r="M50" s="14">
        <f>IF(M$2=$A50,M$3*AtomicWeights!$B$43/M$5,0)</f>
        <v>0</v>
      </c>
      <c r="N50" s="14">
        <f>IF(N$2=$A50,N$3*AtomicWeights!$B$43/N$5,0)</f>
        <v>0</v>
      </c>
      <c r="O50" s="14">
        <f>IF(O$2=$A50,O$3*AtomicWeights!$B$43/O$5,0)</f>
        <v>0</v>
      </c>
      <c r="P50" s="14">
        <f>IF(P$2=$A50,P$3*AtomicWeights!$B$43/P$5,0)</f>
        <v>0</v>
      </c>
      <c r="Q50" s="14">
        <f>IF(Q$2=$A50,Q$3*AtomicWeights!$B$43/Q$5,0)</f>
        <v>0</v>
      </c>
      <c r="R50" s="14">
        <f>IF(R$2=$A50,R$3*AtomicWeights!$B$43/R$5,0)</f>
        <v>0</v>
      </c>
      <c r="S50" s="14">
        <f>IF(S$2=$A50,S$3*AtomicWeights!$B$43/S$5,0)</f>
        <v>0</v>
      </c>
      <c r="T50" s="14">
        <f>IF(T$2=$A50,T$3*AtomicWeights!$B$43/T$5,0)</f>
        <v>0</v>
      </c>
      <c r="U50" s="14">
        <f>IF(U$2=$A50,U$3*AtomicWeights!$B$43/U$5,0)</f>
        <v>0</v>
      </c>
      <c r="V50" s="14">
        <f>IF(V$2=$A50,V$3*AtomicWeights!$B$43/V$5,0)</f>
        <v>0</v>
      </c>
      <c r="W50" s="14">
        <f>IF(W$2=$A50,W$3*AtomicWeights!$B$43/W$5,0)</f>
        <v>0</v>
      </c>
      <c r="X50" s="14">
        <f>IF(X$2=$A50,X$3*AtomicWeights!$B$43/X$5,0)</f>
        <v>0</v>
      </c>
      <c r="Y50" s="14">
        <f>IF(Y$2=$A50,Y$3*AtomicWeights!$B$43/Y$5,0)</f>
        <v>0</v>
      </c>
      <c r="Z50" s="14">
        <f>IF(Z$2=$A50,Z$3*AtomicWeights!$B$43/Z$5,0)</f>
        <v>0</v>
      </c>
      <c r="AA50" s="14">
        <f>IF(AA$2=$A50,AA$3*AtomicWeights!$B$43/AA$5,0)</f>
        <v>0</v>
      </c>
      <c r="AB50" s="14">
        <f>IF(AB$2=$A50,AB$3*AtomicWeights!$B$43/AB$5,0)</f>
        <v>0</v>
      </c>
      <c r="AC50" s="14">
        <f>IF(AC$2=$A50,AC$3*AtomicWeights!$B$43/AC$5,0)</f>
        <v>0</v>
      </c>
      <c r="AD50" s="14">
        <f>IF(AD$2=$A50,AD$3*AtomicWeights!$B$43/AD$5,0)</f>
        <v>0</v>
      </c>
      <c r="AE50" s="14">
        <f>IF(AE$2=$A50,AE$3*AtomicWeights!$B$43/AE$5,0)</f>
        <v>0</v>
      </c>
      <c r="AF50" s="14">
        <f>IF(AF$2=$A50,AF$3*AtomicWeights!$B$43/AF$5,0)</f>
        <v>0</v>
      </c>
      <c r="AG50" s="14">
        <f>IF(AG$2=$A50,AG$3*AtomicWeights!$B$43/AG$5,0)</f>
        <v>0</v>
      </c>
      <c r="AH50" s="14">
        <f>IF(AH$2=$A50,AH$3*AtomicWeights!$B$43/AH$5,0)</f>
        <v>0</v>
      </c>
      <c r="AI50" s="14">
        <f>IF(AI$2=$A50,AI$3*AtomicWeights!$B$43/AI$5,0)</f>
        <v>0</v>
      </c>
      <c r="AJ50" s="14">
        <f>IF(AJ$2=$A50,AJ$3*AtomicWeights!$B$43/AJ$5,0)</f>
        <v>0</v>
      </c>
      <c r="AK50" s="14">
        <f>IF(AK$2=$A50,AK$3*AtomicWeights!$B$43/AK$5,0)</f>
        <v>0</v>
      </c>
      <c r="AL50" s="14">
        <f>IF(AL$2=$A50,AL$3*AtomicWeights!$B$43/AL$5,0)</f>
        <v>0</v>
      </c>
      <c r="AM50" s="14">
        <f>IF(AM$2=$A50,AM$3*AtomicWeights!$B$43/AM$5,0)</f>
        <v>0</v>
      </c>
      <c r="AN50" s="14">
        <f>IF(AN$2=$A50,AN$3*AtomicWeights!$B$43/AN$5,0)</f>
        <v>0</v>
      </c>
      <c r="AO50" s="14">
        <f>IF(AO$2=$A50,AO$3*AtomicWeights!$B$43/AO$5,0)</f>
        <v>0</v>
      </c>
      <c r="AP50" s="14">
        <f>IF(AP$2=$A50,AP$3*AtomicWeights!$B$43/AP$5,0)</f>
        <v>0</v>
      </c>
      <c r="AQ50" s="14">
        <f>IF(AQ$2=$A50,AQ$3*AtomicWeights!$B$43/AQ$5,0)</f>
        <v>0</v>
      </c>
      <c r="AR50" s="14">
        <f>IF(AR$2=$A50,AR$3*AtomicWeights!$B$43/AR$5,0)</f>
        <v>0</v>
      </c>
      <c r="AS50" s="14">
        <f>IF(AS$2=$A50,AS$3*AtomicWeights!$B$43/AS$5,0)</f>
        <v>0</v>
      </c>
      <c r="AT50" s="14">
        <f>IF(AT$2=$A50,AT$3*AtomicWeights!$B$43/AT$5,0)</f>
        <v>0.8675933869797543</v>
      </c>
      <c r="AU50" s="14">
        <f>IF(AU$2=$A50,AU$3*AtomicWeights!$B$43/AU$5,0)</f>
        <v>0</v>
      </c>
      <c r="AV50" s="14">
        <f>IF(AV$2=$A50,AV$3*AtomicWeights!$B$43/AV$5,0)</f>
        <v>0</v>
      </c>
      <c r="AW50" s="14">
        <f>IF(AW$2=$A50,AW$3*AtomicWeights!$B$43/AW$5,0)</f>
        <v>0</v>
      </c>
      <c r="AX50" s="14">
        <f>IF(AX$2=$A50,AX$3*AtomicWeights!$B$43/AX$5,0)</f>
        <v>0</v>
      </c>
      <c r="AY50" s="14">
        <f>IF(AY$2=$A50,AY$3*AtomicWeights!$B$43/AY$5,0)</f>
        <v>0</v>
      </c>
      <c r="AZ50" s="14">
        <f>IF(AZ$2=$A50,AZ$3*AtomicWeights!$B$43/AZ$5,0)</f>
        <v>0</v>
      </c>
      <c r="BA50" s="14">
        <f>IF(BA$2=$A50,BA$3*AtomicWeights!$B$43/BA$5,0)</f>
        <v>0</v>
      </c>
      <c r="BB50" s="14">
        <f>IF(BB$2=$A50,BB$3*AtomicWeights!$B$43/BB$5,0)</f>
        <v>0</v>
      </c>
    </row>
    <row r="51" spans="1:54" x14ac:dyDescent="0.35">
      <c r="A51" s="13" t="s">
        <v>60</v>
      </c>
      <c r="B51" t="str">
        <f>AtomicWeights!$C$44</f>
        <v>yes</v>
      </c>
      <c r="C51" s="14">
        <f>IF(C$2=$A51,C$3*AtomicWeights!$B$44/C$5,0)</f>
        <v>0</v>
      </c>
      <c r="D51" s="14">
        <f>IF(D$2=$A51,D$3*AtomicWeights!$B$44/D$5,0)</f>
        <v>0</v>
      </c>
      <c r="E51" s="14">
        <f>IF(E$2=$A51,E$3*AtomicWeights!$B$44/E$5,0)</f>
        <v>0</v>
      </c>
      <c r="F51" s="14">
        <f>IF(F$2=$A51,F$3*AtomicWeights!$B$44/F$5,0)</f>
        <v>0</v>
      </c>
      <c r="G51" s="14">
        <f>IF(G$2=$A51,G$3*AtomicWeights!$B$44/G$5,0)</f>
        <v>0</v>
      </c>
      <c r="H51" s="14">
        <f>IF(H$2=$A51,H$3*AtomicWeights!$B$44/H$5,0)</f>
        <v>0</v>
      </c>
      <c r="I51" s="14">
        <f>IF(I$2=$A51,I$3*AtomicWeights!$B$44/I$5,0)</f>
        <v>0</v>
      </c>
      <c r="J51" s="14">
        <f>IF(J$2=$A51,J$3*AtomicWeights!$B$44/J$5,0)</f>
        <v>0</v>
      </c>
      <c r="K51" s="14">
        <f>IF(K$2=$A51,K$3*AtomicWeights!$B$44/K$5,0)</f>
        <v>0</v>
      </c>
      <c r="L51" s="14">
        <f>IF(L$2=$A51,L$3*AtomicWeights!$B$44/L$5,0)</f>
        <v>0</v>
      </c>
      <c r="M51" s="14">
        <f>IF(M$2=$A51,M$3*AtomicWeights!$B$44/M$5,0)</f>
        <v>0</v>
      </c>
      <c r="N51" s="14">
        <f>IF(N$2=$A51,N$3*AtomicWeights!$B$44/N$5,0)</f>
        <v>0</v>
      </c>
      <c r="O51" s="14">
        <f>IF(O$2=$A51,O$3*AtomicWeights!$B$44/O$5,0)</f>
        <v>0</v>
      </c>
      <c r="P51" s="14">
        <f>IF(P$2=$A51,P$3*AtomicWeights!$B$44/P$5,0)</f>
        <v>0</v>
      </c>
      <c r="Q51" s="14">
        <f>IF(Q$2=$A51,Q$3*AtomicWeights!$B$44/Q$5,0)</f>
        <v>0</v>
      </c>
      <c r="R51" s="14">
        <f>IF(R$2=$A51,R$3*AtomicWeights!$B$44/R$5,0)</f>
        <v>0</v>
      </c>
      <c r="S51" s="14">
        <f>IF(S$2=$A51,S$3*AtomicWeights!$B$44/S$5,0)</f>
        <v>0</v>
      </c>
      <c r="T51" s="14">
        <f>IF(T$2=$A51,T$3*AtomicWeights!$B$44/T$5,0)</f>
        <v>0</v>
      </c>
      <c r="U51" s="14">
        <f>IF(U$2=$A51,U$3*AtomicWeights!$B$44/U$5,0)</f>
        <v>0</v>
      </c>
      <c r="V51" s="14">
        <f>IF(V$2=$A51,V$3*AtomicWeights!$B$44/V$5,0)</f>
        <v>0</v>
      </c>
      <c r="W51" s="14">
        <f>IF(W$2=$A51,W$3*AtomicWeights!$B$44/W$5,0)</f>
        <v>0</v>
      </c>
      <c r="X51" s="14">
        <f>IF(X$2=$A51,X$3*AtomicWeights!$B$44/X$5,0)</f>
        <v>0</v>
      </c>
      <c r="Y51" s="14">
        <f>IF(Y$2=$A51,Y$3*AtomicWeights!$B$44/Y$5,0)</f>
        <v>0</v>
      </c>
      <c r="Z51" s="14">
        <f>IF(Z$2=$A51,Z$3*AtomicWeights!$B$44/Z$5,0)</f>
        <v>0</v>
      </c>
      <c r="AA51" s="14">
        <f>IF(AA$2=$A51,AA$3*AtomicWeights!$B$44/AA$5,0)</f>
        <v>0</v>
      </c>
      <c r="AB51" s="14">
        <f>IF(AB$2=$A51,AB$3*AtomicWeights!$B$44/AB$5,0)</f>
        <v>0</v>
      </c>
      <c r="AC51" s="14">
        <f>IF(AC$2=$A51,AC$3*AtomicWeights!$B$44/AC$5,0)</f>
        <v>0</v>
      </c>
      <c r="AD51" s="14">
        <f>IF(AD$2=$A51,AD$3*AtomicWeights!$B$44/AD$5,0)</f>
        <v>0</v>
      </c>
      <c r="AE51" s="14">
        <f>IF(AE$2=$A51,AE$3*AtomicWeights!$B$44/AE$5,0)</f>
        <v>0</v>
      </c>
      <c r="AF51" s="14">
        <f>IF(AF$2=$A51,AF$3*AtomicWeights!$B$44/AF$5,0)</f>
        <v>0</v>
      </c>
      <c r="AG51" s="14">
        <f>IF(AG$2=$A51,AG$3*AtomicWeights!$B$44/AG$5,0)</f>
        <v>0</v>
      </c>
      <c r="AH51" s="14">
        <f>IF(AH$2=$A51,AH$3*AtomicWeights!$B$44/AH$5,0)</f>
        <v>0</v>
      </c>
      <c r="AI51" s="14">
        <f>IF(AI$2=$A51,AI$3*AtomicWeights!$B$44/AI$5,0)</f>
        <v>0</v>
      </c>
      <c r="AJ51" s="14">
        <f>IF(AJ$2=$A51,AJ$3*AtomicWeights!$B$44/AJ$5,0)</f>
        <v>0</v>
      </c>
      <c r="AK51" s="14">
        <f>IF(AK$2=$A51,AK$3*AtomicWeights!$B$44/AK$5,0)</f>
        <v>0</v>
      </c>
      <c r="AL51" s="14">
        <f>IF(AL$2=$A51,AL$3*AtomicWeights!$B$44/AL$5,0)</f>
        <v>0</v>
      </c>
      <c r="AM51" s="14">
        <f>IF(AM$2=$A51,AM$3*AtomicWeights!$B$44/AM$5,0)</f>
        <v>0</v>
      </c>
      <c r="AN51" s="14">
        <f>IF(AN$2=$A51,AN$3*AtomicWeights!$B$44/AN$5,0)</f>
        <v>0</v>
      </c>
      <c r="AO51" s="14">
        <f>IF(AO$2=$A51,AO$3*AtomicWeights!$B$44/AO$5,0)</f>
        <v>0</v>
      </c>
      <c r="AP51" s="14">
        <f>IF(AP$2=$A51,AP$3*AtomicWeights!$B$44/AP$5,0)</f>
        <v>0</v>
      </c>
      <c r="AQ51" s="14">
        <f>IF(AQ$2=$A51,AQ$3*AtomicWeights!$B$44/AQ$5,0)</f>
        <v>0</v>
      </c>
      <c r="AR51" s="14">
        <f>IF(AR$2=$A51,AR$3*AtomicWeights!$B$44/AR$5,0)</f>
        <v>0</v>
      </c>
      <c r="AS51" s="14">
        <f>IF(AS$2=$A51,AS$3*AtomicWeights!$B$44/AS$5,0)</f>
        <v>0</v>
      </c>
      <c r="AT51" s="14">
        <f>IF(AT$2=$A51,AT$3*AtomicWeights!$B$44/AT$5,0)</f>
        <v>0</v>
      </c>
      <c r="AU51" s="14">
        <f>IF(AU$2=$A51,AU$3*AtomicWeights!$B$44/AU$5,0)</f>
        <v>0.86880606328808407</v>
      </c>
      <c r="AV51" s="14">
        <f>IF(AV$2=$A51,AV$3*AtomicWeights!$B$44/AV$5,0)</f>
        <v>0</v>
      </c>
      <c r="AW51" s="14">
        <f>IF(AW$2=$A51,AW$3*AtomicWeights!$B$44/AW$5,0)</f>
        <v>0</v>
      </c>
      <c r="AX51" s="14">
        <f>IF(AX$2=$A51,AX$3*AtomicWeights!$B$44/AX$5,0)</f>
        <v>0</v>
      </c>
      <c r="AY51" s="14">
        <f>IF(AY$2=$A51,AY$3*AtomicWeights!$B$44/AY$5,0)</f>
        <v>0</v>
      </c>
      <c r="AZ51" s="14">
        <f>IF(AZ$2=$A51,AZ$3*AtomicWeights!$B$44/AZ$5,0)</f>
        <v>0</v>
      </c>
      <c r="BA51" s="14">
        <f>IF(BA$2=$A51,BA$3*AtomicWeights!$B$44/BA$5,0)</f>
        <v>0</v>
      </c>
      <c r="BB51" s="14">
        <f>IF(BB$2=$A51,BB$3*AtomicWeights!$B$44/BB$5,0)</f>
        <v>0</v>
      </c>
    </row>
    <row r="52" spans="1:54" x14ac:dyDescent="0.35">
      <c r="A52" s="13" t="s">
        <v>61</v>
      </c>
      <c r="B52" t="str">
        <f>AtomicWeights!$C$45</f>
        <v>yes</v>
      </c>
      <c r="C52" s="14">
        <f>IF(C$2=$A52,C$3*AtomicWeights!$B$45/C$5,0)</f>
        <v>0</v>
      </c>
      <c r="D52" s="14">
        <f>IF(D$2=$A52,D$3*AtomicWeights!$B$45/D$5,0)</f>
        <v>0</v>
      </c>
      <c r="E52" s="14">
        <f>IF(E$2=$A52,E$3*AtomicWeights!$B$45/E$5,0)</f>
        <v>0</v>
      </c>
      <c r="F52" s="14">
        <f>IF(F$2=$A52,F$3*AtomicWeights!$B$45/F$5,0)</f>
        <v>0</v>
      </c>
      <c r="G52" s="14">
        <f>IF(G$2=$A52,G$3*AtomicWeights!$B$45/G$5,0)</f>
        <v>0</v>
      </c>
      <c r="H52" s="14">
        <f>IF(H$2=$A52,H$3*AtomicWeights!$B$45/H$5,0)</f>
        <v>0</v>
      </c>
      <c r="I52" s="14">
        <f>IF(I$2=$A52,I$3*AtomicWeights!$B$45/I$5,0)</f>
        <v>0</v>
      </c>
      <c r="J52" s="14">
        <f>IF(J$2=$A52,J$3*AtomicWeights!$B$45/J$5,0)</f>
        <v>0</v>
      </c>
      <c r="K52" s="14">
        <f>IF(K$2=$A52,K$3*AtomicWeights!$B$45/K$5,0)</f>
        <v>0</v>
      </c>
      <c r="L52" s="14">
        <f>IF(L$2=$A52,L$3*AtomicWeights!$B$45/L$5,0)</f>
        <v>0</v>
      </c>
      <c r="M52" s="14">
        <f>IF(M$2=$A52,M$3*AtomicWeights!$B$45/M$5,0)</f>
        <v>0</v>
      </c>
      <c r="N52" s="14">
        <f>IF(N$2=$A52,N$3*AtomicWeights!$B$45/N$5,0)</f>
        <v>0</v>
      </c>
      <c r="O52" s="14">
        <f>IF(O$2=$A52,O$3*AtomicWeights!$B$45/O$5,0)</f>
        <v>0</v>
      </c>
      <c r="P52" s="14">
        <f>IF(P$2=$A52,P$3*AtomicWeights!$B$45/P$5,0)</f>
        <v>0</v>
      </c>
      <c r="Q52" s="14">
        <f>IF(Q$2=$A52,Q$3*AtomicWeights!$B$45/Q$5,0)</f>
        <v>0</v>
      </c>
      <c r="R52" s="14">
        <f>IF(R$2=$A52,R$3*AtomicWeights!$B$45/R$5,0)</f>
        <v>0</v>
      </c>
      <c r="S52" s="14">
        <f>IF(S$2=$A52,S$3*AtomicWeights!$B$45/S$5,0)</f>
        <v>0</v>
      </c>
      <c r="T52" s="14">
        <f>IF(T$2=$A52,T$3*AtomicWeights!$B$45/T$5,0)</f>
        <v>0</v>
      </c>
      <c r="U52" s="14">
        <f>IF(U$2=$A52,U$3*AtomicWeights!$B$45/U$5,0)</f>
        <v>0</v>
      </c>
      <c r="V52" s="14">
        <f>IF(V$2=$A52,V$3*AtomicWeights!$B$45/V$5,0)</f>
        <v>0</v>
      </c>
      <c r="W52" s="14">
        <f>IF(W$2=$A52,W$3*AtomicWeights!$B$45/W$5,0)</f>
        <v>0</v>
      </c>
      <c r="X52" s="14">
        <f>IF(X$2=$A52,X$3*AtomicWeights!$B$45/X$5,0)</f>
        <v>0</v>
      </c>
      <c r="Y52" s="14">
        <f>IF(Y$2=$A52,Y$3*AtomicWeights!$B$45/Y$5,0)</f>
        <v>0</v>
      </c>
      <c r="Z52" s="14">
        <f>IF(Z$2=$A52,Z$3*AtomicWeights!$B$45/Z$5,0)</f>
        <v>0</v>
      </c>
      <c r="AA52" s="14">
        <f>IF(AA$2=$A52,AA$3*AtomicWeights!$B$45/AA$5,0)</f>
        <v>0</v>
      </c>
      <c r="AB52" s="14">
        <f>IF(AB$2=$A52,AB$3*AtomicWeights!$B$45/AB$5,0)</f>
        <v>0</v>
      </c>
      <c r="AC52" s="14">
        <f>IF(AC$2=$A52,AC$3*AtomicWeights!$B$45/AC$5,0)</f>
        <v>0</v>
      </c>
      <c r="AD52" s="14">
        <f>IF(AD$2=$A52,AD$3*AtomicWeights!$B$45/AD$5,0)</f>
        <v>0</v>
      </c>
      <c r="AE52" s="14">
        <f>IF(AE$2=$A52,AE$3*AtomicWeights!$B$45/AE$5,0)</f>
        <v>0</v>
      </c>
      <c r="AF52" s="14">
        <f>IF(AF$2=$A52,AF$3*AtomicWeights!$B$45/AF$5,0)</f>
        <v>0</v>
      </c>
      <c r="AG52" s="14">
        <f>IF(AG$2=$A52,AG$3*AtomicWeights!$B$45/AG$5,0)</f>
        <v>0</v>
      </c>
      <c r="AH52" s="14">
        <f>IF(AH$2=$A52,AH$3*AtomicWeights!$B$45/AH$5,0)</f>
        <v>0</v>
      </c>
      <c r="AI52" s="14">
        <f>IF(AI$2=$A52,AI$3*AtomicWeights!$B$45/AI$5,0)</f>
        <v>0</v>
      </c>
      <c r="AJ52" s="14">
        <f>IF(AJ$2=$A52,AJ$3*AtomicWeights!$B$45/AJ$5,0)</f>
        <v>0</v>
      </c>
      <c r="AK52" s="14">
        <f>IF(AK$2=$A52,AK$3*AtomicWeights!$B$45/AK$5,0)</f>
        <v>0</v>
      </c>
      <c r="AL52" s="14">
        <f>IF(AL$2=$A52,AL$3*AtomicWeights!$B$45/AL$5,0)</f>
        <v>0</v>
      </c>
      <c r="AM52" s="14">
        <f>IF(AM$2=$A52,AM$3*AtomicWeights!$B$45/AM$5,0)</f>
        <v>0</v>
      </c>
      <c r="AN52" s="14">
        <f>IF(AN$2=$A52,AN$3*AtomicWeights!$B$45/AN$5,0)</f>
        <v>0</v>
      </c>
      <c r="AO52" s="14">
        <f>IF(AO$2=$A52,AO$3*AtomicWeights!$B$45/AO$5,0)</f>
        <v>0</v>
      </c>
      <c r="AP52" s="14">
        <f>IF(AP$2=$A52,AP$3*AtomicWeights!$B$45/AP$5,0)</f>
        <v>0</v>
      </c>
      <c r="AQ52" s="14">
        <f>IF(AQ$2=$A52,AQ$3*AtomicWeights!$B$45/AQ$5,0)</f>
        <v>0</v>
      </c>
      <c r="AR52" s="14">
        <f>IF(AR$2=$A52,AR$3*AtomicWeights!$B$45/AR$5,0)</f>
        <v>0</v>
      </c>
      <c r="AS52" s="14">
        <f>IF(AS$2=$A52,AS$3*AtomicWeights!$B$45/AS$5,0)</f>
        <v>0</v>
      </c>
      <c r="AT52" s="14">
        <f>IF(AT$2=$A52,AT$3*AtomicWeights!$B$45/AT$5,0)</f>
        <v>0</v>
      </c>
      <c r="AU52" s="14">
        <f>IF(AU$2=$A52,AU$3*AtomicWeights!$B$45/AU$5,0)</f>
        <v>0</v>
      </c>
      <c r="AV52" s="14">
        <f>IF(AV$2=$A52,AV$3*AtomicWeights!$B$45/AV$5,0)</f>
        <v>0.87132068086338488</v>
      </c>
      <c r="AW52" s="14">
        <f>IF(AW$2=$A52,AW$3*AtomicWeights!$B$45/AW$5,0)</f>
        <v>0</v>
      </c>
      <c r="AX52" s="14">
        <f>IF(AX$2=$A52,AX$3*AtomicWeights!$B$45/AX$5,0)</f>
        <v>0</v>
      </c>
      <c r="AY52" s="14">
        <f>IF(AY$2=$A52,AY$3*AtomicWeights!$B$45/AY$5,0)</f>
        <v>0</v>
      </c>
      <c r="AZ52" s="14">
        <f>IF(AZ$2=$A52,AZ$3*AtomicWeights!$B$45/AZ$5,0)</f>
        <v>0</v>
      </c>
      <c r="BA52" s="14">
        <f>IF(BA$2=$A52,BA$3*AtomicWeights!$B$45/BA$5,0)</f>
        <v>0</v>
      </c>
      <c r="BB52" s="14">
        <f>IF(BB$2=$A52,BB$3*AtomicWeights!$B$45/BB$5,0)</f>
        <v>0</v>
      </c>
    </row>
    <row r="53" spans="1:54" x14ac:dyDescent="0.35">
      <c r="A53" s="13" t="s">
        <v>62</v>
      </c>
      <c r="B53" t="str">
        <f>AtomicWeights!$C$46</f>
        <v>yes</v>
      </c>
      <c r="C53" s="14">
        <f>IF(C$2=$A53,C$3*AtomicWeights!$B$46/C$5,0)</f>
        <v>0</v>
      </c>
      <c r="D53" s="14">
        <f>IF(D$2=$A53,D$3*AtomicWeights!$B$46/D$5,0)</f>
        <v>0</v>
      </c>
      <c r="E53" s="14">
        <f>IF(E$2=$A53,E$3*AtomicWeights!$B$46/E$5,0)</f>
        <v>0</v>
      </c>
      <c r="F53" s="14">
        <f>IF(F$2=$A53,F$3*AtomicWeights!$B$46/F$5,0)</f>
        <v>0</v>
      </c>
      <c r="G53" s="14">
        <f>IF(G$2=$A53,G$3*AtomicWeights!$B$46/G$5,0)</f>
        <v>0</v>
      </c>
      <c r="H53" s="14">
        <f>IF(H$2=$A53,H$3*AtomicWeights!$B$46/H$5,0)</f>
        <v>0</v>
      </c>
      <c r="I53" s="14">
        <f>IF(I$2=$A53,I$3*AtomicWeights!$B$46/I$5,0)</f>
        <v>0</v>
      </c>
      <c r="J53" s="14">
        <f>IF(J$2=$A53,J$3*AtomicWeights!$B$46/J$5,0)</f>
        <v>0</v>
      </c>
      <c r="K53" s="14">
        <f>IF(K$2=$A53,K$3*AtomicWeights!$B$46/K$5,0)</f>
        <v>0</v>
      </c>
      <c r="L53" s="14">
        <f>IF(L$2=$A53,L$3*AtomicWeights!$B$46/L$5,0)</f>
        <v>0</v>
      </c>
      <c r="M53" s="14">
        <f>IF(M$2=$A53,M$3*AtomicWeights!$B$46/M$5,0)</f>
        <v>0</v>
      </c>
      <c r="N53" s="14">
        <f>IF(N$2=$A53,N$3*AtomicWeights!$B$46/N$5,0)</f>
        <v>0</v>
      </c>
      <c r="O53" s="14">
        <f>IF(O$2=$A53,O$3*AtomicWeights!$B$46/O$5,0)</f>
        <v>0</v>
      </c>
      <c r="P53" s="14">
        <f>IF(P$2=$A53,P$3*AtomicWeights!$B$46/P$5,0)</f>
        <v>0</v>
      </c>
      <c r="Q53" s="14">
        <f>IF(Q$2=$A53,Q$3*AtomicWeights!$B$46/Q$5,0)</f>
        <v>0</v>
      </c>
      <c r="R53" s="14">
        <f>IF(R$2=$A53,R$3*AtomicWeights!$B$46/R$5,0)</f>
        <v>0</v>
      </c>
      <c r="S53" s="14">
        <f>IF(S$2=$A53,S$3*AtomicWeights!$B$46/S$5,0)</f>
        <v>0</v>
      </c>
      <c r="T53" s="14">
        <f>IF(T$2=$A53,T$3*AtomicWeights!$B$46/T$5,0)</f>
        <v>0</v>
      </c>
      <c r="U53" s="14">
        <f>IF(U$2=$A53,U$3*AtomicWeights!$B$46/U$5,0)</f>
        <v>0</v>
      </c>
      <c r="V53" s="14">
        <f>IF(V$2=$A53,V$3*AtomicWeights!$B$46/V$5,0)</f>
        <v>0</v>
      </c>
      <c r="W53" s="14">
        <f>IF(W$2=$A53,W$3*AtomicWeights!$B$46/W$5,0)</f>
        <v>0</v>
      </c>
      <c r="X53" s="14">
        <f>IF(X$2=$A53,X$3*AtomicWeights!$B$46/X$5,0)</f>
        <v>0</v>
      </c>
      <c r="Y53" s="14">
        <f>IF(Y$2=$A53,Y$3*AtomicWeights!$B$46/Y$5,0)</f>
        <v>0</v>
      </c>
      <c r="Z53" s="14">
        <f>IF(Z$2=$A53,Z$3*AtomicWeights!$B$46/Z$5,0)</f>
        <v>0</v>
      </c>
      <c r="AA53" s="14">
        <f>IF(AA$2=$A53,AA$3*AtomicWeights!$B$46/AA$5,0)</f>
        <v>0</v>
      </c>
      <c r="AB53" s="14">
        <f>IF(AB$2=$A53,AB$3*AtomicWeights!$B$46/AB$5,0)</f>
        <v>0</v>
      </c>
      <c r="AC53" s="14">
        <f>IF(AC$2=$A53,AC$3*AtomicWeights!$B$46/AC$5,0)</f>
        <v>0</v>
      </c>
      <c r="AD53" s="14">
        <f>IF(AD$2=$A53,AD$3*AtomicWeights!$B$46/AD$5,0)</f>
        <v>0</v>
      </c>
      <c r="AE53" s="14">
        <f>IF(AE$2=$A53,AE$3*AtomicWeights!$B$46/AE$5,0)</f>
        <v>0</v>
      </c>
      <c r="AF53" s="14">
        <f>IF(AF$2=$A53,AF$3*AtomicWeights!$B$46/AF$5,0)</f>
        <v>0</v>
      </c>
      <c r="AG53" s="14">
        <f>IF(AG$2=$A53,AG$3*AtomicWeights!$B$46/AG$5,0)</f>
        <v>0</v>
      </c>
      <c r="AH53" s="14">
        <f>IF(AH$2=$A53,AH$3*AtomicWeights!$B$46/AH$5,0)</f>
        <v>0</v>
      </c>
      <c r="AI53" s="14">
        <f>IF(AI$2=$A53,AI$3*AtomicWeights!$B$46/AI$5,0)</f>
        <v>0</v>
      </c>
      <c r="AJ53" s="14">
        <f>IF(AJ$2=$A53,AJ$3*AtomicWeights!$B$46/AJ$5,0)</f>
        <v>0</v>
      </c>
      <c r="AK53" s="14">
        <f>IF(AK$2=$A53,AK$3*AtomicWeights!$B$46/AK$5,0)</f>
        <v>0</v>
      </c>
      <c r="AL53" s="14">
        <f>IF(AL$2=$A53,AL$3*AtomicWeights!$B$46/AL$5,0)</f>
        <v>0</v>
      </c>
      <c r="AM53" s="14">
        <f>IF(AM$2=$A53,AM$3*AtomicWeights!$B$46/AM$5,0)</f>
        <v>0</v>
      </c>
      <c r="AN53" s="14">
        <f>IF(AN$2=$A53,AN$3*AtomicWeights!$B$46/AN$5,0)</f>
        <v>0</v>
      </c>
      <c r="AO53" s="14">
        <f>IF(AO$2=$A53,AO$3*AtomicWeights!$B$46/AO$5,0)</f>
        <v>0</v>
      </c>
      <c r="AP53" s="14">
        <f>IF(AP$2=$A53,AP$3*AtomicWeights!$B$46/AP$5,0)</f>
        <v>0</v>
      </c>
      <c r="AQ53" s="14">
        <f>IF(AQ$2=$A53,AQ$3*AtomicWeights!$B$46/AQ$5,0)</f>
        <v>0</v>
      </c>
      <c r="AR53" s="14">
        <f>IF(AR$2=$A53,AR$3*AtomicWeights!$B$46/AR$5,0)</f>
        <v>0</v>
      </c>
      <c r="AS53" s="14">
        <f>IF(AS$2=$A53,AS$3*AtomicWeights!$B$46/AS$5,0)</f>
        <v>0</v>
      </c>
      <c r="AT53" s="14">
        <f>IF(AT$2=$A53,AT$3*AtomicWeights!$B$46/AT$5,0)</f>
        <v>0</v>
      </c>
      <c r="AU53" s="14">
        <f>IF(AU$2=$A53,AU$3*AtomicWeights!$B$46/AU$5,0)</f>
        <v>0</v>
      </c>
      <c r="AV53" s="14">
        <f>IF(AV$2=$A53,AV$3*AtomicWeights!$B$46/AV$5,0)</f>
        <v>0</v>
      </c>
      <c r="AW53" s="14">
        <f>IF(AW$2=$A53,AW$3*AtomicWeights!$B$46/AW$5,0)</f>
        <v>0.87297597725026932</v>
      </c>
      <c r="AX53" s="14">
        <f>IF(AX$2=$A53,AX$3*AtomicWeights!$B$46/AX$5,0)</f>
        <v>0</v>
      </c>
      <c r="AY53" s="14">
        <f>IF(AY$2=$A53,AY$3*AtomicWeights!$B$46/AY$5,0)</f>
        <v>0</v>
      </c>
      <c r="AZ53" s="14">
        <f>IF(AZ$2=$A53,AZ$3*AtomicWeights!$B$46/AZ$5,0)</f>
        <v>0</v>
      </c>
      <c r="BA53" s="14">
        <f>IF(BA$2=$A53,BA$3*AtomicWeights!$B$46/BA$5,0)</f>
        <v>0</v>
      </c>
      <c r="BB53" s="14">
        <f>IF(BB$2=$A53,BB$3*AtomicWeights!$B$46/BB$5,0)</f>
        <v>0</v>
      </c>
    </row>
    <row r="54" spans="1:54" x14ac:dyDescent="0.35">
      <c r="A54" s="13" t="s">
        <v>63</v>
      </c>
      <c r="B54" t="str">
        <f>AtomicWeights!$C$47</f>
        <v>yes</v>
      </c>
      <c r="C54" s="14">
        <f>IF(C$2=$A54,C$3*AtomicWeights!$B$47/C$5,0)</f>
        <v>0</v>
      </c>
      <c r="D54" s="14">
        <f>IF(D$2=$A54,D$3*AtomicWeights!$B$47/D$5,0)</f>
        <v>0</v>
      </c>
      <c r="E54" s="14">
        <f>IF(E$2=$A54,E$3*AtomicWeights!$B$47/E$5,0)</f>
        <v>0</v>
      </c>
      <c r="F54" s="14">
        <f>IF(F$2=$A54,F$3*AtomicWeights!$B$47/F$5,0)</f>
        <v>0</v>
      </c>
      <c r="G54" s="14">
        <f>IF(G$2=$A54,G$3*AtomicWeights!$B$47/G$5,0)</f>
        <v>0</v>
      </c>
      <c r="H54" s="14">
        <f>IF(H$2=$A54,H$3*AtomicWeights!$B$47/H$5,0)</f>
        <v>0</v>
      </c>
      <c r="I54" s="14">
        <f>IF(I$2=$A54,I$3*AtomicWeights!$B$47/I$5,0)</f>
        <v>0</v>
      </c>
      <c r="J54" s="14">
        <f>IF(J$2=$A54,J$3*AtomicWeights!$B$47/J$5,0)</f>
        <v>0</v>
      </c>
      <c r="K54" s="14">
        <f>IF(K$2=$A54,K$3*AtomicWeights!$B$47/K$5,0)</f>
        <v>0</v>
      </c>
      <c r="L54" s="14">
        <f>IF(L$2=$A54,L$3*AtomicWeights!$B$47/L$5,0)</f>
        <v>0</v>
      </c>
      <c r="M54" s="14">
        <f>IF(M$2=$A54,M$3*AtomicWeights!$B$47/M$5,0)</f>
        <v>0</v>
      </c>
      <c r="N54" s="14">
        <f>IF(N$2=$A54,N$3*AtomicWeights!$B$47/N$5,0)</f>
        <v>0</v>
      </c>
      <c r="O54" s="14">
        <f>IF(O$2=$A54,O$3*AtomicWeights!$B$47/O$5,0)</f>
        <v>0</v>
      </c>
      <c r="P54" s="14">
        <f>IF(P$2=$A54,P$3*AtomicWeights!$B$47/P$5,0)</f>
        <v>0</v>
      </c>
      <c r="Q54" s="14">
        <f>IF(Q$2=$A54,Q$3*AtomicWeights!$B$47/Q$5,0)</f>
        <v>0</v>
      </c>
      <c r="R54" s="14">
        <f>IF(R$2=$A54,R$3*AtomicWeights!$B$47/R$5,0)</f>
        <v>0</v>
      </c>
      <c r="S54" s="14">
        <f>IF(S$2=$A54,S$3*AtomicWeights!$B$47/S$5,0)</f>
        <v>0</v>
      </c>
      <c r="T54" s="14">
        <f>IF(T$2=$A54,T$3*AtomicWeights!$B$47/T$5,0)</f>
        <v>0</v>
      </c>
      <c r="U54" s="14">
        <f>IF(U$2=$A54,U$3*AtomicWeights!$B$47/U$5,0)</f>
        <v>0</v>
      </c>
      <c r="V54" s="14">
        <f>IF(V$2=$A54,V$3*AtomicWeights!$B$47/V$5,0)</f>
        <v>0</v>
      </c>
      <c r="W54" s="14">
        <f>IF(W$2=$A54,W$3*AtomicWeights!$B$47/W$5,0)</f>
        <v>0</v>
      </c>
      <c r="X54" s="14">
        <f>IF(X$2=$A54,X$3*AtomicWeights!$B$47/X$5,0)</f>
        <v>0</v>
      </c>
      <c r="Y54" s="14">
        <f>IF(Y$2=$A54,Y$3*AtomicWeights!$B$47/Y$5,0)</f>
        <v>0</v>
      </c>
      <c r="Z54" s="14">
        <f>IF(Z$2=$A54,Z$3*AtomicWeights!$B$47/Z$5,0)</f>
        <v>0</v>
      </c>
      <c r="AA54" s="14">
        <f>IF(AA$2=$A54,AA$3*AtomicWeights!$B$47/AA$5,0)</f>
        <v>0</v>
      </c>
      <c r="AB54" s="14">
        <f>IF(AB$2=$A54,AB$3*AtomicWeights!$B$47/AB$5,0)</f>
        <v>0</v>
      </c>
      <c r="AC54" s="14">
        <f>IF(AC$2=$A54,AC$3*AtomicWeights!$B$47/AC$5,0)</f>
        <v>0</v>
      </c>
      <c r="AD54" s="14">
        <f>IF(AD$2=$A54,AD$3*AtomicWeights!$B$47/AD$5,0)</f>
        <v>0</v>
      </c>
      <c r="AE54" s="14">
        <f>IF(AE$2=$A54,AE$3*AtomicWeights!$B$47/AE$5,0)</f>
        <v>0</v>
      </c>
      <c r="AF54" s="14">
        <f>IF(AF$2=$A54,AF$3*AtomicWeights!$B$47/AF$5,0)</f>
        <v>0</v>
      </c>
      <c r="AG54" s="14">
        <f>IF(AG$2=$A54,AG$3*AtomicWeights!$B$47/AG$5,0)</f>
        <v>0</v>
      </c>
      <c r="AH54" s="14">
        <f>IF(AH$2=$A54,AH$3*AtomicWeights!$B$47/AH$5,0)</f>
        <v>0</v>
      </c>
      <c r="AI54" s="14">
        <f>IF(AI$2=$A54,AI$3*AtomicWeights!$B$47/AI$5,0)</f>
        <v>0</v>
      </c>
      <c r="AJ54" s="14">
        <f>IF(AJ$2=$A54,AJ$3*AtomicWeights!$B$47/AJ$5,0)</f>
        <v>0</v>
      </c>
      <c r="AK54" s="14">
        <f>IF(AK$2=$A54,AK$3*AtomicWeights!$B$47/AK$5,0)</f>
        <v>0</v>
      </c>
      <c r="AL54" s="14">
        <f>IF(AL$2=$A54,AL$3*AtomicWeights!$B$47/AL$5,0)</f>
        <v>0</v>
      </c>
      <c r="AM54" s="14">
        <f>IF(AM$2=$A54,AM$3*AtomicWeights!$B$47/AM$5,0)</f>
        <v>0</v>
      </c>
      <c r="AN54" s="14">
        <f>IF(AN$2=$A54,AN$3*AtomicWeights!$B$47/AN$5,0)</f>
        <v>0</v>
      </c>
      <c r="AO54" s="14">
        <f>IF(AO$2=$A54,AO$3*AtomicWeights!$B$47/AO$5,0)</f>
        <v>0</v>
      </c>
      <c r="AP54" s="14">
        <f>IF(AP$2=$A54,AP$3*AtomicWeights!$B$47/AP$5,0)</f>
        <v>0</v>
      </c>
      <c r="AQ54" s="14">
        <f>IF(AQ$2=$A54,AQ$3*AtomicWeights!$B$47/AQ$5,0)</f>
        <v>0</v>
      </c>
      <c r="AR54" s="14">
        <f>IF(AR$2=$A54,AR$3*AtomicWeights!$B$47/AR$5,0)</f>
        <v>0</v>
      </c>
      <c r="AS54" s="14">
        <f>IF(AS$2=$A54,AS$3*AtomicWeights!$B$47/AS$5,0)</f>
        <v>0</v>
      </c>
      <c r="AT54" s="14">
        <f>IF(AT$2=$A54,AT$3*AtomicWeights!$B$47/AT$5,0)</f>
        <v>0</v>
      </c>
      <c r="AU54" s="14">
        <f>IF(AU$2=$A54,AU$3*AtomicWeights!$B$47/AU$5,0)</f>
        <v>0</v>
      </c>
      <c r="AV54" s="14">
        <f>IF(AV$2=$A54,AV$3*AtomicWeights!$B$47/AV$5,0)</f>
        <v>0</v>
      </c>
      <c r="AW54" s="14">
        <f>IF(AW$2=$A54,AW$3*AtomicWeights!$B$47/AW$5,0)</f>
        <v>0</v>
      </c>
      <c r="AX54" s="14">
        <f>IF(AX$2=$A54,AX$3*AtomicWeights!$B$47/AX$5,0)</f>
        <v>0.87452256774244141</v>
      </c>
      <c r="AY54" s="14">
        <f>IF(AY$2=$A54,AY$3*AtomicWeights!$B$47/AY$5,0)</f>
        <v>0</v>
      </c>
      <c r="AZ54" s="14">
        <f>IF(AZ$2=$A54,AZ$3*AtomicWeights!$B$47/AZ$5,0)</f>
        <v>0</v>
      </c>
      <c r="BA54" s="14">
        <f>IF(BA$2=$A54,BA$3*AtomicWeights!$B$47/BA$5,0)</f>
        <v>0</v>
      </c>
      <c r="BB54" s="14">
        <f>IF(BB$2=$A54,BB$3*AtomicWeights!$B$47/BB$5,0)</f>
        <v>0</v>
      </c>
    </row>
    <row r="55" spans="1:54" x14ac:dyDescent="0.35">
      <c r="A55" s="13" t="s">
        <v>64</v>
      </c>
      <c r="B55" t="str">
        <f>AtomicWeights!$C$48</f>
        <v>yes</v>
      </c>
      <c r="C55" s="14">
        <f>IF(C$2=$A55,C$3*AtomicWeights!$B$48/C$5,0)</f>
        <v>0</v>
      </c>
      <c r="D55" s="14">
        <f>IF(D$2=$A55,D$3*AtomicWeights!$B$48/D$5,0)</f>
        <v>0</v>
      </c>
      <c r="E55" s="14">
        <f>IF(E$2=$A55,E$3*AtomicWeights!$B$48/E$5,0)</f>
        <v>0</v>
      </c>
      <c r="F55" s="14">
        <f>IF(F$2=$A55,F$3*AtomicWeights!$B$48/F$5,0)</f>
        <v>0</v>
      </c>
      <c r="G55" s="14">
        <f>IF(G$2=$A55,G$3*AtomicWeights!$B$48/G$5,0)</f>
        <v>0</v>
      </c>
      <c r="H55" s="14">
        <f>IF(H$2=$A55,H$3*AtomicWeights!$B$48/H$5,0)</f>
        <v>0</v>
      </c>
      <c r="I55" s="14">
        <f>IF(I$2=$A55,I$3*AtomicWeights!$B$48/I$5,0)</f>
        <v>0</v>
      </c>
      <c r="J55" s="14">
        <f>IF(J$2=$A55,J$3*AtomicWeights!$B$48/J$5,0)</f>
        <v>0</v>
      </c>
      <c r="K55" s="14">
        <f>IF(K$2=$A55,K$3*AtomicWeights!$B$48/K$5,0)</f>
        <v>0</v>
      </c>
      <c r="L55" s="14">
        <f>IF(L$2=$A55,L$3*AtomicWeights!$B$48/L$5,0)</f>
        <v>0</v>
      </c>
      <c r="M55" s="14">
        <f>IF(M$2=$A55,M$3*AtomicWeights!$B$48/M$5,0)</f>
        <v>0</v>
      </c>
      <c r="N55" s="14">
        <f>IF(N$2=$A55,N$3*AtomicWeights!$B$48/N$5,0)</f>
        <v>0</v>
      </c>
      <c r="O55" s="14">
        <f>IF(O$2=$A55,O$3*AtomicWeights!$B$48/O$5,0)</f>
        <v>0</v>
      </c>
      <c r="P55" s="14">
        <f>IF(P$2=$A55,P$3*AtomicWeights!$B$48/P$5,0)</f>
        <v>0</v>
      </c>
      <c r="Q55" s="14">
        <f>IF(Q$2=$A55,Q$3*AtomicWeights!$B$48/Q$5,0)</f>
        <v>0</v>
      </c>
      <c r="R55" s="14">
        <f>IF(R$2=$A55,R$3*AtomicWeights!$B$48/R$5,0)</f>
        <v>0</v>
      </c>
      <c r="S55" s="14">
        <f>IF(S$2=$A55,S$3*AtomicWeights!$B$48/S$5,0)</f>
        <v>0</v>
      </c>
      <c r="T55" s="14">
        <f>IF(T$2=$A55,T$3*AtomicWeights!$B$48/T$5,0)</f>
        <v>0</v>
      </c>
      <c r="U55" s="14">
        <f>IF(U$2=$A55,U$3*AtomicWeights!$B$48/U$5,0)</f>
        <v>0</v>
      </c>
      <c r="V55" s="14">
        <f>IF(V$2=$A55,V$3*AtomicWeights!$B$48/V$5,0)</f>
        <v>0</v>
      </c>
      <c r="W55" s="14">
        <f>IF(W$2=$A55,W$3*AtomicWeights!$B$48/W$5,0)</f>
        <v>0</v>
      </c>
      <c r="X55" s="14">
        <f>IF(X$2=$A55,X$3*AtomicWeights!$B$48/X$5,0)</f>
        <v>0</v>
      </c>
      <c r="Y55" s="14">
        <f>IF(Y$2=$A55,Y$3*AtomicWeights!$B$48/Y$5,0)</f>
        <v>0</v>
      </c>
      <c r="Z55" s="14">
        <f>IF(Z$2=$A55,Z$3*AtomicWeights!$B$48/Z$5,0)</f>
        <v>0</v>
      </c>
      <c r="AA55" s="14">
        <f>IF(AA$2=$A55,AA$3*AtomicWeights!$B$48/AA$5,0)</f>
        <v>0</v>
      </c>
      <c r="AB55" s="14">
        <f>IF(AB$2=$A55,AB$3*AtomicWeights!$B$48/AB$5,0)</f>
        <v>0</v>
      </c>
      <c r="AC55" s="14">
        <f>IF(AC$2=$A55,AC$3*AtomicWeights!$B$48/AC$5,0)</f>
        <v>0</v>
      </c>
      <c r="AD55" s="14">
        <f>IF(AD$2=$A55,AD$3*AtomicWeights!$B$48/AD$5,0)</f>
        <v>0</v>
      </c>
      <c r="AE55" s="14">
        <f>IF(AE$2=$A55,AE$3*AtomicWeights!$B$48/AE$5,0)</f>
        <v>0</v>
      </c>
      <c r="AF55" s="14">
        <f>IF(AF$2=$A55,AF$3*AtomicWeights!$B$48/AF$5,0)</f>
        <v>0</v>
      </c>
      <c r="AG55" s="14">
        <f>IF(AG$2=$A55,AG$3*AtomicWeights!$B$48/AG$5,0)</f>
        <v>0</v>
      </c>
      <c r="AH55" s="14">
        <f>IF(AH$2=$A55,AH$3*AtomicWeights!$B$48/AH$5,0)</f>
        <v>0</v>
      </c>
      <c r="AI55" s="14">
        <f>IF(AI$2=$A55,AI$3*AtomicWeights!$B$48/AI$5,0)</f>
        <v>0</v>
      </c>
      <c r="AJ55" s="14">
        <f>IF(AJ$2=$A55,AJ$3*AtomicWeights!$B$48/AJ$5,0)</f>
        <v>0</v>
      </c>
      <c r="AK55" s="14">
        <f>IF(AK$2=$A55,AK$3*AtomicWeights!$B$48/AK$5,0)</f>
        <v>0</v>
      </c>
      <c r="AL55" s="14">
        <f>IF(AL$2=$A55,AL$3*AtomicWeights!$B$48/AL$5,0)</f>
        <v>0</v>
      </c>
      <c r="AM55" s="14">
        <f>IF(AM$2=$A55,AM$3*AtomicWeights!$B$48/AM$5,0)</f>
        <v>0</v>
      </c>
      <c r="AN55" s="14">
        <f>IF(AN$2=$A55,AN$3*AtomicWeights!$B$48/AN$5,0)</f>
        <v>0</v>
      </c>
      <c r="AO55" s="14">
        <f>IF(AO$2=$A55,AO$3*AtomicWeights!$B$48/AO$5,0)</f>
        <v>0</v>
      </c>
      <c r="AP55" s="14">
        <f>IF(AP$2=$A55,AP$3*AtomicWeights!$B$48/AP$5,0)</f>
        <v>0</v>
      </c>
      <c r="AQ55" s="14">
        <f>IF(AQ$2=$A55,AQ$3*AtomicWeights!$B$48/AQ$5,0)</f>
        <v>0</v>
      </c>
      <c r="AR55" s="14">
        <f>IF(AR$2=$A55,AR$3*AtomicWeights!$B$48/AR$5,0)</f>
        <v>0</v>
      </c>
      <c r="AS55" s="14">
        <f>IF(AS$2=$A55,AS$3*AtomicWeights!$B$48/AS$5,0)</f>
        <v>0</v>
      </c>
      <c r="AT55" s="14">
        <f>IF(AT$2=$A55,AT$3*AtomicWeights!$B$48/AT$5,0)</f>
        <v>0</v>
      </c>
      <c r="AU55" s="14">
        <f>IF(AU$2=$A55,AU$3*AtomicWeights!$B$48/AU$5,0)</f>
        <v>0</v>
      </c>
      <c r="AV55" s="14">
        <f>IF(AV$2=$A55,AV$3*AtomicWeights!$B$48/AV$5,0)</f>
        <v>0</v>
      </c>
      <c r="AW55" s="14">
        <f>IF(AW$2=$A55,AW$3*AtomicWeights!$B$48/AW$5,0)</f>
        <v>0</v>
      </c>
      <c r="AX55" s="14">
        <f>IF(AX$2=$A55,AX$3*AtomicWeights!$B$48/AX$5,0)</f>
        <v>0</v>
      </c>
      <c r="AY55" s="14">
        <f>IF(AY$2=$A55,AY$3*AtomicWeights!$B$48/AY$5,0)</f>
        <v>0.87561207865622792</v>
      </c>
      <c r="AZ55" s="14">
        <f>IF(AZ$2=$A55,AZ$3*AtomicWeights!$B$48/AZ$5,0)</f>
        <v>0</v>
      </c>
      <c r="BA55" s="14">
        <f>IF(BA$2=$A55,BA$3*AtomicWeights!$B$48/BA$5,0)</f>
        <v>0</v>
      </c>
      <c r="BB55" s="14">
        <f>IF(BB$2=$A55,BB$3*AtomicWeights!$B$48/BB$5,0)</f>
        <v>0</v>
      </c>
    </row>
    <row r="56" spans="1:54" x14ac:dyDescent="0.35">
      <c r="A56" s="13" t="s">
        <v>65</v>
      </c>
      <c r="B56" t="str">
        <f>AtomicWeights!$C$49</f>
        <v>yes</v>
      </c>
      <c r="C56" s="14">
        <f>IF(C$2=$A56,C$3*AtomicWeights!$B$49/C$5,0)</f>
        <v>0</v>
      </c>
      <c r="D56" s="14">
        <f>IF(D$2=$A56,D$3*AtomicWeights!$B$49/D$5,0)</f>
        <v>0</v>
      </c>
      <c r="E56" s="14">
        <f>IF(E$2=$A56,E$3*AtomicWeights!$B$49/E$5,0)</f>
        <v>0</v>
      </c>
      <c r="F56" s="14">
        <f>IF(F$2=$A56,F$3*AtomicWeights!$B$49/F$5,0)</f>
        <v>0</v>
      </c>
      <c r="G56" s="14">
        <f>IF(G$2=$A56,G$3*AtomicWeights!$B$49/G$5,0)</f>
        <v>0</v>
      </c>
      <c r="H56" s="14">
        <f>IF(H$2=$A56,H$3*AtomicWeights!$B$49/H$5,0)</f>
        <v>0</v>
      </c>
      <c r="I56" s="14">
        <f>IF(I$2=$A56,I$3*AtomicWeights!$B$49/I$5,0)</f>
        <v>0</v>
      </c>
      <c r="J56" s="14">
        <f>IF(J$2=$A56,J$3*AtomicWeights!$B$49/J$5,0)</f>
        <v>0</v>
      </c>
      <c r="K56" s="14">
        <f>IF(K$2=$A56,K$3*AtomicWeights!$B$49/K$5,0)</f>
        <v>0</v>
      </c>
      <c r="L56" s="14">
        <f>IF(L$2=$A56,L$3*AtomicWeights!$B$49/L$5,0)</f>
        <v>0</v>
      </c>
      <c r="M56" s="14">
        <f>IF(M$2=$A56,M$3*AtomicWeights!$B$49/M$5,0)</f>
        <v>0</v>
      </c>
      <c r="N56" s="14">
        <f>IF(N$2=$A56,N$3*AtomicWeights!$B$49/N$5,0)</f>
        <v>0</v>
      </c>
      <c r="O56" s="14">
        <f>IF(O$2=$A56,O$3*AtomicWeights!$B$49/O$5,0)</f>
        <v>0</v>
      </c>
      <c r="P56" s="14">
        <f>IF(P$2=$A56,P$3*AtomicWeights!$B$49/P$5,0)</f>
        <v>0</v>
      </c>
      <c r="Q56" s="14">
        <f>IF(Q$2=$A56,Q$3*AtomicWeights!$B$49/Q$5,0)</f>
        <v>0</v>
      </c>
      <c r="R56" s="14">
        <f>IF(R$2=$A56,R$3*AtomicWeights!$B$49/R$5,0)</f>
        <v>0</v>
      </c>
      <c r="S56" s="14">
        <f>IF(S$2=$A56,S$3*AtomicWeights!$B$49/S$5,0)</f>
        <v>0</v>
      </c>
      <c r="T56" s="14">
        <f>IF(T$2=$A56,T$3*AtomicWeights!$B$49/T$5,0)</f>
        <v>0</v>
      </c>
      <c r="U56" s="14">
        <f>IF(U$2=$A56,U$3*AtomicWeights!$B$49/U$5,0)</f>
        <v>0</v>
      </c>
      <c r="V56" s="14">
        <f>IF(V$2=$A56,V$3*AtomicWeights!$B$49/V$5,0)</f>
        <v>0</v>
      </c>
      <c r="W56" s="14">
        <f>IF(W$2=$A56,W$3*AtomicWeights!$B$49/W$5,0)</f>
        <v>0</v>
      </c>
      <c r="X56" s="14">
        <f>IF(X$2=$A56,X$3*AtomicWeights!$B$49/X$5,0)</f>
        <v>0</v>
      </c>
      <c r="Y56" s="14">
        <f>IF(Y$2=$A56,Y$3*AtomicWeights!$B$49/Y$5,0)</f>
        <v>0</v>
      </c>
      <c r="Z56" s="14">
        <f>IF(Z$2=$A56,Z$3*AtomicWeights!$B$49/Z$5,0)</f>
        <v>0</v>
      </c>
      <c r="AA56" s="14">
        <f>IF(AA$2=$A56,AA$3*AtomicWeights!$B$49/AA$5,0)</f>
        <v>0</v>
      </c>
      <c r="AB56" s="14">
        <f>IF(AB$2=$A56,AB$3*AtomicWeights!$B$49/AB$5,0)</f>
        <v>0</v>
      </c>
      <c r="AC56" s="14">
        <f>IF(AC$2=$A56,AC$3*AtomicWeights!$B$49/AC$5,0)</f>
        <v>0</v>
      </c>
      <c r="AD56" s="14">
        <f>IF(AD$2=$A56,AD$3*AtomicWeights!$B$49/AD$5,0)</f>
        <v>0</v>
      </c>
      <c r="AE56" s="14">
        <f>IF(AE$2=$A56,AE$3*AtomicWeights!$B$49/AE$5,0)</f>
        <v>0</v>
      </c>
      <c r="AF56" s="14">
        <f>IF(AF$2=$A56,AF$3*AtomicWeights!$B$49/AF$5,0)</f>
        <v>0</v>
      </c>
      <c r="AG56" s="14">
        <f>IF(AG$2=$A56,AG$3*AtomicWeights!$B$49/AG$5,0)</f>
        <v>0</v>
      </c>
      <c r="AH56" s="14">
        <f>IF(AH$2=$A56,AH$3*AtomicWeights!$B$49/AH$5,0)</f>
        <v>0</v>
      </c>
      <c r="AI56" s="14">
        <f>IF(AI$2=$A56,AI$3*AtomicWeights!$B$49/AI$5,0)</f>
        <v>0</v>
      </c>
      <c r="AJ56" s="14">
        <f>IF(AJ$2=$A56,AJ$3*AtomicWeights!$B$49/AJ$5,0)</f>
        <v>0</v>
      </c>
      <c r="AK56" s="14">
        <f>IF(AK$2=$A56,AK$3*AtomicWeights!$B$49/AK$5,0)</f>
        <v>0</v>
      </c>
      <c r="AL56" s="14">
        <f>IF(AL$2=$A56,AL$3*AtomicWeights!$B$49/AL$5,0)</f>
        <v>0</v>
      </c>
      <c r="AM56" s="14">
        <f>IF(AM$2=$A56,AM$3*AtomicWeights!$B$49/AM$5,0)</f>
        <v>0</v>
      </c>
      <c r="AN56" s="14">
        <f>IF(AN$2=$A56,AN$3*AtomicWeights!$B$49/AN$5,0)</f>
        <v>0</v>
      </c>
      <c r="AO56" s="14">
        <f>IF(AO$2=$A56,AO$3*AtomicWeights!$B$49/AO$5,0)</f>
        <v>0</v>
      </c>
      <c r="AP56" s="14">
        <f>IF(AP$2=$A56,AP$3*AtomicWeights!$B$49/AP$5,0)</f>
        <v>0</v>
      </c>
      <c r="AQ56" s="14">
        <f>IF(AQ$2=$A56,AQ$3*AtomicWeights!$B$49/AQ$5,0)</f>
        <v>0</v>
      </c>
      <c r="AR56" s="14">
        <f>IF(AR$2=$A56,AR$3*AtomicWeights!$B$49/AR$5,0)</f>
        <v>0</v>
      </c>
      <c r="AS56" s="14">
        <f>IF(AS$2=$A56,AS$3*AtomicWeights!$B$49/AS$5,0)</f>
        <v>0</v>
      </c>
      <c r="AT56" s="14">
        <f>IF(AT$2=$A56,AT$3*AtomicWeights!$B$49/AT$5,0)</f>
        <v>0</v>
      </c>
      <c r="AU56" s="14">
        <f>IF(AU$2=$A56,AU$3*AtomicWeights!$B$49/AU$5,0)</f>
        <v>0</v>
      </c>
      <c r="AV56" s="14">
        <f>IF(AV$2=$A56,AV$3*AtomicWeights!$B$49/AV$5,0)</f>
        <v>0</v>
      </c>
      <c r="AW56" s="14">
        <f>IF(AW$2=$A56,AW$3*AtomicWeights!$B$49/AW$5,0)</f>
        <v>0</v>
      </c>
      <c r="AX56" s="14">
        <f>IF(AX$2=$A56,AX$3*AtomicWeights!$B$49/AX$5,0)</f>
        <v>0</v>
      </c>
      <c r="AY56" s="14">
        <f>IF(AY$2=$A56,AY$3*AtomicWeights!$B$49/AY$5,0)</f>
        <v>0</v>
      </c>
      <c r="AZ56" s="14">
        <f>IF(AZ$2=$A56,AZ$3*AtomicWeights!$B$49/AZ$5,0)</f>
        <v>0.878207096402571</v>
      </c>
      <c r="BA56" s="14">
        <f>IF(BA$2=$A56,BA$3*AtomicWeights!$B$49/BA$5,0)</f>
        <v>0</v>
      </c>
      <c r="BB56" s="14">
        <f>IF(BB$2=$A56,BB$3*AtomicWeights!$B$49/BB$5,0)</f>
        <v>0</v>
      </c>
    </row>
    <row r="57" spans="1:54" x14ac:dyDescent="0.35">
      <c r="A57" s="13" t="s">
        <v>66</v>
      </c>
      <c r="B57" t="str">
        <f>AtomicWeights!$C$50</f>
        <v>yes</v>
      </c>
      <c r="C57" s="14">
        <f>IF(C$2=$A57,C$3*AtomicWeights!$B$50/C$5,0)</f>
        <v>0</v>
      </c>
      <c r="D57" s="14">
        <f>IF(D$2=$A57,D$3*AtomicWeights!$B$50/D$5,0)</f>
        <v>0</v>
      </c>
      <c r="E57" s="14">
        <f>IF(E$2=$A57,E$3*AtomicWeights!$B$50/E$5,0)</f>
        <v>0</v>
      </c>
      <c r="F57" s="14">
        <f>IF(F$2=$A57,F$3*AtomicWeights!$B$50/F$5,0)</f>
        <v>0</v>
      </c>
      <c r="G57" s="14">
        <f>IF(G$2=$A57,G$3*AtomicWeights!$B$50/G$5,0)</f>
        <v>0</v>
      </c>
      <c r="H57" s="14">
        <f>IF(H$2=$A57,H$3*AtomicWeights!$B$50/H$5,0)</f>
        <v>0</v>
      </c>
      <c r="I57" s="14">
        <f>IF(I$2=$A57,I$3*AtomicWeights!$B$50/I$5,0)</f>
        <v>0</v>
      </c>
      <c r="J57" s="14">
        <f>IF(J$2=$A57,J$3*AtomicWeights!$B$50/J$5,0)</f>
        <v>0</v>
      </c>
      <c r="K57" s="14">
        <f>IF(K$2=$A57,K$3*AtomicWeights!$B$50/K$5,0)</f>
        <v>0</v>
      </c>
      <c r="L57" s="14">
        <f>IF(L$2=$A57,L$3*AtomicWeights!$B$50/L$5,0)</f>
        <v>0</v>
      </c>
      <c r="M57" s="14">
        <f>IF(M$2=$A57,M$3*AtomicWeights!$B$50/M$5,0)</f>
        <v>0</v>
      </c>
      <c r="N57" s="14">
        <f>IF(N$2=$A57,N$3*AtomicWeights!$B$50/N$5,0)</f>
        <v>0</v>
      </c>
      <c r="O57" s="14">
        <f>IF(O$2=$A57,O$3*AtomicWeights!$B$50/O$5,0)</f>
        <v>0</v>
      </c>
      <c r="P57" s="14">
        <f>IF(P$2=$A57,P$3*AtomicWeights!$B$50/P$5,0)</f>
        <v>0</v>
      </c>
      <c r="Q57" s="14">
        <f>IF(Q$2=$A57,Q$3*AtomicWeights!$B$50/Q$5,0)</f>
        <v>0</v>
      </c>
      <c r="R57" s="14">
        <f>IF(R$2=$A57,R$3*AtomicWeights!$B$50/R$5,0)</f>
        <v>0</v>
      </c>
      <c r="S57" s="14">
        <f>IF(S$2=$A57,S$3*AtomicWeights!$B$50/S$5,0)</f>
        <v>0</v>
      </c>
      <c r="T57" s="14">
        <f>IF(T$2=$A57,T$3*AtomicWeights!$B$50/T$5,0)</f>
        <v>0</v>
      </c>
      <c r="U57" s="14">
        <f>IF(U$2=$A57,U$3*AtomicWeights!$B$50/U$5,0)</f>
        <v>0</v>
      </c>
      <c r="V57" s="14">
        <f>IF(V$2=$A57,V$3*AtomicWeights!$B$50/V$5,0)</f>
        <v>0</v>
      </c>
      <c r="W57" s="14">
        <f>IF(W$2=$A57,W$3*AtomicWeights!$B$50/W$5,0)</f>
        <v>0</v>
      </c>
      <c r="X57" s="14">
        <f>IF(X$2=$A57,X$3*AtomicWeights!$B$50/X$5,0)</f>
        <v>0</v>
      </c>
      <c r="Y57" s="14">
        <f>IF(Y$2=$A57,Y$3*AtomicWeights!$B$50/Y$5,0)</f>
        <v>0</v>
      </c>
      <c r="Z57" s="14">
        <f>IF(Z$2=$A57,Z$3*AtomicWeights!$B$50/Z$5,0)</f>
        <v>0</v>
      </c>
      <c r="AA57" s="14">
        <f>IF(AA$2=$A57,AA$3*AtomicWeights!$B$50/AA$5,0)</f>
        <v>0</v>
      </c>
      <c r="AB57" s="14">
        <f>IF(AB$2=$A57,AB$3*AtomicWeights!$B$50/AB$5,0)</f>
        <v>0</v>
      </c>
      <c r="AC57" s="14">
        <f>IF(AC$2=$A57,AC$3*AtomicWeights!$B$50/AC$5,0)</f>
        <v>0</v>
      </c>
      <c r="AD57" s="14">
        <f>IF(AD$2=$A57,AD$3*AtomicWeights!$B$50/AD$5,0)</f>
        <v>0</v>
      </c>
      <c r="AE57" s="14">
        <f>IF(AE$2=$A57,AE$3*AtomicWeights!$B$50/AE$5,0)</f>
        <v>0</v>
      </c>
      <c r="AF57" s="14">
        <f>IF(AF$2=$A57,AF$3*AtomicWeights!$B$50/AF$5,0)</f>
        <v>0</v>
      </c>
      <c r="AG57" s="14">
        <f>IF(AG$2=$A57,AG$3*AtomicWeights!$B$50/AG$5,0)</f>
        <v>0</v>
      </c>
      <c r="AH57" s="14">
        <f>IF(AH$2=$A57,AH$3*AtomicWeights!$B$50/AH$5,0)</f>
        <v>0</v>
      </c>
      <c r="AI57" s="14">
        <f>IF(AI$2=$A57,AI$3*AtomicWeights!$B$50/AI$5,0)</f>
        <v>0</v>
      </c>
      <c r="AJ57" s="14">
        <f>IF(AJ$2=$A57,AJ$3*AtomicWeights!$B$50/AJ$5,0)</f>
        <v>0</v>
      </c>
      <c r="AK57" s="14">
        <f>IF(AK$2=$A57,AK$3*AtomicWeights!$B$50/AK$5,0)</f>
        <v>0</v>
      </c>
      <c r="AL57" s="14">
        <f>IF(AL$2=$A57,AL$3*AtomicWeights!$B$50/AL$5,0)</f>
        <v>0</v>
      </c>
      <c r="AM57" s="14">
        <f>IF(AM$2=$A57,AM$3*AtomicWeights!$B$50/AM$5,0)</f>
        <v>0</v>
      </c>
      <c r="AN57" s="14">
        <f>IF(AN$2=$A57,AN$3*AtomicWeights!$B$50/AN$5,0)</f>
        <v>0</v>
      </c>
      <c r="AO57" s="14">
        <f>IF(AO$2=$A57,AO$3*AtomicWeights!$B$50/AO$5,0)</f>
        <v>0</v>
      </c>
      <c r="AP57" s="14">
        <f>IF(AP$2=$A57,AP$3*AtomicWeights!$B$50/AP$5,0)</f>
        <v>0</v>
      </c>
      <c r="AQ57" s="14">
        <f>IF(AQ$2=$A57,AQ$3*AtomicWeights!$B$50/AQ$5,0)</f>
        <v>0</v>
      </c>
      <c r="AR57" s="14">
        <f>IF(AR$2=$A57,AR$3*AtomicWeights!$B$50/AR$5,0)</f>
        <v>0</v>
      </c>
      <c r="AS57" s="14">
        <f>IF(AS$2=$A57,AS$3*AtomicWeights!$B$50/AS$5,0)</f>
        <v>0</v>
      </c>
      <c r="AT57" s="14">
        <f>IF(AT$2=$A57,AT$3*AtomicWeights!$B$50/AT$5,0)</f>
        <v>0</v>
      </c>
      <c r="AU57" s="14">
        <f>IF(AU$2=$A57,AU$3*AtomicWeights!$B$50/AU$5,0)</f>
        <v>0</v>
      </c>
      <c r="AV57" s="14">
        <f>IF(AV$2=$A57,AV$3*AtomicWeights!$B$50/AV$5,0)</f>
        <v>0</v>
      </c>
      <c r="AW57" s="14">
        <f>IF(AW$2=$A57,AW$3*AtomicWeights!$B$50/AW$5,0)</f>
        <v>0</v>
      </c>
      <c r="AX57" s="14">
        <f>IF(AX$2=$A57,AX$3*AtomicWeights!$B$50/AX$5,0)</f>
        <v>0</v>
      </c>
      <c r="AY57" s="14">
        <f>IF(AY$2=$A57,AY$3*AtomicWeights!$B$50/AY$5,0)</f>
        <v>0</v>
      </c>
      <c r="AZ57" s="14">
        <f>IF(AZ$2=$A57,AZ$3*AtomicWeights!$B$50/AZ$5,0)</f>
        <v>0</v>
      </c>
      <c r="BA57" s="14">
        <f>IF(BA$2=$A57,BA$3*AtomicWeights!$B$50/BA$5,0)</f>
        <v>0.87938349048803988</v>
      </c>
      <c r="BB57" s="14">
        <f>IF(BB$2=$A57,BB$3*AtomicWeights!$B$50/BB$5,0)</f>
        <v>0</v>
      </c>
    </row>
    <row r="58" spans="1:54" x14ac:dyDescent="0.35">
      <c r="A58" s="13" t="s">
        <v>67</v>
      </c>
      <c r="B58" t="str">
        <f>AtomicWeights!$C$51</f>
        <v>yes</v>
      </c>
      <c r="C58" s="14">
        <f>IF(C$2=$A58,C$3*AtomicWeights!$B$51/C$5,0)</f>
        <v>0</v>
      </c>
      <c r="D58" s="14">
        <f>IF(D$2=$A58,D$3*AtomicWeights!$B$51/D$5,0)</f>
        <v>0</v>
      </c>
      <c r="E58" s="14">
        <f>IF(E$2=$A58,E$3*AtomicWeights!$B$51/E$5,0)</f>
        <v>0</v>
      </c>
      <c r="F58" s="14">
        <f>IF(F$2=$A58,F$3*AtomicWeights!$B$51/F$5,0)</f>
        <v>0</v>
      </c>
      <c r="G58" s="14">
        <f>IF(G$2=$A58,G$3*AtomicWeights!$B$51/G$5,0)</f>
        <v>0</v>
      </c>
      <c r="H58" s="14">
        <f>IF(H$2=$A58,H$3*AtomicWeights!$B$51/H$5,0)</f>
        <v>0</v>
      </c>
      <c r="I58" s="14">
        <f>IF(I$2=$A58,I$3*AtomicWeights!$B$51/I$5,0)</f>
        <v>0</v>
      </c>
      <c r="J58" s="14">
        <f>IF(J$2=$A58,J$3*AtomicWeights!$B$51/J$5,0)</f>
        <v>0</v>
      </c>
      <c r="K58" s="14">
        <f>IF(K$2=$A58,K$3*AtomicWeights!$B$51/K$5,0)</f>
        <v>0</v>
      </c>
      <c r="L58" s="14">
        <f>IF(L$2=$A58,L$3*AtomicWeights!$B$51/L$5,0)</f>
        <v>0</v>
      </c>
      <c r="M58" s="14">
        <f>IF(M$2=$A58,M$3*AtomicWeights!$B$51/M$5,0)</f>
        <v>0</v>
      </c>
      <c r="N58" s="14">
        <f>IF(N$2=$A58,N$3*AtomicWeights!$B$51/N$5,0)</f>
        <v>0</v>
      </c>
      <c r="O58" s="14">
        <f>IF(O$2=$A58,O$3*AtomicWeights!$B$51/O$5,0)</f>
        <v>0</v>
      </c>
      <c r="P58" s="14">
        <f>IF(P$2=$A58,P$3*AtomicWeights!$B$51/P$5,0)</f>
        <v>0</v>
      </c>
      <c r="Q58" s="14">
        <f>IF(Q$2=$A58,Q$3*AtomicWeights!$B$51/Q$5,0)</f>
        <v>0</v>
      </c>
      <c r="R58" s="14">
        <f>IF(R$2=$A58,R$3*AtomicWeights!$B$51/R$5,0)</f>
        <v>0</v>
      </c>
      <c r="S58" s="14">
        <f>IF(S$2=$A58,S$3*AtomicWeights!$B$51/S$5,0)</f>
        <v>0</v>
      </c>
      <c r="T58" s="14">
        <f>IF(T$2=$A58,T$3*AtomicWeights!$B$51/T$5,0)</f>
        <v>0</v>
      </c>
      <c r="U58" s="14">
        <f>IF(U$2=$A58,U$3*AtomicWeights!$B$51/U$5,0)</f>
        <v>0</v>
      </c>
      <c r="V58" s="14">
        <f>IF(V$2=$A58,V$3*AtomicWeights!$B$51/V$5,0)</f>
        <v>0</v>
      </c>
      <c r="W58" s="14">
        <f>IF(W$2=$A58,W$3*AtomicWeights!$B$51/W$5,0)</f>
        <v>0</v>
      </c>
      <c r="X58" s="14">
        <f>IF(X$2=$A58,X$3*AtomicWeights!$B$51/X$5,0)</f>
        <v>0</v>
      </c>
      <c r="Y58" s="14">
        <f>IF(Y$2=$A58,Y$3*AtomicWeights!$B$51/Y$5,0)</f>
        <v>0</v>
      </c>
      <c r="Z58" s="14">
        <f>IF(Z$2=$A58,Z$3*AtomicWeights!$B$51/Z$5,0)</f>
        <v>0</v>
      </c>
      <c r="AA58" s="14">
        <f>IF(AA$2=$A58,AA$3*AtomicWeights!$B$51/AA$5,0)</f>
        <v>0</v>
      </c>
      <c r="AB58" s="14">
        <f>IF(AB$2=$A58,AB$3*AtomicWeights!$B$51/AB$5,0)</f>
        <v>0</v>
      </c>
      <c r="AC58" s="14">
        <f>IF(AC$2=$A58,AC$3*AtomicWeights!$B$51/AC$5,0)</f>
        <v>0</v>
      </c>
      <c r="AD58" s="14">
        <f>IF(AD$2=$A58,AD$3*AtomicWeights!$B$51/AD$5,0)</f>
        <v>0</v>
      </c>
      <c r="AE58" s="14">
        <f>IF(AE$2=$A58,AE$3*AtomicWeights!$B$51/AE$5,0)</f>
        <v>0</v>
      </c>
      <c r="AF58" s="14">
        <f>IF(AF$2=$A58,AF$3*AtomicWeights!$B$51/AF$5,0)</f>
        <v>0</v>
      </c>
      <c r="AG58" s="14">
        <f>IF(AG$2=$A58,AG$3*AtomicWeights!$B$51/AG$5,0)</f>
        <v>0</v>
      </c>
      <c r="AH58" s="14">
        <f>IF(AH$2=$A58,AH$3*AtomicWeights!$B$51/AH$5,0)</f>
        <v>0</v>
      </c>
      <c r="AI58" s="14">
        <f>IF(AI$2=$A58,AI$3*AtomicWeights!$B$51/AI$5,0)</f>
        <v>0</v>
      </c>
      <c r="AJ58" s="14">
        <f>IF(AJ$2=$A58,AJ$3*AtomicWeights!$B$51/AJ$5,0)</f>
        <v>0</v>
      </c>
      <c r="AK58" s="14">
        <f>IF(AK$2=$A58,AK$3*AtomicWeights!$B$51/AK$5,0)</f>
        <v>0</v>
      </c>
      <c r="AL58" s="14">
        <f>IF(AL$2=$A58,AL$3*AtomicWeights!$B$51/AL$5,0)</f>
        <v>0</v>
      </c>
      <c r="AM58" s="14">
        <f>IF(AM$2=$A58,AM$3*AtomicWeights!$B$51/AM$5,0)</f>
        <v>0</v>
      </c>
      <c r="AN58" s="14">
        <f>IF(AN$2=$A58,AN$3*AtomicWeights!$B$51/AN$5,0)</f>
        <v>0</v>
      </c>
      <c r="AO58" s="14">
        <f>IF(AO$2=$A58,AO$3*AtomicWeights!$B$51/AO$5,0)</f>
        <v>0</v>
      </c>
      <c r="AP58" s="14">
        <f>IF(AP$2=$A58,AP$3*AtomicWeights!$B$51/AP$5,0)</f>
        <v>0</v>
      </c>
      <c r="AQ58" s="14">
        <f>IF(AQ$2=$A58,AQ$3*AtomicWeights!$B$51/AQ$5,0)</f>
        <v>0</v>
      </c>
      <c r="AR58" s="14">
        <f>IF(AR$2=$A58,AR$3*AtomicWeights!$B$51/AR$5,0)</f>
        <v>0</v>
      </c>
      <c r="AS58" s="14">
        <f>IF(AS$2=$A58,AS$3*AtomicWeights!$B$51/AS$5,0)</f>
        <v>0</v>
      </c>
      <c r="AT58" s="14">
        <f>IF(AT$2=$A58,AT$3*AtomicWeights!$B$51/AT$5,0)</f>
        <v>0</v>
      </c>
      <c r="AU58" s="14">
        <f>IF(AU$2=$A58,AU$3*AtomicWeights!$B$51/AU$5,0)</f>
        <v>0</v>
      </c>
      <c r="AV58" s="14">
        <f>IF(AV$2=$A58,AV$3*AtomicWeights!$B$51/AV$5,0)</f>
        <v>0</v>
      </c>
      <c r="AW58" s="14">
        <f>IF(AW$2=$A58,AW$3*AtomicWeights!$B$51/AW$5,0)</f>
        <v>0</v>
      </c>
      <c r="AX58" s="14">
        <f>IF(AX$2=$A58,AX$3*AtomicWeights!$B$51/AX$5,0)</f>
        <v>0</v>
      </c>
      <c r="AY58" s="14">
        <f>IF(AY$2=$A58,AY$3*AtomicWeights!$B$51/AY$5,0)</f>
        <v>0</v>
      </c>
      <c r="AZ58" s="14">
        <f>IF(AZ$2=$A58,AZ$3*AtomicWeights!$B$51/AZ$5,0)</f>
        <v>0</v>
      </c>
      <c r="BA58" s="14">
        <f>IF(BA$2=$A58,BA$3*AtomicWeights!$B$51/BA$5,0)</f>
        <v>0</v>
      </c>
      <c r="BB58" s="14">
        <f>IF(BB$2=$A58,BB$3*AtomicWeights!$B$51/BB$5,0)</f>
        <v>0.89699281780453077</v>
      </c>
    </row>
    <row r="60" spans="1:54" x14ac:dyDescent="0.35">
      <c r="A60" s="7" t="s">
        <v>120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65"/>
  <sheetViews>
    <sheetView workbookViewId="0">
      <pane xSplit="2" ySplit="1" topLeftCell="C14" activePane="bottomRight" state="frozen"/>
      <selection pane="topRight"/>
      <selection pane="bottomLeft"/>
      <selection pane="bottomRight" activeCell="N29" sqref="N29"/>
    </sheetView>
  </sheetViews>
  <sheetFormatPr defaultRowHeight="14.5" x14ac:dyDescent="0.35"/>
  <cols>
    <col min="1" max="1" width="30" customWidth="1"/>
    <col min="2" max="2" width="34" customWidth="1"/>
    <col min="3" max="54" width="8.453125" customWidth="1"/>
    <col min="55" max="57" width="11" customWidth="1"/>
  </cols>
  <sheetData>
    <row r="1" spans="1:57" ht="30" customHeight="1" x14ac:dyDescent="0.35">
      <c r="A1" s="4" t="s">
        <v>121</v>
      </c>
      <c r="B1" s="4" t="s">
        <v>122</v>
      </c>
      <c r="C1" s="4" t="s">
        <v>70</v>
      </c>
      <c r="D1" s="4" t="s">
        <v>71</v>
      </c>
      <c r="E1" s="4" t="s">
        <v>72</v>
      </c>
      <c r="F1" s="4" t="s">
        <v>73</v>
      </c>
      <c r="G1" s="4" t="s">
        <v>74</v>
      </c>
      <c r="H1" s="4" t="s">
        <v>75</v>
      </c>
      <c r="I1" s="4" t="s">
        <v>76</v>
      </c>
      <c r="J1" s="4" t="s">
        <v>77</v>
      </c>
      <c r="K1" s="4" t="s">
        <v>78</v>
      </c>
      <c r="L1" s="4" t="s">
        <v>330</v>
      </c>
      <c r="M1" s="4" t="s">
        <v>518</v>
      </c>
      <c r="N1" s="4" t="s">
        <v>79</v>
      </c>
      <c r="O1" s="4" t="s">
        <v>80</v>
      </c>
      <c r="P1" s="4" t="s">
        <v>81</v>
      </c>
      <c r="Q1" s="4" t="s">
        <v>82</v>
      </c>
      <c r="R1" s="4" t="s">
        <v>83</v>
      </c>
      <c r="S1" s="4" t="s">
        <v>84</v>
      </c>
      <c r="T1" s="4" t="s">
        <v>85</v>
      </c>
      <c r="U1" s="4" t="s">
        <v>430</v>
      </c>
      <c r="V1" s="4" t="s">
        <v>431</v>
      </c>
      <c r="W1" s="4" t="s">
        <v>86</v>
      </c>
      <c r="X1" s="4" t="s">
        <v>87</v>
      </c>
      <c r="Y1" s="4" t="s">
        <v>88</v>
      </c>
      <c r="Z1" s="4" t="s">
        <v>89</v>
      </c>
      <c r="AA1" s="4" t="s">
        <v>90</v>
      </c>
      <c r="AB1" s="4" t="s">
        <v>91</v>
      </c>
      <c r="AC1" s="4" t="s">
        <v>92</v>
      </c>
      <c r="AD1" s="4" t="s">
        <v>93</v>
      </c>
      <c r="AE1" s="4" t="s">
        <v>94</v>
      </c>
      <c r="AF1" s="4" t="s">
        <v>47</v>
      </c>
      <c r="AG1" s="4" t="s">
        <v>48</v>
      </c>
      <c r="AH1" s="4" t="s">
        <v>493</v>
      </c>
      <c r="AI1" s="4" t="s">
        <v>95</v>
      </c>
      <c r="AJ1" s="4" t="s">
        <v>96</v>
      </c>
      <c r="AK1" s="4" t="s">
        <v>97</v>
      </c>
      <c r="AL1" s="4" t="s">
        <v>98</v>
      </c>
      <c r="AM1" s="4" t="s">
        <v>99</v>
      </c>
      <c r="AN1" s="4" t="s">
        <v>100</v>
      </c>
      <c r="AO1" s="4" t="s">
        <v>101</v>
      </c>
      <c r="AP1" s="4" t="s">
        <v>102</v>
      </c>
      <c r="AQ1" s="4" t="s">
        <v>103</v>
      </c>
      <c r="AR1" s="4" t="s">
        <v>104</v>
      </c>
      <c r="AS1" s="4" t="s">
        <v>105</v>
      </c>
      <c r="AT1" s="4" t="s">
        <v>106</v>
      </c>
      <c r="AU1" s="4" t="s">
        <v>107</v>
      </c>
      <c r="AV1" s="4" t="s">
        <v>108</v>
      </c>
      <c r="AW1" s="4" t="s">
        <v>109</v>
      </c>
      <c r="AX1" s="4" t="s">
        <v>110</v>
      </c>
      <c r="AY1" s="4" t="s">
        <v>111</v>
      </c>
      <c r="AZ1" s="4" t="s">
        <v>112</v>
      </c>
      <c r="BA1" s="4" t="s">
        <v>113</v>
      </c>
      <c r="BB1" s="4" t="s">
        <v>114</v>
      </c>
      <c r="BC1" s="4" t="s">
        <v>123</v>
      </c>
      <c r="BD1" s="4" t="s">
        <v>494</v>
      </c>
      <c r="BE1" s="4" t="s">
        <v>124</v>
      </c>
    </row>
    <row r="2" spans="1:57" x14ac:dyDescent="0.35">
      <c r="A2" s="13" t="s">
        <v>125</v>
      </c>
      <c r="B2" s="15" t="s">
        <v>126</v>
      </c>
      <c r="C2" s="16">
        <v>0.4</v>
      </c>
      <c r="H2" s="16">
        <v>0.02</v>
      </c>
      <c r="J2" s="16">
        <v>0</v>
      </c>
      <c r="O2" s="16">
        <v>1</v>
      </c>
      <c r="P2" s="16">
        <v>0</v>
      </c>
      <c r="R2" s="16">
        <v>9.8000000000000004E-2</v>
      </c>
      <c r="AA2" s="16">
        <v>27.4</v>
      </c>
      <c r="AC2" s="16">
        <v>0</v>
      </c>
      <c r="AI2" s="16">
        <v>11.6</v>
      </c>
      <c r="AJ2" s="16">
        <v>0.38500000000000001</v>
      </c>
      <c r="AL2" s="16">
        <v>0</v>
      </c>
      <c r="AM2" s="16">
        <v>21.7</v>
      </c>
      <c r="AN2" s="16">
        <v>28.7</v>
      </c>
      <c r="AP2" s="16">
        <v>1.84</v>
      </c>
      <c r="AQ2" s="16">
        <v>6</v>
      </c>
      <c r="AR2" s="16">
        <v>0.6</v>
      </c>
      <c r="AS2" s="16">
        <v>0</v>
      </c>
      <c r="AT2" s="16">
        <v>0.09</v>
      </c>
      <c r="AU2" s="16">
        <v>0</v>
      </c>
      <c r="AV2" s="16">
        <v>0.2</v>
      </c>
      <c r="AW2" s="16">
        <v>0.05</v>
      </c>
      <c r="AX2" s="16">
        <v>0</v>
      </c>
      <c r="AY2" s="16">
        <v>0</v>
      </c>
      <c r="AZ2" s="16">
        <v>0</v>
      </c>
      <c r="BA2" s="16">
        <v>0</v>
      </c>
      <c r="BC2" s="17">
        <f t="shared" ref="BC2:BC26" si="0">SUM(C2:BB2)</f>
        <v>100.083</v>
      </c>
      <c r="BD2" s="17">
        <f>AG2*Factors!AG$6+AF2*Factors!AF$6+AH2*Factors!AH$6</f>
        <v>0</v>
      </c>
      <c r="BE2" s="18">
        <f t="shared" ref="BE2:BE26" si="1">BC2+BD2</f>
        <v>100.083</v>
      </c>
    </row>
    <row r="3" spans="1:57" x14ac:dyDescent="0.35">
      <c r="A3" s="13" t="s">
        <v>127</v>
      </c>
      <c r="B3" s="15" t="s">
        <v>128</v>
      </c>
      <c r="C3" s="16">
        <v>0</v>
      </c>
      <c r="J3" s="16">
        <v>0</v>
      </c>
      <c r="O3" s="16">
        <v>0.3</v>
      </c>
      <c r="P3" s="16">
        <v>0</v>
      </c>
      <c r="Q3" s="16">
        <v>0</v>
      </c>
      <c r="AA3" s="16">
        <v>0</v>
      </c>
      <c r="AD3" s="16">
        <v>20.07</v>
      </c>
      <c r="AE3" s="16">
        <v>0</v>
      </c>
      <c r="AF3" s="16">
        <v>8.67</v>
      </c>
      <c r="AI3" s="16">
        <v>0.15</v>
      </c>
      <c r="AJ3" s="16">
        <v>0</v>
      </c>
      <c r="AL3" s="16">
        <v>0.15</v>
      </c>
      <c r="AM3" s="16">
        <v>24.52</v>
      </c>
      <c r="AN3" s="16">
        <v>36.68</v>
      </c>
      <c r="AP3" s="16">
        <v>3.38</v>
      </c>
      <c r="AQ3" s="16">
        <v>9.2100000000000009</v>
      </c>
      <c r="AR3" s="16">
        <v>0.64</v>
      </c>
      <c r="AS3" s="16">
        <v>0.08</v>
      </c>
      <c r="AT3" s="16">
        <v>0.25</v>
      </c>
      <c r="AV3" s="16">
        <v>0</v>
      </c>
      <c r="BC3" s="17">
        <f t="shared" si="0"/>
        <v>104.1</v>
      </c>
      <c r="BD3" s="17">
        <f>AG3*Factors!AG$6+AF3*Factors!AF$6+AH3*Factors!AH$6</f>
        <v>-3.6506049695309333</v>
      </c>
      <c r="BE3" s="18">
        <f t="shared" si="1"/>
        <v>100.44939503046906</v>
      </c>
    </row>
    <row r="4" spans="1:57" x14ac:dyDescent="0.35">
      <c r="A4" s="13" t="s">
        <v>129</v>
      </c>
      <c r="B4" s="15" t="s">
        <v>130</v>
      </c>
      <c r="C4" s="16">
        <v>0.1</v>
      </c>
      <c r="H4" s="16">
        <v>0</v>
      </c>
      <c r="J4" s="16">
        <v>0</v>
      </c>
      <c r="O4" s="16">
        <v>7.0000000000000007E-2</v>
      </c>
      <c r="R4" s="16">
        <v>0</v>
      </c>
      <c r="AA4" s="16">
        <v>33.89</v>
      </c>
      <c r="AI4" s="16">
        <v>0.38</v>
      </c>
      <c r="AJ4" s="16">
        <v>0.96</v>
      </c>
      <c r="AL4" s="16">
        <v>46.49</v>
      </c>
      <c r="AM4" s="16">
        <v>0</v>
      </c>
      <c r="AN4" s="16">
        <v>0</v>
      </c>
      <c r="AP4" s="16">
        <v>0</v>
      </c>
      <c r="AQ4" s="16">
        <v>0</v>
      </c>
      <c r="AR4" s="16">
        <v>0</v>
      </c>
      <c r="AS4" s="16">
        <v>0.04</v>
      </c>
      <c r="AT4" s="16">
        <v>1.89</v>
      </c>
      <c r="AU4" s="16">
        <v>0.6</v>
      </c>
      <c r="AV4" s="16">
        <v>5.15</v>
      </c>
      <c r="AW4" s="16">
        <v>1.06</v>
      </c>
      <c r="AX4" s="16">
        <v>3.86</v>
      </c>
      <c r="AY4" s="16">
        <v>0</v>
      </c>
      <c r="AZ4" s="16">
        <v>4.0999999999999996</v>
      </c>
      <c r="BA4" s="16">
        <v>0.52</v>
      </c>
      <c r="BC4" s="17">
        <f t="shared" si="0"/>
        <v>99.110000000000014</v>
      </c>
      <c r="BD4" s="17">
        <f>AG4*Factors!AG$6+AF4*Factors!AF$6+AH4*Factors!AH$6</f>
        <v>0</v>
      </c>
      <c r="BE4" s="18">
        <f t="shared" si="1"/>
        <v>99.110000000000014</v>
      </c>
    </row>
    <row r="5" spans="1:57" x14ac:dyDescent="0.35">
      <c r="A5" s="13" t="s">
        <v>131</v>
      </c>
      <c r="B5" s="15" t="s">
        <v>132</v>
      </c>
      <c r="C5" s="16">
        <v>0</v>
      </c>
      <c r="J5" s="16">
        <v>0</v>
      </c>
      <c r="O5" s="16">
        <v>10.7</v>
      </c>
      <c r="P5" s="16">
        <v>0</v>
      </c>
      <c r="Q5" s="16">
        <v>0</v>
      </c>
      <c r="S5" s="16">
        <v>0</v>
      </c>
      <c r="AD5" s="16">
        <v>24.58</v>
      </c>
      <c r="AF5" s="16">
        <v>5.34</v>
      </c>
      <c r="AI5" s="16">
        <v>0</v>
      </c>
      <c r="AJ5" s="16">
        <v>0</v>
      </c>
      <c r="AL5" s="16">
        <v>0</v>
      </c>
      <c r="AM5" s="16">
        <v>15.1</v>
      </c>
      <c r="AN5" s="16">
        <v>28.87</v>
      </c>
      <c r="AP5" s="16">
        <v>3</v>
      </c>
      <c r="AQ5" s="16">
        <v>11.65</v>
      </c>
      <c r="AR5" s="16">
        <v>1.46</v>
      </c>
      <c r="AS5" s="16">
        <v>0.2</v>
      </c>
      <c r="AT5" s="16">
        <v>0</v>
      </c>
      <c r="AV5" s="16">
        <v>0</v>
      </c>
      <c r="BC5" s="17">
        <f t="shared" si="0"/>
        <v>100.9</v>
      </c>
      <c r="BD5" s="17">
        <f>AG5*Factors!AG$6+AF5*Factors!AF$6+AH5*Factors!AH$6</f>
        <v>-2.2484694968045194</v>
      </c>
      <c r="BE5" s="18">
        <f t="shared" si="1"/>
        <v>98.651530503195488</v>
      </c>
    </row>
    <row r="6" spans="1:57" x14ac:dyDescent="0.35">
      <c r="A6" s="13" t="s">
        <v>133</v>
      </c>
      <c r="B6" s="15" t="s">
        <v>134</v>
      </c>
      <c r="C6" s="16">
        <v>0.14000000000000001</v>
      </c>
      <c r="J6" s="16">
        <v>0</v>
      </c>
      <c r="O6" s="16">
        <v>18.14</v>
      </c>
      <c r="P6" s="16">
        <v>0</v>
      </c>
      <c r="AD6" s="16">
        <v>27.95</v>
      </c>
      <c r="AF6" s="16">
        <v>5.73</v>
      </c>
      <c r="AI6" s="16">
        <v>0</v>
      </c>
      <c r="AJ6" s="16">
        <v>0</v>
      </c>
      <c r="AL6" s="16">
        <v>0.45</v>
      </c>
      <c r="AM6" s="16">
        <v>9.9600000000000009</v>
      </c>
      <c r="AN6" s="16">
        <v>22.34</v>
      </c>
      <c r="AP6" s="16">
        <v>2.27</v>
      </c>
      <c r="AQ6" s="16">
        <v>12.73</v>
      </c>
      <c r="AR6" s="16">
        <v>1.79</v>
      </c>
      <c r="AS6" s="16">
        <v>0</v>
      </c>
      <c r="AT6" s="16">
        <v>1.27</v>
      </c>
      <c r="AV6" s="16">
        <v>0</v>
      </c>
      <c r="BC6" s="17">
        <f t="shared" si="0"/>
        <v>102.77000000000001</v>
      </c>
      <c r="BD6" s="17">
        <f>AG6*Factors!AG$6+AF6*Factors!AF$6+AH6*Factors!AH$6</f>
        <v>-2.4126835611778836</v>
      </c>
      <c r="BE6" s="18">
        <f t="shared" si="1"/>
        <v>100.35731643882212</v>
      </c>
    </row>
    <row r="7" spans="1:57" x14ac:dyDescent="0.35">
      <c r="A7" s="13" t="s">
        <v>135</v>
      </c>
      <c r="B7" s="15" t="s">
        <v>136</v>
      </c>
      <c r="C7" s="16">
        <v>29.79</v>
      </c>
      <c r="D7" s="16">
        <v>0.02</v>
      </c>
      <c r="H7" s="16">
        <v>12.75</v>
      </c>
      <c r="I7" s="16">
        <v>10.64</v>
      </c>
      <c r="J7" s="16">
        <v>9.02</v>
      </c>
      <c r="K7" s="16">
        <v>0.85</v>
      </c>
      <c r="L7" s="16"/>
      <c r="M7" s="16"/>
      <c r="N7" s="16">
        <v>0.64</v>
      </c>
      <c r="O7" s="16">
        <v>10.1</v>
      </c>
      <c r="S7" s="16">
        <v>0</v>
      </c>
      <c r="AA7" s="16">
        <v>0</v>
      </c>
      <c r="AE7" s="16">
        <v>1.74</v>
      </c>
      <c r="AF7" s="16">
        <v>0</v>
      </c>
      <c r="AI7" s="16">
        <v>0</v>
      </c>
      <c r="AJ7" s="16">
        <v>0</v>
      </c>
      <c r="AL7" s="16">
        <v>0.04</v>
      </c>
      <c r="AM7" s="16">
        <v>7.2</v>
      </c>
      <c r="AN7" s="16">
        <v>12.8</v>
      </c>
      <c r="AP7" s="16">
        <v>1</v>
      </c>
      <c r="AQ7" s="16">
        <v>3.1</v>
      </c>
      <c r="AR7" s="16">
        <v>0.6</v>
      </c>
      <c r="AS7" s="16">
        <v>0</v>
      </c>
      <c r="AT7" s="16">
        <v>0.06</v>
      </c>
      <c r="AU7" s="16">
        <v>0</v>
      </c>
      <c r="AV7" s="16">
        <v>0</v>
      </c>
      <c r="AW7" s="16">
        <v>0</v>
      </c>
      <c r="AX7" s="16">
        <v>0.02</v>
      </c>
      <c r="AY7" s="16">
        <v>0</v>
      </c>
      <c r="AZ7" s="16">
        <v>0</v>
      </c>
      <c r="BA7" s="16">
        <v>0</v>
      </c>
      <c r="BC7" s="17">
        <f t="shared" si="0"/>
        <v>100.36999999999999</v>
      </c>
      <c r="BD7" s="17">
        <f>AG7*Factors!AG$6+AF7*Factors!AF$6+AH7*Factors!AH$6</f>
        <v>0</v>
      </c>
      <c r="BE7" s="18">
        <f t="shared" si="1"/>
        <v>100.36999999999999</v>
      </c>
    </row>
    <row r="8" spans="1:57" x14ac:dyDescent="0.35">
      <c r="A8" s="13" t="s">
        <v>137</v>
      </c>
      <c r="B8" s="15" t="s">
        <v>138</v>
      </c>
      <c r="C8" s="16">
        <v>0.47</v>
      </c>
      <c r="J8" s="16">
        <v>0.1</v>
      </c>
      <c r="K8" s="16">
        <v>0.06</v>
      </c>
      <c r="L8" s="16"/>
      <c r="M8" s="16"/>
      <c r="O8" s="16">
        <v>53.59</v>
      </c>
      <c r="P8" s="16">
        <v>0.31</v>
      </c>
      <c r="S8" s="16">
        <v>0.15</v>
      </c>
      <c r="AA8" s="16">
        <v>41.09</v>
      </c>
      <c r="AC8" s="16">
        <v>0.08</v>
      </c>
      <c r="AD8" s="16">
        <v>0</v>
      </c>
      <c r="AE8" s="16">
        <v>0.05</v>
      </c>
      <c r="AF8" s="16">
        <v>3.54</v>
      </c>
      <c r="AG8" s="16">
        <v>0.14000000000000001</v>
      </c>
      <c r="AH8" s="16"/>
      <c r="AI8" s="16">
        <v>0</v>
      </c>
      <c r="AJ8" s="16">
        <v>0</v>
      </c>
      <c r="AL8" s="16">
        <v>0.16</v>
      </c>
      <c r="AM8" s="16">
        <v>0.42</v>
      </c>
      <c r="AN8" s="16">
        <v>0.81</v>
      </c>
      <c r="AP8" s="16">
        <v>0.1</v>
      </c>
      <c r="AQ8" s="16">
        <v>0.33</v>
      </c>
      <c r="AR8" s="16">
        <v>7.0000000000000007E-2</v>
      </c>
      <c r="AS8" s="16">
        <v>0</v>
      </c>
      <c r="AT8" s="16">
        <v>0.05</v>
      </c>
      <c r="AV8" s="16">
        <v>0.03</v>
      </c>
      <c r="AX8" s="16">
        <v>0</v>
      </c>
      <c r="AZ8" s="16">
        <v>0</v>
      </c>
      <c r="BC8" s="17">
        <f t="shared" si="0"/>
        <v>101.55</v>
      </c>
      <c r="BD8" s="17">
        <f>AG8*Factors!AG$6+AF8*Factors!AF$6+AH8*Factors!AH$6</f>
        <v>-1.5221502499299513</v>
      </c>
      <c r="BE8" s="18">
        <f t="shared" si="1"/>
        <v>100.02784975007005</v>
      </c>
    </row>
    <row r="9" spans="1:57" x14ac:dyDescent="0.35">
      <c r="A9" s="13" t="s">
        <v>139</v>
      </c>
      <c r="B9" s="15" t="s">
        <v>140</v>
      </c>
      <c r="C9" s="16">
        <v>0</v>
      </c>
      <c r="H9" s="16">
        <v>29.6</v>
      </c>
      <c r="I9" s="16">
        <v>0</v>
      </c>
      <c r="O9" s="16">
        <v>0.47</v>
      </c>
      <c r="P9" s="16">
        <v>0</v>
      </c>
      <c r="Q9" s="16">
        <v>0</v>
      </c>
      <c r="AA9" s="16">
        <v>27.4</v>
      </c>
      <c r="AC9" s="16">
        <v>0</v>
      </c>
      <c r="AE9" s="16">
        <v>10.46</v>
      </c>
      <c r="AF9" s="16">
        <v>0</v>
      </c>
      <c r="AI9" s="16">
        <v>0</v>
      </c>
      <c r="AL9" s="16">
        <v>0</v>
      </c>
      <c r="AM9" s="16">
        <v>8.68</v>
      </c>
      <c r="AN9" s="16">
        <v>17.79</v>
      </c>
      <c r="AP9" s="16">
        <v>0</v>
      </c>
      <c r="AQ9" s="16">
        <v>3.78</v>
      </c>
      <c r="AR9" s="16">
        <v>1.48</v>
      </c>
      <c r="AS9" s="16">
        <v>0</v>
      </c>
      <c r="AT9" s="16">
        <v>0</v>
      </c>
      <c r="AV9" s="16">
        <v>0</v>
      </c>
      <c r="BC9" s="17">
        <f t="shared" si="0"/>
        <v>99.660000000000011</v>
      </c>
      <c r="BD9" s="17">
        <f>AG9*Factors!AG$6+AF9*Factors!AF$6+AH9*Factors!AH$6</f>
        <v>0</v>
      </c>
      <c r="BE9" s="18">
        <f t="shared" si="1"/>
        <v>99.660000000000011</v>
      </c>
    </row>
    <row r="10" spans="1:57" x14ac:dyDescent="0.35">
      <c r="A10" s="13" t="s">
        <v>141</v>
      </c>
      <c r="B10" s="15" t="s">
        <v>142</v>
      </c>
      <c r="C10" s="16">
        <v>0.3</v>
      </c>
      <c r="E10" s="16">
        <v>0</v>
      </c>
      <c r="J10" s="16">
        <v>0.4</v>
      </c>
      <c r="O10" s="16">
        <v>0.8</v>
      </c>
      <c r="X10" s="16">
        <v>0</v>
      </c>
      <c r="Y10" s="16">
        <v>0</v>
      </c>
      <c r="AA10" s="16">
        <v>0</v>
      </c>
      <c r="AE10" s="16">
        <v>0.5</v>
      </c>
      <c r="AI10" s="16">
        <v>4</v>
      </c>
      <c r="AL10" s="16">
        <v>0.5</v>
      </c>
      <c r="AM10" s="16">
        <v>1.5</v>
      </c>
      <c r="AO10" s="16">
        <v>90</v>
      </c>
      <c r="AP10" s="16">
        <v>0.3</v>
      </c>
      <c r="AQ10" s="16">
        <v>1.5</v>
      </c>
      <c r="AZ10" s="16">
        <v>0</v>
      </c>
      <c r="BC10" s="17">
        <f t="shared" si="0"/>
        <v>99.8</v>
      </c>
      <c r="BD10" s="17">
        <f>AG10*Factors!AG$6+AF10*Factors!AF$6+AH10*Factors!AH$6</f>
        <v>0</v>
      </c>
      <c r="BE10" s="18">
        <f t="shared" si="1"/>
        <v>99.8</v>
      </c>
    </row>
    <row r="11" spans="1:57" x14ac:dyDescent="0.35">
      <c r="A11" s="13" t="s">
        <v>143</v>
      </c>
      <c r="B11" s="15" t="s">
        <v>144</v>
      </c>
      <c r="C11" s="16">
        <v>0</v>
      </c>
      <c r="D11" s="16">
        <v>3.63</v>
      </c>
      <c r="E11" s="16">
        <v>3.24</v>
      </c>
      <c r="H11" s="16">
        <v>0</v>
      </c>
      <c r="J11" s="16">
        <v>1.1399999999999999</v>
      </c>
      <c r="K11" s="16">
        <v>0.09</v>
      </c>
      <c r="L11" s="16"/>
      <c r="M11" s="16"/>
      <c r="N11" s="16">
        <v>0.01</v>
      </c>
      <c r="O11" s="16">
        <v>16.7</v>
      </c>
      <c r="P11" s="16">
        <v>0.34</v>
      </c>
      <c r="Q11" s="16">
        <v>0</v>
      </c>
      <c r="R11" s="16">
        <v>0.24</v>
      </c>
      <c r="S11" s="16">
        <v>5.22</v>
      </c>
      <c r="T11" s="16">
        <v>0</v>
      </c>
      <c r="U11" s="16"/>
      <c r="V11" s="16"/>
      <c r="X11" s="16">
        <v>60.6</v>
      </c>
      <c r="Y11" s="16">
        <v>0.06</v>
      </c>
      <c r="AE11" s="16">
        <v>0</v>
      </c>
      <c r="AF11" s="16">
        <v>3.8</v>
      </c>
      <c r="AI11" s="16">
        <v>1.08</v>
      </c>
      <c r="AJ11" s="16">
        <v>0.1</v>
      </c>
      <c r="AL11" s="16">
        <v>0.24</v>
      </c>
      <c r="AM11" s="16">
        <v>0.6</v>
      </c>
      <c r="AN11" s="16">
        <v>1.85</v>
      </c>
      <c r="AP11" s="16">
        <v>0.17</v>
      </c>
      <c r="AQ11" s="16">
        <v>0.57999999999999996</v>
      </c>
      <c r="AR11" s="16">
        <v>0.1</v>
      </c>
      <c r="BC11" s="17">
        <f t="shared" si="0"/>
        <v>99.789999999999964</v>
      </c>
      <c r="BD11" s="17">
        <f>AG11*Factors!AG$6+AF11*Factors!AF$6+AH11*Factors!AH$6</f>
        <v>-1.6000344733814933</v>
      </c>
      <c r="BE11" s="18">
        <f t="shared" si="1"/>
        <v>98.189965526618465</v>
      </c>
    </row>
    <row r="12" spans="1:57" x14ac:dyDescent="0.35">
      <c r="A12" s="13" t="s">
        <v>145</v>
      </c>
      <c r="B12" s="15" t="s">
        <v>146</v>
      </c>
      <c r="J12" s="16">
        <v>0.19</v>
      </c>
      <c r="O12" s="16">
        <v>1.35</v>
      </c>
      <c r="P12" s="16">
        <v>23.97</v>
      </c>
      <c r="Q12" s="16">
        <v>0</v>
      </c>
      <c r="AD12" s="16">
        <v>23.44</v>
      </c>
      <c r="AE12" s="16">
        <v>7.06</v>
      </c>
      <c r="AF12" s="16">
        <v>0</v>
      </c>
      <c r="AI12" s="16">
        <v>0.53</v>
      </c>
      <c r="AL12" s="16">
        <v>0</v>
      </c>
      <c r="AM12" s="16">
        <v>13.08</v>
      </c>
      <c r="AN12" s="16">
        <v>23.4</v>
      </c>
      <c r="AP12" s="16">
        <v>1.94</v>
      </c>
      <c r="AQ12" s="16">
        <v>5.35</v>
      </c>
      <c r="AR12" s="16">
        <v>0.28999999999999998</v>
      </c>
      <c r="AT12" s="16">
        <v>0.14000000000000001</v>
      </c>
      <c r="BC12" s="17">
        <f t="shared" si="0"/>
        <v>100.74000000000001</v>
      </c>
      <c r="BD12" s="17">
        <f>AG12*Factors!AG$6+AF12*Factors!AF$6+AH12*Factors!AH$6</f>
        <v>0</v>
      </c>
      <c r="BE12" s="18">
        <f t="shared" si="1"/>
        <v>100.74000000000001</v>
      </c>
    </row>
    <row r="13" spans="1:57" x14ac:dyDescent="0.35">
      <c r="A13" s="13" t="s">
        <v>147</v>
      </c>
      <c r="B13" s="15" t="s">
        <v>148</v>
      </c>
      <c r="C13" s="16">
        <v>60.8</v>
      </c>
      <c r="D13" s="16">
        <v>0.06</v>
      </c>
      <c r="H13" s="16">
        <v>24.3</v>
      </c>
      <c r="I13" s="16">
        <v>0.76</v>
      </c>
      <c r="K13" s="16">
        <v>0.12</v>
      </c>
      <c r="L13" s="16"/>
      <c r="M13" s="16"/>
      <c r="N13" s="16">
        <v>0.05</v>
      </c>
      <c r="O13" s="16">
        <v>0.06</v>
      </c>
      <c r="S13" s="16">
        <v>0.14000000000000001</v>
      </c>
      <c r="T13" s="16">
        <v>5.82</v>
      </c>
      <c r="U13" s="16"/>
      <c r="V13" s="16"/>
      <c r="AA13" s="16">
        <v>0.01</v>
      </c>
      <c r="AE13" s="16">
        <v>7.5</v>
      </c>
      <c r="AL13" s="16">
        <v>9.8000000000000004E-2</v>
      </c>
      <c r="AM13" s="16">
        <v>2.7000000000000001E-3</v>
      </c>
      <c r="AN13" s="16">
        <v>5.9999999999999995E-4</v>
      </c>
      <c r="AP13" s="16">
        <v>1E-3</v>
      </c>
      <c r="AQ13" s="16">
        <v>4.4999999999999997E-3</v>
      </c>
      <c r="AR13" s="16">
        <v>4.1999999999999997E-3</v>
      </c>
      <c r="AS13" s="16">
        <v>1.4999999999999999E-4</v>
      </c>
      <c r="AT13" s="16">
        <v>1.04E-2</v>
      </c>
      <c r="AU13" s="16">
        <v>2E-3</v>
      </c>
      <c r="AV13" s="16">
        <v>1.01E-2</v>
      </c>
      <c r="AW13" s="16">
        <v>2.3999999999999998E-3</v>
      </c>
      <c r="AX13" s="16">
        <v>7.4000000000000003E-3</v>
      </c>
      <c r="AY13" s="16">
        <v>1.1000000000000001E-3</v>
      </c>
      <c r="AZ13" s="16">
        <v>3.8E-3</v>
      </c>
      <c r="BA13" s="16">
        <v>5.9999999999999995E-4</v>
      </c>
      <c r="BC13" s="17">
        <f t="shared" si="0"/>
        <v>99.768950000000018</v>
      </c>
      <c r="BD13" s="17">
        <f>AG13*Factors!AG$6+AF13*Factors!AF$6+AH13*Factors!AH$6</f>
        <v>0</v>
      </c>
      <c r="BE13" s="18">
        <f t="shared" si="1"/>
        <v>99.768950000000018</v>
      </c>
    </row>
    <row r="14" spans="1:57" x14ac:dyDescent="0.35">
      <c r="A14" s="13" t="s">
        <v>149</v>
      </c>
      <c r="B14" s="15" t="s">
        <v>150</v>
      </c>
      <c r="C14" s="16">
        <v>19.100000000000001</v>
      </c>
      <c r="H14" s="16">
        <v>0</v>
      </c>
      <c r="J14" s="16">
        <v>0.18</v>
      </c>
      <c r="K14" s="16">
        <v>0</v>
      </c>
      <c r="L14" s="16"/>
      <c r="M14" s="16"/>
      <c r="O14" s="16">
        <v>14.62</v>
      </c>
      <c r="P14" s="16">
        <v>0.4</v>
      </c>
      <c r="S14" s="16">
        <v>0.2</v>
      </c>
      <c r="AA14" s="16">
        <v>4.51</v>
      </c>
      <c r="AE14" s="16">
        <v>0.46</v>
      </c>
      <c r="AF14" s="16">
        <v>1.45</v>
      </c>
      <c r="AG14" s="16">
        <v>0</v>
      </c>
      <c r="AH14" s="16"/>
      <c r="AI14" s="16">
        <v>3.36</v>
      </c>
      <c r="AJ14" s="16">
        <v>0.17</v>
      </c>
      <c r="AL14" s="16">
        <v>1.1499999999999999</v>
      </c>
      <c r="AM14" s="16">
        <v>12.84</v>
      </c>
      <c r="AN14" s="16">
        <v>27.55</v>
      </c>
      <c r="AP14" s="16">
        <v>2.52</v>
      </c>
      <c r="AQ14" s="16">
        <v>9.6300000000000008</v>
      </c>
      <c r="AR14" s="16">
        <v>1.33</v>
      </c>
      <c r="AS14" s="16">
        <v>0</v>
      </c>
      <c r="AT14" s="16">
        <v>0.92</v>
      </c>
      <c r="AV14" s="16">
        <v>0.24</v>
      </c>
      <c r="AX14" s="16">
        <v>0</v>
      </c>
      <c r="AZ14" s="16">
        <v>0</v>
      </c>
      <c r="BC14" s="17">
        <f t="shared" si="0"/>
        <v>100.62999999999998</v>
      </c>
      <c r="BD14" s="17">
        <f>AG14*Factors!AG$6+AF14*Factors!AF$6+AH14*Factors!AH$6</f>
        <v>-0.6105394701060961</v>
      </c>
      <c r="BE14" s="18">
        <f t="shared" si="1"/>
        <v>100.01946052989389</v>
      </c>
    </row>
    <row r="15" spans="1:57" x14ac:dyDescent="0.35">
      <c r="A15" s="13" t="s">
        <v>151</v>
      </c>
      <c r="B15" s="15" t="s">
        <v>152</v>
      </c>
      <c r="C15" s="16">
        <v>0</v>
      </c>
      <c r="H15" s="16">
        <v>0</v>
      </c>
      <c r="I15" s="16">
        <v>0</v>
      </c>
      <c r="O15" s="16">
        <v>0.73</v>
      </c>
      <c r="AA15" s="16">
        <v>30.59</v>
      </c>
      <c r="AE15" s="16">
        <v>15.53</v>
      </c>
      <c r="AL15" s="16">
        <v>37.96</v>
      </c>
      <c r="AM15" s="16">
        <v>0.35</v>
      </c>
      <c r="AN15" s="16">
        <v>0.71</v>
      </c>
      <c r="AP15" s="16">
        <v>0</v>
      </c>
      <c r="AQ15" s="16">
        <v>1.45</v>
      </c>
      <c r="AR15" s="16">
        <v>0.75</v>
      </c>
      <c r="AS15" s="16">
        <v>0.15</v>
      </c>
      <c r="AT15" s="16">
        <v>2.34</v>
      </c>
      <c r="AU15" s="16">
        <v>0.39</v>
      </c>
      <c r="AV15" s="16">
        <v>3.22</v>
      </c>
      <c r="AW15" s="16">
        <v>0.81</v>
      </c>
      <c r="AX15" s="16">
        <v>2.4700000000000002</v>
      </c>
      <c r="AY15" s="16">
        <v>0.42</v>
      </c>
      <c r="AZ15" s="16">
        <v>1.7</v>
      </c>
      <c r="BA15" s="16">
        <v>0.43</v>
      </c>
      <c r="BC15" s="17">
        <f t="shared" si="0"/>
        <v>100.00000000000001</v>
      </c>
      <c r="BD15" s="17">
        <f>AG15*Factors!AG$6+AF15*Factors!AF$6+AH15*Factors!AH$6</f>
        <v>0</v>
      </c>
      <c r="BE15" s="18">
        <f t="shared" si="1"/>
        <v>100.00000000000001</v>
      </c>
    </row>
    <row r="16" spans="1:57" x14ac:dyDescent="0.35">
      <c r="A16" s="13" t="s">
        <v>153</v>
      </c>
      <c r="B16" s="15" t="s">
        <v>154</v>
      </c>
      <c r="C16" s="16">
        <v>0</v>
      </c>
      <c r="H16" s="16">
        <v>0</v>
      </c>
      <c r="I16" s="16">
        <v>0</v>
      </c>
      <c r="O16" s="16">
        <v>0.78</v>
      </c>
      <c r="P16" s="16">
        <v>0</v>
      </c>
      <c r="R16" s="16">
        <v>0</v>
      </c>
      <c r="AA16" s="16">
        <v>28.04</v>
      </c>
      <c r="AE16" s="16">
        <v>7.12</v>
      </c>
      <c r="AI16" s="16">
        <v>3.65</v>
      </c>
      <c r="AJ16" s="16">
        <v>0</v>
      </c>
      <c r="AL16" s="16">
        <v>0.45</v>
      </c>
      <c r="AM16" s="16">
        <v>14.16</v>
      </c>
      <c r="AN16" s="16">
        <v>30.48</v>
      </c>
      <c r="AP16" s="16">
        <v>3.26</v>
      </c>
      <c r="AQ16" s="16">
        <v>9.9700000000000006</v>
      </c>
      <c r="AR16" s="16">
        <v>1.38</v>
      </c>
      <c r="AS16" s="16">
        <v>0</v>
      </c>
      <c r="AT16" s="16">
        <v>0.72</v>
      </c>
      <c r="AU16" s="16">
        <v>0</v>
      </c>
      <c r="AV16" s="16">
        <v>0</v>
      </c>
      <c r="AW16" s="16">
        <v>0</v>
      </c>
      <c r="AX16" s="16">
        <v>0</v>
      </c>
      <c r="AY16" s="16">
        <v>0</v>
      </c>
      <c r="AZ16" s="16">
        <v>0</v>
      </c>
      <c r="BA16" s="16">
        <v>0</v>
      </c>
      <c r="BC16" s="17">
        <f t="shared" si="0"/>
        <v>100.01</v>
      </c>
      <c r="BD16" s="17">
        <f>AG16*Factors!AG$6+AF16*Factors!AF$6+AH16*Factors!AH$6</f>
        <v>0</v>
      </c>
      <c r="BE16" s="18">
        <f t="shared" si="1"/>
        <v>100.01</v>
      </c>
    </row>
    <row r="17" spans="1:57" x14ac:dyDescent="0.35">
      <c r="A17" s="13" t="s">
        <v>155</v>
      </c>
      <c r="B17" s="15" t="s">
        <v>156</v>
      </c>
      <c r="C17" s="16">
        <v>0</v>
      </c>
      <c r="I17" s="16">
        <v>0</v>
      </c>
      <c r="O17" s="16">
        <v>0</v>
      </c>
      <c r="AF17" s="16">
        <v>28.92</v>
      </c>
      <c r="AI17" s="16">
        <v>0</v>
      </c>
      <c r="AL17" s="16">
        <v>0</v>
      </c>
      <c r="AM17" s="16">
        <v>23.14</v>
      </c>
      <c r="AN17" s="16">
        <v>45.8</v>
      </c>
      <c r="AP17" s="16">
        <v>3.77</v>
      </c>
      <c r="AQ17" s="16">
        <v>9.39</v>
      </c>
      <c r="AR17" s="16">
        <v>0.88</v>
      </c>
      <c r="AS17" s="16">
        <v>0</v>
      </c>
      <c r="AT17" s="16">
        <v>0.28000000000000003</v>
      </c>
      <c r="BC17" s="17">
        <f t="shared" si="0"/>
        <v>112.17999999999999</v>
      </c>
      <c r="BD17" s="17">
        <f>AG17*Factors!AG$6+AF17*Factors!AF$6+AH17*Factors!AH$6</f>
        <v>-12.177104465840207</v>
      </c>
      <c r="BE17" s="18">
        <f t="shared" si="1"/>
        <v>100.00289553415979</v>
      </c>
    </row>
    <row r="18" spans="1:57" x14ac:dyDescent="0.35">
      <c r="A18" s="13" t="s">
        <v>157</v>
      </c>
      <c r="B18" s="15" t="s">
        <v>158</v>
      </c>
      <c r="C18" s="16">
        <v>22.24</v>
      </c>
      <c r="D18" s="16">
        <v>0.08</v>
      </c>
      <c r="H18" s="16">
        <v>1.1399999999999999</v>
      </c>
      <c r="I18" s="16">
        <v>0.92</v>
      </c>
      <c r="K18" s="16">
        <v>0.2</v>
      </c>
      <c r="L18" s="16"/>
      <c r="M18" s="16"/>
      <c r="N18" s="16">
        <v>1.9</v>
      </c>
      <c r="O18" s="16">
        <v>4.4800000000000004</v>
      </c>
      <c r="P18" s="16">
        <v>0</v>
      </c>
      <c r="Q18" s="16">
        <v>0.45</v>
      </c>
      <c r="S18" s="16">
        <v>0.24</v>
      </c>
      <c r="T18" s="16">
        <v>0.16</v>
      </c>
      <c r="U18" s="16"/>
      <c r="V18" s="16"/>
      <c r="AA18" s="16">
        <v>0</v>
      </c>
      <c r="AC18" s="16">
        <v>0.14000000000000001</v>
      </c>
      <c r="AE18" s="16">
        <v>2.89</v>
      </c>
      <c r="AF18" s="16">
        <v>7.0000000000000007E-2</v>
      </c>
      <c r="AI18" s="16">
        <v>0</v>
      </c>
      <c r="AL18" s="16">
        <v>0</v>
      </c>
      <c r="AM18" s="16">
        <v>20.309999999999999</v>
      </c>
      <c r="AN18" s="16">
        <v>35.049999999999997</v>
      </c>
      <c r="AP18" s="16">
        <v>2.46</v>
      </c>
      <c r="AQ18" s="16">
        <v>6.73</v>
      </c>
      <c r="AR18" s="16">
        <v>0.54</v>
      </c>
      <c r="AS18" s="16">
        <v>0</v>
      </c>
      <c r="AT18" s="16">
        <v>0</v>
      </c>
      <c r="AU18" s="16">
        <v>0</v>
      </c>
      <c r="AV18" s="16">
        <v>0</v>
      </c>
      <c r="AX18" s="16">
        <v>0</v>
      </c>
      <c r="AZ18" s="16">
        <v>0</v>
      </c>
      <c r="BC18" s="17">
        <f t="shared" si="0"/>
        <v>100</v>
      </c>
      <c r="BD18" s="17">
        <f>AG18*Factors!AG$6+AF18*Factors!AF$6+AH18*Factors!AH$6</f>
        <v>-2.9474319246501197E-2</v>
      </c>
      <c r="BE18" s="18">
        <f t="shared" si="1"/>
        <v>99.970525680753497</v>
      </c>
    </row>
    <row r="19" spans="1:57" x14ac:dyDescent="0.35">
      <c r="A19" s="13" t="s">
        <v>159</v>
      </c>
      <c r="B19" s="15" t="s">
        <v>160</v>
      </c>
      <c r="C19" s="16">
        <v>49.95</v>
      </c>
      <c r="D19" s="16">
        <v>0.6</v>
      </c>
      <c r="E19" s="16">
        <v>13.53</v>
      </c>
      <c r="F19" s="16">
        <v>0.28999999999999998</v>
      </c>
      <c r="H19" s="16">
        <v>0</v>
      </c>
      <c r="I19" s="16">
        <v>0</v>
      </c>
      <c r="J19" s="16">
        <v>3.89</v>
      </c>
      <c r="K19" s="16">
        <v>1.99</v>
      </c>
      <c r="L19" s="16"/>
      <c r="M19" s="16"/>
      <c r="N19" s="16">
        <v>0</v>
      </c>
      <c r="O19" s="16">
        <v>7.3</v>
      </c>
      <c r="P19" s="16">
        <v>1.35</v>
      </c>
      <c r="Q19" s="16">
        <v>0.11</v>
      </c>
      <c r="S19" s="16">
        <v>16.18</v>
      </c>
      <c r="T19" s="16">
        <v>0.38</v>
      </c>
      <c r="U19" s="16"/>
      <c r="V19" s="16"/>
      <c r="X19" s="16">
        <v>0.75</v>
      </c>
      <c r="AC19" s="16">
        <v>0.26</v>
      </c>
      <c r="AE19" s="16">
        <v>1</v>
      </c>
      <c r="AF19" s="16">
        <v>0</v>
      </c>
      <c r="AG19" s="16">
        <v>1.4</v>
      </c>
      <c r="AH19" s="16"/>
      <c r="AI19" s="16">
        <v>0</v>
      </c>
      <c r="AJ19" s="16">
        <v>0</v>
      </c>
      <c r="AL19" s="16">
        <v>0.63</v>
      </c>
      <c r="AM19" s="16">
        <v>0.34</v>
      </c>
      <c r="AN19" s="16">
        <v>0.56999999999999995</v>
      </c>
      <c r="AP19" s="16">
        <v>0.15</v>
      </c>
      <c r="AQ19" s="16">
        <v>0.37</v>
      </c>
      <c r="AR19" s="16">
        <v>9.1999999999999998E-2</v>
      </c>
      <c r="AS19" s="16">
        <v>2.5999999999999999E-2</v>
      </c>
      <c r="AT19" s="16">
        <v>7.8E-2</v>
      </c>
      <c r="AU19" s="16">
        <v>0.02</v>
      </c>
      <c r="AV19" s="16">
        <v>0.10299999999999999</v>
      </c>
      <c r="AW19" s="16">
        <v>2.1000000000000001E-2</v>
      </c>
      <c r="AX19" s="16">
        <v>5.5E-2</v>
      </c>
      <c r="AY19" s="16">
        <v>8.0000000000000002E-3</v>
      </c>
      <c r="AZ19" s="16">
        <v>0.05</v>
      </c>
      <c r="BA19" s="16">
        <v>6.0000000000000001E-3</v>
      </c>
      <c r="BC19" s="17">
        <f t="shared" si="0"/>
        <v>101.499</v>
      </c>
      <c r="BD19" s="17">
        <f>AG19*Factors!AG$6+AF19*Factors!AF$6+AH19*Factors!AH$6</f>
        <v>-0.31591819464033849</v>
      </c>
      <c r="BE19" s="18">
        <f t="shared" si="1"/>
        <v>101.18308180535966</v>
      </c>
    </row>
    <row r="20" spans="1:57" x14ac:dyDescent="0.35">
      <c r="A20" s="13" t="s">
        <v>161</v>
      </c>
      <c r="B20" s="15" t="s">
        <v>162</v>
      </c>
      <c r="C20" s="16">
        <v>23.36</v>
      </c>
      <c r="I20" s="16">
        <v>0</v>
      </c>
      <c r="J20" s="16">
        <v>12.08</v>
      </c>
      <c r="K20" s="16">
        <v>0</v>
      </c>
      <c r="L20" s="16"/>
      <c r="M20" s="16"/>
      <c r="N20" s="16">
        <v>0</v>
      </c>
      <c r="O20" s="16">
        <v>0.03</v>
      </c>
      <c r="S20" s="16">
        <v>0</v>
      </c>
      <c r="W20" s="16">
        <v>9.7100000000000009</v>
      </c>
      <c r="AE20" s="16">
        <v>0.46</v>
      </c>
      <c r="AI20" s="16">
        <v>0</v>
      </c>
      <c r="AJ20" s="16">
        <v>0</v>
      </c>
      <c r="AL20" s="16">
        <v>28.55</v>
      </c>
      <c r="AM20" s="16">
        <v>0.21</v>
      </c>
      <c r="AN20" s="16">
        <v>2.54</v>
      </c>
      <c r="AP20" s="16">
        <v>1.2</v>
      </c>
      <c r="AQ20" s="16">
        <v>4.55</v>
      </c>
      <c r="AR20" s="16">
        <v>2.82</v>
      </c>
      <c r="AS20" s="16">
        <v>0.6</v>
      </c>
      <c r="AT20" s="16">
        <v>2.93</v>
      </c>
      <c r="AU20" s="16">
        <v>1.1000000000000001</v>
      </c>
      <c r="AV20" s="16">
        <v>4.0599999999999996</v>
      </c>
      <c r="AW20" s="16">
        <v>1.98</v>
      </c>
      <c r="AX20" s="16">
        <v>1.54</v>
      </c>
      <c r="AY20" s="16">
        <v>0.2</v>
      </c>
      <c r="AZ20" s="16">
        <v>0.57999999999999996</v>
      </c>
      <c r="BA20" s="16">
        <v>0</v>
      </c>
      <c r="BC20" s="17">
        <f t="shared" si="0"/>
        <v>98.5</v>
      </c>
      <c r="BD20" s="17">
        <f>AG20*Factors!AG$6+AF20*Factors!AF$6+AH20*Factors!AH$6</f>
        <v>0</v>
      </c>
      <c r="BE20" s="18">
        <f t="shared" si="1"/>
        <v>98.5</v>
      </c>
    </row>
    <row r="21" spans="1:57" x14ac:dyDescent="0.35">
      <c r="A21" s="13" t="s">
        <v>163</v>
      </c>
      <c r="B21" s="15" t="s">
        <v>164</v>
      </c>
      <c r="C21" s="16">
        <v>26.49</v>
      </c>
      <c r="E21" s="16">
        <v>49.81</v>
      </c>
      <c r="F21" s="16">
        <v>1.83</v>
      </c>
      <c r="H21" s="16">
        <v>0.11</v>
      </c>
      <c r="J21" s="16">
        <v>0.01</v>
      </c>
      <c r="K21" s="16">
        <v>0.03</v>
      </c>
      <c r="L21" s="16"/>
      <c r="M21" s="16"/>
      <c r="O21" s="16">
        <v>0.4</v>
      </c>
      <c r="R21" s="16">
        <v>0.87</v>
      </c>
      <c r="S21" s="16">
        <v>0</v>
      </c>
      <c r="X21" s="16">
        <v>0</v>
      </c>
      <c r="AA21" s="16">
        <v>5.46</v>
      </c>
      <c r="AB21" s="16">
        <v>0.05</v>
      </c>
      <c r="AE21" s="16">
        <v>0</v>
      </c>
      <c r="AF21" s="16">
        <v>0.28000000000000003</v>
      </c>
      <c r="AI21" s="16">
        <v>0.92</v>
      </c>
      <c r="AJ21" s="16">
        <v>3.09</v>
      </c>
      <c r="AK21" s="16">
        <v>0.42</v>
      </c>
      <c r="AL21" s="16">
        <v>5.47</v>
      </c>
      <c r="AM21" s="16">
        <v>0.02</v>
      </c>
      <c r="AN21" s="16">
        <v>0.36</v>
      </c>
      <c r="AP21" s="16">
        <v>0.02</v>
      </c>
      <c r="AQ21" s="16">
        <v>0.02</v>
      </c>
      <c r="AR21" s="16">
        <v>0.11</v>
      </c>
      <c r="AS21" s="16">
        <v>0</v>
      </c>
      <c r="AT21" s="16">
        <v>0.35</v>
      </c>
      <c r="AU21" s="16">
        <v>0</v>
      </c>
      <c r="AV21" s="16">
        <v>0.81</v>
      </c>
      <c r="AW21" s="16">
        <v>0</v>
      </c>
      <c r="AX21" s="16">
        <v>0.5</v>
      </c>
      <c r="AY21" s="16">
        <v>0</v>
      </c>
      <c r="AZ21" s="16">
        <v>0.78</v>
      </c>
      <c r="BA21" s="16">
        <v>0</v>
      </c>
      <c r="BB21" s="16">
        <v>0.12</v>
      </c>
      <c r="BC21" s="17">
        <f t="shared" si="0"/>
        <v>98.33</v>
      </c>
      <c r="BD21" s="17">
        <f>AG21*Factors!AG$6+AF21*Factors!AF$6+AH21*Factors!AH$6</f>
        <v>-0.11789727698600479</v>
      </c>
      <c r="BE21" s="18">
        <f t="shared" si="1"/>
        <v>98.212102723013999</v>
      </c>
    </row>
    <row r="22" spans="1:57" x14ac:dyDescent="0.35">
      <c r="A22" s="13" t="s">
        <v>165</v>
      </c>
      <c r="B22" s="15" t="s">
        <v>166</v>
      </c>
      <c r="C22" s="16">
        <v>0.14000000000000001</v>
      </c>
      <c r="D22" s="16">
        <v>32.54</v>
      </c>
      <c r="E22" s="16">
        <v>1.9</v>
      </c>
      <c r="G22" s="16">
        <v>0</v>
      </c>
      <c r="I22" s="16">
        <v>6.22</v>
      </c>
      <c r="J22" s="16">
        <v>0</v>
      </c>
      <c r="K22" s="16">
        <v>0</v>
      </c>
      <c r="L22" s="16"/>
      <c r="M22" s="16"/>
      <c r="O22" s="16">
        <v>1.55</v>
      </c>
      <c r="X22" s="16">
        <v>10.85</v>
      </c>
      <c r="Y22" s="16">
        <v>0.08</v>
      </c>
      <c r="AE22" s="16">
        <v>2.64</v>
      </c>
      <c r="AF22" s="16">
        <v>0.34</v>
      </c>
      <c r="AI22" s="16">
        <v>0</v>
      </c>
      <c r="AJ22" s="16">
        <v>0</v>
      </c>
      <c r="AL22" s="16">
        <v>2.9</v>
      </c>
      <c r="AM22" s="16">
        <v>5.4</v>
      </c>
      <c r="AN22" s="16">
        <v>16.940000000000001</v>
      </c>
      <c r="AP22" s="16">
        <v>2.27</v>
      </c>
      <c r="AQ22" s="16">
        <v>8.83</v>
      </c>
      <c r="AR22" s="16">
        <v>1.86</v>
      </c>
      <c r="AS22" s="16">
        <v>1.27</v>
      </c>
      <c r="AT22" s="16">
        <v>1.75</v>
      </c>
      <c r="AV22" s="16">
        <v>0.84</v>
      </c>
      <c r="AX22" s="16">
        <v>0</v>
      </c>
      <c r="AZ22" s="16">
        <v>0</v>
      </c>
      <c r="BC22" s="17">
        <f t="shared" si="0"/>
        <v>98.32</v>
      </c>
      <c r="BD22" s="17">
        <f>AG22*Factors!AG$6+AF22*Factors!AF$6+AH22*Factors!AH$6</f>
        <v>-0.14316097919729151</v>
      </c>
      <c r="BE22" s="18">
        <f t="shared" si="1"/>
        <v>98.176839020802703</v>
      </c>
    </row>
    <row r="23" spans="1:57" x14ac:dyDescent="0.35">
      <c r="A23" s="13" t="s">
        <v>167</v>
      </c>
      <c r="B23" s="15" t="s">
        <v>168</v>
      </c>
      <c r="C23" s="16">
        <v>0</v>
      </c>
      <c r="D23" s="16">
        <v>20.7</v>
      </c>
      <c r="E23" s="16">
        <v>0</v>
      </c>
      <c r="G23" s="16">
        <v>0.14000000000000001</v>
      </c>
      <c r="H23" s="16">
        <v>0</v>
      </c>
      <c r="I23" s="16">
        <v>0</v>
      </c>
      <c r="J23" s="16">
        <v>0.23</v>
      </c>
      <c r="K23" s="16">
        <v>0.23</v>
      </c>
      <c r="L23" s="16"/>
      <c r="M23" s="16"/>
      <c r="N23" s="16">
        <v>0</v>
      </c>
      <c r="O23" s="16">
        <v>1.0900000000000001</v>
      </c>
      <c r="R23" s="16">
        <v>0</v>
      </c>
      <c r="S23" s="16">
        <v>0</v>
      </c>
      <c r="T23" s="16">
        <v>0</v>
      </c>
      <c r="U23" s="16"/>
      <c r="V23" s="16"/>
      <c r="X23" s="16">
        <v>32.090000000000003</v>
      </c>
      <c r="Y23" s="16">
        <v>10.050000000000001</v>
      </c>
      <c r="Z23" s="16">
        <v>0.1</v>
      </c>
      <c r="AE23" s="16">
        <v>0</v>
      </c>
      <c r="AI23" s="16">
        <v>0.65</v>
      </c>
      <c r="AJ23" s="16">
        <v>4.47</v>
      </c>
      <c r="AK23" s="16">
        <v>0.05</v>
      </c>
      <c r="AL23" s="16">
        <v>19.89</v>
      </c>
      <c r="AM23" s="16">
        <v>0</v>
      </c>
      <c r="AN23" s="16">
        <v>0.12</v>
      </c>
      <c r="AP23" s="16">
        <v>0</v>
      </c>
      <c r="AQ23" s="16">
        <v>0.47</v>
      </c>
      <c r="AR23" s="16">
        <v>1.02</v>
      </c>
      <c r="AS23" s="16">
        <v>0.47</v>
      </c>
      <c r="AT23" s="16">
        <v>1.68</v>
      </c>
      <c r="AU23" s="16">
        <v>0.36</v>
      </c>
      <c r="AV23" s="16">
        <v>1.93</v>
      </c>
      <c r="AW23" s="16">
        <v>0.42</v>
      </c>
      <c r="AX23" s="16">
        <v>1.01</v>
      </c>
      <c r="AY23" s="16">
        <v>0.39</v>
      </c>
      <c r="AZ23" s="16">
        <v>1.07</v>
      </c>
      <c r="BA23" s="16">
        <v>0.16</v>
      </c>
      <c r="BC23" s="17">
        <f t="shared" si="0"/>
        <v>98.79</v>
      </c>
      <c r="BD23" s="17">
        <f>AG23*Factors!AG$6+AF23*Factors!AF$6+AH23*Factors!AH$6</f>
        <v>0</v>
      </c>
      <c r="BE23" s="18">
        <f t="shared" si="1"/>
        <v>98.79</v>
      </c>
    </row>
    <row r="24" spans="1:57" x14ac:dyDescent="0.35">
      <c r="A24" s="13" t="s">
        <v>169</v>
      </c>
      <c r="B24" s="15" t="s">
        <v>170</v>
      </c>
      <c r="C24" s="16">
        <v>0</v>
      </c>
      <c r="D24" s="16">
        <v>0.97</v>
      </c>
      <c r="G24" s="16">
        <v>0</v>
      </c>
      <c r="J24" s="16">
        <v>0</v>
      </c>
      <c r="O24" s="16">
        <v>0.82</v>
      </c>
      <c r="X24" s="16">
        <v>44.42</v>
      </c>
      <c r="Y24" s="16">
        <v>0</v>
      </c>
      <c r="Z24" s="16">
        <v>0</v>
      </c>
      <c r="AE24" s="16">
        <v>0</v>
      </c>
      <c r="AI24" s="16">
        <v>4.0599999999999996</v>
      </c>
      <c r="AJ24" s="16">
        <v>2.39</v>
      </c>
      <c r="AL24" s="16">
        <v>27.49</v>
      </c>
      <c r="AM24" s="16">
        <v>0.11</v>
      </c>
      <c r="AN24" s="16">
        <v>0.94</v>
      </c>
      <c r="AP24" s="16">
        <v>0.15</v>
      </c>
      <c r="AQ24" s="16">
        <v>1.82</v>
      </c>
      <c r="AR24" s="16">
        <v>1.17</v>
      </c>
      <c r="AS24" s="16">
        <v>0.03</v>
      </c>
      <c r="AT24" s="16">
        <v>2.21</v>
      </c>
      <c r="AU24" s="16">
        <v>0.55000000000000004</v>
      </c>
      <c r="AV24" s="16">
        <v>4.59</v>
      </c>
      <c r="AW24" s="16">
        <v>1.02</v>
      </c>
      <c r="AX24" s="16">
        <v>3.21</v>
      </c>
      <c r="AY24" s="16">
        <v>0.59</v>
      </c>
      <c r="AZ24" s="16">
        <v>3.53</v>
      </c>
      <c r="BA24" s="16">
        <v>0.1</v>
      </c>
      <c r="BC24" s="17">
        <f t="shared" si="0"/>
        <v>100.16999999999999</v>
      </c>
      <c r="BD24" s="17">
        <f>AG24*Factors!AG$6+AF24*Factors!AF$6+AH24*Factors!AH$6</f>
        <v>0</v>
      </c>
      <c r="BE24" s="18">
        <f t="shared" si="1"/>
        <v>100.16999999999999</v>
      </c>
    </row>
    <row r="25" spans="1:57" x14ac:dyDescent="0.35">
      <c r="A25" s="13" t="s">
        <v>171</v>
      </c>
      <c r="B25" s="15" t="s">
        <v>172</v>
      </c>
      <c r="C25" s="16">
        <v>0</v>
      </c>
      <c r="D25" s="16">
        <v>39.47</v>
      </c>
      <c r="E25" s="16">
        <v>0</v>
      </c>
      <c r="H25" s="16">
        <v>0</v>
      </c>
      <c r="I25" s="16">
        <v>0</v>
      </c>
      <c r="J25" s="16">
        <v>0.18</v>
      </c>
      <c r="O25" s="16">
        <v>4.47</v>
      </c>
      <c r="P25" s="16">
        <v>3.4</v>
      </c>
      <c r="S25" s="16">
        <v>7.45</v>
      </c>
      <c r="T25" s="16">
        <v>0</v>
      </c>
      <c r="U25" s="16"/>
      <c r="V25" s="16"/>
      <c r="X25" s="16">
        <v>9.4600000000000009</v>
      </c>
      <c r="Y25" s="16">
        <v>0.63</v>
      </c>
      <c r="AF25" s="16">
        <v>0</v>
      </c>
      <c r="AI25" s="16">
        <v>0.81</v>
      </c>
      <c r="AJ25" s="16">
        <v>0</v>
      </c>
      <c r="AM25" s="16">
        <v>8.7799999999999994</v>
      </c>
      <c r="AN25" s="16">
        <v>17.61</v>
      </c>
      <c r="AP25" s="16">
        <v>1.63</v>
      </c>
      <c r="AQ25" s="16">
        <v>5.05</v>
      </c>
      <c r="AR25" s="16">
        <v>0</v>
      </c>
      <c r="BC25" s="17">
        <f t="shared" si="0"/>
        <v>98.94</v>
      </c>
      <c r="BD25" s="17">
        <f>AG25*Factors!AG$6+AF25*Factors!AF$6+AH25*Factors!AH$6</f>
        <v>0</v>
      </c>
      <c r="BE25" s="18">
        <f t="shared" si="1"/>
        <v>98.94</v>
      </c>
    </row>
    <row r="26" spans="1:57" x14ac:dyDescent="0.35">
      <c r="A26" s="13" t="s">
        <v>173</v>
      </c>
      <c r="B26" s="15" t="s">
        <v>174</v>
      </c>
      <c r="C26" s="16">
        <v>0</v>
      </c>
      <c r="D26" s="16">
        <v>4.05</v>
      </c>
      <c r="E26" s="16">
        <v>0</v>
      </c>
      <c r="G26" s="16">
        <v>1.05</v>
      </c>
      <c r="H26" s="16">
        <v>0</v>
      </c>
      <c r="I26" s="16">
        <v>6.06</v>
      </c>
      <c r="J26" s="16">
        <v>3.86</v>
      </c>
      <c r="K26" s="16">
        <v>1.1499999999999999</v>
      </c>
      <c r="L26" s="16"/>
      <c r="M26" s="16"/>
      <c r="N26" s="16">
        <v>0.1</v>
      </c>
      <c r="O26" s="16">
        <v>0.28000000000000003</v>
      </c>
      <c r="R26" s="16">
        <v>0</v>
      </c>
      <c r="S26" s="16">
        <v>0</v>
      </c>
      <c r="T26" s="16">
        <v>0</v>
      </c>
      <c r="U26" s="16"/>
      <c r="V26" s="16"/>
      <c r="X26" s="16">
        <v>36.03</v>
      </c>
      <c r="Y26" s="16">
        <v>13.13</v>
      </c>
      <c r="Z26" s="16">
        <v>1.81</v>
      </c>
      <c r="AE26" s="16">
        <v>0</v>
      </c>
      <c r="AI26" s="16">
        <v>1.59</v>
      </c>
      <c r="AJ26" s="16">
        <v>15.81</v>
      </c>
      <c r="AK26" s="16">
        <v>0.66</v>
      </c>
      <c r="AL26" s="16">
        <v>8.9499999999999993</v>
      </c>
      <c r="AM26" s="16">
        <v>0</v>
      </c>
      <c r="AN26" s="16">
        <v>0</v>
      </c>
      <c r="AP26" s="16">
        <v>0</v>
      </c>
      <c r="AQ26" s="16">
        <v>1.1200000000000001</v>
      </c>
      <c r="AR26" s="16">
        <v>0.67</v>
      </c>
      <c r="AS26" s="16">
        <v>0</v>
      </c>
      <c r="AT26" s="16">
        <v>0.98</v>
      </c>
      <c r="AU26" s="16">
        <v>0</v>
      </c>
      <c r="AV26" s="16">
        <v>0.96</v>
      </c>
      <c r="AW26" s="16">
        <v>0</v>
      </c>
      <c r="AX26" s="16">
        <v>0</v>
      </c>
      <c r="AY26" s="16">
        <v>0</v>
      </c>
      <c r="AZ26" s="16">
        <v>1.07</v>
      </c>
      <c r="BA26" s="16">
        <v>0</v>
      </c>
      <c r="BC26" s="17">
        <f t="shared" si="0"/>
        <v>99.33</v>
      </c>
      <c r="BD26" s="17">
        <f>AG26*Factors!AG$6+AF26*Factors!AF$6+AH26*Factors!AH$6</f>
        <v>0</v>
      </c>
      <c r="BE26" s="18">
        <f t="shared" si="1"/>
        <v>99.33</v>
      </c>
    </row>
    <row r="27" spans="1:57" x14ac:dyDescent="0.35">
      <c r="A27" s="13" t="s">
        <v>322</v>
      </c>
      <c r="B27" s="15" t="s">
        <v>323</v>
      </c>
      <c r="C27" s="16">
        <v>68.709999999999994</v>
      </c>
      <c r="D27" s="16"/>
      <c r="E27" s="16"/>
      <c r="G27" s="16"/>
      <c r="H27" s="16">
        <v>19.63</v>
      </c>
      <c r="I27" s="16"/>
      <c r="J27" s="16"/>
      <c r="K27" s="16"/>
      <c r="L27" s="16"/>
      <c r="M27" s="16"/>
      <c r="N27" s="16"/>
      <c r="O27" s="16">
        <v>0.22</v>
      </c>
      <c r="R27" s="16"/>
      <c r="S27" s="16">
        <v>11.72</v>
      </c>
      <c r="T27" s="16">
        <v>0.03</v>
      </c>
      <c r="U27" s="16"/>
      <c r="V27" s="16"/>
      <c r="X27" s="16"/>
      <c r="Y27" s="16"/>
      <c r="Z27" s="16"/>
      <c r="AE27" s="16"/>
      <c r="AI27" s="16"/>
      <c r="AJ27" s="16"/>
      <c r="AK27" s="16"/>
      <c r="AL27" s="16"/>
      <c r="AM27" s="16"/>
      <c r="AN27" s="16"/>
      <c r="AP27" s="16"/>
      <c r="AQ27" s="16"/>
      <c r="AR27" s="16"/>
      <c r="AS27" s="16"/>
      <c r="AT27" s="16"/>
      <c r="AU27" s="16"/>
      <c r="AV27" s="16"/>
      <c r="AW27" s="16"/>
      <c r="AX27" s="16"/>
      <c r="AY27" s="16"/>
      <c r="AZ27" s="16"/>
      <c r="BA27" s="16"/>
      <c r="BC27" s="17">
        <f t="shared" ref="BC27:BC44" si="2">SUM(C27:BB27)</f>
        <v>100.30999999999999</v>
      </c>
      <c r="BD27" s="17">
        <f>AG27*Factors!AG$6+AF27*Factors!AF$6+AH27*Factors!AH$6</f>
        <v>0</v>
      </c>
      <c r="BE27" s="18">
        <f t="shared" ref="BE27:BE44" si="3">BC27+BD27</f>
        <v>100.30999999999999</v>
      </c>
    </row>
    <row r="28" spans="1:57" x14ac:dyDescent="0.35">
      <c r="A28" s="13" t="s">
        <v>331</v>
      </c>
      <c r="B28" s="15" t="s">
        <v>332</v>
      </c>
      <c r="C28" s="16">
        <v>32.86</v>
      </c>
      <c r="D28" s="16"/>
      <c r="E28" s="16">
        <v>66.72</v>
      </c>
      <c r="F28">
        <v>1.1499999999999999</v>
      </c>
      <c r="G28" s="16"/>
      <c r="H28" s="16"/>
      <c r="I28" s="16"/>
      <c r="J28" s="16"/>
      <c r="K28" s="16"/>
      <c r="L28" s="16"/>
      <c r="M28" s="16"/>
      <c r="N28" s="16"/>
      <c r="O28" s="16"/>
      <c r="R28" s="16"/>
      <c r="S28" s="16"/>
      <c r="T28" s="16"/>
      <c r="U28" s="16"/>
      <c r="V28" s="16"/>
      <c r="X28" s="16"/>
      <c r="Y28" s="16"/>
      <c r="Z28" s="16"/>
      <c r="AE28" s="16"/>
      <c r="AI28" s="16">
        <v>0.01</v>
      </c>
      <c r="AJ28" s="16">
        <v>0.03</v>
      </c>
      <c r="AK28" s="16"/>
      <c r="AL28" s="16"/>
      <c r="AM28" s="16"/>
      <c r="AN28" s="16"/>
      <c r="AP28" s="16"/>
      <c r="AQ28" s="16"/>
      <c r="AR28" s="16"/>
      <c r="AS28" s="16"/>
      <c r="AT28" s="16"/>
      <c r="AU28" s="16"/>
      <c r="AV28" s="16"/>
      <c r="AW28" s="16"/>
      <c r="AX28" s="16"/>
      <c r="AY28" s="16"/>
      <c r="AZ28" s="16"/>
      <c r="BA28" s="16"/>
      <c r="BC28" s="17">
        <f t="shared" si="2"/>
        <v>100.77000000000001</v>
      </c>
      <c r="BD28" s="17">
        <f>AG28*Factors!AG$6+AF28*Factors!AF$6+AH28*Factors!AH$6</f>
        <v>0</v>
      </c>
      <c r="BE28" s="18">
        <f t="shared" si="3"/>
        <v>100.77000000000001</v>
      </c>
    </row>
    <row r="29" spans="1:57" x14ac:dyDescent="0.35">
      <c r="A29" s="13" t="s">
        <v>333</v>
      </c>
      <c r="B29" s="15" t="s">
        <v>334</v>
      </c>
      <c r="C29" s="16">
        <v>45.87</v>
      </c>
      <c r="D29" s="16"/>
      <c r="E29" s="16"/>
      <c r="G29" s="16"/>
      <c r="H29" s="16">
        <v>38.69</v>
      </c>
      <c r="I29" s="16"/>
      <c r="J29" s="16"/>
      <c r="K29" s="16"/>
      <c r="L29" s="16"/>
      <c r="M29" s="16"/>
      <c r="N29" s="16">
        <v>0.1</v>
      </c>
      <c r="O29" s="16"/>
      <c r="R29" s="16"/>
      <c r="S29" s="16">
        <v>0.64</v>
      </c>
      <c r="T29" s="16">
        <v>10.08</v>
      </c>
      <c r="U29" s="16"/>
      <c r="V29" s="16"/>
      <c r="X29" s="16"/>
      <c r="Y29" s="16"/>
      <c r="Z29" s="16"/>
      <c r="AE29" s="16">
        <v>4.67</v>
      </c>
      <c r="AI29" s="16"/>
      <c r="AJ29" s="16"/>
      <c r="AK29" s="16"/>
      <c r="AL29" s="16"/>
      <c r="AM29" s="16"/>
      <c r="AN29" s="16"/>
      <c r="AP29" s="16"/>
      <c r="AQ29" s="16"/>
      <c r="AR29" s="16"/>
      <c r="AS29" s="16"/>
      <c r="AT29" s="16"/>
      <c r="AU29" s="16"/>
      <c r="AV29" s="16"/>
      <c r="AW29" s="16"/>
      <c r="AX29" s="16"/>
      <c r="AY29" s="16"/>
      <c r="AZ29" s="16"/>
      <c r="BA29" s="16"/>
      <c r="BC29" s="17">
        <f t="shared" si="2"/>
        <v>100.05</v>
      </c>
      <c r="BD29" s="17">
        <f>AG29*Factors!AG$6+AF29*Factors!AF$6+AH29*Factors!AH$6</f>
        <v>0</v>
      </c>
      <c r="BE29" s="18">
        <f t="shared" si="3"/>
        <v>100.05</v>
      </c>
    </row>
    <row r="30" spans="1:57" x14ac:dyDescent="0.35">
      <c r="A30" s="13" t="s">
        <v>335</v>
      </c>
      <c r="B30" s="15" t="s">
        <v>70</v>
      </c>
      <c r="C30" s="16">
        <v>100</v>
      </c>
      <c r="D30" s="16"/>
      <c r="E30" s="16"/>
      <c r="G30" s="16"/>
      <c r="H30" s="16"/>
      <c r="I30" s="16"/>
      <c r="J30" s="16"/>
      <c r="K30" s="16"/>
      <c r="L30" s="16"/>
      <c r="M30" s="16"/>
      <c r="N30" s="16"/>
      <c r="O30" s="16"/>
      <c r="R30" s="16"/>
      <c r="S30" s="16"/>
      <c r="T30" s="16"/>
      <c r="U30" s="16"/>
      <c r="V30" s="16"/>
      <c r="X30" s="16"/>
      <c r="Y30" s="16"/>
      <c r="Z30" s="16"/>
      <c r="AE30" s="16"/>
      <c r="AI30" s="16"/>
      <c r="AJ30" s="16"/>
      <c r="AK30" s="16"/>
      <c r="AL30" s="16"/>
      <c r="AM30" s="16"/>
      <c r="AN30" s="16"/>
      <c r="AP30" s="16"/>
      <c r="AQ30" s="16"/>
      <c r="AR30" s="16"/>
      <c r="AS30" s="16"/>
      <c r="AT30" s="16"/>
      <c r="AU30" s="16"/>
      <c r="AV30" s="16"/>
      <c r="AW30" s="16"/>
      <c r="AX30" s="16"/>
      <c r="AY30" s="16"/>
      <c r="AZ30" s="16"/>
      <c r="BA30" s="16"/>
      <c r="BC30" s="17">
        <f t="shared" si="2"/>
        <v>100</v>
      </c>
      <c r="BD30" s="17">
        <f>AG30*Factors!AG$6+AF30*Factors!AF$6+AH30*Factors!AH$6</f>
        <v>0</v>
      </c>
      <c r="BE30" s="18">
        <f t="shared" si="3"/>
        <v>100</v>
      </c>
    </row>
    <row r="31" spans="1:57" x14ac:dyDescent="0.35">
      <c r="A31" s="13" t="s">
        <v>336</v>
      </c>
      <c r="B31" s="15" t="s">
        <v>337</v>
      </c>
      <c r="C31" s="16">
        <v>51.35</v>
      </c>
      <c r="D31" s="16">
        <v>1.1000000000000001</v>
      </c>
      <c r="E31" s="16"/>
      <c r="G31" s="16"/>
      <c r="H31" s="16">
        <v>2.15</v>
      </c>
      <c r="I31" s="16">
        <v>28.66</v>
      </c>
      <c r="J31" s="16">
        <v>2.2400000000000002</v>
      </c>
      <c r="K31" s="16"/>
      <c r="L31" s="16"/>
      <c r="M31" s="16"/>
      <c r="N31" s="16">
        <v>0.1</v>
      </c>
      <c r="O31" s="16">
        <v>1.25</v>
      </c>
      <c r="R31" s="16"/>
      <c r="S31" s="16">
        <v>12.66</v>
      </c>
      <c r="T31" s="16">
        <v>0.15</v>
      </c>
      <c r="U31" s="16"/>
      <c r="V31" s="16"/>
      <c r="X31" s="16"/>
      <c r="Y31" s="16"/>
      <c r="Z31" s="16"/>
      <c r="AE31" s="16">
        <v>0.28999999999999998</v>
      </c>
      <c r="AI31" s="16"/>
      <c r="AJ31" s="16"/>
      <c r="AK31" s="16"/>
      <c r="AL31" s="16"/>
      <c r="AM31" s="16"/>
      <c r="AN31" s="16"/>
      <c r="AP31" s="16"/>
      <c r="AQ31" s="16"/>
      <c r="AR31" s="16"/>
      <c r="AS31" s="16"/>
      <c r="AT31" s="16"/>
      <c r="AU31" s="16"/>
      <c r="AV31" s="16"/>
      <c r="AW31" s="16"/>
      <c r="AX31" s="16"/>
      <c r="AY31" s="16"/>
      <c r="AZ31" s="16"/>
      <c r="BA31" s="16"/>
      <c r="BC31" s="17">
        <f t="shared" si="2"/>
        <v>99.95</v>
      </c>
      <c r="BD31" s="17">
        <f>AG31*Factors!AG$6+AF31*Factors!AF$6+AH31*Factors!AH$6</f>
        <v>0</v>
      </c>
      <c r="BE31" s="18">
        <f t="shared" si="3"/>
        <v>99.95</v>
      </c>
    </row>
    <row r="32" spans="1:57" x14ac:dyDescent="0.35">
      <c r="A32" s="13" t="s">
        <v>338</v>
      </c>
      <c r="B32" s="15" t="s">
        <v>339</v>
      </c>
      <c r="C32" s="16"/>
      <c r="D32" s="16"/>
      <c r="E32" s="16"/>
      <c r="G32" s="16"/>
      <c r="H32" s="16">
        <v>22.96</v>
      </c>
      <c r="I32" s="16"/>
      <c r="J32" s="16"/>
      <c r="K32" s="16"/>
      <c r="L32" s="16"/>
      <c r="M32" s="16"/>
      <c r="N32" s="16"/>
      <c r="O32" s="16">
        <v>25.26</v>
      </c>
      <c r="R32" s="16"/>
      <c r="S32" s="16">
        <v>13.95</v>
      </c>
      <c r="T32" s="16"/>
      <c r="U32" s="16"/>
      <c r="V32" s="16"/>
      <c r="X32" s="16"/>
      <c r="Y32" s="16"/>
      <c r="Z32" s="16"/>
      <c r="AE32" s="16">
        <v>8.11</v>
      </c>
      <c r="AF32">
        <v>51.34</v>
      </c>
      <c r="AI32" s="16"/>
      <c r="AJ32" s="16"/>
      <c r="AK32" s="16"/>
      <c r="AL32" s="16"/>
      <c r="AM32" s="16"/>
      <c r="AN32" s="16"/>
      <c r="AP32" s="16"/>
      <c r="AQ32" s="16"/>
      <c r="AR32" s="16"/>
      <c r="AS32" s="16"/>
      <c r="AT32" s="16"/>
      <c r="AU32" s="16"/>
      <c r="AV32" s="16"/>
      <c r="AW32" s="16"/>
      <c r="AX32" s="16"/>
      <c r="AY32" s="16"/>
      <c r="AZ32" s="16"/>
      <c r="BA32" s="16"/>
      <c r="BC32" s="17">
        <f t="shared" si="2"/>
        <v>121.62</v>
      </c>
      <c r="BD32" s="17">
        <f>AG32*Factors!AG$6+AF32*Factors!AF$6+AH32*Factors!AH$6</f>
        <v>-21.617307858791019</v>
      </c>
      <c r="BE32" s="18">
        <f t="shared" si="3"/>
        <v>100.00269214120898</v>
      </c>
    </row>
    <row r="33" spans="1:57" x14ac:dyDescent="0.35">
      <c r="A33" s="13" t="s">
        <v>340</v>
      </c>
      <c r="B33" s="15" t="s">
        <v>341</v>
      </c>
      <c r="C33" s="16">
        <v>65.39</v>
      </c>
      <c r="D33" s="16"/>
      <c r="E33" s="16"/>
      <c r="G33" s="16"/>
      <c r="H33" s="16">
        <v>18.45</v>
      </c>
      <c r="I33" s="16"/>
      <c r="J33" s="16"/>
      <c r="K33" s="16"/>
      <c r="L33" s="16"/>
      <c r="M33" s="16"/>
      <c r="N33" s="16"/>
      <c r="O33" s="16"/>
      <c r="Q33">
        <v>0.02</v>
      </c>
      <c r="R33" s="16"/>
      <c r="S33" s="16">
        <v>1.08</v>
      </c>
      <c r="T33" s="16">
        <v>14.76</v>
      </c>
      <c r="U33" s="16"/>
      <c r="V33" s="16"/>
      <c r="X33" s="16"/>
      <c r="Y33" s="16"/>
      <c r="Z33" s="16"/>
      <c r="AE33" s="16"/>
      <c r="AI33" s="16"/>
      <c r="AJ33" s="16"/>
      <c r="AK33" s="16"/>
      <c r="AL33" s="16"/>
      <c r="AM33" s="16"/>
      <c r="AN33" s="16"/>
      <c r="AP33" s="16"/>
      <c r="AQ33" s="16"/>
      <c r="AR33" s="16"/>
      <c r="AS33" s="16"/>
      <c r="AT33" s="16"/>
      <c r="AU33" s="16"/>
      <c r="AV33" s="16"/>
      <c r="AW33" s="16"/>
      <c r="AX33" s="16"/>
      <c r="AY33" s="16"/>
      <c r="AZ33" s="16"/>
      <c r="BA33" s="16"/>
      <c r="BC33" s="17">
        <f t="shared" si="2"/>
        <v>99.7</v>
      </c>
      <c r="BD33" s="17">
        <f>AG33*Factors!AG$6+AF33*Factors!AF$6+AH33*Factors!AH$6</f>
        <v>0</v>
      </c>
      <c r="BE33" s="18">
        <f t="shared" si="3"/>
        <v>99.7</v>
      </c>
    </row>
    <row r="34" spans="1:57" x14ac:dyDescent="0.35">
      <c r="A34" s="13" t="s">
        <v>342</v>
      </c>
      <c r="B34" s="15" t="s">
        <v>343</v>
      </c>
      <c r="C34" s="16"/>
      <c r="D34" s="16"/>
      <c r="E34" s="16"/>
      <c r="G34" s="16"/>
      <c r="H34" s="16"/>
      <c r="I34" s="16">
        <v>98.14</v>
      </c>
      <c r="J34" s="16">
        <v>1.29</v>
      </c>
      <c r="K34" s="16">
        <v>0.87</v>
      </c>
      <c r="L34" s="16"/>
      <c r="M34" s="16"/>
      <c r="N34" s="16"/>
      <c r="O34" s="16"/>
      <c r="R34" s="16"/>
      <c r="S34" s="16"/>
      <c r="T34" s="16"/>
      <c r="U34" s="16"/>
      <c r="V34" s="16"/>
      <c r="X34" s="16"/>
      <c r="Y34" s="16"/>
      <c r="Z34" s="16"/>
      <c r="AE34" s="16"/>
      <c r="AI34" s="16"/>
      <c r="AJ34" s="16"/>
      <c r="AK34" s="16"/>
      <c r="AL34" s="16"/>
      <c r="AM34" s="16"/>
      <c r="AN34" s="16"/>
      <c r="AP34" s="16"/>
      <c r="AQ34" s="16"/>
      <c r="AR34" s="16"/>
      <c r="AS34" s="16"/>
      <c r="AT34" s="16"/>
      <c r="AU34" s="16"/>
      <c r="AV34" s="16"/>
      <c r="AW34" s="16"/>
      <c r="AX34" s="16"/>
      <c r="AY34" s="16"/>
      <c r="AZ34" s="16"/>
      <c r="BA34" s="16"/>
      <c r="BC34" s="17">
        <f t="shared" si="2"/>
        <v>100.30000000000001</v>
      </c>
      <c r="BD34" s="17">
        <f>AG34*Factors!AG$6+AF34*Factors!AF$6+AH34*Factors!AH$6</f>
        <v>0</v>
      </c>
      <c r="BE34" s="18">
        <f t="shared" si="3"/>
        <v>100.30000000000001</v>
      </c>
    </row>
    <row r="35" spans="1:57" x14ac:dyDescent="0.35">
      <c r="A35" s="13" t="s">
        <v>344</v>
      </c>
      <c r="B35" s="15" t="s">
        <v>345</v>
      </c>
      <c r="C35" s="16">
        <v>0.27</v>
      </c>
      <c r="D35" s="16"/>
      <c r="E35" s="16"/>
      <c r="G35" s="16"/>
      <c r="H35" s="16">
        <v>0.21</v>
      </c>
      <c r="I35" s="16">
        <v>68.849999999999994</v>
      </c>
      <c r="J35" s="16">
        <v>30.78</v>
      </c>
      <c r="K35" s="16"/>
      <c r="L35" s="16"/>
      <c r="M35" s="16"/>
      <c r="N35" s="16"/>
      <c r="O35" s="16"/>
      <c r="R35" s="16"/>
      <c r="S35" s="16"/>
      <c r="T35" s="16"/>
      <c r="U35" s="16"/>
      <c r="V35" s="16"/>
      <c r="X35" s="16"/>
      <c r="Y35" s="16"/>
      <c r="Z35" s="16"/>
      <c r="AE35" s="16"/>
      <c r="AI35" s="16"/>
      <c r="AJ35" s="16"/>
      <c r="AK35" s="16"/>
      <c r="AL35" s="16"/>
      <c r="AM35" s="16"/>
      <c r="AN35" s="16"/>
      <c r="AP35" s="16"/>
      <c r="AQ35" s="16"/>
      <c r="AR35" s="16"/>
      <c r="AS35" s="16"/>
      <c r="AT35" s="16"/>
      <c r="AU35" s="16"/>
      <c r="AV35" s="16"/>
      <c r="AW35" s="16"/>
      <c r="AX35" s="16"/>
      <c r="AY35" s="16"/>
      <c r="AZ35" s="16"/>
      <c r="BA35" s="16"/>
      <c r="BC35" s="17">
        <f t="shared" si="2"/>
        <v>100.11</v>
      </c>
      <c r="BD35" s="17">
        <f>AG35*Factors!AG$6+AF35*Factors!AF$6+AH35*Factors!AH$6</f>
        <v>0</v>
      </c>
      <c r="BE35" s="18">
        <f t="shared" si="3"/>
        <v>100.11</v>
      </c>
    </row>
    <row r="36" spans="1:57" x14ac:dyDescent="0.35">
      <c r="A36" s="13" t="s">
        <v>346</v>
      </c>
      <c r="B36" s="15" t="s">
        <v>347</v>
      </c>
      <c r="C36" s="16">
        <v>16.47</v>
      </c>
      <c r="D36" s="16">
        <v>0.1</v>
      </c>
      <c r="E36" s="16"/>
      <c r="G36" s="16"/>
      <c r="H36" s="16">
        <v>1.29</v>
      </c>
      <c r="I36" s="16"/>
      <c r="J36" s="16">
        <v>0.59</v>
      </c>
      <c r="K36" s="16"/>
      <c r="L36" s="16"/>
      <c r="M36" s="16"/>
      <c r="N36" s="16">
        <v>0.01</v>
      </c>
      <c r="O36" s="16"/>
      <c r="R36" s="16">
        <v>0.1</v>
      </c>
      <c r="S36" s="16"/>
      <c r="T36" s="16"/>
      <c r="U36" s="16"/>
      <c r="V36" s="16"/>
      <c r="X36" s="16"/>
      <c r="Y36" s="16"/>
      <c r="Z36" s="16"/>
      <c r="AE36" s="16">
        <v>0.86</v>
      </c>
      <c r="AI36" s="16">
        <v>71.61</v>
      </c>
      <c r="AJ36" s="16">
        <v>8.36</v>
      </c>
      <c r="AK36" s="16"/>
      <c r="AL36" s="16"/>
      <c r="AM36" s="16"/>
      <c r="AN36" s="16">
        <v>0.54</v>
      </c>
      <c r="AP36" s="16"/>
      <c r="AQ36" s="16"/>
      <c r="AR36" s="16"/>
      <c r="AS36" s="16"/>
      <c r="AT36" s="16"/>
      <c r="AU36" s="16"/>
      <c r="AV36" s="16"/>
      <c r="AW36" s="16"/>
      <c r="AX36" s="16"/>
      <c r="AY36" s="16"/>
      <c r="AZ36" s="16"/>
      <c r="BA36" s="16"/>
      <c r="BC36" s="17">
        <f t="shared" si="2"/>
        <v>99.93</v>
      </c>
      <c r="BD36" s="17">
        <f>AG36*Factors!AG$6+AF36*Factors!AF$6+AH36*Factors!AH$6</f>
        <v>0</v>
      </c>
      <c r="BE36" s="18">
        <f t="shared" si="3"/>
        <v>99.93</v>
      </c>
    </row>
    <row r="37" spans="1:57" x14ac:dyDescent="0.35">
      <c r="A37" s="13" t="s">
        <v>348</v>
      </c>
      <c r="B37" s="15" t="s">
        <v>349</v>
      </c>
      <c r="C37" s="16"/>
      <c r="D37" s="16"/>
      <c r="E37" s="16"/>
      <c r="G37" s="16"/>
      <c r="H37" s="16">
        <v>24.58</v>
      </c>
      <c r="I37" s="16"/>
      <c r="J37" s="16"/>
      <c r="K37" s="16"/>
      <c r="L37" s="16"/>
      <c r="M37" s="16"/>
      <c r="N37" s="16"/>
      <c r="O37" s="16"/>
      <c r="R37" s="16"/>
      <c r="S37" s="16">
        <v>43.69</v>
      </c>
      <c r="T37" s="16"/>
      <c r="U37" s="16"/>
      <c r="V37" s="16"/>
      <c r="X37" s="16"/>
      <c r="Y37" s="16"/>
      <c r="Z37" s="16"/>
      <c r="AE37" s="16"/>
      <c r="AF37">
        <v>54.28</v>
      </c>
      <c r="AI37" s="16"/>
      <c r="AJ37" s="16"/>
      <c r="AK37" s="16"/>
      <c r="AL37" s="16"/>
      <c r="AM37" s="16"/>
      <c r="AN37" s="16"/>
      <c r="AP37" s="16"/>
      <c r="AQ37" s="16"/>
      <c r="AR37" s="16"/>
      <c r="AS37" s="16"/>
      <c r="AT37" s="16"/>
      <c r="AU37" s="16"/>
      <c r="AV37" s="16"/>
      <c r="AW37" s="16"/>
      <c r="AX37" s="16"/>
      <c r="AY37" s="16"/>
      <c r="AZ37" s="16"/>
      <c r="BA37" s="16"/>
      <c r="BC37" s="17">
        <f t="shared" si="2"/>
        <v>122.55</v>
      </c>
      <c r="BD37" s="17">
        <f>AG37*Factors!AG$6+AF37*Factors!AF$6+AH37*Factors!AH$6</f>
        <v>-22.855229267144068</v>
      </c>
      <c r="BE37" s="18">
        <f t="shared" si="3"/>
        <v>99.694770732855929</v>
      </c>
    </row>
    <row r="38" spans="1:57" x14ac:dyDescent="0.35">
      <c r="A38" s="13" t="s">
        <v>350</v>
      </c>
      <c r="B38" s="15" t="s">
        <v>74</v>
      </c>
      <c r="C38" s="16">
        <v>0.18</v>
      </c>
      <c r="D38" s="16">
        <v>0.01</v>
      </c>
      <c r="E38" s="16"/>
      <c r="G38" s="16">
        <v>99.26</v>
      </c>
      <c r="H38" s="16"/>
      <c r="I38" s="16"/>
      <c r="J38" s="16">
        <v>0.11</v>
      </c>
      <c r="K38" s="16"/>
      <c r="L38" s="16"/>
      <c r="M38" s="16"/>
      <c r="N38" s="16"/>
      <c r="O38" s="16"/>
      <c r="R38" s="16"/>
      <c r="S38" s="16"/>
      <c r="T38" s="16"/>
      <c r="U38" s="16"/>
      <c r="V38" s="16"/>
      <c r="X38" s="16">
        <v>0.03</v>
      </c>
      <c r="Y38" s="16">
        <v>0.01</v>
      </c>
      <c r="Z38" s="16">
        <v>0.01</v>
      </c>
      <c r="AE38" s="16"/>
      <c r="AI38" s="16"/>
      <c r="AJ38" s="16"/>
      <c r="AK38" s="16"/>
      <c r="AL38" s="16"/>
      <c r="AM38" s="16"/>
      <c r="AN38" s="16"/>
      <c r="AP38" s="16"/>
      <c r="AQ38" s="16"/>
      <c r="AR38" s="16"/>
      <c r="AS38" s="16"/>
      <c r="AT38" s="16"/>
      <c r="AU38" s="16"/>
      <c r="AV38" s="16"/>
      <c r="AW38" s="16"/>
      <c r="AX38" s="16"/>
      <c r="AY38" s="16"/>
      <c r="AZ38" s="16"/>
      <c r="BA38" s="16"/>
      <c r="BC38" s="17">
        <f t="shared" si="2"/>
        <v>99.610000000000014</v>
      </c>
      <c r="BD38" s="17">
        <f>AG38*Factors!AG$6+AF38*Factors!AF$6+AH38*Factors!AH$6</f>
        <v>0</v>
      </c>
      <c r="BE38" s="18">
        <f t="shared" si="3"/>
        <v>99.610000000000014</v>
      </c>
    </row>
    <row r="39" spans="1:57" x14ac:dyDescent="0.35">
      <c r="A39" s="13" t="s">
        <v>351</v>
      </c>
      <c r="B39" s="15" t="s">
        <v>352</v>
      </c>
      <c r="C39" s="16">
        <v>43.55</v>
      </c>
      <c r="D39" s="16"/>
      <c r="E39" s="16"/>
      <c r="G39" s="16"/>
      <c r="H39" s="16">
        <v>34.659999999999997</v>
      </c>
      <c r="I39" s="16"/>
      <c r="J39" s="16"/>
      <c r="K39" s="16"/>
      <c r="L39" s="16"/>
      <c r="M39" s="16"/>
      <c r="N39" s="16">
        <v>0.05</v>
      </c>
      <c r="O39" s="16">
        <v>4.4400000000000004</v>
      </c>
      <c r="R39" s="16"/>
      <c r="S39" s="16">
        <v>12.09</v>
      </c>
      <c r="T39" s="16">
        <v>4.87</v>
      </c>
      <c r="U39" s="16"/>
      <c r="V39" s="16"/>
      <c r="X39" s="16"/>
      <c r="Y39" s="16"/>
      <c r="Z39" s="16"/>
      <c r="AE39" s="16">
        <v>0.5</v>
      </c>
      <c r="AI39" s="16"/>
      <c r="AJ39" s="16"/>
      <c r="AK39" s="16"/>
      <c r="AL39" s="16"/>
      <c r="AM39" s="16"/>
      <c r="AN39" s="16"/>
      <c r="AP39" s="16"/>
      <c r="AQ39" s="16"/>
      <c r="AR39" s="16"/>
      <c r="AS39" s="16"/>
      <c r="AT39" s="16"/>
      <c r="AU39" s="16"/>
      <c r="AV39" s="16"/>
      <c r="AW39" s="16"/>
      <c r="AX39" s="16"/>
      <c r="AY39" s="16"/>
      <c r="AZ39" s="16"/>
      <c r="BA39" s="16"/>
      <c r="BC39" s="17">
        <f t="shared" si="2"/>
        <v>100.16</v>
      </c>
      <c r="BD39" s="17">
        <f>AG39*Factors!AG$6+AF39*Factors!AF$6+AH39*Factors!AH$6</f>
        <v>0</v>
      </c>
      <c r="BE39" s="18">
        <f t="shared" si="3"/>
        <v>100.16</v>
      </c>
    </row>
    <row r="40" spans="1:57" x14ac:dyDescent="0.35">
      <c r="A40" s="13" t="s">
        <v>353</v>
      </c>
      <c r="B40" s="15" t="s">
        <v>354</v>
      </c>
      <c r="C40" s="16">
        <v>31.58</v>
      </c>
      <c r="D40" s="16">
        <v>0.32</v>
      </c>
      <c r="E40" s="16"/>
      <c r="G40" s="16"/>
      <c r="H40" s="16">
        <v>13.72</v>
      </c>
      <c r="I40" s="16">
        <v>2.25</v>
      </c>
      <c r="J40" s="16">
        <v>0.34</v>
      </c>
      <c r="K40" s="16">
        <v>12.28</v>
      </c>
      <c r="L40" s="16">
        <v>22.97</v>
      </c>
      <c r="M40" s="16"/>
      <c r="N40" s="16">
        <v>3.69</v>
      </c>
      <c r="O40" s="16">
        <v>0.02</v>
      </c>
      <c r="Q40" s="16">
        <v>0.65</v>
      </c>
      <c r="R40" s="16"/>
      <c r="S40" s="16">
        <v>0.24</v>
      </c>
      <c r="T40" s="16">
        <v>7.91</v>
      </c>
      <c r="U40" s="16"/>
      <c r="V40" s="16"/>
      <c r="X40" s="16"/>
      <c r="Y40" s="16"/>
      <c r="Z40" s="16"/>
      <c r="AE40" s="16">
        <v>3.95</v>
      </c>
      <c r="AI40" s="16"/>
      <c r="AJ40" s="16"/>
      <c r="AK40" s="16"/>
      <c r="AL40" s="16"/>
      <c r="AM40" s="16"/>
      <c r="AN40" s="16"/>
      <c r="AP40" s="16"/>
      <c r="AQ40" s="16"/>
      <c r="AR40" s="16"/>
      <c r="AS40" s="16"/>
      <c r="AT40" s="16"/>
      <c r="AU40" s="16"/>
      <c r="AV40" s="16"/>
      <c r="AW40" s="16"/>
      <c r="AX40" s="16"/>
      <c r="AY40" s="16"/>
      <c r="AZ40" s="16"/>
      <c r="BA40" s="16"/>
      <c r="BC40" s="17">
        <f t="shared" si="2"/>
        <v>99.92</v>
      </c>
      <c r="BD40" s="17">
        <f>AG40*Factors!AG$6+AF40*Factors!AF$6+AH40*Factors!AH$6</f>
        <v>0</v>
      </c>
      <c r="BE40" s="18">
        <f t="shared" si="3"/>
        <v>99.92</v>
      </c>
    </row>
    <row r="41" spans="1:57" x14ac:dyDescent="0.35">
      <c r="A41" s="13" t="s">
        <v>355</v>
      </c>
      <c r="B41" s="15" t="s">
        <v>356</v>
      </c>
      <c r="C41" s="16">
        <v>0.05</v>
      </c>
      <c r="D41" s="16">
        <v>1.68</v>
      </c>
      <c r="E41" s="16"/>
      <c r="G41" s="16"/>
      <c r="H41" s="16"/>
      <c r="I41" s="16"/>
      <c r="J41" s="16">
        <v>0.17</v>
      </c>
      <c r="K41" s="16"/>
      <c r="L41" s="16"/>
      <c r="M41" s="16"/>
      <c r="N41" s="16"/>
      <c r="O41" s="16">
        <v>0.32</v>
      </c>
      <c r="P41">
        <v>0.16</v>
      </c>
      <c r="R41" s="16">
        <v>51.69</v>
      </c>
      <c r="S41" s="16"/>
      <c r="T41" s="16"/>
      <c r="U41" s="16"/>
      <c r="V41" s="16"/>
      <c r="X41" s="16">
        <v>40.06</v>
      </c>
      <c r="Y41" s="16">
        <v>4.74</v>
      </c>
      <c r="Z41" s="16"/>
      <c r="AE41" s="16">
        <v>0.95</v>
      </c>
      <c r="AI41" s="16"/>
      <c r="AJ41" s="16"/>
      <c r="AK41" s="16"/>
      <c r="AL41" s="16"/>
      <c r="AM41" s="16"/>
      <c r="AN41" s="16">
        <v>7.0000000000000007E-2</v>
      </c>
      <c r="AP41" s="16">
        <v>0.02</v>
      </c>
      <c r="AQ41" s="16"/>
      <c r="AR41" s="16"/>
      <c r="AS41" s="16"/>
      <c r="AT41" s="16"/>
      <c r="AU41" s="16"/>
      <c r="AV41" s="16"/>
      <c r="AW41" s="16"/>
      <c r="AX41" s="16"/>
      <c r="AY41" s="16"/>
      <c r="AZ41" s="16"/>
      <c r="BA41" s="16"/>
      <c r="BC41" s="17">
        <f t="shared" si="2"/>
        <v>99.909999999999982</v>
      </c>
      <c r="BD41" s="17">
        <f>AG41*Factors!AG$6+AF41*Factors!AF$6+AH41*Factors!AH$6</f>
        <v>0</v>
      </c>
      <c r="BE41" s="18">
        <f t="shared" si="3"/>
        <v>99.909999999999982</v>
      </c>
    </row>
    <row r="42" spans="1:57" x14ac:dyDescent="0.35">
      <c r="A42" s="13" t="s">
        <v>357</v>
      </c>
      <c r="B42" s="15" t="s">
        <v>358</v>
      </c>
      <c r="C42" s="16">
        <v>34.9</v>
      </c>
      <c r="D42" s="16"/>
      <c r="E42" s="16"/>
      <c r="G42" s="16"/>
      <c r="H42" s="16">
        <v>10.9</v>
      </c>
      <c r="I42" s="16"/>
      <c r="J42" s="16">
        <v>36.19</v>
      </c>
      <c r="K42" s="16">
        <v>1.77</v>
      </c>
      <c r="L42" s="16"/>
      <c r="M42" s="16"/>
      <c r="N42" s="16">
        <v>3.4</v>
      </c>
      <c r="O42" s="16">
        <v>0.15</v>
      </c>
      <c r="R42" s="16"/>
      <c r="S42" s="16"/>
      <c r="T42" s="16">
        <v>8.1</v>
      </c>
      <c r="U42" s="16"/>
      <c r="V42" s="16"/>
      <c r="X42" s="16"/>
      <c r="Y42" s="16"/>
      <c r="Z42" s="16"/>
      <c r="AE42" s="16"/>
      <c r="AF42">
        <v>2.2200000000000002</v>
      </c>
      <c r="AG42">
        <v>0.24</v>
      </c>
      <c r="AI42" s="16"/>
      <c r="AJ42" s="16"/>
      <c r="AK42" s="16"/>
      <c r="AL42" s="16"/>
      <c r="AM42" s="16"/>
      <c r="AN42" s="16"/>
      <c r="AP42" s="16"/>
      <c r="AQ42" s="16"/>
      <c r="AR42" s="16"/>
      <c r="AS42" s="16"/>
      <c r="AT42" s="16"/>
      <c r="AU42" s="16"/>
      <c r="AV42" s="16"/>
      <c r="AW42" s="16"/>
      <c r="AX42" s="16"/>
      <c r="AY42" s="16"/>
      <c r="AZ42" s="16"/>
      <c r="BA42" s="16"/>
      <c r="BC42" s="17">
        <f t="shared" si="2"/>
        <v>97.86999999999999</v>
      </c>
      <c r="BD42" s="17">
        <f>AG42*Factors!AG$6+AF42*Factors!AF$6+AH42*Factors!AH$6</f>
        <v>-0.98891438661309594</v>
      </c>
      <c r="BE42" s="18">
        <f t="shared" si="3"/>
        <v>96.881085613386901</v>
      </c>
    </row>
    <row r="43" spans="1:57" x14ac:dyDescent="0.35">
      <c r="A43" s="13" t="s">
        <v>359</v>
      </c>
      <c r="B43" s="15" t="s">
        <v>360</v>
      </c>
      <c r="C43" s="16"/>
      <c r="D43" s="16"/>
      <c r="E43" s="16"/>
      <c r="G43" s="16">
        <v>0.67</v>
      </c>
      <c r="H43" s="16"/>
      <c r="I43" s="16"/>
      <c r="J43" s="16">
        <v>15.04</v>
      </c>
      <c r="K43" s="16">
        <v>5.97</v>
      </c>
      <c r="L43" s="16"/>
      <c r="M43" s="16"/>
      <c r="N43" s="16"/>
      <c r="O43" s="16">
        <v>0.57999999999999996</v>
      </c>
      <c r="R43" s="16"/>
      <c r="S43" s="16"/>
      <c r="T43" s="16"/>
      <c r="U43" s="16"/>
      <c r="V43" s="16"/>
      <c r="X43" s="16">
        <v>72.37</v>
      </c>
      <c r="Y43" s="16">
        <v>5.26</v>
      </c>
      <c r="Z43" s="16"/>
      <c r="AE43" s="16"/>
      <c r="AI43" s="16"/>
      <c r="AJ43" s="16"/>
      <c r="AK43" s="16"/>
      <c r="AL43" s="16"/>
      <c r="AM43" s="16"/>
      <c r="AN43" s="16"/>
      <c r="AP43" s="16"/>
      <c r="AQ43" s="16"/>
      <c r="AR43" s="16"/>
      <c r="AS43" s="16"/>
      <c r="AT43" s="16"/>
      <c r="AU43" s="16"/>
      <c r="AV43" s="16"/>
      <c r="AW43" s="16"/>
      <c r="AX43" s="16"/>
      <c r="AY43" s="16"/>
      <c r="AZ43" s="16"/>
      <c r="BA43" s="16"/>
      <c r="BC43" s="17">
        <f t="shared" si="2"/>
        <v>99.89</v>
      </c>
      <c r="BD43" s="17">
        <f>AG43*Factors!AG$6+AF43*Factors!AF$6+AH43*Factors!AH$6</f>
        <v>0</v>
      </c>
      <c r="BE43" s="18">
        <f t="shared" si="3"/>
        <v>99.89</v>
      </c>
    </row>
    <row r="44" spans="1:57" x14ac:dyDescent="0.35">
      <c r="A44" s="13" t="s">
        <v>361</v>
      </c>
      <c r="B44" s="15" t="s">
        <v>362</v>
      </c>
      <c r="C44" s="16"/>
      <c r="D44" s="16">
        <v>0.53</v>
      </c>
      <c r="E44" s="16"/>
      <c r="G44" s="16">
        <v>0.88</v>
      </c>
      <c r="H44" s="16"/>
      <c r="I44" s="16"/>
      <c r="J44" s="16">
        <v>5.45</v>
      </c>
      <c r="K44" s="16">
        <v>14.79</v>
      </c>
      <c r="L44" s="16"/>
      <c r="M44" s="16"/>
      <c r="N44" s="16"/>
      <c r="O44" s="16"/>
      <c r="R44" s="16"/>
      <c r="S44" s="16">
        <v>0.02</v>
      </c>
      <c r="T44" s="16"/>
      <c r="U44" s="16"/>
      <c r="V44" s="16"/>
      <c r="X44" s="16">
        <v>68</v>
      </c>
      <c r="Y44" s="16">
        <v>9.8800000000000008</v>
      </c>
      <c r="Z44" s="16"/>
      <c r="AE44" s="16"/>
      <c r="AI44" s="16"/>
      <c r="AJ44" s="16"/>
      <c r="AK44" s="16"/>
      <c r="AL44" s="16"/>
      <c r="AM44" s="16"/>
      <c r="AN44" s="16"/>
      <c r="AP44" s="16"/>
      <c r="AQ44" s="16"/>
      <c r="AR44" s="16"/>
      <c r="AS44" s="16"/>
      <c r="AT44" s="16"/>
      <c r="AU44" s="16"/>
      <c r="AV44" s="16"/>
      <c r="AW44" s="16"/>
      <c r="AX44" s="16"/>
      <c r="AY44" s="16"/>
      <c r="AZ44" s="16"/>
      <c r="BA44" s="16"/>
      <c r="BC44" s="17">
        <f t="shared" si="2"/>
        <v>99.55</v>
      </c>
      <c r="BD44" s="17">
        <f>AG44*Factors!AG$6+AF44*Factors!AF$6+AH44*Factors!AH$6</f>
        <v>0</v>
      </c>
      <c r="BE44" s="18">
        <f t="shared" si="3"/>
        <v>99.55</v>
      </c>
    </row>
    <row r="45" spans="1:57" x14ac:dyDescent="0.35">
      <c r="A45" s="13" t="s">
        <v>432</v>
      </c>
      <c r="B45" s="15" t="s">
        <v>433</v>
      </c>
      <c r="C45" s="16">
        <v>35.33</v>
      </c>
      <c r="D45" s="16"/>
      <c r="E45" s="16"/>
      <c r="G45" s="16"/>
      <c r="H45" s="16">
        <v>21.5</v>
      </c>
      <c r="I45" s="16"/>
      <c r="J45" s="16"/>
      <c r="K45" s="16">
        <v>41.06</v>
      </c>
      <c r="L45" s="16"/>
      <c r="M45" s="16"/>
      <c r="N45" s="16"/>
      <c r="O45" s="16">
        <v>1.02</v>
      </c>
      <c r="R45" s="16"/>
      <c r="S45" s="16"/>
      <c r="T45" s="16"/>
      <c r="U45" s="16"/>
      <c r="V45" s="16"/>
      <c r="X45" s="16"/>
      <c r="Y45" s="16"/>
      <c r="Z45" s="16"/>
      <c r="AE45" s="16">
        <v>0.86</v>
      </c>
      <c r="AI45" s="16"/>
      <c r="AJ45" s="16"/>
      <c r="AK45" s="16"/>
      <c r="AL45" s="16"/>
      <c r="AM45" s="16"/>
      <c r="AN45" s="16"/>
      <c r="AP45" s="16"/>
      <c r="AQ45" s="16"/>
      <c r="AR45" s="16"/>
      <c r="AS45" s="16"/>
      <c r="AT45" s="16"/>
      <c r="AU45" s="16"/>
      <c r="AV45" s="16"/>
      <c r="AW45" s="16"/>
      <c r="AX45" s="16"/>
      <c r="AY45" s="16"/>
      <c r="AZ45" s="16"/>
      <c r="BA45" s="16"/>
      <c r="BC45" s="17">
        <f t="shared" ref="BC45:BC55" si="4">SUM(C45:BB45)</f>
        <v>99.77</v>
      </c>
      <c r="BD45" s="17">
        <f>AG45*Factors!AG$6+AF45*Factors!AF$6+AH45*Factors!AH$6</f>
        <v>0</v>
      </c>
      <c r="BE45" s="18">
        <f t="shared" ref="BE45:BE55" si="5">BC45+BD45</f>
        <v>99.77</v>
      </c>
    </row>
    <row r="46" spans="1:57" x14ac:dyDescent="0.35">
      <c r="A46" s="13" t="s">
        <v>434</v>
      </c>
      <c r="B46" s="15" t="s">
        <v>435</v>
      </c>
      <c r="C46" s="16">
        <v>36.04</v>
      </c>
      <c r="D46" s="16">
        <v>0.54</v>
      </c>
      <c r="E46" s="16"/>
      <c r="G46" s="16"/>
      <c r="H46" s="16">
        <v>30.83</v>
      </c>
      <c r="I46" s="16"/>
      <c r="J46" s="16">
        <v>17.59</v>
      </c>
      <c r="K46" s="16">
        <v>0.11</v>
      </c>
      <c r="L46" s="16"/>
      <c r="M46" s="16"/>
      <c r="N46" s="16">
        <v>0.42</v>
      </c>
      <c r="O46" s="16">
        <v>1.01</v>
      </c>
      <c r="R46" s="16"/>
      <c r="S46" s="16">
        <v>2.72</v>
      </c>
      <c r="T46" s="16">
        <v>0.05</v>
      </c>
      <c r="U46" s="16"/>
      <c r="V46" s="16">
        <v>10.43</v>
      </c>
      <c r="X46" s="16"/>
      <c r="Y46" s="16"/>
      <c r="Z46" s="16"/>
      <c r="AE46" s="16"/>
      <c r="AI46" s="16"/>
      <c r="AJ46" s="16"/>
      <c r="AK46" s="16"/>
      <c r="AL46" s="16"/>
      <c r="AM46" s="16"/>
      <c r="AN46" s="16"/>
      <c r="AP46" s="16"/>
      <c r="AQ46" s="16"/>
      <c r="AR46" s="16"/>
      <c r="AS46" s="16"/>
      <c r="AT46" s="16"/>
      <c r="AU46" s="16"/>
      <c r="AV46" s="16"/>
      <c r="AW46" s="16"/>
      <c r="AX46" s="16"/>
      <c r="AY46" s="16"/>
      <c r="AZ46" s="16"/>
      <c r="BA46" s="16"/>
      <c r="BC46" s="17">
        <f t="shared" si="4"/>
        <v>99.740000000000009</v>
      </c>
      <c r="BD46" s="17">
        <f>AG46*Factors!AG$6+AF46*Factors!AF$6+AH46*Factors!AH$6</f>
        <v>0</v>
      </c>
      <c r="BE46" s="18">
        <f t="shared" si="5"/>
        <v>99.740000000000009</v>
      </c>
    </row>
    <row r="47" spans="1:57" x14ac:dyDescent="0.35">
      <c r="A47" s="13" t="s">
        <v>436</v>
      </c>
      <c r="B47" s="15" t="s">
        <v>437</v>
      </c>
      <c r="C47" s="16">
        <v>45.8</v>
      </c>
      <c r="D47" s="16"/>
      <c r="E47" s="16"/>
      <c r="G47" s="16"/>
      <c r="H47" s="16">
        <v>39.549999999999997</v>
      </c>
      <c r="I47" s="16">
        <v>0.56999999999999995</v>
      </c>
      <c r="J47" s="16">
        <v>0.18</v>
      </c>
      <c r="K47" s="16"/>
      <c r="L47" s="16"/>
      <c r="M47" s="16"/>
      <c r="N47" s="16">
        <v>0.14000000000000001</v>
      </c>
      <c r="O47" s="16">
        <v>0.41</v>
      </c>
      <c r="R47" s="16"/>
      <c r="S47" s="16"/>
      <c r="T47" s="16">
        <v>0.03</v>
      </c>
      <c r="U47" s="16"/>
      <c r="V47" s="16"/>
      <c r="X47" s="16"/>
      <c r="Y47" s="16"/>
      <c r="Z47" s="16"/>
      <c r="AE47" s="16">
        <v>14.09</v>
      </c>
      <c r="AI47" s="16"/>
      <c r="AJ47" s="16"/>
      <c r="AK47" s="16"/>
      <c r="AL47" s="16"/>
      <c r="AM47" s="16"/>
      <c r="AN47" s="16"/>
      <c r="AP47" s="16"/>
      <c r="AQ47" s="16"/>
      <c r="AR47" s="16"/>
      <c r="AS47" s="16"/>
      <c r="AT47" s="16"/>
      <c r="AU47" s="16"/>
      <c r="AV47" s="16"/>
      <c r="AW47" s="16"/>
      <c r="AX47" s="16"/>
      <c r="AY47" s="16"/>
      <c r="AZ47" s="16"/>
      <c r="BA47" s="16"/>
      <c r="BC47" s="17">
        <f t="shared" si="4"/>
        <v>100.77</v>
      </c>
      <c r="BD47" s="17">
        <f>AG47*Factors!AG$6+AF47*Factors!AF$6+AH47*Factors!AH$6</f>
        <v>0</v>
      </c>
      <c r="BE47" s="18">
        <f t="shared" si="5"/>
        <v>100.77</v>
      </c>
    </row>
    <row r="48" spans="1:57" x14ac:dyDescent="0.35">
      <c r="A48" s="13" t="s">
        <v>438</v>
      </c>
      <c r="B48" s="15" t="s">
        <v>439</v>
      </c>
      <c r="C48" s="16">
        <v>37.89</v>
      </c>
      <c r="D48" s="16">
        <v>0.04</v>
      </c>
      <c r="E48" s="16"/>
      <c r="G48" s="16"/>
      <c r="H48" s="16">
        <v>43.85</v>
      </c>
      <c r="I48" s="16"/>
      <c r="J48" s="16">
        <v>0.11</v>
      </c>
      <c r="K48" s="16">
        <v>0.11</v>
      </c>
      <c r="L48" s="16"/>
      <c r="M48" s="16"/>
      <c r="N48" s="16"/>
      <c r="O48" s="16">
        <v>7.0000000000000007E-2</v>
      </c>
      <c r="R48" s="16"/>
      <c r="S48" s="16">
        <v>2.4300000000000002</v>
      </c>
      <c r="T48" s="16"/>
      <c r="U48" s="16">
        <v>1.66</v>
      </c>
      <c r="V48" s="16">
        <v>10.28</v>
      </c>
      <c r="X48" s="16"/>
      <c r="Y48" s="16"/>
      <c r="Z48" s="16"/>
      <c r="AE48" s="16">
        <v>3.47</v>
      </c>
      <c r="AF48">
        <v>0.1</v>
      </c>
      <c r="AI48" s="16"/>
      <c r="AJ48" s="16"/>
      <c r="AK48" s="16"/>
      <c r="AL48" s="16"/>
      <c r="AM48" s="16"/>
      <c r="AN48" s="16"/>
      <c r="AP48" s="16"/>
      <c r="AQ48" s="16"/>
      <c r="AR48" s="16"/>
      <c r="AS48" s="16"/>
      <c r="AT48" s="16"/>
      <c r="AU48" s="16"/>
      <c r="AV48" s="16"/>
      <c r="AW48" s="16"/>
      <c r="AX48" s="16"/>
      <c r="AY48" s="16"/>
      <c r="AZ48" s="16"/>
      <c r="BA48" s="16"/>
      <c r="BC48" s="17">
        <f t="shared" si="4"/>
        <v>100.00999999999999</v>
      </c>
      <c r="BD48" s="17">
        <f>AG48*Factors!AG$6+AF48*Factors!AF$6+AH48*Factors!AH$6</f>
        <v>-4.2106170352144562E-2</v>
      </c>
      <c r="BE48" s="18">
        <f t="shared" si="5"/>
        <v>99.967893829647849</v>
      </c>
    </row>
    <row r="49" spans="1:57" x14ac:dyDescent="0.35">
      <c r="A49" s="13" t="s">
        <v>440</v>
      </c>
      <c r="B49" s="15" t="s">
        <v>441</v>
      </c>
      <c r="C49" s="16">
        <v>33.83</v>
      </c>
      <c r="D49" s="16"/>
      <c r="E49" s="16"/>
      <c r="G49" s="16"/>
      <c r="H49" s="16">
        <v>12.95</v>
      </c>
      <c r="I49" s="16">
        <v>2.25</v>
      </c>
      <c r="J49" s="16">
        <v>3.02</v>
      </c>
      <c r="K49" s="16"/>
      <c r="L49" s="16"/>
      <c r="M49" s="16"/>
      <c r="N49" s="16">
        <v>34.94</v>
      </c>
      <c r="O49" s="16"/>
      <c r="R49" s="16"/>
      <c r="S49" s="16"/>
      <c r="T49" s="16"/>
      <c r="U49" s="16"/>
      <c r="V49" s="16"/>
      <c r="X49" s="16"/>
      <c r="Y49" s="16"/>
      <c r="Z49" s="16"/>
      <c r="AE49" s="16">
        <v>13.11</v>
      </c>
      <c r="AI49" s="16"/>
      <c r="AJ49" s="16"/>
      <c r="AK49" s="16"/>
      <c r="AL49" s="16"/>
      <c r="AM49" s="16"/>
      <c r="AN49" s="16"/>
      <c r="AP49" s="16"/>
      <c r="AQ49" s="16"/>
      <c r="AR49" s="16"/>
      <c r="AS49" s="16"/>
      <c r="AT49" s="16"/>
      <c r="AU49" s="16"/>
      <c r="AV49" s="16"/>
      <c r="AW49" s="16"/>
      <c r="AX49" s="16"/>
      <c r="AY49" s="16"/>
      <c r="AZ49" s="16"/>
      <c r="BA49" s="16"/>
      <c r="BC49" s="17">
        <f t="shared" si="4"/>
        <v>100.10000000000001</v>
      </c>
      <c r="BD49" s="17">
        <f>AG49*Factors!AG$6+AF49*Factors!AF$6+AH49*Factors!AH$6</f>
        <v>0</v>
      </c>
      <c r="BE49" s="18">
        <f t="shared" si="5"/>
        <v>100.10000000000001</v>
      </c>
    </row>
    <row r="50" spans="1:57" x14ac:dyDescent="0.35">
      <c r="A50" s="13" t="s">
        <v>442</v>
      </c>
      <c r="B50" s="15" t="s">
        <v>443</v>
      </c>
      <c r="C50" s="16">
        <v>26.4</v>
      </c>
      <c r="D50" s="16"/>
      <c r="E50" s="16"/>
      <c r="G50" s="16"/>
      <c r="H50" s="16">
        <v>18.23</v>
      </c>
      <c r="I50" s="16">
        <v>5.7</v>
      </c>
      <c r="J50" s="16">
        <v>25.87</v>
      </c>
      <c r="K50" s="16"/>
      <c r="L50" s="16"/>
      <c r="M50" s="16"/>
      <c r="N50" s="16">
        <v>11.35</v>
      </c>
      <c r="O50" s="16">
        <v>0.42</v>
      </c>
      <c r="R50" s="16"/>
      <c r="S50" s="16">
        <v>0.17</v>
      </c>
      <c r="T50" s="16">
        <v>0.17</v>
      </c>
      <c r="U50" s="16"/>
      <c r="V50" s="16"/>
      <c r="X50" s="16"/>
      <c r="Y50" s="16"/>
      <c r="Z50" s="16"/>
      <c r="AE50" s="16">
        <v>11.65</v>
      </c>
      <c r="AI50" s="16"/>
      <c r="AJ50" s="16"/>
      <c r="AK50" s="16"/>
      <c r="AL50" s="16"/>
      <c r="AM50" s="16"/>
      <c r="AN50" s="16"/>
      <c r="AP50" s="16"/>
      <c r="AQ50" s="16"/>
      <c r="AR50" s="16"/>
      <c r="AS50" s="16"/>
      <c r="AT50" s="16"/>
      <c r="AU50" s="16"/>
      <c r="AV50" s="16"/>
      <c r="AW50" s="16"/>
      <c r="AX50" s="16"/>
      <c r="AY50" s="16"/>
      <c r="AZ50" s="16"/>
      <c r="BA50" s="16"/>
      <c r="BC50" s="17">
        <f t="shared" si="4"/>
        <v>99.960000000000008</v>
      </c>
      <c r="BD50" s="17">
        <f>AG50*Factors!AG$6+AF50*Factors!AF$6+AH50*Factors!AH$6</f>
        <v>0</v>
      </c>
      <c r="BE50" s="18">
        <f t="shared" si="5"/>
        <v>99.960000000000008</v>
      </c>
    </row>
    <row r="51" spans="1:57" x14ac:dyDescent="0.35">
      <c r="A51" s="13" t="s">
        <v>444</v>
      </c>
      <c r="B51" s="15" t="s">
        <v>445</v>
      </c>
      <c r="C51" s="16">
        <v>48.58</v>
      </c>
      <c r="D51" s="16"/>
      <c r="E51" s="16"/>
      <c r="G51" s="16"/>
      <c r="H51" s="16">
        <v>28.93</v>
      </c>
      <c r="I51" s="16"/>
      <c r="J51" s="16">
        <v>0.04</v>
      </c>
      <c r="K51" s="16">
        <v>0.92</v>
      </c>
      <c r="L51" s="16"/>
      <c r="M51" s="16"/>
      <c r="N51" s="16"/>
      <c r="O51" s="16"/>
      <c r="R51" s="16"/>
      <c r="S51" s="16">
        <v>0.87</v>
      </c>
      <c r="T51" s="16">
        <v>10.02</v>
      </c>
      <c r="U51" s="16">
        <v>3.7</v>
      </c>
      <c r="V51" s="16"/>
      <c r="X51" s="16"/>
      <c r="Y51" s="16"/>
      <c r="Z51" s="16"/>
      <c r="AE51" s="16">
        <v>3.1</v>
      </c>
      <c r="AF51">
        <v>4.93</v>
      </c>
      <c r="AI51" s="16"/>
      <c r="AJ51" s="16"/>
      <c r="AK51" s="16"/>
      <c r="AL51" s="16"/>
      <c r="AM51" s="16"/>
      <c r="AN51" s="16"/>
      <c r="AP51" s="16"/>
      <c r="AQ51" s="16"/>
      <c r="AR51" s="16"/>
      <c r="AS51" s="16"/>
      <c r="AT51" s="16"/>
      <c r="AU51" s="16"/>
      <c r="AV51" s="16"/>
      <c r="AW51" s="16"/>
      <c r="AX51" s="16"/>
      <c r="AY51" s="16"/>
      <c r="AZ51" s="16"/>
      <c r="BA51" s="16"/>
      <c r="BC51" s="17">
        <f t="shared" si="4"/>
        <v>101.09</v>
      </c>
      <c r="BD51" s="17">
        <f>AG51*Factors!AG$6+AF51*Factors!AF$6+AH51*Factors!AH$6</f>
        <v>-2.0758341983607269</v>
      </c>
      <c r="BE51" s="18">
        <f t="shared" si="5"/>
        <v>99.01416580163928</v>
      </c>
    </row>
    <row r="52" spans="1:57" x14ac:dyDescent="0.35">
      <c r="A52" s="13" t="s">
        <v>446</v>
      </c>
      <c r="B52" s="15" t="s">
        <v>138</v>
      </c>
      <c r="C52" s="16"/>
      <c r="D52" s="16"/>
      <c r="E52" s="16"/>
      <c r="G52" s="16"/>
      <c r="H52" s="16"/>
      <c r="I52" s="16"/>
      <c r="J52" s="16"/>
      <c r="K52" s="16"/>
      <c r="L52" s="16"/>
      <c r="M52" s="16"/>
      <c r="N52" s="16"/>
      <c r="O52" s="16">
        <v>55.52</v>
      </c>
      <c r="R52" s="16"/>
      <c r="S52" s="16"/>
      <c r="T52" s="16"/>
      <c r="U52" s="16"/>
      <c r="V52" s="16"/>
      <c r="X52" s="16"/>
      <c r="Y52" s="16"/>
      <c r="Z52" s="16"/>
      <c r="AA52">
        <v>42.01</v>
      </c>
      <c r="AE52" s="16"/>
      <c r="AF52">
        <v>3.89</v>
      </c>
      <c r="AI52" s="16"/>
      <c r="AJ52" s="16"/>
      <c r="AK52" s="16"/>
      <c r="AL52" s="16">
        <v>0.1</v>
      </c>
      <c r="AM52" s="16"/>
      <c r="AN52" s="16"/>
      <c r="AP52" s="16"/>
      <c r="AQ52" s="16">
        <v>0.06</v>
      </c>
      <c r="AR52" s="16"/>
      <c r="AS52" s="16"/>
      <c r="AT52" s="16">
        <v>0.06</v>
      </c>
      <c r="AU52" s="16"/>
      <c r="AV52" s="16"/>
      <c r="AW52" s="16"/>
      <c r="AX52" s="16"/>
      <c r="AY52" s="16"/>
      <c r="AZ52" s="16">
        <v>0.06</v>
      </c>
      <c r="BA52" s="16"/>
      <c r="BC52" s="17">
        <f t="shared" si="4"/>
        <v>101.7</v>
      </c>
      <c r="BD52" s="17">
        <f>AG52*Factors!AG$6+AF52*Factors!AF$6+AH52*Factors!AH$6</f>
        <v>-1.6379300266984236</v>
      </c>
      <c r="BE52" s="18">
        <f t="shared" si="5"/>
        <v>100.06206997330158</v>
      </c>
    </row>
    <row r="53" spans="1:57" x14ac:dyDescent="0.35">
      <c r="A53" s="13" t="s">
        <v>447</v>
      </c>
      <c r="B53" s="15" t="s">
        <v>448</v>
      </c>
      <c r="C53" s="16">
        <v>65.59</v>
      </c>
      <c r="D53" s="16"/>
      <c r="E53" s="16"/>
      <c r="G53" s="16"/>
      <c r="H53" s="16">
        <v>18.25</v>
      </c>
      <c r="I53" s="16"/>
      <c r="J53" s="16">
        <v>1.1599999999999999</v>
      </c>
      <c r="K53" s="16"/>
      <c r="L53" s="16"/>
      <c r="M53" s="16"/>
      <c r="N53" s="16"/>
      <c r="O53" s="16"/>
      <c r="R53" s="16"/>
      <c r="S53" s="16">
        <v>0.26</v>
      </c>
      <c r="T53" s="16"/>
      <c r="U53" s="16"/>
      <c r="V53" s="16"/>
      <c r="W53">
        <v>13.46</v>
      </c>
      <c r="X53" s="16"/>
      <c r="Y53" s="16"/>
      <c r="Z53" s="16"/>
      <c r="AE53" s="16">
        <v>0.7</v>
      </c>
      <c r="AI53" s="16"/>
      <c r="AJ53" s="16"/>
      <c r="AK53" s="16"/>
      <c r="AL53" s="16"/>
      <c r="AM53" s="16"/>
      <c r="AN53" s="16"/>
      <c r="AP53" s="16"/>
      <c r="AQ53" s="16"/>
      <c r="AR53" s="16"/>
      <c r="AS53" s="16"/>
      <c r="AT53" s="16"/>
      <c r="AU53" s="16"/>
      <c r="AV53" s="16"/>
      <c r="AW53" s="16"/>
      <c r="AX53" s="16"/>
      <c r="AY53" s="16"/>
      <c r="AZ53" s="16"/>
      <c r="BA53" s="16"/>
      <c r="BC53" s="17">
        <f t="shared" si="4"/>
        <v>99.42</v>
      </c>
      <c r="BD53" s="17">
        <f>AG53*Factors!AG$6+AF53*Factors!AF$6+AH53*Factors!AH$6</f>
        <v>0</v>
      </c>
      <c r="BE53" s="18">
        <f t="shared" si="5"/>
        <v>99.42</v>
      </c>
    </row>
    <row r="54" spans="1:57" x14ac:dyDescent="0.35">
      <c r="A54" s="13" t="s">
        <v>449</v>
      </c>
      <c r="B54" s="15" t="s">
        <v>450</v>
      </c>
      <c r="C54" s="16"/>
      <c r="D54" s="16"/>
      <c r="E54" s="16"/>
      <c r="G54" s="16"/>
      <c r="H54" s="16">
        <v>35.1</v>
      </c>
      <c r="I54" s="16"/>
      <c r="J54" s="16"/>
      <c r="K54" s="16"/>
      <c r="L54" s="16"/>
      <c r="M54" s="16"/>
      <c r="N54" s="16"/>
      <c r="O54" s="16">
        <v>0.08</v>
      </c>
      <c r="R54" s="16"/>
      <c r="S54" s="16">
        <v>0.14000000000000001</v>
      </c>
      <c r="T54" s="16">
        <v>0.01</v>
      </c>
      <c r="U54" s="16">
        <v>9.52</v>
      </c>
      <c r="V54" s="16"/>
      <c r="X54" s="16"/>
      <c r="Y54" s="16"/>
      <c r="Z54" s="16"/>
      <c r="AA54">
        <v>49.11</v>
      </c>
      <c r="AE54" s="16">
        <v>5.32</v>
      </c>
      <c r="AF54">
        <v>1.4</v>
      </c>
      <c r="AI54" s="16"/>
      <c r="AJ54" s="16"/>
      <c r="AK54" s="16"/>
      <c r="AL54" s="16"/>
      <c r="AM54" s="16"/>
      <c r="AN54" s="16"/>
      <c r="AP54" s="16"/>
      <c r="AQ54" s="16"/>
      <c r="AR54" s="16"/>
      <c r="AS54" s="16"/>
      <c r="AT54" s="16"/>
      <c r="AU54" s="16"/>
      <c r="AV54" s="16"/>
      <c r="AW54" s="16"/>
      <c r="AX54" s="16"/>
      <c r="AY54" s="16"/>
      <c r="AZ54" s="16"/>
      <c r="BA54" s="16"/>
      <c r="BC54" s="17">
        <f t="shared" si="4"/>
        <v>100.68</v>
      </c>
      <c r="BD54" s="17">
        <f>AG54*Factors!AG$6+AF54*Factors!AF$6+AH54*Factors!AH$6</f>
        <v>-0.58948638493002381</v>
      </c>
      <c r="BE54" s="18">
        <f t="shared" si="5"/>
        <v>100.09051361506998</v>
      </c>
    </row>
    <row r="55" spans="1:57" x14ac:dyDescent="0.35">
      <c r="A55" s="13" t="s">
        <v>451</v>
      </c>
      <c r="B55" s="15" t="s">
        <v>452</v>
      </c>
      <c r="C55" s="16">
        <v>64.92</v>
      </c>
      <c r="D55" s="16"/>
      <c r="E55" s="16"/>
      <c r="G55" s="16"/>
      <c r="H55" s="16">
        <v>22.2</v>
      </c>
      <c r="I55" s="16"/>
      <c r="J55" s="16"/>
      <c r="K55" s="16"/>
      <c r="L55" s="16"/>
      <c r="M55" s="16"/>
      <c r="N55" s="16"/>
      <c r="O55" s="16">
        <v>2.64</v>
      </c>
      <c r="R55" s="16"/>
      <c r="S55" s="16">
        <v>9.7200000000000006</v>
      </c>
      <c r="T55" s="16">
        <v>0.68</v>
      </c>
      <c r="U55" s="16"/>
      <c r="V55" s="16"/>
      <c r="X55" s="16"/>
      <c r="Y55" s="16"/>
      <c r="Z55" s="16"/>
      <c r="AE55" s="16">
        <v>0.09</v>
      </c>
      <c r="AI55" s="16"/>
      <c r="AJ55" s="16"/>
      <c r="AK55" s="16"/>
      <c r="AL55" s="16"/>
      <c r="AM55" s="16"/>
      <c r="AN55" s="16"/>
      <c r="AP55" s="16"/>
      <c r="AQ55" s="16"/>
      <c r="AR55" s="16"/>
      <c r="AS55" s="16"/>
      <c r="AT55" s="16"/>
      <c r="AU55" s="16"/>
      <c r="AV55" s="16"/>
      <c r="AW55" s="16"/>
      <c r="AX55" s="16"/>
      <c r="AY55" s="16"/>
      <c r="AZ55" s="16"/>
      <c r="BA55" s="16"/>
      <c r="BC55" s="17">
        <f t="shared" si="4"/>
        <v>100.25000000000001</v>
      </c>
      <c r="BD55" s="17">
        <f>AG55*Factors!AG$6+AF55*Factors!AF$6+AH55*Factors!AH$6</f>
        <v>0</v>
      </c>
      <c r="BE55" s="18">
        <f t="shared" si="5"/>
        <v>100.25000000000001</v>
      </c>
    </row>
    <row r="56" spans="1:57" x14ac:dyDescent="0.35">
      <c r="A56" s="13" t="s">
        <v>495</v>
      </c>
      <c r="B56" s="15" t="s">
        <v>75</v>
      </c>
      <c r="C56" s="16"/>
      <c r="D56" s="16"/>
      <c r="E56" s="16"/>
      <c r="G56" s="16"/>
      <c r="H56" s="16">
        <v>100</v>
      </c>
      <c r="I56" s="16"/>
      <c r="J56" s="16"/>
      <c r="K56" s="16"/>
      <c r="L56" s="16"/>
      <c r="M56" s="16"/>
      <c r="N56" s="16"/>
      <c r="O56" s="16"/>
      <c r="R56" s="16"/>
      <c r="S56" s="16"/>
      <c r="T56" s="16"/>
      <c r="U56" s="16"/>
      <c r="V56" s="16"/>
      <c r="X56" s="16"/>
      <c r="Y56" s="16"/>
      <c r="Z56" s="16"/>
      <c r="AE56" s="16"/>
      <c r="AI56" s="16"/>
      <c r="AJ56" s="16"/>
      <c r="AK56" s="16"/>
      <c r="AL56" s="16"/>
      <c r="AM56" s="16"/>
      <c r="AN56" s="16"/>
      <c r="AP56" s="16"/>
      <c r="AQ56" s="16"/>
      <c r="AR56" s="16"/>
      <c r="AS56" s="16"/>
      <c r="AT56" s="16"/>
      <c r="AU56" s="16"/>
      <c r="AV56" s="16"/>
      <c r="AW56" s="16"/>
      <c r="AX56" s="16"/>
      <c r="AY56" s="16"/>
      <c r="AZ56" s="16"/>
      <c r="BA56" s="16"/>
      <c r="BC56" s="17">
        <f t="shared" ref="BC56:BC59" si="6">SUM(C56:BB56)</f>
        <v>100</v>
      </c>
      <c r="BD56" s="17">
        <f>AG56*Factors!AG$6+AF56*Factors!AF$6+AH56*Factors!AH$6</f>
        <v>0</v>
      </c>
      <c r="BE56" s="18">
        <f t="shared" ref="BE56:BE59" si="7">BC56+BD56</f>
        <v>100</v>
      </c>
    </row>
    <row r="57" spans="1:57" x14ac:dyDescent="0.35">
      <c r="A57" s="13" t="s">
        <v>496</v>
      </c>
      <c r="B57" s="15" t="s">
        <v>497</v>
      </c>
      <c r="C57" s="16">
        <v>63.6</v>
      </c>
      <c r="D57" s="16"/>
      <c r="E57" s="16"/>
      <c r="G57" s="16"/>
      <c r="H57" s="16">
        <v>27.48</v>
      </c>
      <c r="I57" s="16">
        <v>0.04</v>
      </c>
      <c r="J57" s="16"/>
      <c r="K57" s="16">
        <v>0.14000000000000001</v>
      </c>
      <c r="L57" s="16"/>
      <c r="M57" s="16"/>
      <c r="N57" s="16"/>
      <c r="O57" s="16"/>
      <c r="R57" s="16"/>
      <c r="S57" s="16">
        <v>0.22</v>
      </c>
      <c r="T57" s="16"/>
      <c r="U57" s="16">
        <v>7.79</v>
      </c>
      <c r="V57" s="16"/>
      <c r="X57" s="16"/>
      <c r="Y57" s="16"/>
      <c r="Z57" s="16"/>
      <c r="AE57" s="16">
        <v>0.17</v>
      </c>
      <c r="AI57" s="16"/>
      <c r="AJ57" s="16"/>
      <c r="AK57" s="16"/>
      <c r="AL57" s="16"/>
      <c r="AM57" s="16"/>
      <c r="AN57" s="16"/>
      <c r="AP57" s="16"/>
      <c r="AQ57" s="16"/>
      <c r="AR57" s="16"/>
      <c r="AS57" s="16"/>
      <c r="AT57" s="16"/>
      <c r="AU57" s="16"/>
      <c r="AV57" s="16"/>
      <c r="AW57" s="16"/>
      <c r="AX57" s="16"/>
      <c r="AY57" s="16"/>
      <c r="AZ57" s="16"/>
      <c r="BA57" s="16"/>
      <c r="BC57" s="17">
        <f t="shared" si="6"/>
        <v>99.440000000000012</v>
      </c>
      <c r="BD57" s="17">
        <f>AG57*Factors!AG$6+AF57*Factors!AF$6+AH57*Factors!AH$6</f>
        <v>0</v>
      </c>
      <c r="BE57" s="18">
        <f t="shared" si="7"/>
        <v>99.440000000000012</v>
      </c>
    </row>
    <row r="58" spans="1:57" x14ac:dyDescent="0.35">
      <c r="A58" s="13" t="s">
        <v>498</v>
      </c>
      <c r="B58" s="15" t="s">
        <v>499</v>
      </c>
      <c r="C58" s="16"/>
      <c r="D58" s="16"/>
      <c r="E58" s="16"/>
      <c r="G58" s="16"/>
      <c r="H58" s="16"/>
      <c r="I58" s="16"/>
      <c r="J58" s="16">
        <v>0.43</v>
      </c>
      <c r="K58" s="16"/>
      <c r="L58" s="16"/>
      <c r="M58" s="16"/>
      <c r="N58" s="16">
        <v>1.74</v>
      </c>
      <c r="O58" s="16">
        <v>53.6</v>
      </c>
      <c r="R58" s="16"/>
      <c r="S58" s="16"/>
      <c r="T58" s="16"/>
      <c r="U58" s="16"/>
      <c r="V58" s="16"/>
      <c r="X58" s="16"/>
      <c r="Y58" s="16"/>
      <c r="Z58" s="16"/>
      <c r="AD58">
        <v>44.22</v>
      </c>
      <c r="AE58" s="16"/>
      <c r="AI58" s="16"/>
      <c r="AJ58" s="16"/>
      <c r="AK58" s="16"/>
      <c r="AL58" s="16"/>
      <c r="AM58" s="16"/>
      <c r="AN58" s="16"/>
      <c r="AP58" s="16"/>
      <c r="AQ58" s="16"/>
      <c r="AR58" s="16"/>
      <c r="AS58" s="16"/>
      <c r="AT58" s="16"/>
      <c r="AU58" s="16"/>
      <c r="AV58" s="16"/>
      <c r="AW58" s="16"/>
      <c r="AX58" s="16"/>
      <c r="AY58" s="16"/>
      <c r="AZ58" s="16"/>
      <c r="BA58" s="16"/>
      <c r="BC58" s="17">
        <f t="shared" si="6"/>
        <v>99.990000000000009</v>
      </c>
      <c r="BD58" s="17">
        <f>AG58*Factors!AG$6+AF58*Factors!AF$6+AH58*Factors!AH$6</f>
        <v>0</v>
      </c>
      <c r="BE58" s="18">
        <f t="shared" si="7"/>
        <v>99.990000000000009</v>
      </c>
    </row>
    <row r="59" spans="1:57" x14ac:dyDescent="0.35">
      <c r="A59" s="13" t="s">
        <v>500</v>
      </c>
      <c r="B59" s="15" t="s">
        <v>501</v>
      </c>
      <c r="C59" s="16"/>
      <c r="D59" s="16"/>
      <c r="E59" s="16"/>
      <c r="G59" s="16"/>
      <c r="H59" s="16"/>
      <c r="I59" s="16"/>
      <c r="J59" s="16">
        <v>0.19</v>
      </c>
      <c r="K59" s="16"/>
      <c r="L59" s="16">
        <v>83.37</v>
      </c>
      <c r="M59" s="16"/>
      <c r="N59" s="16"/>
      <c r="O59" s="16"/>
      <c r="R59" s="16"/>
      <c r="S59" s="16"/>
      <c r="T59" s="16"/>
      <c r="U59" s="16"/>
      <c r="V59" s="16"/>
      <c r="X59" s="16"/>
      <c r="Y59" s="16"/>
      <c r="Z59" s="16"/>
      <c r="AE59" s="16"/>
      <c r="AH59">
        <v>32.78</v>
      </c>
      <c r="AI59" s="16"/>
      <c r="AJ59" s="16"/>
      <c r="AK59" s="16"/>
      <c r="AL59" s="16"/>
      <c r="AM59" s="16"/>
      <c r="AN59" s="16"/>
      <c r="AP59" s="16"/>
      <c r="AQ59" s="16"/>
      <c r="AR59" s="16"/>
      <c r="AS59" s="16"/>
      <c r="AT59" s="16"/>
      <c r="AU59" s="16"/>
      <c r="AV59" s="16"/>
      <c r="AW59" s="16"/>
      <c r="AX59" s="16"/>
      <c r="AY59" s="16"/>
      <c r="AZ59" s="16"/>
      <c r="BA59" s="16"/>
      <c r="BC59" s="17">
        <f t="shared" si="6"/>
        <v>116.34</v>
      </c>
      <c r="BD59" s="17">
        <f>AG59*Factors!AG$6+AF59*Factors!AF$6+AH59*Factors!AH$6</f>
        <v>-16.35830380536494</v>
      </c>
      <c r="BE59" s="18">
        <f t="shared" si="7"/>
        <v>99.981696194635063</v>
      </c>
    </row>
    <row r="60" spans="1:57" x14ac:dyDescent="0.35">
      <c r="A60" s="13" t="s">
        <v>519</v>
      </c>
      <c r="B60" s="15" t="s">
        <v>520</v>
      </c>
      <c r="C60" s="16"/>
      <c r="D60" s="16"/>
      <c r="E60" s="16"/>
      <c r="G60" s="16"/>
      <c r="H60" s="16">
        <v>38.71</v>
      </c>
      <c r="I60" s="16"/>
      <c r="J60" s="16"/>
      <c r="K60" s="16"/>
      <c r="L60" s="16"/>
      <c r="M60" s="16"/>
      <c r="N60" s="16">
        <v>0.94</v>
      </c>
      <c r="O60" s="16">
        <v>7.5</v>
      </c>
      <c r="P60">
        <v>2.21</v>
      </c>
      <c r="R60" s="16"/>
      <c r="S60" s="16"/>
      <c r="T60" s="16"/>
      <c r="U60" s="16"/>
      <c r="V60" s="16"/>
      <c r="X60" s="16"/>
      <c r="Y60" s="16"/>
      <c r="Z60" s="16"/>
      <c r="AA60">
        <v>27.09</v>
      </c>
      <c r="AC60">
        <v>3.8</v>
      </c>
      <c r="AE60" s="16">
        <v>20.149999999999999</v>
      </c>
      <c r="AI60" s="16"/>
      <c r="AJ60" s="16"/>
      <c r="AK60" s="16"/>
      <c r="AL60" s="16"/>
      <c r="AM60" s="16"/>
      <c r="AN60" s="16"/>
      <c r="AP60" s="16"/>
      <c r="AQ60" s="16"/>
      <c r="AR60" s="16"/>
      <c r="AS60" s="16"/>
      <c r="AT60" s="16"/>
      <c r="AU60" s="16"/>
      <c r="AV60" s="16"/>
      <c r="AW60" s="16"/>
      <c r="AX60" s="16"/>
      <c r="AY60" s="16"/>
      <c r="AZ60" s="16"/>
      <c r="BA60" s="16"/>
      <c r="BC60" s="17">
        <f t="shared" ref="BC60:BC61" si="8">SUM(C60:BB60)</f>
        <v>100.4</v>
      </c>
      <c r="BD60" s="17">
        <f>AG60*Factors!AG$6+AF60*Factors!AF$6+AH60*Factors!AH$6</f>
        <v>0</v>
      </c>
      <c r="BE60" s="18">
        <f t="shared" ref="BE60:BE61" si="9">BC60+BD60</f>
        <v>100.4</v>
      </c>
    </row>
    <row r="61" spans="1:57" x14ac:dyDescent="0.35">
      <c r="A61" s="13" t="s">
        <v>521</v>
      </c>
      <c r="B61" s="15" t="s">
        <v>522</v>
      </c>
      <c r="C61" s="16"/>
      <c r="D61" s="16"/>
      <c r="E61" s="16"/>
      <c r="G61" s="16">
        <v>32.06</v>
      </c>
      <c r="H61" s="16"/>
      <c r="I61" s="16"/>
      <c r="J61" s="16">
        <v>2.16</v>
      </c>
      <c r="K61" s="16"/>
      <c r="L61" s="16">
        <v>13.89</v>
      </c>
      <c r="M61" s="16">
        <v>34.409999999999997</v>
      </c>
      <c r="N61" s="16"/>
      <c r="O61" s="16"/>
      <c r="R61" s="16"/>
      <c r="S61" s="16"/>
      <c r="T61" s="16"/>
      <c r="U61" s="16"/>
      <c r="V61" s="16"/>
      <c r="X61" s="16"/>
      <c r="Y61" s="16"/>
      <c r="Z61" s="16"/>
      <c r="AE61" s="16"/>
      <c r="AH61">
        <v>28.4</v>
      </c>
      <c r="AI61" s="16"/>
      <c r="AJ61" s="16"/>
      <c r="AK61" s="16"/>
      <c r="AL61" s="16"/>
      <c r="AM61" s="16"/>
      <c r="AN61" s="16"/>
      <c r="AP61" s="16"/>
      <c r="AQ61" s="16"/>
      <c r="AR61" s="16"/>
      <c r="AS61" s="16"/>
      <c r="AT61" s="16"/>
      <c r="AU61" s="16"/>
      <c r="AV61" s="16"/>
      <c r="AW61" s="16"/>
      <c r="AX61" s="16"/>
      <c r="AY61" s="16"/>
      <c r="AZ61" s="16"/>
      <c r="BA61" s="16"/>
      <c r="BC61" s="17">
        <f t="shared" si="8"/>
        <v>110.91999999999999</v>
      </c>
      <c r="BD61" s="17">
        <f>AG61*Factors!AG$6+AF61*Factors!AF$6+AH61*Factors!AH$6</f>
        <v>-14.172538989394884</v>
      </c>
      <c r="BE61" s="18">
        <f t="shared" si="9"/>
        <v>96.747461010605107</v>
      </c>
    </row>
    <row r="62" spans="1:57" x14ac:dyDescent="0.35">
      <c r="A62" s="13" t="s">
        <v>531</v>
      </c>
      <c r="B62" s="15" t="s">
        <v>532</v>
      </c>
      <c r="C62" s="16">
        <v>0.09</v>
      </c>
      <c r="D62" s="16"/>
      <c r="E62" s="16"/>
      <c r="G62" s="16"/>
      <c r="H62" s="16">
        <v>7.0000000000000007E-2</v>
      </c>
      <c r="I62" s="16"/>
      <c r="J62" s="16">
        <v>2.94</v>
      </c>
      <c r="K62" s="16">
        <v>42.58</v>
      </c>
      <c r="L62" s="16"/>
      <c r="M62" s="16"/>
      <c r="N62" s="16"/>
      <c r="O62" s="16"/>
      <c r="R62" s="16"/>
      <c r="S62" s="16">
        <v>0.24</v>
      </c>
      <c r="T62" s="16"/>
      <c r="U62" s="16">
        <v>9.11</v>
      </c>
      <c r="V62" s="16"/>
      <c r="X62" s="16"/>
      <c r="Y62" s="16"/>
      <c r="Z62" s="16"/>
      <c r="AA62">
        <v>44.95</v>
      </c>
      <c r="AE62" s="16">
        <v>0.65</v>
      </c>
      <c r="AI62" s="16"/>
      <c r="AJ62" s="16"/>
      <c r="AK62" s="16"/>
      <c r="AL62" s="16"/>
      <c r="AM62" s="16"/>
      <c r="AN62" s="16"/>
      <c r="AP62" s="16"/>
      <c r="AQ62" s="16"/>
      <c r="AR62" s="16"/>
      <c r="AS62" s="16"/>
      <c r="AT62" s="16"/>
      <c r="AU62" s="16"/>
      <c r="AV62" s="16"/>
      <c r="AW62" s="16"/>
      <c r="AX62" s="16"/>
      <c r="AY62" s="16"/>
      <c r="AZ62" s="16"/>
      <c r="BA62" s="16"/>
      <c r="BC62" s="17">
        <f t="shared" ref="BC62:BC63" si="10">SUM(C62:BB62)</f>
        <v>100.63000000000001</v>
      </c>
      <c r="BD62" s="17">
        <f>AG62*Factors!AG$6+AF62*Factors!AF$6+AH62*Factors!AH$6</f>
        <v>0</v>
      </c>
      <c r="BE62" s="18">
        <f t="shared" ref="BE62:BE63" si="11">BC62+BD62</f>
        <v>100.63000000000001</v>
      </c>
    </row>
    <row r="63" spans="1:57" x14ac:dyDescent="0.35">
      <c r="A63" s="13" t="s">
        <v>533</v>
      </c>
      <c r="B63" s="15" t="s">
        <v>534</v>
      </c>
      <c r="C63" s="16"/>
      <c r="D63" s="16"/>
      <c r="E63" s="16"/>
      <c r="G63" s="16"/>
      <c r="H63" s="16"/>
      <c r="I63" s="16"/>
      <c r="J63" s="16">
        <v>0.77</v>
      </c>
      <c r="K63" s="16">
        <v>60.87</v>
      </c>
      <c r="L63" s="16"/>
      <c r="M63" s="16"/>
      <c r="N63" s="16"/>
      <c r="O63" s="16">
        <v>0.51</v>
      </c>
      <c r="R63" s="16"/>
      <c r="S63" s="16"/>
      <c r="T63" s="16"/>
      <c r="U63" s="16"/>
      <c r="V63" s="16"/>
      <c r="X63" s="16"/>
      <c r="Y63" s="16"/>
      <c r="Z63" s="16"/>
      <c r="AD63">
        <v>38.26</v>
      </c>
      <c r="AE63" s="16"/>
      <c r="AI63" s="16"/>
      <c r="AJ63" s="16"/>
      <c r="AK63" s="16"/>
      <c r="AL63" s="16"/>
      <c r="AM63" s="16"/>
      <c r="AN63" s="16"/>
      <c r="AP63" s="16"/>
      <c r="AQ63" s="16"/>
      <c r="AR63" s="16"/>
      <c r="AS63" s="16"/>
      <c r="AT63" s="16"/>
      <c r="AU63" s="16"/>
      <c r="AV63" s="16"/>
      <c r="AW63" s="16"/>
      <c r="AX63" s="16"/>
      <c r="AY63" s="16"/>
      <c r="AZ63" s="16"/>
      <c r="BA63" s="16"/>
      <c r="BC63" s="17">
        <f t="shared" si="10"/>
        <v>100.41</v>
      </c>
      <c r="BD63" s="17">
        <f>AG63*Factors!AG$6+AF63*Factors!AF$6+AH63*Factors!AH$6</f>
        <v>0</v>
      </c>
      <c r="BE63" s="18">
        <f t="shared" si="11"/>
        <v>100.41</v>
      </c>
    </row>
    <row r="64" spans="1:57" x14ac:dyDescent="0.35">
      <c r="A64" s="7" t="s">
        <v>175</v>
      </c>
    </row>
    <row r="65" spans="1:1" x14ac:dyDescent="0.35">
      <c r="A65" s="7" t="s">
        <v>176</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65"/>
  <sheetViews>
    <sheetView workbookViewId="0">
      <pane xSplit="2" ySplit="1" topLeftCell="C32" activePane="bottomRight" state="frozen"/>
      <selection pane="topRight"/>
      <selection pane="bottomLeft"/>
      <selection pane="bottomRight" activeCell="B51" sqref="B51"/>
    </sheetView>
  </sheetViews>
  <sheetFormatPr defaultRowHeight="14.5" x14ac:dyDescent="0.35"/>
  <cols>
    <col min="1" max="1" width="30" customWidth="1"/>
    <col min="2" max="2" width="34" customWidth="1"/>
    <col min="3" max="54" width="8.453125" customWidth="1"/>
    <col min="55" max="57" width="11" customWidth="1"/>
  </cols>
  <sheetData>
    <row r="1" spans="1:57" ht="30" customHeight="1" x14ac:dyDescent="0.35">
      <c r="A1" s="4" t="s">
        <v>121</v>
      </c>
      <c r="B1" s="4" t="s">
        <v>122</v>
      </c>
      <c r="C1" s="4" t="s">
        <v>70</v>
      </c>
      <c r="D1" s="4" t="s">
        <v>71</v>
      </c>
      <c r="E1" s="4" t="s">
        <v>72</v>
      </c>
      <c r="F1" s="4" t="s">
        <v>73</v>
      </c>
      <c r="G1" s="4" t="s">
        <v>74</v>
      </c>
      <c r="H1" s="4" t="s">
        <v>75</v>
      </c>
      <c r="I1" s="4" t="s">
        <v>76</v>
      </c>
      <c r="J1" s="4" t="s">
        <v>77</v>
      </c>
      <c r="K1" s="4" t="s">
        <v>78</v>
      </c>
      <c r="L1" s="4" t="s">
        <v>330</v>
      </c>
      <c r="M1" s="4" t="s">
        <v>518</v>
      </c>
      <c r="N1" s="4" t="s">
        <v>79</v>
      </c>
      <c r="O1" s="4" t="s">
        <v>80</v>
      </c>
      <c r="P1" s="4" t="s">
        <v>81</v>
      </c>
      <c r="Q1" s="4" t="s">
        <v>82</v>
      </c>
      <c r="R1" s="4" t="s">
        <v>83</v>
      </c>
      <c r="S1" s="4" t="s">
        <v>84</v>
      </c>
      <c r="T1" s="4" t="s">
        <v>85</v>
      </c>
      <c r="U1" s="4" t="s">
        <v>430</v>
      </c>
      <c r="V1" s="4" t="s">
        <v>431</v>
      </c>
      <c r="W1" s="4" t="s">
        <v>86</v>
      </c>
      <c r="X1" s="4" t="s">
        <v>87</v>
      </c>
      <c r="Y1" s="4" t="s">
        <v>88</v>
      </c>
      <c r="Z1" s="4" t="s">
        <v>89</v>
      </c>
      <c r="AA1" s="4" t="s">
        <v>90</v>
      </c>
      <c r="AB1" s="4" t="s">
        <v>91</v>
      </c>
      <c r="AC1" s="4" t="s">
        <v>92</v>
      </c>
      <c r="AD1" s="4" t="s">
        <v>93</v>
      </c>
      <c r="AE1" s="4" t="s">
        <v>94</v>
      </c>
      <c r="AF1" s="4" t="s">
        <v>47</v>
      </c>
      <c r="AG1" s="4" t="s">
        <v>48</v>
      </c>
      <c r="AH1" s="4" t="s">
        <v>493</v>
      </c>
      <c r="AI1" s="4" t="s">
        <v>95</v>
      </c>
      <c r="AJ1" s="4" t="s">
        <v>96</v>
      </c>
      <c r="AK1" s="4" t="s">
        <v>97</v>
      </c>
      <c r="AL1" s="4" t="s">
        <v>98</v>
      </c>
      <c r="AM1" s="4" t="s">
        <v>99</v>
      </c>
      <c r="AN1" s="4" t="s">
        <v>100</v>
      </c>
      <c r="AO1" s="4" t="s">
        <v>101</v>
      </c>
      <c r="AP1" s="4" t="s">
        <v>102</v>
      </c>
      <c r="AQ1" s="4" t="s">
        <v>103</v>
      </c>
      <c r="AR1" s="4" t="s">
        <v>104</v>
      </c>
      <c r="AS1" s="4" t="s">
        <v>105</v>
      </c>
      <c r="AT1" s="4" t="s">
        <v>106</v>
      </c>
      <c r="AU1" s="4" t="s">
        <v>107</v>
      </c>
      <c r="AV1" s="4" t="s">
        <v>108</v>
      </c>
      <c r="AW1" s="4" t="s">
        <v>109</v>
      </c>
      <c r="AX1" s="4" t="s">
        <v>110</v>
      </c>
      <c r="AY1" s="4" t="s">
        <v>111</v>
      </c>
      <c r="AZ1" s="4" t="s">
        <v>112</v>
      </c>
      <c r="BA1" s="4" t="s">
        <v>113</v>
      </c>
      <c r="BB1" s="4" t="s">
        <v>114</v>
      </c>
      <c r="BC1" s="4" t="s">
        <v>123</v>
      </c>
      <c r="BD1" s="4" t="s">
        <v>494</v>
      </c>
      <c r="BE1" s="4" t="s">
        <v>124</v>
      </c>
    </row>
    <row r="2" spans="1:57" x14ac:dyDescent="0.35">
      <c r="A2" s="13" t="s">
        <v>125</v>
      </c>
      <c r="B2" s="15" t="s">
        <v>126</v>
      </c>
      <c r="C2" s="16">
        <v>0.05</v>
      </c>
      <c r="H2" s="16">
        <v>0</v>
      </c>
      <c r="J2" s="16">
        <v>0</v>
      </c>
      <c r="O2" s="16">
        <v>0.1</v>
      </c>
      <c r="P2" s="16">
        <v>0</v>
      </c>
      <c r="R2" s="16">
        <v>0.01</v>
      </c>
      <c r="AA2" s="16">
        <v>25</v>
      </c>
      <c r="AC2" s="16">
        <v>0</v>
      </c>
      <c r="AI2" s="16">
        <v>1</v>
      </c>
      <c r="AJ2" s="16">
        <v>0</v>
      </c>
      <c r="AL2" s="16">
        <v>0</v>
      </c>
      <c r="AM2" s="16">
        <v>10</v>
      </c>
      <c r="AN2" s="16">
        <v>25</v>
      </c>
      <c r="AP2" s="16">
        <v>1</v>
      </c>
      <c r="AQ2" s="16">
        <v>6</v>
      </c>
      <c r="AR2" s="16">
        <v>0.2</v>
      </c>
      <c r="AS2" s="16">
        <v>0</v>
      </c>
      <c r="AT2" s="16">
        <v>0.05</v>
      </c>
      <c r="AU2" s="16">
        <v>0</v>
      </c>
      <c r="AV2" s="16">
        <v>0</v>
      </c>
      <c r="AW2" s="16">
        <v>0</v>
      </c>
      <c r="AX2" s="16">
        <v>0</v>
      </c>
      <c r="AY2" s="16">
        <v>0</v>
      </c>
      <c r="AZ2" s="16">
        <v>0</v>
      </c>
      <c r="BA2" s="16">
        <v>0</v>
      </c>
      <c r="BC2" s="17">
        <f t="shared" ref="BC2:BC26" si="0">SUM(C2:BB2)</f>
        <v>68.41</v>
      </c>
      <c r="BD2" s="17">
        <f>AG2*Factors!AG$6+AF2*Factors!AF$6+AH2*Factors!AH$6</f>
        <v>0</v>
      </c>
      <c r="BE2" s="18">
        <f t="shared" ref="BE2:BE26" si="1">BC2+BD2</f>
        <v>68.41</v>
      </c>
    </row>
    <row r="3" spans="1:57" x14ac:dyDescent="0.35">
      <c r="A3" s="13" t="s">
        <v>127</v>
      </c>
      <c r="B3" s="15" t="s">
        <v>128</v>
      </c>
      <c r="C3" s="16">
        <v>0</v>
      </c>
      <c r="J3" s="16">
        <v>0</v>
      </c>
      <c r="O3" s="16">
        <v>0</v>
      </c>
      <c r="P3" s="16">
        <v>0</v>
      </c>
      <c r="Q3" s="16">
        <v>0</v>
      </c>
      <c r="AA3" s="16">
        <v>0</v>
      </c>
      <c r="AD3" s="16">
        <v>18.5</v>
      </c>
      <c r="AE3" s="16">
        <v>0</v>
      </c>
      <c r="AF3" s="16">
        <v>5.5</v>
      </c>
      <c r="AI3" s="16">
        <v>0</v>
      </c>
      <c r="AJ3" s="16">
        <v>0</v>
      </c>
      <c r="AL3" s="16">
        <v>0</v>
      </c>
      <c r="AM3" s="16">
        <v>14</v>
      </c>
      <c r="AN3" s="16">
        <v>28</v>
      </c>
      <c r="AP3" s="16">
        <v>1.5</v>
      </c>
      <c r="AQ3" s="16">
        <v>3</v>
      </c>
      <c r="AR3" s="16">
        <v>0.1</v>
      </c>
      <c r="AS3" s="16">
        <v>0</v>
      </c>
      <c r="AT3" s="16">
        <v>0</v>
      </c>
      <c r="AV3" s="16">
        <v>0</v>
      </c>
      <c r="BC3" s="17">
        <f t="shared" si="0"/>
        <v>70.599999999999994</v>
      </c>
      <c r="BD3" s="17">
        <f>AG3*Factors!AG$6+AF3*Factors!AF$6+AH3*Factors!AH$6</f>
        <v>-2.3158393693679509</v>
      </c>
      <c r="BE3" s="18">
        <f t="shared" si="1"/>
        <v>68.284160630632044</v>
      </c>
    </row>
    <row r="4" spans="1:57" x14ac:dyDescent="0.35">
      <c r="A4" s="13" t="s">
        <v>129</v>
      </c>
      <c r="B4" s="15" t="s">
        <v>130</v>
      </c>
      <c r="C4" s="16">
        <v>0</v>
      </c>
      <c r="H4" s="16">
        <v>0</v>
      </c>
      <c r="J4" s="16">
        <v>0</v>
      </c>
      <c r="O4" s="16">
        <v>0</v>
      </c>
      <c r="R4" s="16">
        <v>0</v>
      </c>
      <c r="AA4" s="16">
        <v>32</v>
      </c>
      <c r="AI4" s="16">
        <v>0</v>
      </c>
      <c r="AJ4" s="16">
        <v>0</v>
      </c>
      <c r="AL4" s="16">
        <v>38</v>
      </c>
      <c r="AM4" s="16">
        <v>0</v>
      </c>
      <c r="AN4" s="16">
        <v>0</v>
      </c>
      <c r="AP4" s="16">
        <v>0</v>
      </c>
      <c r="AQ4" s="16">
        <v>0</v>
      </c>
      <c r="AR4" s="16">
        <v>0.05</v>
      </c>
      <c r="AS4" s="16">
        <v>0</v>
      </c>
      <c r="AT4" s="16">
        <v>0.8</v>
      </c>
      <c r="AU4" s="16">
        <v>0.2</v>
      </c>
      <c r="AV4" s="16">
        <v>3</v>
      </c>
      <c r="AW4" s="16">
        <v>0.6</v>
      </c>
      <c r="AX4" s="16">
        <v>2.5</v>
      </c>
      <c r="AY4" s="16">
        <v>0.3</v>
      </c>
      <c r="AZ4" s="16">
        <v>2</v>
      </c>
      <c r="BA4" s="16">
        <v>0.2</v>
      </c>
      <c r="BC4" s="17">
        <f t="shared" si="0"/>
        <v>79.649999999999991</v>
      </c>
      <c r="BD4" s="17">
        <f>AG4*Factors!AG$6+AF4*Factors!AF$6+AH4*Factors!AH$6</f>
        <v>0</v>
      </c>
      <c r="BE4" s="18">
        <f t="shared" si="1"/>
        <v>79.649999999999991</v>
      </c>
    </row>
    <row r="5" spans="1:57" x14ac:dyDescent="0.35">
      <c r="A5" s="13" t="s">
        <v>131</v>
      </c>
      <c r="B5" s="15" t="s">
        <v>132</v>
      </c>
      <c r="C5" s="16">
        <v>0</v>
      </c>
      <c r="J5" s="16">
        <v>0</v>
      </c>
      <c r="O5" s="16">
        <v>9</v>
      </c>
      <c r="P5" s="16">
        <v>0</v>
      </c>
      <c r="Q5" s="16">
        <v>0</v>
      </c>
      <c r="S5" s="16">
        <v>0</v>
      </c>
      <c r="AD5" s="16">
        <v>23</v>
      </c>
      <c r="AF5" s="16">
        <v>5</v>
      </c>
      <c r="AI5" s="16">
        <v>0</v>
      </c>
      <c r="AJ5" s="16">
        <v>0</v>
      </c>
      <c r="AL5" s="16">
        <v>0</v>
      </c>
      <c r="AM5" s="16">
        <v>9</v>
      </c>
      <c r="AN5" s="16">
        <v>24</v>
      </c>
      <c r="AP5" s="16">
        <v>1.5</v>
      </c>
      <c r="AQ5" s="16">
        <v>5</v>
      </c>
      <c r="AR5" s="16">
        <v>0.3</v>
      </c>
      <c r="AS5" s="16">
        <v>0</v>
      </c>
      <c r="AT5" s="16">
        <v>0</v>
      </c>
      <c r="AV5" s="16">
        <v>0</v>
      </c>
      <c r="BC5" s="17">
        <f t="shared" si="0"/>
        <v>76.8</v>
      </c>
      <c r="BD5" s="17">
        <f>AG5*Factors!AG$6+AF5*Factors!AF$6+AH5*Factors!AH$6</f>
        <v>-2.1053085176072281</v>
      </c>
      <c r="BE5" s="18">
        <f t="shared" si="1"/>
        <v>74.69469148239277</v>
      </c>
    </row>
    <row r="6" spans="1:57" x14ac:dyDescent="0.35">
      <c r="A6" s="13" t="s">
        <v>133</v>
      </c>
      <c r="B6" s="15" t="s">
        <v>134</v>
      </c>
      <c r="C6" s="16">
        <v>0</v>
      </c>
      <c r="J6" s="16">
        <v>0</v>
      </c>
      <c r="O6" s="16">
        <v>15.5</v>
      </c>
      <c r="P6" s="16">
        <v>0</v>
      </c>
      <c r="AD6" s="16">
        <v>26</v>
      </c>
      <c r="AF6" s="16">
        <v>4</v>
      </c>
      <c r="AI6" s="16">
        <v>0</v>
      </c>
      <c r="AJ6" s="16">
        <v>0</v>
      </c>
      <c r="AL6" s="16">
        <v>0</v>
      </c>
      <c r="AM6" s="16">
        <v>6</v>
      </c>
      <c r="AN6" s="16">
        <v>18</v>
      </c>
      <c r="AP6" s="16">
        <v>1</v>
      </c>
      <c r="AQ6" s="16">
        <v>4</v>
      </c>
      <c r="AR6" s="16">
        <v>0.2</v>
      </c>
      <c r="AS6" s="16">
        <v>0</v>
      </c>
      <c r="AT6" s="16">
        <v>0</v>
      </c>
      <c r="AV6" s="16">
        <v>0</v>
      </c>
      <c r="BC6" s="17">
        <f t="shared" si="0"/>
        <v>74.7</v>
      </c>
      <c r="BD6" s="17">
        <f>AG6*Factors!AG$6+AF6*Factors!AF$6+AH6*Factors!AH$6</f>
        <v>-1.6842468140857825</v>
      </c>
      <c r="BE6" s="18">
        <f t="shared" si="1"/>
        <v>73.015753185914221</v>
      </c>
    </row>
    <row r="7" spans="1:57" x14ac:dyDescent="0.35">
      <c r="A7" s="13" t="s">
        <v>135</v>
      </c>
      <c r="B7" s="15" t="s">
        <v>136</v>
      </c>
      <c r="C7" s="16">
        <v>29</v>
      </c>
      <c r="D7" s="16">
        <v>0</v>
      </c>
      <c r="H7" s="16">
        <v>10</v>
      </c>
      <c r="I7" s="16">
        <v>1</v>
      </c>
      <c r="J7" s="16">
        <v>3</v>
      </c>
      <c r="K7" s="16">
        <v>0.05</v>
      </c>
      <c r="L7" s="16"/>
      <c r="M7" s="16"/>
      <c r="N7" s="16">
        <v>0</v>
      </c>
      <c r="O7" s="16">
        <v>8</v>
      </c>
      <c r="S7" s="16">
        <v>0</v>
      </c>
      <c r="AA7" s="16">
        <v>0</v>
      </c>
      <c r="AE7" s="16">
        <v>1.2</v>
      </c>
      <c r="AF7" s="16">
        <v>0</v>
      </c>
      <c r="AI7" s="16">
        <v>0</v>
      </c>
      <c r="AJ7" s="16">
        <v>0</v>
      </c>
      <c r="AL7" s="16">
        <v>0</v>
      </c>
      <c r="AM7" s="16">
        <v>2</v>
      </c>
      <c r="AN7" s="16">
        <v>8</v>
      </c>
      <c r="AP7" s="16">
        <v>0.5</v>
      </c>
      <c r="AQ7" s="16">
        <v>1.5</v>
      </c>
      <c r="AR7" s="16">
        <v>0.1</v>
      </c>
      <c r="AS7" s="16">
        <v>0</v>
      </c>
      <c r="AT7" s="16">
        <v>0</v>
      </c>
      <c r="AU7" s="16">
        <v>0</v>
      </c>
      <c r="AV7" s="16">
        <v>0</v>
      </c>
      <c r="AW7" s="16">
        <v>0</v>
      </c>
      <c r="AX7" s="16">
        <v>0</v>
      </c>
      <c r="AY7" s="16">
        <v>0</v>
      </c>
      <c r="AZ7" s="16">
        <v>0</v>
      </c>
      <c r="BA7" s="16">
        <v>0</v>
      </c>
      <c r="BC7" s="17">
        <f t="shared" si="0"/>
        <v>64.349999999999994</v>
      </c>
      <c r="BD7" s="17">
        <f>AG7*Factors!AG$6+AF7*Factors!AF$6+AH7*Factors!AH$6</f>
        <v>0</v>
      </c>
      <c r="BE7" s="18">
        <f t="shared" si="1"/>
        <v>64.349999999999994</v>
      </c>
    </row>
    <row r="8" spans="1:57" x14ac:dyDescent="0.35">
      <c r="A8" s="13" t="s">
        <v>137</v>
      </c>
      <c r="B8" s="15" t="s">
        <v>138</v>
      </c>
      <c r="C8" s="16">
        <v>0</v>
      </c>
      <c r="J8" s="16">
        <v>0</v>
      </c>
      <c r="K8" s="16">
        <v>0</v>
      </c>
      <c r="L8" s="16"/>
      <c r="M8" s="16"/>
      <c r="O8" s="16">
        <v>51</v>
      </c>
      <c r="P8" s="16">
        <v>0</v>
      </c>
      <c r="S8" s="16">
        <v>0</v>
      </c>
      <c r="AA8" s="16">
        <v>38</v>
      </c>
      <c r="AC8" s="16">
        <v>0</v>
      </c>
      <c r="AD8" s="16">
        <v>0</v>
      </c>
      <c r="AE8" s="16">
        <v>0</v>
      </c>
      <c r="AF8" s="16">
        <v>2.5</v>
      </c>
      <c r="AG8" s="16">
        <v>0</v>
      </c>
      <c r="AH8" s="16"/>
      <c r="AI8" s="16">
        <v>0</v>
      </c>
      <c r="AJ8" s="16">
        <v>0</v>
      </c>
      <c r="AL8" s="16">
        <v>0</v>
      </c>
      <c r="AM8" s="16">
        <v>0.1</v>
      </c>
      <c r="AN8" s="16">
        <v>0.3</v>
      </c>
      <c r="AP8" s="16">
        <v>0</v>
      </c>
      <c r="AQ8" s="16">
        <v>0.1</v>
      </c>
      <c r="AR8" s="16">
        <v>0</v>
      </c>
      <c r="AS8" s="16">
        <v>0</v>
      </c>
      <c r="AT8" s="16">
        <v>0</v>
      </c>
      <c r="AV8" s="16">
        <v>0</v>
      </c>
      <c r="AX8" s="16">
        <v>0</v>
      </c>
      <c r="AZ8" s="16">
        <v>0</v>
      </c>
      <c r="BC8" s="17">
        <f t="shared" si="0"/>
        <v>91.999999999999986</v>
      </c>
      <c r="BD8" s="17">
        <f>AG8*Factors!AG$6+AF8*Factors!AF$6+AH8*Factors!AH$6</f>
        <v>-1.0526542588036141</v>
      </c>
      <c r="BE8" s="18">
        <f t="shared" si="1"/>
        <v>90.947345741196372</v>
      </c>
    </row>
    <row r="9" spans="1:57" x14ac:dyDescent="0.35">
      <c r="A9" s="13" t="s">
        <v>139</v>
      </c>
      <c r="B9" s="15" t="s">
        <v>140</v>
      </c>
      <c r="C9" s="16">
        <v>0</v>
      </c>
      <c r="H9" s="16">
        <v>27</v>
      </c>
      <c r="I9" s="16">
        <v>0</v>
      </c>
      <c r="O9" s="16">
        <v>0.2</v>
      </c>
      <c r="P9" s="16">
        <v>0</v>
      </c>
      <c r="Q9" s="16">
        <v>0</v>
      </c>
      <c r="AA9" s="16">
        <v>24</v>
      </c>
      <c r="AC9" s="16">
        <v>0</v>
      </c>
      <c r="AE9" s="16">
        <v>10</v>
      </c>
      <c r="AF9" s="16">
        <v>0</v>
      </c>
      <c r="AI9" s="16">
        <v>0</v>
      </c>
      <c r="AL9" s="16">
        <v>0</v>
      </c>
      <c r="AM9" s="16">
        <v>3</v>
      </c>
      <c r="AN9" s="16">
        <v>8</v>
      </c>
      <c r="AP9" s="16">
        <v>0.5</v>
      </c>
      <c r="AQ9" s="16">
        <v>2</v>
      </c>
      <c r="AR9" s="16">
        <v>0</v>
      </c>
      <c r="AS9" s="16">
        <v>0</v>
      </c>
      <c r="AT9" s="16">
        <v>0</v>
      </c>
      <c r="AV9" s="16">
        <v>0</v>
      </c>
      <c r="BC9" s="17">
        <f t="shared" si="0"/>
        <v>74.7</v>
      </c>
      <c r="BD9" s="17">
        <f>AG9*Factors!AG$6+AF9*Factors!AF$6+AH9*Factors!AH$6</f>
        <v>0</v>
      </c>
      <c r="BE9" s="18">
        <f t="shared" si="1"/>
        <v>74.7</v>
      </c>
    </row>
    <row r="10" spans="1:57" x14ac:dyDescent="0.35">
      <c r="A10" s="13" t="s">
        <v>141</v>
      </c>
      <c r="B10" s="15" t="s">
        <v>142</v>
      </c>
      <c r="C10" s="16">
        <v>0</v>
      </c>
      <c r="E10" s="16">
        <v>0</v>
      </c>
      <c r="J10" s="16">
        <v>0</v>
      </c>
      <c r="O10" s="16">
        <v>0</v>
      </c>
      <c r="X10" s="16">
        <v>0</v>
      </c>
      <c r="Y10" s="16">
        <v>0</v>
      </c>
      <c r="AA10" s="16">
        <v>0</v>
      </c>
      <c r="AE10" s="16">
        <v>0</v>
      </c>
      <c r="AI10" s="16">
        <v>0</v>
      </c>
      <c r="AL10" s="16">
        <v>0</v>
      </c>
      <c r="AM10" s="16">
        <v>0</v>
      </c>
      <c r="AO10" s="16">
        <v>78</v>
      </c>
      <c r="AP10" s="16">
        <v>0</v>
      </c>
      <c r="AQ10" s="16">
        <v>0</v>
      </c>
      <c r="AZ10" s="16">
        <v>0</v>
      </c>
      <c r="BC10" s="17">
        <f t="shared" si="0"/>
        <v>78</v>
      </c>
      <c r="BD10" s="17">
        <f>AG10*Factors!AG$6+AF10*Factors!AF$6+AH10*Factors!AH$6</f>
        <v>0</v>
      </c>
      <c r="BE10" s="18">
        <f t="shared" si="1"/>
        <v>78</v>
      </c>
    </row>
    <row r="11" spans="1:57" x14ac:dyDescent="0.35">
      <c r="A11" s="13" t="s">
        <v>143</v>
      </c>
      <c r="B11" s="15" t="s">
        <v>144</v>
      </c>
      <c r="C11" s="16">
        <v>0</v>
      </c>
      <c r="D11" s="16">
        <v>1</v>
      </c>
      <c r="E11" s="16">
        <v>0</v>
      </c>
      <c r="H11" s="16">
        <v>0</v>
      </c>
      <c r="J11" s="16">
        <v>0</v>
      </c>
      <c r="K11" s="16">
        <v>0</v>
      </c>
      <c r="L11" s="16"/>
      <c r="M11" s="16"/>
      <c r="N11" s="16">
        <v>0</v>
      </c>
      <c r="O11" s="16">
        <v>10</v>
      </c>
      <c r="P11" s="16">
        <v>0</v>
      </c>
      <c r="Q11" s="16">
        <v>0</v>
      </c>
      <c r="R11" s="16">
        <v>0</v>
      </c>
      <c r="S11" s="16">
        <v>1</v>
      </c>
      <c r="T11" s="16">
        <v>0</v>
      </c>
      <c r="U11" s="16"/>
      <c r="V11" s="16"/>
      <c r="X11" s="16">
        <v>45</v>
      </c>
      <c r="Y11" s="16">
        <v>0</v>
      </c>
      <c r="AE11" s="16">
        <v>0</v>
      </c>
      <c r="AF11" s="16">
        <v>1.2</v>
      </c>
      <c r="AI11" s="16">
        <v>0</v>
      </c>
      <c r="AJ11" s="16">
        <v>0</v>
      </c>
      <c r="AL11" s="16">
        <v>0</v>
      </c>
      <c r="AM11" s="16">
        <v>0</v>
      </c>
      <c r="AN11" s="16">
        <v>0.5</v>
      </c>
      <c r="AP11" s="16">
        <v>0</v>
      </c>
      <c r="AQ11" s="16">
        <v>0</v>
      </c>
      <c r="AR11" s="16">
        <v>0</v>
      </c>
      <c r="BC11" s="17">
        <f t="shared" si="0"/>
        <v>58.7</v>
      </c>
      <c r="BD11" s="17">
        <f>AG11*Factors!AG$6+AF11*Factors!AF$6+AH11*Factors!AH$6</f>
        <v>-0.50527404422573474</v>
      </c>
      <c r="BE11" s="18">
        <f t="shared" si="1"/>
        <v>58.194725955774267</v>
      </c>
    </row>
    <row r="12" spans="1:57" x14ac:dyDescent="0.35">
      <c r="A12" s="13" t="s">
        <v>145</v>
      </c>
      <c r="B12" s="15" t="s">
        <v>146</v>
      </c>
      <c r="J12" s="16">
        <v>0</v>
      </c>
      <c r="O12" s="16">
        <v>0</v>
      </c>
      <c r="P12" s="16">
        <v>17</v>
      </c>
      <c r="Q12" s="16">
        <v>0</v>
      </c>
      <c r="AD12" s="16">
        <v>22</v>
      </c>
      <c r="AE12" s="16">
        <v>5.5</v>
      </c>
      <c r="AF12" s="16">
        <v>0</v>
      </c>
      <c r="AI12" s="16">
        <v>0</v>
      </c>
      <c r="AL12" s="16">
        <v>0</v>
      </c>
      <c r="AM12" s="16">
        <v>8</v>
      </c>
      <c r="AN12" s="16">
        <v>18</v>
      </c>
      <c r="AP12" s="16">
        <v>1</v>
      </c>
      <c r="AQ12" s="16">
        <v>3</v>
      </c>
      <c r="AR12" s="16">
        <v>0</v>
      </c>
      <c r="AT12" s="16">
        <v>0</v>
      </c>
      <c r="BC12" s="17">
        <f t="shared" si="0"/>
        <v>74.5</v>
      </c>
      <c r="BD12" s="17">
        <f>AG12*Factors!AG$6+AF12*Factors!AF$6+AH12*Factors!AH$6</f>
        <v>0</v>
      </c>
      <c r="BE12" s="18">
        <f t="shared" si="1"/>
        <v>74.5</v>
      </c>
    </row>
    <row r="13" spans="1:57" x14ac:dyDescent="0.35">
      <c r="A13" s="13" t="s">
        <v>147</v>
      </c>
      <c r="B13" s="15" t="s">
        <v>148</v>
      </c>
      <c r="C13" s="16">
        <v>45</v>
      </c>
      <c r="D13" s="16">
        <v>0.03</v>
      </c>
      <c r="H13" s="16">
        <v>13</v>
      </c>
      <c r="I13" s="16">
        <v>0.5</v>
      </c>
      <c r="K13" s="16">
        <v>0.02</v>
      </c>
      <c r="L13" s="16"/>
      <c r="M13" s="16"/>
      <c r="N13" s="16">
        <v>0.03</v>
      </c>
      <c r="O13" s="16">
        <v>0.03</v>
      </c>
      <c r="S13" s="16">
        <v>0.03</v>
      </c>
      <c r="T13" s="16">
        <v>0.5</v>
      </c>
      <c r="U13" s="16"/>
      <c r="V13" s="16"/>
      <c r="AA13" s="16">
        <v>0.01</v>
      </c>
      <c r="AE13" s="16">
        <v>3</v>
      </c>
      <c r="AL13" s="16">
        <v>5.0000000000000001E-3</v>
      </c>
      <c r="AM13" s="16">
        <v>8.9999999999999998E-4</v>
      </c>
      <c r="AN13" s="16">
        <v>2.0000000000000001E-4</v>
      </c>
      <c r="AP13" s="16">
        <v>2.9999999999999997E-4</v>
      </c>
      <c r="AQ13" s="16">
        <v>1.5E-3</v>
      </c>
      <c r="AR13" s="16">
        <v>1E-3</v>
      </c>
      <c r="AS13" s="16">
        <v>5.0000000000000002E-5</v>
      </c>
      <c r="AT13" s="16">
        <v>1.5E-3</v>
      </c>
      <c r="AU13" s="16">
        <v>0</v>
      </c>
      <c r="AV13" s="16">
        <v>0</v>
      </c>
      <c r="AW13" s="16">
        <v>0</v>
      </c>
      <c r="AX13" s="16">
        <v>0</v>
      </c>
      <c r="AY13" s="16">
        <v>0</v>
      </c>
      <c r="AZ13" s="16">
        <v>2.0000000000000001E-4</v>
      </c>
      <c r="BA13" s="16">
        <v>5.0000000000000002E-5</v>
      </c>
      <c r="BC13" s="17">
        <f t="shared" si="0"/>
        <v>62.160700000000013</v>
      </c>
      <c r="BD13" s="17">
        <f>AG13*Factors!AG$6+AF13*Factors!AF$6+AH13*Factors!AH$6</f>
        <v>0</v>
      </c>
      <c r="BE13" s="18">
        <f t="shared" si="1"/>
        <v>62.160700000000013</v>
      </c>
    </row>
    <row r="14" spans="1:57" x14ac:dyDescent="0.35">
      <c r="A14" s="13" t="s">
        <v>149</v>
      </c>
      <c r="B14" s="15" t="s">
        <v>150</v>
      </c>
      <c r="C14" s="16">
        <v>12</v>
      </c>
      <c r="H14" s="16">
        <v>0</v>
      </c>
      <c r="J14" s="16">
        <v>0</v>
      </c>
      <c r="K14" s="16">
        <v>0</v>
      </c>
      <c r="L14" s="16"/>
      <c r="M14" s="16"/>
      <c r="O14" s="16">
        <v>10</v>
      </c>
      <c r="P14" s="16">
        <v>0</v>
      </c>
      <c r="S14" s="16">
        <v>0</v>
      </c>
      <c r="AA14" s="16">
        <v>2</v>
      </c>
      <c r="AE14" s="16">
        <v>0</v>
      </c>
      <c r="AF14" s="16">
        <v>0.5</v>
      </c>
      <c r="AG14" s="16">
        <v>0</v>
      </c>
      <c r="AH14" s="16"/>
      <c r="AI14" s="16">
        <v>0.5</v>
      </c>
      <c r="AJ14" s="16">
        <v>0</v>
      </c>
      <c r="AL14" s="16">
        <v>0</v>
      </c>
      <c r="AM14" s="16">
        <v>5</v>
      </c>
      <c r="AN14" s="16">
        <v>17</v>
      </c>
      <c r="AP14" s="16">
        <v>1</v>
      </c>
      <c r="AQ14" s="16">
        <v>4</v>
      </c>
      <c r="AR14" s="16">
        <v>0.3</v>
      </c>
      <c r="AS14" s="16">
        <v>0</v>
      </c>
      <c r="AT14" s="16">
        <v>0.2</v>
      </c>
      <c r="AV14" s="16">
        <v>0</v>
      </c>
      <c r="AX14" s="16">
        <v>0</v>
      </c>
      <c r="AZ14" s="16">
        <v>0</v>
      </c>
      <c r="BC14" s="17">
        <f t="shared" si="0"/>
        <v>52.5</v>
      </c>
      <c r="BD14" s="17">
        <f>AG14*Factors!AG$6+AF14*Factors!AF$6+AH14*Factors!AH$6</f>
        <v>-0.21053085176072281</v>
      </c>
      <c r="BE14" s="18">
        <f t="shared" si="1"/>
        <v>52.289469148239277</v>
      </c>
    </row>
    <row r="15" spans="1:57" x14ac:dyDescent="0.35">
      <c r="A15" s="13" t="s">
        <v>151</v>
      </c>
      <c r="B15" s="15" t="s">
        <v>152</v>
      </c>
      <c r="C15" s="16">
        <v>0</v>
      </c>
      <c r="H15" s="16">
        <v>0</v>
      </c>
      <c r="I15" s="16">
        <v>0</v>
      </c>
      <c r="O15" s="16">
        <v>0</v>
      </c>
      <c r="AA15" s="16">
        <v>29</v>
      </c>
      <c r="AE15" s="16">
        <v>14</v>
      </c>
      <c r="AL15" s="16">
        <v>35</v>
      </c>
      <c r="AM15" s="16">
        <v>0</v>
      </c>
      <c r="AN15" s="16">
        <v>0</v>
      </c>
      <c r="AP15" s="16">
        <v>0</v>
      </c>
      <c r="AQ15" s="16">
        <v>0</v>
      </c>
      <c r="AR15" s="16">
        <v>0</v>
      </c>
      <c r="AS15" s="16">
        <v>0</v>
      </c>
      <c r="AT15" s="16">
        <v>1</v>
      </c>
      <c r="AU15" s="16">
        <v>0.1</v>
      </c>
      <c r="AV15" s="16">
        <v>1.5</v>
      </c>
      <c r="AW15" s="16">
        <v>0.2</v>
      </c>
      <c r="AX15" s="16">
        <v>1</v>
      </c>
      <c r="AY15" s="16">
        <v>0</v>
      </c>
      <c r="AZ15" s="16">
        <v>0.5</v>
      </c>
      <c r="BA15" s="16">
        <v>0</v>
      </c>
      <c r="BC15" s="17">
        <f t="shared" si="0"/>
        <v>82.3</v>
      </c>
      <c r="BD15" s="17">
        <f>AG15*Factors!AG$6+AF15*Factors!AF$6+AH15*Factors!AH$6</f>
        <v>0</v>
      </c>
      <c r="BE15" s="18">
        <f t="shared" si="1"/>
        <v>82.3</v>
      </c>
    </row>
    <row r="16" spans="1:57" x14ac:dyDescent="0.35">
      <c r="A16" s="13" t="s">
        <v>153</v>
      </c>
      <c r="B16" s="15" t="s">
        <v>154</v>
      </c>
      <c r="C16" s="16">
        <v>0</v>
      </c>
      <c r="H16" s="16">
        <v>0</v>
      </c>
      <c r="I16" s="16">
        <v>0</v>
      </c>
      <c r="O16" s="16">
        <v>0.2</v>
      </c>
      <c r="P16" s="16">
        <v>0</v>
      </c>
      <c r="R16" s="16">
        <v>0</v>
      </c>
      <c r="AA16" s="16">
        <v>24</v>
      </c>
      <c r="AE16" s="16">
        <v>5</v>
      </c>
      <c r="AI16" s="16">
        <v>0</v>
      </c>
      <c r="AJ16" s="16">
        <v>0</v>
      </c>
      <c r="AL16" s="16">
        <v>0</v>
      </c>
      <c r="AM16" s="16">
        <v>8</v>
      </c>
      <c r="AN16" s="16">
        <v>20</v>
      </c>
      <c r="AP16" s="16">
        <v>1</v>
      </c>
      <c r="AQ16" s="16">
        <v>6</v>
      </c>
      <c r="AR16" s="16">
        <v>0.5</v>
      </c>
      <c r="AS16" s="16">
        <v>0</v>
      </c>
      <c r="AT16" s="16">
        <v>0.2</v>
      </c>
      <c r="AU16" s="16">
        <v>0</v>
      </c>
      <c r="AV16" s="16">
        <v>0</v>
      </c>
      <c r="AW16" s="16">
        <v>0</v>
      </c>
      <c r="AX16" s="16">
        <v>0</v>
      </c>
      <c r="AY16" s="16">
        <v>0</v>
      </c>
      <c r="AZ16" s="16">
        <v>0</v>
      </c>
      <c r="BA16" s="16">
        <v>0</v>
      </c>
      <c r="BC16" s="17">
        <f t="shared" si="0"/>
        <v>64.900000000000006</v>
      </c>
      <c r="BD16" s="17">
        <f>AG16*Factors!AG$6+AF16*Factors!AF$6+AH16*Factors!AH$6</f>
        <v>0</v>
      </c>
      <c r="BE16" s="18">
        <f t="shared" si="1"/>
        <v>64.900000000000006</v>
      </c>
    </row>
    <row r="17" spans="1:57" x14ac:dyDescent="0.35">
      <c r="A17" s="13" t="s">
        <v>155</v>
      </c>
      <c r="B17" s="15" t="s">
        <v>156</v>
      </c>
      <c r="C17" s="16">
        <v>0</v>
      </c>
      <c r="I17" s="16">
        <v>0</v>
      </c>
      <c r="O17" s="16">
        <v>0</v>
      </c>
      <c r="AF17" s="16">
        <v>24.5</v>
      </c>
      <c r="AI17" s="16">
        <v>0</v>
      </c>
      <c r="AL17" s="16">
        <v>0</v>
      </c>
      <c r="AM17" s="16">
        <v>15</v>
      </c>
      <c r="AN17" s="16">
        <v>38</v>
      </c>
      <c r="AP17" s="16">
        <v>2</v>
      </c>
      <c r="AQ17" s="16">
        <v>3</v>
      </c>
      <c r="AR17" s="16">
        <v>0.1</v>
      </c>
      <c r="AS17" s="16">
        <v>0</v>
      </c>
      <c r="AT17" s="16">
        <v>0</v>
      </c>
      <c r="BC17" s="17">
        <f t="shared" si="0"/>
        <v>82.6</v>
      </c>
      <c r="BD17" s="17">
        <f>AG17*Factors!AG$6+AF17*Factors!AF$6+AH17*Factors!AH$6</f>
        <v>-10.316011736275417</v>
      </c>
      <c r="BE17" s="18">
        <f t="shared" si="1"/>
        <v>72.283988263724581</v>
      </c>
    </row>
    <row r="18" spans="1:57" x14ac:dyDescent="0.35">
      <c r="A18" s="13" t="s">
        <v>157</v>
      </c>
      <c r="B18" s="15" t="s">
        <v>158</v>
      </c>
      <c r="C18" s="16">
        <v>20</v>
      </c>
      <c r="D18" s="16">
        <v>0</v>
      </c>
      <c r="H18" s="16">
        <v>0</v>
      </c>
      <c r="I18" s="16">
        <v>0.5</v>
      </c>
      <c r="K18" s="16">
        <v>0</v>
      </c>
      <c r="L18" s="16"/>
      <c r="M18" s="16"/>
      <c r="N18" s="16">
        <v>0.3</v>
      </c>
      <c r="O18" s="16">
        <v>1.5</v>
      </c>
      <c r="P18" s="16">
        <v>0</v>
      </c>
      <c r="Q18" s="16">
        <v>0</v>
      </c>
      <c r="S18" s="16">
        <v>0</v>
      </c>
      <c r="T18" s="16">
        <v>0</v>
      </c>
      <c r="U18" s="16"/>
      <c r="V18" s="16"/>
      <c r="AA18" s="16">
        <v>0</v>
      </c>
      <c r="AC18" s="16">
        <v>0</v>
      </c>
      <c r="AE18" s="16">
        <v>2.5</v>
      </c>
      <c r="AF18" s="16">
        <v>0</v>
      </c>
      <c r="AI18" s="16">
        <v>0</v>
      </c>
      <c r="AL18" s="16">
        <v>0</v>
      </c>
      <c r="AM18" s="16">
        <v>10</v>
      </c>
      <c r="AN18" s="16">
        <v>23</v>
      </c>
      <c r="AP18" s="16">
        <v>0.5</v>
      </c>
      <c r="AQ18" s="16">
        <v>1.5</v>
      </c>
      <c r="AR18" s="16">
        <v>0.1</v>
      </c>
      <c r="AS18" s="16">
        <v>0</v>
      </c>
      <c r="AT18" s="16">
        <v>0</v>
      </c>
      <c r="AU18" s="16">
        <v>0</v>
      </c>
      <c r="AV18" s="16">
        <v>0</v>
      </c>
      <c r="AX18" s="16">
        <v>0</v>
      </c>
      <c r="AZ18" s="16">
        <v>0</v>
      </c>
      <c r="BC18" s="17">
        <f t="shared" si="0"/>
        <v>59.9</v>
      </c>
      <c r="BD18" s="17">
        <f>AG18*Factors!AG$6+AF18*Factors!AF$6+AH18*Factors!AH$6</f>
        <v>0</v>
      </c>
      <c r="BE18" s="18">
        <f t="shared" si="1"/>
        <v>59.9</v>
      </c>
    </row>
    <row r="19" spans="1:57" x14ac:dyDescent="0.35">
      <c r="A19" s="13" t="s">
        <v>159</v>
      </c>
      <c r="B19" s="15" t="s">
        <v>160</v>
      </c>
      <c r="C19" s="16">
        <v>45</v>
      </c>
      <c r="D19" s="16">
        <v>0.1</v>
      </c>
      <c r="E19" s="16">
        <v>9</v>
      </c>
      <c r="F19" s="16">
        <v>0</v>
      </c>
      <c r="H19" s="16">
        <v>0</v>
      </c>
      <c r="I19" s="16">
        <v>0</v>
      </c>
      <c r="J19" s="16">
        <v>0.8</v>
      </c>
      <c r="K19" s="16">
        <v>0.5</v>
      </c>
      <c r="L19" s="16"/>
      <c r="M19" s="16"/>
      <c r="N19" s="16">
        <v>0</v>
      </c>
      <c r="O19" s="16">
        <v>4.5</v>
      </c>
      <c r="P19" s="16">
        <v>0.1</v>
      </c>
      <c r="Q19" s="16">
        <v>0</v>
      </c>
      <c r="S19" s="16">
        <v>11</v>
      </c>
      <c r="T19" s="16">
        <v>0.2</v>
      </c>
      <c r="U19" s="16"/>
      <c r="V19" s="16"/>
      <c r="X19" s="16">
        <v>0.1</v>
      </c>
      <c r="AC19" s="16">
        <v>0</v>
      </c>
      <c r="AE19" s="16">
        <v>0.3</v>
      </c>
      <c r="AF19" s="16">
        <v>0</v>
      </c>
      <c r="AG19" s="16">
        <v>0.2</v>
      </c>
      <c r="AH19" s="16"/>
      <c r="AI19" s="16">
        <v>0</v>
      </c>
      <c r="AJ19" s="16">
        <v>0</v>
      </c>
      <c r="AL19" s="16">
        <v>0.2</v>
      </c>
      <c r="AM19" s="16">
        <v>0.1</v>
      </c>
      <c r="AN19" s="16">
        <v>0.3</v>
      </c>
      <c r="AP19" s="16">
        <v>0</v>
      </c>
      <c r="AQ19" s="16">
        <v>0.2</v>
      </c>
      <c r="AR19" s="16">
        <v>0</v>
      </c>
      <c r="AS19" s="16">
        <v>0</v>
      </c>
      <c r="AT19" s="16">
        <v>0</v>
      </c>
      <c r="AU19" s="16">
        <v>0</v>
      </c>
      <c r="AV19" s="16">
        <v>0</v>
      </c>
      <c r="AW19" s="16">
        <v>0</v>
      </c>
      <c r="AX19" s="16">
        <v>0</v>
      </c>
      <c r="AY19" s="16">
        <v>0</v>
      </c>
      <c r="AZ19" s="16">
        <v>0</v>
      </c>
      <c r="BA19" s="16">
        <v>0</v>
      </c>
      <c r="BC19" s="17">
        <f t="shared" si="0"/>
        <v>72.599999999999994</v>
      </c>
      <c r="BD19" s="17">
        <f>AG19*Factors!AG$6+AF19*Factors!AF$6+AH19*Factors!AH$6</f>
        <v>-4.5131170662905506E-2</v>
      </c>
      <c r="BE19" s="18">
        <f t="shared" si="1"/>
        <v>72.554868829337096</v>
      </c>
    </row>
    <row r="20" spans="1:57" x14ac:dyDescent="0.35">
      <c r="A20" s="13" t="s">
        <v>161</v>
      </c>
      <c r="B20" s="15" t="s">
        <v>162</v>
      </c>
      <c r="C20" s="16">
        <v>21</v>
      </c>
      <c r="I20" s="16">
        <v>0</v>
      </c>
      <c r="J20" s="16">
        <v>7</v>
      </c>
      <c r="K20" s="16">
        <v>0</v>
      </c>
      <c r="L20" s="16"/>
      <c r="M20" s="16"/>
      <c r="N20" s="16">
        <v>0</v>
      </c>
      <c r="O20" s="16">
        <v>0</v>
      </c>
      <c r="S20" s="16">
        <v>0</v>
      </c>
      <c r="W20" s="16">
        <v>7</v>
      </c>
      <c r="AE20" s="16">
        <v>0.3</v>
      </c>
      <c r="AI20" s="16">
        <v>0</v>
      </c>
      <c r="AJ20" s="16">
        <v>0</v>
      </c>
      <c r="AL20" s="16">
        <v>20</v>
      </c>
      <c r="AM20" s="16">
        <v>0</v>
      </c>
      <c r="AN20" s="16">
        <v>0.5</v>
      </c>
      <c r="AP20" s="16">
        <v>0.1</v>
      </c>
      <c r="AQ20" s="16">
        <v>0.5</v>
      </c>
      <c r="AR20" s="16">
        <v>0.3</v>
      </c>
      <c r="AS20" s="16">
        <v>0</v>
      </c>
      <c r="AT20" s="16">
        <v>0.8</v>
      </c>
      <c r="AU20" s="16">
        <v>0.1</v>
      </c>
      <c r="AV20" s="16">
        <v>1</v>
      </c>
      <c r="AW20" s="16">
        <v>0.2</v>
      </c>
      <c r="AX20" s="16">
        <v>0.8</v>
      </c>
      <c r="AY20" s="16">
        <v>0.1</v>
      </c>
      <c r="AZ20" s="16">
        <v>0.5</v>
      </c>
      <c r="BA20" s="16">
        <v>0</v>
      </c>
      <c r="BC20" s="17">
        <f t="shared" si="0"/>
        <v>60.199999999999996</v>
      </c>
      <c r="BD20" s="17">
        <f>AG20*Factors!AG$6+AF20*Factors!AF$6+AH20*Factors!AH$6</f>
        <v>0</v>
      </c>
      <c r="BE20" s="18">
        <f t="shared" si="1"/>
        <v>60.199999999999996</v>
      </c>
    </row>
    <row r="21" spans="1:57" x14ac:dyDescent="0.35">
      <c r="A21" s="13" t="s">
        <v>163</v>
      </c>
      <c r="B21" s="15" t="s">
        <v>164</v>
      </c>
      <c r="C21" s="16">
        <v>22</v>
      </c>
      <c r="E21" s="16">
        <v>41</v>
      </c>
      <c r="F21" s="16">
        <v>0.5</v>
      </c>
      <c r="H21" s="16">
        <v>0</v>
      </c>
      <c r="J21" s="16">
        <v>0</v>
      </c>
      <c r="K21" s="16">
        <v>0</v>
      </c>
      <c r="L21" s="16"/>
      <c r="M21" s="16"/>
      <c r="O21" s="16">
        <v>0</v>
      </c>
      <c r="R21" s="16">
        <v>0</v>
      </c>
      <c r="S21" s="16">
        <v>0</v>
      </c>
      <c r="X21" s="16">
        <v>0</v>
      </c>
      <c r="AA21" s="16">
        <v>0</v>
      </c>
      <c r="AB21" s="16">
        <v>0</v>
      </c>
      <c r="AE21" s="16">
        <v>0</v>
      </c>
      <c r="AF21" s="16">
        <v>0</v>
      </c>
      <c r="AI21" s="16">
        <v>0</v>
      </c>
      <c r="AJ21" s="16">
        <v>0</v>
      </c>
      <c r="AK21" s="16">
        <v>0</v>
      </c>
      <c r="AL21" s="16">
        <v>0</v>
      </c>
      <c r="AM21" s="16">
        <v>0</v>
      </c>
      <c r="AN21" s="16">
        <v>0</v>
      </c>
      <c r="AP21" s="16">
        <v>0</v>
      </c>
      <c r="AQ21" s="16">
        <v>0</v>
      </c>
      <c r="AR21" s="16">
        <v>0</v>
      </c>
      <c r="AS21" s="16">
        <v>0</v>
      </c>
      <c r="AT21" s="16">
        <v>0</v>
      </c>
      <c r="AU21" s="16">
        <v>0</v>
      </c>
      <c r="AV21" s="16">
        <v>0</v>
      </c>
      <c r="AW21" s="16">
        <v>0</v>
      </c>
      <c r="AX21" s="16">
        <v>0</v>
      </c>
      <c r="AY21" s="16">
        <v>0</v>
      </c>
      <c r="AZ21" s="16">
        <v>0</v>
      </c>
      <c r="BA21" s="16">
        <v>0</v>
      </c>
      <c r="BB21" s="16">
        <v>0</v>
      </c>
      <c r="BC21" s="17">
        <f t="shared" si="0"/>
        <v>63.5</v>
      </c>
      <c r="BD21" s="17">
        <f>AG21*Factors!AG$6+AF21*Factors!AF$6+AH21*Factors!AH$6</f>
        <v>0</v>
      </c>
      <c r="BE21" s="18">
        <f t="shared" si="1"/>
        <v>63.5</v>
      </c>
    </row>
    <row r="22" spans="1:57" x14ac:dyDescent="0.35">
      <c r="A22" s="13" t="s">
        <v>165</v>
      </c>
      <c r="B22" s="15" t="s">
        <v>166</v>
      </c>
      <c r="C22" s="16">
        <v>0</v>
      </c>
      <c r="D22" s="16">
        <v>19</v>
      </c>
      <c r="E22" s="16">
        <v>0</v>
      </c>
      <c r="G22" s="16">
        <v>0</v>
      </c>
      <c r="I22" s="16">
        <v>0.5</v>
      </c>
      <c r="J22" s="16">
        <v>0</v>
      </c>
      <c r="K22" s="16">
        <v>0</v>
      </c>
      <c r="L22" s="16"/>
      <c r="M22" s="16"/>
      <c r="O22" s="16">
        <v>0.7</v>
      </c>
      <c r="X22" s="16">
        <v>0.3</v>
      </c>
      <c r="Y22" s="16">
        <v>0</v>
      </c>
      <c r="AE22" s="16">
        <v>0</v>
      </c>
      <c r="AF22" s="16">
        <v>0</v>
      </c>
      <c r="AI22" s="16">
        <v>0</v>
      </c>
      <c r="AJ22" s="16">
        <v>0</v>
      </c>
      <c r="AL22" s="16">
        <v>0</v>
      </c>
      <c r="AM22" s="16">
        <v>2.6</v>
      </c>
      <c r="AN22" s="16">
        <v>8</v>
      </c>
      <c r="AP22" s="16">
        <v>1.4</v>
      </c>
      <c r="AQ22" s="16">
        <v>4.2</v>
      </c>
      <c r="AR22" s="16">
        <v>0.4</v>
      </c>
      <c r="AS22" s="16">
        <v>0</v>
      </c>
      <c r="AT22" s="16">
        <v>0</v>
      </c>
      <c r="AV22" s="16">
        <v>0</v>
      </c>
      <c r="AX22" s="16">
        <v>0</v>
      </c>
      <c r="AZ22" s="16">
        <v>0</v>
      </c>
      <c r="BC22" s="17">
        <f t="shared" si="0"/>
        <v>37.1</v>
      </c>
      <c r="BD22" s="17">
        <f>AG22*Factors!AG$6+AF22*Factors!AF$6+AH22*Factors!AH$6</f>
        <v>0</v>
      </c>
      <c r="BE22" s="18">
        <f t="shared" si="1"/>
        <v>37.1</v>
      </c>
    </row>
    <row r="23" spans="1:57" x14ac:dyDescent="0.35">
      <c r="A23" s="13" t="s">
        <v>167</v>
      </c>
      <c r="B23" s="15" t="s">
        <v>168</v>
      </c>
      <c r="C23" s="16">
        <v>0</v>
      </c>
      <c r="D23" s="16">
        <v>16</v>
      </c>
      <c r="E23" s="16">
        <v>0</v>
      </c>
      <c r="G23" s="16">
        <v>0</v>
      </c>
      <c r="H23" s="16">
        <v>0</v>
      </c>
      <c r="I23" s="16">
        <v>0</v>
      </c>
      <c r="J23" s="16">
        <v>0</v>
      </c>
      <c r="K23" s="16">
        <v>0</v>
      </c>
      <c r="L23" s="16"/>
      <c r="M23" s="16"/>
      <c r="N23" s="16">
        <v>0</v>
      </c>
      <c r="O23" s="16">
        <v>0.2</v>
      </c>
      <c r="R23" s="16">
        <v>0</v>
      </c>
      <c r="S23" s="16">
        <v>0</v>
      </c>
      <c r="T23" s="16">
        <v>0</v>
      </c>
      <c r="U23" s="16"/>
      <c r="V23" s="16"/>
      <c r="X23" s="16">
        <v>22</v>
      </c>
      <c r="Y23" s="16">
        <v>0.5</v>
      </c>
      <c r="Z23" s="16">
        <v>0</v>
      </c>
      <c r="AE23" s="16">
        <v>0</v>
      </c>
      <c r="AI23" s="16">
        <v>0.5</v>
      </c>
      <c r="AJ23" s="16">
        <v>0.7</v>
      </c>
      <c r="AK23" s="16">
        <v>0</v>
      </c>
      <c r="AL23" s="16">
        <v>8.9</v>
      </c>
      <c r="AM23" s="16">
        <v>0</v>
      </c>
      <c r="AN23" s="16">
        <v>0.1</v>
      </c>
      <c r="AP23" s="16">
        <v>0</v>
      </c>
      <c r="AQ23" s="16">
        <v>0.3</v>
      </c>
      <c r="AR23" s="16">
        <v>0.6</v>
      </c>
      <c r="AS23" s="16">
        <v>0.3</v>
      </c>
      <c r="AT23" s="16">
        <v>1.3</v>
      </c>
      <c r="AU23" s="16">
        <v>0.25</v>
      </c>
      <c r="AV23" s="16">
        <v>1.5</v>
      </c>
      <c r="AW23" s="16">
        <v>0.2</v>
      </c>
      <c r="AX23" s="16">
        <v>0.7</v>
      </c>
      <c r="AY23" s="16">
        <v>0.1</v>
      </c>
      <c r="AZ23" s="16">
        <v>0.4</v>
      </c>
      <c r="BA23" s="16">
        <v>0.1</v>
      </c>
      <c r="BC23" s="17">
        <f t="shared" si="0"/>
        <v>54.650000000000006</v>
      </c>
      <c r="BD23" s="17">
        <f>AG23*Factors!AG$6+AF23*Factors!AF$6+AH23*Factors!AH$6</f>
        <v>0</v>
      </c>
      <c r="BE23" s="18">
        <f t="shared" si="1"/>
        <v>54.650000000000006</v>
      </c>
    </row>
    <row r="24" spans="1:57" x14ac:dyDescent="0.35">
      <c r="A24" s="13" t="s">
        <v>169</v>
      </c>
      <c r="B24" s="15" t="s">
        <v>170</v>
      </c>
      <c r="C24" s="16">
        <v>0</v>
      </c>
      <c r="D24" s="16">
        <v>0.5</v>
      </c>
      <c r="G24" s="16">
        <v>0</v>
      </c>
      <c r="J24" s="16">
        <v>0</v>
      </c>
      <c r="O24" s="16">
        <v>0.5</v>
      </c>
      <c r="X24" s="16">
        <v>39.5</v>
      </c>
      <c r="Y24" s="16">
        <v>0</v>
      </c>
      <c r="Z24" s="16">
        <v>0</v>
      </c>
      <c r="AE24" s="16">
        <v>0</v>
      </c>
      <c r="AI24" s="16">
        <v>0.2</v>
      </c>
      <c r="AJ24" s="16">
        <v>0.06</v>
      </c>
      <c r="AL24" s="16">
        <v>20.399999999999999</v>
      </c>
      <c r="AM24" s="16">
        <v>0</v>
      </c>
      <c r="AN24" s="16">
        <v>0.5</v>
      </c>
      <c r="AP24" s="16">
        <v>0.06</v>
      </c>
      <c r="AQ24" s="16">
        <v>1.4</v>
      </c>
      <c r="AR24" s="16">
        <v>0.9</v>
      </c>
      <c r="AS24" s="16">
        <v>0</v>
      </c>
      <c r="AT24" s="16">
        <v>1.8</v>
      </c>
      <c r="AU24" s="16">
        <v>0.4</v>
      </c>
      <c r="AV24" s="16">
        <v>3.6</v>
      </c>
      <c r="AW24" s="16">
        <v>0.8</v>
      </c>
      <c r="AX24" s="16">
        <v>1.4</v>
      </c>
      <c r="AY24" s="16">
        <v>0.2</v>
      </c>
      <c r="AZ24" s="16">
        <v>2.1</v>
      </c>
      <c r="BA24" s="16">
        <v>0</v>
      </c>
      <c r="BC24" s="17">
        <f t="shared" si="0"/>
        <v>74.320000000000007</v>
      </c>
      <c r="BD24" s="17">
        <f>AG24*Factors!AG$6+AF24*Factors!AF$6+AH24*Factors!AH$6</f>
        <v>0</v>
      </c>
      <c r="BE24" s="18">
        <f t="shared" si="1"/>
        <v>74.320000000000007</v>
      </c>
    </row>
    <row r="25" spans="1:57" x14ac:dyDescent="0.35">
      <c r="A25" s="13" t="s">
        <v>171</v>
      </c>
      <c r="B25" s="15" t="s">
        <v>172</v>
      </c>
      <c r="C25" s="16">
        <v>0</v>
      </c>
      <c r="D25" s="16">
        <v>35</v>
      </c>
      <c r="E25" s="16">
        <v>0</v>
      </c>
      <c r="H25" s="16">
        <v>0</v>
      </c>
      <c r="I25" s="16">
        <v>0</v>
      </c>
      <c r="J25" s="16">
        <v>0</v>
      </c>
      <c r="O25" s="16">
        <v>0.6</v>
      </c>
      <c r="P25" s="16">
        <v>0.9</v>
      </c>
      <c r="S25" s="16">
        <v>7.3</v>
      </c>
      <c r="T25" s="16">
        <v>0</v>
      </c>
      <c r="U25" s="16"/>
      <c r="V25" s="16"/>
      <c r="X25" s="16">
        <v>3.3</v>
      </c>
      <c r="Y25" s="16">
        <v>0</v>
      </c>
      <c r="AF25" s="16">
        <v>0</v>
      </c>
      <c r="AI25" s="16">
        <v>0.1</v>
      </c>
      <c r="AJ25" s="16">
        <v>0</v>
      </c>
      <c r="AM25" s="16">
        <v>7.4</v>
      </c>
      <c r="AN25" s="16">
        <v>15.2</v>
      </c>
      <c r="AP25" s="16">
        <v>1</v>
      </c>
      <c r="AQ25" s="16">
        <v>2.9</v>
      </c>
      <c r="AR25" s="16">
        <v>0</v>
      </c>
      <c r="BC25" s="17">
        <f t="shared" si="0"/>
        <v>73.7</v>
      </c>
      <c r="BD25" s="17">
        <f>AG25*Factors!AG$6+AF25*Factors!AF$6+AH25*Factors!AH$6</f>
        <v>0</v>
      </c>
      <c r="BE25" s="18">
        <f t="shared" si="1"/>
        <v>73.7</v>
      </c>
    </row>
    <row r="26" spans="1:57" x14ac:dyDescent="0.35">
      <c r="A26" s="13" t="s">
        <v>173</v>
      </c>
      <c r="B26" s="15" t="s">
        <v>174</v>
      </c>
      <c r="C26" s="16">
        <v>0</v>
      </c>
      <c r="D26" s="16">
        <v>0.2</v>
      </c>
      <c r="E26" s="16">
        <v>0</v>
      </c>
      <c r="G26" s="16">
        <v>0</v>
      </c>
      <c r="H26" s="16">
        <v>0</v>
      </c>
      <c r="I26" s="16">
        <v>0</v>
      </c>
      <c r="J26" s="16">
        <v>3</v>
      </c>
      <c r="K26" s="16">
        <v>0.4</v>
      </c>
      <c r="L26" s="16"/>
      <c r="M26" s="16"/>
      <c r="N26" s="16">
        <v>0</v>
      </c>
      <c r="O26" s="16">
        <v>7.0000000000000007E-2</v>
      </c>
      <c r="R26" s="16">
        <v>0</v>
      </c>
      <c r="S26" s="16">
        <v>0</v>
      </c>
      <c r="T26" s="16">
        <v>0</v>
      </c>
      <c r="U26" s="16"/>
      <c r="V26" s="16"/>
      <c r="X26" s="16">
        <v>22</v>
      </c>
      <c r="Y26" s="16">
        <v>1</v>
      </c>
      <c r="Z26" s="16">
        <v>0.5</v>
      </c>
      <c r="AE26" s="16">
        <v>0</v>
      </c>
      <c r="AI26" s="16">
        <v>0.5</v>
      </c>
      <c r="AJ26" s="16">
        <v>2.5</v>
      </c>
      <c r="AK26" s="16">
        <v>0</v>
      </c>
      <c r="AL26" s="16">
        <v>3.9</v>
      </c>
      <c r="AM26" s="16">
        <v>0</v>
      </c>
      <c r="AN26" s="16">
        <v>0</v>
      </c>
      <c r="AP26" s="16">
        <v>0</v>
      </c>
      <c r="AQ26" s="16">
        <v>0.26</v>
      </c>
      <c r="AR26" s="16">
        <v>0.5</v>
      </c>
      <c r="AS26" s="16">
        <v>0</v>
      </c>
      <c r="AT26" s="16">
        <v>0.9</v>
      </c>
      <c r="AU26" s="16">
        <v>0</v>
      </c>
      <c r="AV26" s="16">
        <v>0.5</v>
      </c>
      <c r="AW26" s="16">
        <v>0</v>
      </c>
      <c r="AX26" s="16">
        <v>0</v>
      </c>
      <c r="AY26" s="16">
        <v>0</v>
      </c>
      <c r="AZ26" s="16">
        <v>0.5</v>
      </c>
      <c r="BA26" s="16">
        <v>0</v>
      </c>
      <c r="BC26" s="17">
        <f t="shared" si="0"/>
        <v>36.729999999999997</v>
      </c>
      <c r="BD26" s="17">
        <f>AG26*Factors!AG$6+AF26*Factors!AF$6+AH26*Factors!AH$6</f>
        <v>0</v>
      </c>
      <c r="BE26" s="18">
        <f t="shared" si="1"/>
        <v>36.729999999999997</v>
      </c>
    </row>
    <row r="27" spans="1:57" x14ac:dyDescent="0.35">
      <c r="A27" s="13" t="s">
        <v>322</v>
      </c>
      <c r="B27" s="15" t="s">
        <v>323</v>
      </c>
      <c r="C27" s="16">
        <v>66.040000000000006</v>
      </c>
      <c r="D27" s="16"/>
      <c r="E27" s="16"/>
      <c r="G27" s="16"/>
      <c r="H27" s="16">
        <v>19.440000000000001</v>
      </c>
      <c r="I27" s="16"/>
      <c r="J27" s="16"/>
      <c r="K27" s="16"/>
      <c r="L27" s="16"/>
      <c r="M27" s="16"/>
      <c r="N27" s="16"/>
      <c r="O27" s="16">
        <v>0</v>
      </c>
      <c r="R27" s="16"/>
      <c r="S27" s="16">
        <v>10.57</v>
      </c>
      <c r="T27" s="16">
        <v>0</v>
      </c>
      <c r="U27" s="16"/>
      <c r="V27" s="16"/>
      <c r="X27" s="16"/>
      <c r="Y27" s="16"/>
      <c r="Z27" s="16"/>
      <c r="AE27" s="16"/>
      <c r="AI27" s="16"/>
      <c r="AJ27" s="16"/>
      <c r="AK27" s="16"/>
      <c r="AL27" s="16"/>
      <c r="AM27" s="16"/>
      <c r="AN27" s="16"/>
      <c r="AP27" s="16"/>
      <c r="AQ27" s="16"/>
      <c r="AR27" s="16"/>
      <c r="AS27" s="16"/>
      <c r="AT27" s="16"/>
      <c r="AU27" s="16"/>
      <c r="AV27" s="16"/>
      <c r="AW27" s="16"/>
      <c r="AX27" s="16"/>
      <c r="AY27" s="16"/>
      <c r="AZ27" s="16"/>
      <c r="BA27" s="16"/>
      <c r="BC27" s="17">
        <f t="shared" ref="BC27:BC44" si="2">SUM(C27:BB27)</f>
        <v>96.050000000000011</v>
      </c>
      <c r="BD27" s="17">
        <f>AG27*Factors!AG$6+AF27*Factors!AF$6+AH27*Factors!AH$6</f>
        <v>0</v>
      </c>
      <c r="BE27" s="18">
        <f t="shared" ref="BE27:BE44" si="3">BC27+BD27</f>
        <v>96.050000000000011</v>
      </c>
    </row>
    <row r="28" spans="1:57" x14ac:dyDescent="0.35">
      <c r="A28" s="13" t="s">
        <v>331</v>
      </c>
      <c r="B28" s="15" t="s">
        <v>332</v>
      </c>
      <c r="C28" s="16">
        <v>32.78</v>
      </c>
      <c r="D28" s="16"/>
      <c r="E28" s="16">
        <v>66.72</v>
      </c>
      <c r="F28">
        <v>0</v>
      </c>
      <c r="G28" s="16"/>
      <c r="H28" s="16"/>
      <c r="I28" s="16"/>
      <c r="J28" s="16"/>
      <c r="K28" s="16"/>
      <c r="L28" s="16"/>
      <c r="M28" s="16"/>
      <c r="N28" s="16"/>
      <c r="O28" s="16"/>
      <c r="R28" s="16"/>
      <c r="S28" s="16"/>
      <c r="T28" s="16"/>
      <c r="U28" s="16"/>
      <c r="V28" s="16"/>
      <c r="X28" s="16"/>
      <c r="Y28" s="16"/>
      <c r="Z28" s="16"/>
      <c r="AE28" s="16"/>
      <c r="AI28" s="16">
        <v>0</v>
      </c>
      <c r="AJ28" s="16">
        <v>0</v>
      </c>
      <c r="AK28" s="16"/>
      <c r="AL28" s="16"/>
      <c r="AM28" s="16"/>
      <c r="AN28" s="16"/>
      <c r="AP28" s="16"/>
      <c r="AQ28" s="16"/>
      <c r="AR28" s="16"/>
      <c r="AS28" s="16"/>
      <c r="AT28" s="16"/>
      <c r="AU28" s="16"/>
      <c r="AV28" s="16"/>
      <c r="AW28" s="16"/>
      <c r="AX28" s="16"/>
      <c r="AY28" s="16"/>
      <c r="AZ28" s="16"/>
      <c r="BA28" s="16"/>
      <c r="BC28" s="17">
        <f t="shared" si="2"/>
        <v>99.5</v>
      </c>
      <c r="BD28" s="17">
        <f>AG28*Factors!AG$6+AF28*Factors!AF$6+AH28*Factors!AH$6</f>
        <v>0</v>
      </c>
      <c r="BE28" s="18">
        <f t="shared" si="3"/>
        <v>99.5</v>
      </c>
    </row>
    <row r="29" spans="1:57" x14ac:dyDescent="0.35">
      <c r="A29" s="13" t="s">
        <v>333</v>
      </c>
      <c r="B29" s="15" t="s">
        <v>334</v>
      </c>
      <c r="C29" s="16">
        <v>45.26</v>
      </c>
      <c r="D29" s="16"/>
      <c r="E29" s="16"/>
      <c r="G29" s="16"/>
      <c r="H29" s="16">
        <v>38.4</v>
      </c>
      <c r="I29" s="16"/>
      <c r="J29" s="16"/>
      <c r="K29" s="16"/>
      <c r="L29" s="16"/>
      <c r="M29" s="16"/>
      <c r="N29" s="16">
        <v>0</v>
      </c>
      <c r="O29" s="16"/>
      <c r="R29" s="16"/>
      <c r="S29" s="16">
        <v>0</v>
      </c>
      <c r="T29" s="16">
        <v>10.08</v>
      </c>
      <c r="U29" s="16"/>
      <c r="V29" s="16"/>
      <c r="X29" s="16"/>
      <c r="Y29" s="16"/>
      <c r="Z29" s="16"/>
      <c r="AE29" s="16">
        <v>4.5199999999999996</v>
      </c>
      <c r="AI29" s="16"/>
      <c r="AJ29" s="16"/>
      <c r="AK29" s="16"/>
      <c r="AL29" s="16"/>
      <c r="AM29" s="16"/>
      <c r="AN29" s="16"/>
      <c r="AP29" s="16"/>
      <c r="AQ29" s="16"/>
      <c r="AR29" s="16"/>
      <c r="AS29" s="16"/>
      <c r="AT29" s="16"/>
      <c r="AU29" s="16"/>
      <c r="AV29" s="16"/>
      <c r="AW29" s="16"/>
      <c r="AX29" s="16"/>
      <c r="AY29" s="16"/>
      <c r="AZ29" s="16"/>
      <c r="BA29" s="16"/>
      <c r="BC29" s="17">
        <f t="shared" si="2"/>
        <v>98.259999999999991</v>
      </c>
      <c r="BD29" s="17">
        <f>AG29*Factors!AG$6+AF29*Factors!AF$6+AH29*Factors!AH$6</f>
        <v>0</v>
      </c>
      <c r="BE29" s="18">
        <f t="shared" si="3"/>
        <v>98.259999999999991</v>
      </c>
    </row>
    <row r="30" spans="1:57" x14ac:dyDescent="0.35">
      <c r="A30" s="13" t="s">
        <v>335</v>
      </c>
      <c r="B30" s="15" t="s">
        <v>70</v>
      </c>
      <c r="C30" s="16">
        <v>100</v>
      </c>
      <c r="D30" s="16"/>
      <c r="E30" s="16"/>
      <c r="G30" s="16"/>
      <c r="H30" s="16"/>
      <c r="I30" s="16"/>
      <c r="J30" s="16"/>
      <c r="K30" s="16"/>
      <c r="L30" s="16"/>
      <c r="M30" s="16"/>
      <c r="N30" s="16"/>
      <c r="O30" s="16"/>
      <c r="R30" s="16"/>
      <c r="S30" s="16"/>
      <c r="T30" s="16"/>
      <c r="U30" s="16"/>
      <c r="V30" s="16"/>
      <c r="X30" s="16"/>
      <c r="Y30" s="16"/>
      <c r="Z30" s="16"/>
      <c r="AE30" s="16"/>
      <c r="AI30" s="16"/>
      <c r="AJ30" s="16"/>
      <c r="AK30" s="16"/>
      <c r="AL30" s="16"/>
      <c r="AM30" s="16"/>
      <c r="AN30" s="16"/>
      <c r="AP30" s="16"/>
      <c r="AQ30" s="16"/>
      <c r="AR30" s="16"/>
      <c r="AS30" s="16"/>
      <c r="AT30" s="16"/>
      <c r="AU30" s="16"/>
      <c r="AV30" s="16"/>
      <c r="AW30" s="16"/>
      <c r="AX30" s="16"/>
      <c r="AY30" s="16"/>
      <c r="AZ30" s="16"/>
      <c r="BA30" s="16"/>
      <c r="BC30" s="17">
        <f t="shared" si="2"/>
        <v>100</v>
      </c>
      <c r="BD30" s="17">
        <f>AG30*Factors!AG$6+AF30*Factors!AF$6+AH30*Factors!AH$6</f>
        <v>0</v>
      </c>
      <c r="BE30" s="18">
        <f t="shared" si="3"/>
        <v>100</v>
      </c>
    </row>
    <row r="31" spans="1:57" x14ac:dyDescent="0.35">
      <c r="A31" s="13" t="s">
        <v>336</v>
      </c>
      <c r="B31" s="15" t="s">
        <v>337</v>
      </c>
      <c r="C31" s="16">
        <v>51.35</v>
      </c>
      <c r="D31" s="16">
        <v>0</v>
      </c>
      <c r="E31" s="16"/>
      <c r="G31" s="16"/>
      <c r="H31" s="16">
        <v>0</v>
      </c>
      <c r="I31" s="16">
        <v>28.66</v>
      </c>
      <c r="J31" s="16">
        <v>0</v>
      </c>
      <c r="K31" s="16"/>
      <c r="L31" s="16"/>
      <c r="M31" s="16"/>
      <c r="N31" s="16">
        <v>0</v>
      </c>
      <c r="O31" s="16">
        <v>0</v>
      </c>
      <c r="R31" s="16"/>
      <c r="S31" s="16">
        <v>12.66</v>
      </c>
      <c r="T31" s="16">
        <v>0</v>
      </c>
      <c r="U31" s="16"/>
      <c r="V31" s="16"/>
      <c r="X31" s="16"/>
      <c r="Y31" s="16"/>
      <c r="Z31" s="16"/>
      <c r="AE31" s="16">
        <v>0</v>
      </c>
      <c r="AI31" s="16"/>
      <c r="AJ31" s="16"/>
      <c r="AK31" s="16"/>
      <c r="AL31" s="16"/>
      <c r="AM31" s="16"/>
      <c r="AN31" s="16"/>
      <c r="AP31" s="16"/>
      <c r="AQ31" s="16"/>
      <c r="AR31" s="16"/>
      <c r="AS31" s="16"/>
      <c r="AT31" s="16"/>
      <c r="AU31" s="16"/>
      <c r="AV31" s="16"/>
      <c r="AW31" s="16"/>
      <c r="AX31" s="16"/>
      <c r="AY31" s="16"/>
      <c r="AZ31" s="16"/>
      <c r="BA31" s="16"/>
      <c r="BC31" s="17">
        <f t="shared" si="2"/>
        <v>92.67</v>
      </c>
      <c r="BD31" s="17">
        <f>AG31*Factors!AG$6+AF31*Factors!AF$6+AH31*Factors!AH$6</f>
        <v>0</v>
      </c>
      <c r="BE31" s="18">
        <f t="shared" si="3"/>
        <v>92.67</v>
      </c>
    </row>
    <row r="32" spans="1:57" x14ac:dyDescent="0.35">
      <c r="A32" s="13" t="s">
        <v>338</v>
      </c>
      <c r="B32" s="15" t="s">
        <v>339</v>
      </c>
      <c r="C32" s="16"/>
      <c r="D32" s="16"/>
      <c r="E32" s="16"/>
      <c r="G32" s="16"/>
      <c r="H32" s="16">
        <v>22.96</v>
      </c>
      <c r="I32" s="16"/>
      <c r="J32" s="16"/>
      <c r="K32" s="16"/>
      <c r="L32" s="16"/>
      <c r="M32" s="16"/>
      <c r="N32" s="16"/>
      <c r="O32" s="16">
        <v>24.09</v>
      </c>
      <c r="R32" s="16"/>
      <c r="S32" s="16">
        <v>13.95</v>
      </c>
      <c r="T32" s="16"/>
      <c r="U32" s="16"/>
      <c r="V32" s="16"/>
      <c r="X32" s="16"/>
      <c r="Y32" s="16"/>
      <c r="Z32" s="16"/>
      <c r="AE32" s="16">
        <v>8.11</v>
      </c>
      <c r="AF32">
        <v>50.61</v>
      </c>
      <c r="AI32" s="16"/>
      <c r="AJ32" s="16"/>
      <c r="AK32" s="16"/>
      <c r="AL32" s="16"/>
      <c r="AM32" s="16"/>
      <c r="AN32" s="16"/>
      <c r="AP32" s="16"/>
      <c r="AQ32" s="16"/>
      <c r="AR32" s="16"/>
      <c r="AS32" s="16"/>
      <c r="AT32" s="16"/>
      <c r="AU32" s="16"/>
      <c r="AV32" s="16"/>
      <c r="AW32" s="16"/>
      <c r="AX32" s="16"/>
      <c r="AY32" s="16"/>
      <c r="AZ32" s="16"/>
      <c r="BA32" s="16"/>
      <c r="BC32" s="17">
        <f t="shared" si="2"/>
        <v>119.72</v>
      </c>
      <c r="BD32" s="17">
        <f>AG32*Factors!AG$6+AF32*Factors!AF$6+AH32*Factors!AH$6</f>
        <v>-21.309932815220364</v>
      </c>
      <c r="BE32" s="18">
        <f t="shared" si="3"/>
        <v>98.410067184779635</v>
      </c>
    </row>
    <row r="33" spans="1:57" x14ac:dyDescent="0.35">
      <c r="A33" s="13" t="s">
        <v>340</v>
      </c>
      <c r="B33" s="15" t="s">
        <v>341</v>
      </c>
      <c r="C33" s="16">
        <v>64.760000000000005</v>
      </c>
      <c r="D33" s="16"/>
      <c r="E33" s="16"/>
      <c r="G33" s="16"/>
      <c r="H33" s="16">
        <v>18.32</v>
      </c>
      <c r="I33" s="16"/>
      <c r="J33" s="16"/>
      <c r="K33" s="16"/>
      <c r="L33" s="16"/>
      <c r="M33" s="16"/>
      <c r="N33" s="16"/>
      <c r="O33" s="16"/>
      <c r="Q33">
        <v>0</v>
      </c>
      <c r="R33" s="16"/>
      <c r="S33" s="16">
        <v>0</v>
      </c>
      <c r="T33" s="16">
        <v>14.76</v>
      </c>
      <c r="U33" s="16"/>
      <c r="V33" s="16"/>
      <c r="X33" s="16"/>
      <c r="Y33" s="16"/>
      <c r="Z33" s="16"/>
      <c r="AE33" s="16"/>
      <c r="AI33" s="16"/>
      <c r="AJ33" s="16"/>
      <c r="AK33" s="16"/>
      <c r="AL33" s="16"/>
      <c r="AM33" s="16"/>
      <c r="AN33" s="16"/>
      <c r="AP33" s="16"/>
      <c r="AQ33" s="16"/>
      <c r="AR33" s="16"/>
      <c r="AS33" s="16"/>
      <c r="AT33" s="16"/>
      <c r="AU33" s="16"/>
      <c r="AV33" s="16"/>
      <c r="AW33" s="16"/>
      <c r="AX33" s="16"/>
      <c r="AY33" s="16"/>
      <c r="AZ33" s="16"/>
      <c r="BA33" s="16"/>
      <c r="BC33" s="17">
        <f t="shared" si="2"/>
        <v>97.840000000000018</v>
      </c>
      <c r="BD33" s="17">
        <f>AG33*Factors!AG$6+AF33*Factors!AF$6+AH33*Factors!AH$6</f>
        <v>0</v>
      </c>
      <c r="BE33" s="18">
        <f t="shared" si="3"/>
        <v>97.840000000000018</v>
      </c>
    </row>
    <row r="34" spans="1:57" x14ac:dyDescent="0.35">
      <c r="A34" s="13" t="s">
        <v>342</v>
      </c>
      <c r="B34" s="15" t="s">
        <v>343</v>
      </c>
      <c r="C34" s="16"/>
      <c r="D34" s="16"/>
      <c r="E34" s="16"/>
      <c r="G34" s="16"/>
      <c r="H34" s="16"/>
      <c r="I34" s="16">
        <v>98.14</v>
      </c>
      <c r="J34" s="16">
        <v>0</v>
      </c>
      <c r="K34" s="16">
        <v>0</v>
      </c>
      <c r="L34" s="16"/>
      <c r="M34" s="16"/>
      <c r="N34" s="16"/>
      <c r="O34" s="16"/>
      <c r="R34" s="16"/>
      <c r="S34" s="16"/>
      <c r="T34" s="16"/>
      <c r="U34" s="16"/>
      <c r="V34" s="16"/>
      <c r="X34" s="16"/>
      <c r="Y34" s="16"/>
      <c r="Z34" s="16"/>
      <c r="AE34" s="16"/>
      <c r="AI34" s="16"/>
      <c r="AJ34" s="16"/>
      <c r="AK34" s="16"/>
      <c r="AL34" s="16"/>
      <c r="AM34" s="16"/>
      <c r="AN34" s="16"/>
      <c r="AP34" s="16"/>
      <c r="AQ34" s="16"/>
      <c r="AR34" s="16"/>
      <c r="AS34" s="16"/>
      <c r="AT34" s="16"/>
      <c r="AU34" s="16"/>
      <c r="AV34" s="16"/>
      <c r="AW34" s="16"/>
      <c r="AX34" s="16"/>
      <c r="AY34" s="16"/>
      <c r="AZ34" s="16"/>
      <c r="BA34" s="16"/>
      <c r="BC34" s="17">
        <f t="shared" si="2"/>
        <v>98.14</v>
      </c>
      <c r="BD34" s="17">
        <f>AG34*Factors!AG$6+AF34*Factors!AF$6+AH34*Factors!AH$6</f>
        <v>0</v>
      </c>
      <c r="BE34" s="18">
        <f t="shared" si="3"/>
        <v>98.14</v>
      </c>
    </row>
    <row r="35" spans="1:57" x14ac:dyDescent="0.35">
      <c r="A35" s="13" t="s">
        <v>344</v>
      </c>
      <c r="B35" s="15" t="s">
        <v>345</v>
      </c>
      <c r="C35" s="16">
        <v>0</v>
      </c>
      <c r="D35" s="16">
        <v>0</v>
      </c>
      <c r="E35" s="16"/>
      <c r="G35" s="16"/>
      <c r="H35" s="16">
        <v>0</v>
      </c>
      <c r="I35" s="16">
        <v>67.16</v>
      </c>
      <c r="J35" s="16">
        <v>30.78</v>
      </c>
      <c r="K35" s="16">
        <v>0</v>
      </c>
      <c r="L35" s="16"/>
      <c r="M35" s="16"/>
      <c r="N35" s="16">
        <v>0</v>
      </c>
      <c r="O35" s="16"/>
      <c r="R35" s="16"/>
      <c r="S35" s="16"/>
      <c r="T35" s="16"/>
      <c r="U35" s="16"/>
      <c r="V35" s="16"/>
      <c r="X35" s="16"/>
      <c r="Y35" s="16"/>
      <c r="Z35" s="16"/>
      <c r="AE35" s="16"/>
      <c r="AI35" s="16"/>
      <c r="AJ35" s="16"/>
      <c r="AK35" s="16"/>
      <c r="AL35" s="16"/>
      <c r="AM35" s="16"/>
      <c r="AN35" s="16"/>
      <c r="AP35" s="16"/>
      <c r="AQ35" s="16"/>
      <c r="AR35" s="16"/>
      <c r="AS35" s="16"/>
      <c r="AT35" s="16"/>
      <c r="AU35" s="16"/>
      <c r="AV35" s="16"/>
      <c r="AW35" s="16"/>
      <c r="AX35" s="16"/>
      <c r="AY35" s="16"/>
      <c r="AZ35" s="16"/>
      <c r="BA35" s="16"/>
      <c r="BC35" s="17">
        <f t="shared" si="2"/>
        <v>97.94</v>
      </c>
      <c r="BD35" s="17">
        <f>AG35*Factors!AG$6+AF35*Factors!AF$6+AH35*Factors!AH$6</f>
        <v>0</v>
      </c>
      <c r="BE35" s="18">
        <f t="shared" si="3"/>
        <v>97.94</v>
      </c>
    </row>
    <row r="36" spans="1:57" x14ac:dyDescent="0.35">
      <c r="A36" s="13" t="s">
        <v>346</v>
      </c>
      <c r="B36" s="15" t="s">
        <v>347</v>
      </c>
      <c r="C36" s="16">
        <v>16.47</v>
      </c>
      <c r="D36" s="16">
        <v>0</v>
      </c>
      <c r="E36" s="16"/>
      <c r="G36" s="16"/>
      <c r="H36" s="16">
        <v>0</v>
      </c>
      <c r="I36" s="16"/>
      <c r="J36" s="16">
        <v>0</v>
      </c>
      <c r="K36" s="16"/>
      <c r="L36" s="16"/>
      <c r="M36" s="16"/>
      <c r="N36" s="16">
        <v>0</v>
      </c>
      <c r="O36" s="16"/>
      <c r="R36" s="16">
        <v>0</v>
      </c>
      <c r="S36" s="16"/>
      <c r="T36" s="16"/>
      <c r="U36" s="16"/>
      <c r="V36" s="16"/>
      <c r="X36" s="16"/>
      <c r="Y36" s="16"/>
      <c r="Z36" s="16"/>
      <c r="AE36" s="16">
        <v>0</v>
      </c>
      <c r="AI36" s="16">
        <v>71.61</v>
      </c>
      <c r="AJ36" s="16">
        <v>0</v>
      </c>
      <c r="AK36" s="16"/>
      <c r="AL36" s="16"/>
      <c r="AM36" s="16"/>
      <c r="AN36" s="16">
        <v>0</v>
      </c>
      <c r="AP36" s="16"/>
      <c r="AQ36" s="16"/>
      <c r="AR36" s="16"/>
      <c r="AS36" s="16"/>
      <c r="AT36" s="16"/>
      <c r="AU36" s="16"/>
      <c r="AV36" s="16"/>
      <c r="AW36" s="16"/>
      <c r="AX36" s="16"/>
      <c r="AY36" s="16"/>
      <c r="AZ36" s="16"/>
      <c r="BA36" s="16"/>
      <c r="BC36" s="17">
        <f t="shared" si="2"/>
        <v>88.08</v>
      </c>
      <c r="BD36" s="17">
        <f>AG36*Factors!AG$6+AF36*Factors!AF$6+AH36*Factors!AH$6</f>
        <v>0</v>
      </c>
      <c r="BE36" s="18">
        <f t="shared" si="3"/>
        <v>88.08</v>
      </c>
    </row>
    <row r="37" spans="1:57" x14ac:dyDescent="0.35">
      <c r="A37" s="13" t="s">
        <v>348</v>
      </c>
      <c r="B37" s="15" t="s">
        <v>349</v>
      </c>
      <c r="C37" s="16"/>
      <c r="D37" s="16"/>
      <c r="E37" s="16"/>
      <c r="G37" s="16"/>
      <c r="H37" s="16">
        <v>24.28</v>
      </c>
      <c r="I37" s="16"/>
      <c r="J37" s="16"/>
      <c r="K37" s="16"/>
      <c r="L37" s="16"/>
      <c r="M37" s="16"/>
      <c r="N37" s="16"/>
      <c r="O37" s="16"/>
      <c r="R37" s="16"/>
      <c r="S37" s="16">
        <v>43.69</v>
      </c>
      <c r="T37" s="16"/>
      <c r="U37" s="16"/>
      <c r="V37" s="16"/>
      <c r="X37" s="16"/>
      <c r="Y37" s="16"/>
      <c r="Z37" s="16"/>
      <c r="AE37" s="16"/>
      <c r="AF37">
        <v>54.28</v>
      </c>
      <c r="AI37" s="16"/>
      <c r="AJ37" s="16"/>
      <c r="AK37" s="16"/>
      <c r="AL37" s="16"/>
      <c r="AM37" s="16"/>
      <c r="AN37" s="16"/>
      <c r="AP37" s="16"/>
      <c r="AQ37" s="16"/>
      <c r="AR37" s="16"/>
      <c r="AS37" s="16"/>
      <c r="AT37" s="16"/>
      <c r="AU37" s="16"/>
      <c r="AV37" s="16"/>
      <c r="AW37" s="16"/>
      <c r="AX37" s="16"/>
      <c r="AY37" s="16"/>
      <c r="AZ37" s="16"/>
      <c r="BA37" s="16"/>
      <c r="BC37" s="17">
        <f t="shared" si="2"/>
        <v>122.25</v>
      </c>
      <c r="BD37" s="17">
        <f>AG37*Factors!AG$6+AF37*Factors!AF$6+AH37*Factors!AH$6</f>
        <v>-22.855229267144068</v>
      </c>
      <c r="BE37" s="18">
        <f t="shared" si="3"/>
        <v>99.394770732855932</v>
      </c>
    </row>
    <row r="38" spans="1:57" x14ac:dyDescent="0.35">
      <c r="A38" s="13" t="s">
        <v>350</v>
      </c>
      <c r="B38" s="15" t="s">
        <v>74</v>
      </c>
      <c r="C38" s="16">
        <v>0</v>
      </c>
      <c r="D38" s="16">
        <v>0</v>
      </c>
      <c r="E38" s="16"/>
      <c r="G38" s="16">
        <v>99.26</v>
      </c>
      <c r="H38" s="16"/>
      <c r="I38" s="16"/>
      <c r="J38" s="16">
        <v>0</v>
      </c>
      <c r="K38" s="16"/>
      <c r="L38" s="16"/>
      <c r="M38" s="16"/>
      <c r="N38" s="16"/>
      <c r="O38" s="16"/>
      <c r="R38" s="16"/>
      <c r="S38" s="16"/>
      <c r="T38" s="16"/>
      <c r="U38" s="16"/>
      <c r="V38" s="16"/>
      <c r="X38" s="16">
        <v>0</v>
      </c>
      <c r="Y38" s="16">
        <v>0</v>
      </c>
      <c r="Z38" s="16">
        <v>0</v>
      </c>
      <c r="AE38" s="16"/>
      <c r="AI38" s="16"/>
      <c r="AJ38" s="16"/>
      <c r="AK38" s="16"/>
      <c r="AL38" s="16"/>
      <c r="AM38" s="16"/>
      <c r="AN38" s="16"/>
      <c r="AP38" s="16"/>
      <c r="AQ38" s="16"/>
      <c r="AR38" s="16"/>
      <c r="AS38" s="16"/>
      <c r="AT38" s="16"/>
      <c r="AU38" s="16"/>
      <c r="AV38" s="16"/>
      <c r="AW38" s="16"/>
      <c r="AX38" s="16"/>
      <c r="AY38" s="16"/>
      <c r="AZ38" s="16"/>
      <c r="BA38" s="16"/>
      <c r="BC38" s="17">
        <f t="shared" si="2"/>
        <v>99.26</v>
      </c>
      <c r="BD38" s="17">
        <f>AG38*Factors!AG$6+AF38*Factors!AF$6+AH38*Factors!AH$6</f>
        <v>0</v>
      </c>
      <c r="BE38" s="18">
        <f t="shared" si="3"/>
        <v>99.26</v>
      </c>
    </row>
    <row r="39" spans="1:57" x14ac:dyDescent="0.35">
      <c r="A39" s="13" t="s">
        <v>351</v>
      </c>
      <c r="B39" s="15" t="s">
        <v>352</v>
      </c>
      <c r="C39" s="16">
        <v>43.55</v>
      </c>
      <c r="D39" s="16"/>
      <c r="E39" s="16"/>
      <c r="G39" s="16"/>
      <c r="H39" s="16">
        <v>34.659999999999997</v>
      </c>
      <c r="I39" s="16"/>
      <c r="J39" s="16"/>
      <c r="K39" s="16"/>
      <c r="L39" s="16"/>
      <c r="M39" s="16"/>
      <c r="N39" s="16">
        <v>0.05</v>
      </c>
      <c r="O39" s="16">
        <v>4.4400000000000004</v>
      </c>
      <c r="R39" s="16"/>
      <c r="S39" s="16">
        <v>12.09</v>
      </c>
      <c r="T39" s="16">
        <v>4.87</v>
      </c>
      <c r="U39" s="16"/>
      <c r="V39" s="16"/>
      <c r="X39" s="16"/>
      <c r="Y39" s="16"/>
      <c r="Z39" s="16"/>
      <c r="AE39" s="16">
        <v>0.5</v>
      </c>
      <c r="AI39" s="16"/>
      <c r="AJ39" s="16"/>
      <c r="AK39" s="16"/>
      <c r="AL39" s="16"/>
      <c r="AM39" s="16"/>
      <c r="AN39" s="16"/>
      <c r="AP39" s="16"/>
      <c r="AQ39" s="16"/>
      <c r="AR39" s="16"/>
      <c r="AS39" s="16"/>
      <c r="AT39" s="16"/>
      <c r="AU39" s="16"/>
      <c r="AV39" s="16"/>
      <c r="AW39" s="16"/>
      <c r="AX39" s="16"/>
      <c r="AY39" s="16"/>
      <c r="AZ39" s="16"/>
      <c r="BA39" s="16"/>
      <c r="BC39" s="17">
        <f t="shared" si="2"/>
        <v>100.16</v>
      </c>
      <c r="BD39" s="17">
        <f>AG39*Factors!AG$6+AF39*Factors!AF$6+AH39*Factors!AH$6</f>
        <v>0</v>
      </c>
      <c r="BE39" s="18">
        <f t="shared" si="3"/>
        <v>100.16</v>
      </c>
    </row>
    <row r="40" spans="1:57" x14ac:dyDescent="0.35">
      <c r="A40" s="13" t="s">
        <v>353</v>
      </c>
      <c r="B40" s="15" t="s">
        <v>354</v>
      </c>
      <c r="C40" s="16">
        <v>31.58</v>
      </c>
      <c r="D40" s="16">
        <v>0.32</v>
      </c>
      <c r="E40" s="16"/>
      <c r="G40" s="16"/>
      <c r="H40" s="16">
        <v>13.6</v>
      </c>
      <c r="I40" s="16">
        <v>2.25</v>
      </c>
      <c r="J40" s="16">
        <v>0</v>
      </c>
      <c r="K40" s="16">
        <v>12.28</v>
      </c>
      <c r="L40" s="16">
        <v>19.8</v>
      </c>
      <c r="M40" s="16"/>
      <c r="N40" s="16">
        <v>2.7</v>
      </c>
      <c r="O40" s="16">
        <v>0</v>
      </c>
      <c r="Q40">
        <v>0.3</v>
      </c>
      <c r="R40" s="16"/>
      <c r="S40" s="16">
        <v>0.1</v>
      </c>
      <c r="T40" s="16">
        <v>7.91</v>
      </c>
      <c r="U40" s="16"/>
      <c r="V40" s="16"/>
      <c r="X40" s="16"/>
      <c r="Y40" s="16"/>
      <c r="Z40" s="16"/>
      <c r="AE40" s="16">
        <v>3.95</v>
      </c>
      <c r="AF40">
        <v>0</v>
      </c>
      <c r="AI40" s="16"/>
      <c r="AJ40" s="16"/>
      <c r="AK40" s="16"/>
      <c r="AL40" s="16"/>
      <c r="AM40" s="16"/>
      <c r="AN40" s="16"/>
      <c r="AP40" s="16"/>
      <c r="AQ40" s="16"/>
      <c r="AR40" s="16"/>
      <c r="AS40" s="16"/>
      <c r="AT40" s="16"/>
      <c r="AU40" s="16"/>
      <c r="AV40" s="16"/>
      <c r="AW40" s="16"/>
      <c r="AX40" s="16"/>
      <c r="AY40" s="16"/>
      <c r="AZ40" s="16"/>
      <c r="BA40" s="16"/>
      <c r="BC40" s="17">
        <f t="shared" si="2"/>
        <v>94.789999999999992</v>
      </c>
      <c r="BD40" s="17">
        <f>AG40*Factors!AG$6+AF40*Factors!AF$6+AH40*Factors!AH$6</f>
        <v>0</v>
      </c>
      <c r="BE40" s="18">
        <f t="shared" si="3"/>
        <v>94.789999999999992</v>
      </c>
    </row>
    <row r="41" spans="1:57" x14ac:dyDescent="0.35">
      <c r="A41" s="13" t="s">
        <v>355</v>
      </c>
      <c r="B41" s="15" t="s">
        <v>356</v>
      </c>
      <c r="C41" s="16">
        <v>0.05</v>
      </c>
      <c r="D41" s="16">
        <v>1.68</v>
      </c>
      <c r="E41" s="16"/>
      <c r="G41" s="16"/>
      <c r="H41" s="16"/>
      <c r="I41" s="16"/>
      <c r="J41" s="16">
        <v>0.17</v>
      </c>
      <c r="K41" s="16"/>
      <c r="L41" s="16"/>
      <c r="M41" s="16"/>
      <c r="N41" s="16"/>
      <c r="O41" s="16">
        <v>0.32</v>
      </c>
      <c r="P41">
        <v>0.16</v>
      </c>
      <c r="R41" s="16">
        <v>51.69</v>
      </c>
      <c r="S41" s="16"/>
      <c r="T41" s="16"/>
      <c r="U41" s="16"/>
      <c r="V41" s="16"/>
      <c r="X41" s="16">
        <v>40.06</v>
      </c>
      <c r="Y41" s="16">
        <v>4.74</v>
      </c>
      <c r="Z41" s="16"/>
      <c r="AE41" s="16">
        <v>0.95</v>
      </c>
      <c r="AI41" s="16"/>
      <c r="AJ41" s="16"/>
      <c r="AK41" s="16"/>
      <c r="AL41" s="16"/>
      <c r="AM41" s="16"/>
      <c r="AN41" s="16">
        <v>7.0000000000000007E-2</v>
      </c>
      <c r="AP41" s="16">
        <v>0.02</v>
      </c>
      <c r="AQ41" s="16"/>
      <c r="AR41" s="16"/>
      <c r="AS41" s="16"/>
      <c r="AT41" s="16"/>
      <c r="AU41" s="16"/>
      <c r="AV41" s="16"/>
      <c r="AW41" s="16"/>
      <c r="AX41" s="16"/>
      <c r="AY41" s="16"/>
      <c r="AZ41" s="16"/>
      <c r="BA41" s="16"/>
      <c r="BC41" s="17">
        <f t="shared" si="2"/>
        <v>99.909999999999982</v>
      </c>
      <c r="BD41" s="17">
        <f>AG41*Factors!AG$6+AF41*Factors!AF$6+AH41*Factors!AH$6</f>
        <v>0</v>
      </c>
      <c r="BE41" s="18">
        <f t="shared" si="3"/>
        <v>99.909999999999982</v>
      </c>
    </row>
    <row r="42" spans="1:57" x14ac:dyDescent="0.35">
      <c r="A42" s="13" t="s">
        <v>357</v>
      </c>
      <c r="B42" s="15" t="s">
        <v>358</v>
      </c>
      <c r="C42" s="16">
        <v>32.56</v>
      </c>
      <c r="D42" s="16">
        <v>0</v>
      </c>
      <c r="E42" s="16"/>
      <c r="G42" s="16"/>
      <c r="H42" s="16">
        <v>9.9600000000000009</v>
      </c>
      <c r="I42" s="16"/>
      <c r="J42" s="16">
        <v>34.25</v>
      </c>
      <c r="K42" s="16">
        <v>0</v>
      </c>
      <c r="L42" s="16"/>
      <c r="M42" s="16"/>
      <c r="N42" s="16">
        <v>0</v>
      </c>
      <c r="O42" s="16">
        <v>0</v>
      </c>
      <c r="R42" s="16"/>
      <c r="S42" s="16">
        <v>0</v>
      </c>
      <c r="T42" s="16">
        <v>8.1</v>
      </c>
      <c r="U42" s="16"/>
      <c r="V42" s="16"/>
      <c r="X42" s="16"/>
      <c r="Y42" s="16"/>
      <c r="Z42" s="16"/>
      <c r="AE42" s="16">
        <v>0</v>
      </c>
      <c r="AF42">
        <v>0</v>
      </c>
      <c r="AG42">
        <v>0</v>
      </c>
      <c r="AI42" s="16"/>
      <c r="AJ42" s="16"/>
      <c r="AK42" s="16"/>
      <c r="AL42" s="16"/>
      <c r="AM42" s="16"/>
      <c r="AN42" s="16"/>
      <c r="AP42" s="16"/>
      <c r="AQ42" s="16"/>
      <c r="AR42" s="16"/>
      <c r="AS42" s="16"/>
      <c r="AT42" s="16"/>
      <c r="AU42" s="16"/>
      <c r="AV42" s="16"/>
      <c r="AW42" s="16"/>
      <c r="AX42" s="16"/>
      <c r="AY42" s="16"/>
      <c r="AZ42" s="16"/>
      <c r="BA42" s="16"/>
      <c r="BC42" s="17">
        <f t="shared" si="2"/>
        <v>84.87</v>
      </c>
      <c r="BD42" s="17">
        <f>AG42*Factors!AG$6+AF42*Factors!AF$6+AH42*Factors!AH$6</f>
        <v>0</v>
      </c>
      <c r="BE42" s="18">
        <f t="shared" si="3"/>
        <v>84.87</v>
      </c>
    </row>
    <row r="43" spans="1:57" x14ac:dyDescent="0.35">
      <c r="A43" s="13" t="s">
        <v>359</v>
      </c>
      <c r="B43" s="15" t="s">
        <v>360</v>
      </c>
      <c r="C43" s="16"/>
      <c r="D43" s="16">
        <v>0</v>
      </c>
      <c r="E43" s="16"/>
      <c r="G43" s="16">
        <v>0</v>
      </c>
      <c r="H43" s="16"/>
      <c r="I43" s="16"/>
      <c r="J43" s="16">
        <v>13.03</v>
      </c>
      <c r="K43" s="16">
        <v>0</v>
      </c>
      <c r="L43" s="16"/>
      <c r="M43" s="16"/>
      <c r="N43" s="16"/>
      <c r="O43" s="16">
        <v>0</v>
      </c>
      <c r="R43" s="16"/>
      <c r="S43" s="16"/>
      <c r="T43" s="16"/>
      <c r="U43" s="16"/>
      <c r="V43" s="16"/>
      <c r="X43" s="16">
        <v>51.72</v>
      </c>
      <c r="Y43" s="16">
        <v>0</v>
      </c>
      <c r="Z43" s="16">
        <v>0</v>
      </c>
      <c r="AE43" s="16"/>
      <c r="AI43" s="16"/>
      <c r="AJ43" s="16"/>
      <c r="AK43" s="16"/>
      <c r="AL43" s="16"/>
      <c r="AM43" s="16"/>
      <c r="AN43" s="16"/>
      <c r="AP43" s="16"/>
      <c r="AQ43" s="16"/>
      <c r="AR43" s="16"/>
      <c r="AS43" s="16"/>
      <c r="AT43" s="16"/>
      <c r="AU43" s="16"/>
      <c r="AV43" s="16"/>
      <c r="AW43" s="16"/>
      <c r="AX43" s="16"/>
      <c r="AY43" s="16"/>
      <c r="AZ43" s="16"/>
      <c r="BA43" s="16"/>
      <c r="BC43" s="17">
        <f t="shared" si="2"/>
        <v>64.75</v>
      </c>
      <c r="BD43" s="17">
        <f>AG43*Factors!AG$6+AF43*Factors!AF$6+AH43*Factors!AH$6</f>
        <v>0</v>
      </c>
      <c r="BE43" s="18">
        <f t="shared" si="3"/>
        <v>64.75</v>
      </c>
    </row>
    <row r="44" spans="1:57" x14ac:dyDescent="0.35">
      <c r="A44" s="13" t="s">
        <v>361</v>
      </c>
      <c r="B44" s="15" t="s">
        <v>362</v>
      </c>
      <c r="C44" s="16"/>
      <c r="D44" s="16">
        <v>0</v>
      </c>
      <c r="E44" s="16"/>
      <c r="G44" s="16">
        <v>0</v>
      </c>
      <c r="H44" s="16"/>
      <c r="I44" s="16"/>
      <c r="J44" s="16">
        <v>0</v>
      </c>
      <c r="K44" s="16">
        <v>9.4</v>
      </c>
      <c r="L44" s="16"/>
      <c r="M44" s="16"/>
      <c r="N44" s="16"/>
      <c r="O44" s="16"/>
      <c r="R44" s="16"/>
      <c r="S44" s="16">
        <v>0</v>
      </c>
      <c r="T44" s="16"/>
      <c r="U44" s="16"/>
      <c r="V44" s="16"/>
      <c r="X44" s="16">
        <v>46.8</v>
      </c>
      <c r="Y44" s="16">
        <v>0</v>
      </c>
      <c r="Z44" s="16"/>
      <c r="AE44" s="16"/>
      <c r="AI44" s="16"/>
      <c r="AJ44" s="16"/>
      <c r="AK44" s="16"/>
      <c r="AL44" s="16"/>
      <c r="AM44" s="16"/>
      <c r="AN44" s="16"/>
      <c r="AP44" s="16"/>
      <c r="AQ44" s="16"/>
      <c r="AR44" s="16"/>
      <c r="AS44" s="16"/>
      <c r="AT44" s="16"/>
      <c r="AU44" s="16"/>
      <c r="AV44" s="16"/>
      <c r="AW44" s="16"/>
      <c r="AX44" s="16"/>
      <c r="AY44" s="16"/>
      <c r="AZ44" s="16"/>
      <c r="BA44" s="16"/>
      <c r="BC44" s="17">
        <f t="shared" si="2"/>
        <v>56.199999999999996</v>
      </c>
      <c r="BD44" s="17">
        <f>AG44*Factors!AG$6+AF44*Factors!AF$6+AH44*Factors!AH$6</f>
        <v>0</v>
      </c>
      <c r="BE44" s="18">
        <f t="shared" si="3"/>
        <v>56.199999999999996</v>
      </c>
    </row>
    <row r="45" spans="1:57" x14ac:dyDescent="0.35">
      <c r="A45" s="13" t="s">
        <v>432</v>
      </c>
      <c r="B45" s="15" t="s">
        <v>433</v>
      </c>
      <c r="C45" s="16">
        <v>35.33</v>
      </c>
      <c r="D45" s="16"/>
      <c r="E45" s="16"/>
      <c r="G45" s="16"/>
      <c r="H45" s="16">
        <v>20.6</v>
      </c>
      <c r="I45" s="16"/>
      <c r="J45" s="16"/>
      <c r="K45" s="16">
        <v>41.06</v>
      </c>
      <c r="L45" s="16"/>
      <c r="M45" s="16"/>
      <c r="N45" s="16"/>
      <c r="O45" s="16">
        <v>0</v>
      </c>
      <c r="R45" s="16"/>
      <c r="S45" s="16"/>
      <c r="T45" s="16"/>
      <c r="U45" s="16"/>
      <c r="V45" s="16"/>
      <c r="X45" s="16"/>
      <c r="Y45" s="16"/>
      <c r="Z45" s="16"/>
      <c r="AE45" s="16">
        <v>0</v>
      </c>
      <c r="AI45" s="16"/>
      <c r="AJ45" s="16"/>
      <c r="AK45" s="16"/>
      <c r="AL45" s="16"/>
      <c r="AM45" s="16"/>
      <c r="AN45" s="16"/>
      <c r="AP45" s="16"/>
      <c r="AQ45" s="16"/>
      <c r="AR45" s="16"/>
      <c r="AS45" s="16"/>
      <c r="AT45" s="16"/>
      <c r="AU45" s="16"/>
      <c r="AV45" s="16"/>
      <c r="AW45" s="16"/>
      <c r="AX45" s="16"/>
      <c r="AY45" s="16"/>
      <c r="AZ45" s="16"/>
      <c r="BA45" s="16"/>
      <c r="BC45" s="17">
        <f t="shared" ref="BC45:BC55" si="4">SUM(C45:BB45)</f>
        <v>96.990000000000009</v>
      </c>
      <c r="BD45" s="17">
        <f>AG45*Factors!AG$6+AF45*Factors!AF$6+AH45*Factors!AH$6</f>
        <v>0</v>
      </c>
      <c r="BE45" s="18">
        <f t="shared" ref="BE45:BE55" si="5">BC45+BD45</f>
        <v>96.990000000000009</v>
      </c>
    </row>
    <row r="46" spans="1:57" x14ac:dyDescent="0.35">
      <c r="A46" s="13" t="s">
        <v>434</v>
      </c>
      <c r="B46" s="15" t="s">
        <v>435</v>
      </c>
      <c r="C46" s="16">
        <v>34.22</v>
      </c>
      <c r="D46" s="16">
        <v>0</v>
      </c>
      <c r="E46" s="16"/>
      <c r="G46" s="16"/>
      <c r="H46" s="16">
        <v>29.04</v>
      </c>
      <c r="I46" s="16"/>
      <c r="J46" s="16">
        <v>17.59</v>
      </c>
      <c r="K46" s="16">
        <v>0</v>
      </c>
      <c r="L46" s="16"/>
      <c r="M46" s="16"/>
      <c r="N46" s="16">
        <v>0</v>
      </c>
      <c r="O46" s="16">
        <v>0</v>
      </c>
      <c r="R46" s="16"/>
      <c r="S46" s="16">
        <v>2.72</v>
      </c>
      <c r="T46" s="16">
        <v>0</v>
      </c>
      <c r="U46" s="16"/>
      <c r="V46" s="16">
        <v>9.91</v>
      </c>
      <c r="X46" s="16"/>
      <c r="Y46" s="16"/>
      <c r="Z46" s="16"/>
      <c r="AE46" s="16">
        <v>0</v>
      </c>
      <c r="AI46" s="16"/>
      <c r="AJ46" s="16"/>
      <c r="AK46" s="16"/>
      <c r="AL46" s="16"/>
      <c r="AM46" s="16"/>
      <c r="AN46" s="16"/>
      <c r="AP46" s="16"/>
      <c r="AQ46" s="16"/>
      <c r="AR46" s="16"/>
      <c r="AS46" s="16"/>
      <c r="AT46" s="16"/>
      <c r="AU46" s="16"/>
      <c r="AV46" s="16"/>
      <c r="AW46" s="16"/>
      <c r="AX46" s="16"/>
      <c r="AY46" s="16"/>
      <c r="AZ46" s="16"/>
      <c r="BA46" s="16"/>
      <c r="BC46" s="17">
        <f t="shared" si="4"/>
        <v>93.47999999999999</v>
      </c>
      <c r="BD46" s="17">
        <f>AG46*Factors!AG$6+AF46*Factors!AF$6+AH46*Factors!AH$6</f>
        <v>0</v>
      </c>
      <c r="BE46" s="18">
        <f t="shared" si="5"/>
        <v>93.47999999999999</v>
      </c>
    </row>
    <row r="47" spans="1:57" x14ac:dyDescent="0.35">
      <c r="A47" s="13" t="s">
        <v>436</v>
      </c>
      <c r="B47" s="15" t="s">
        <v>437</v>
      </c>
      <c r="C47" s="16">
        <v>45.8</v>
      </c>
      <c r="D47" s="16"/>
      <c r="E47" s="16"/>
      <c r="G47" s="16"/>
      <c r="H47" s="16">
        <v>39.5</v>
      </c>
      <c r="I47" s="16">
        <v>0</v>
      </c>
      <c r="J47" s="16">
        <v>0</v>
      </c>
      <c r="K47" s="16"/>
      <c r="L47" s="16"/>
      <c r="M47" s="16"/>
      <c r="N47" s="16">
        <v>0</v>
      </c>
      <c r="O47" s="16">
        <v>0</v>
      </c>
      <c r="R47" s="16"/>
      <c r="S47" s="16"/>
      <c r="T47" s="16">
        <v>0</v>
      </c>
      <c r="U47" s="16"/>
      <c r="V47" s="16"/>
      <c r="X47" s="16"/>
      <c r="Y47" s="16"/>
      <c r="Z47" s="16"/>
      <c r="AE47" s="16">
        <v>13.96</v>
      </c>
      <c r="AI47" s="16"/>
      <c r="AJ47" s="16"/>
      <c r="AK47" s="16"/>
      <c r="AL47" s="16"/>
      <c r="AM47" s="16"/>
      <c r="AN47" s="16"/>
      <c r="AP47" s="16"/>
      <c r="AQ47" s="16"/>
      <c r="AR47" s="16"/>
      <c r="AS47" s="16"/>
      <c r="AT47" s="16"/>
      <c r="AU47" s="16"/>
      <c r="AV47" s="16"/>
      <c r="AW47" s="16"/>
      <c r="AX47" s="16"/>
      <c r="AY47" s="16"/>
      <c r="AZ47" s="16"/>
      <c r="BA47" s="16"/>
      <c r="BC47" s="17">
        <f t="shared" si="4"/>
        <v>99.259999999999991</v>
      </c>
      <c r="BD47" s="17">
        <f>AG47*Factors!AG$6+AF47*Factors!AF$6+AH47*Factors!AH$6</f>
        <v>0</v>
      </c>
      <c r="BE47" s="18">
        <f t="shared" si="5"/>
        <v>99.259999999999991</v>
      </c>
    </row>
    <row r="48" spans="1:57" x14ac:dyDescent="0.35">
      <c r="A48" s="13" t="s">
        <v>438</v>
      </c>
      <c r="B48" s="15" t="s">
        <v>439</v>
      </c>
      <c r="C48" s="16">
        <v>37.89</v>
      </c>
      <c r="D48" s="16">
        <v>0</v>
      </c>
      <c r="E48" s="16"/>
      <c r="G48" s="16"/>
      <c r="H48" s="16">
        <v>40.82</v>
      </c>
      <c r="I48" s="16"/>
      <c r="J48" s="16">
        <v>0</v>
      </c>
      <c r="K48" s="16">
        <v>0</v>
      </c>
      <c r="L48" s="16"/>
      <c r="M48" s="16"/>
      <c r="N48" s="16"/>
      <c r="O48" s="16">
        <v>0</v>
      </c>
      <c r="R48" s="16"/>
      <c r="S48" s="16">
        <v>2.4300000000000002</v>
      </c>
      <c r="T48" s="16"/>
      <c r="U48" s="16">
        <v>1.66</v>
      </c>
      <c r="V48" s="16">
        <v>10.28</v>
      </c>
      <c r="X48" s="16"/>
      <c r="Y48" s="16"/>
      <c r="Z48" s="16"/>
      <c r="AE48" s="16">
        <v>3.47</v>
      </c>
      <c r="AF48">
        <v>0</v>
      </c>
      <c r="AI48" s="16"/>
      <c r="AJ48" s="16"/>
      <c r="AK48" s="16"/>
      <c r="AL48" s="16"/>
      <c r="AM48" s="16"/>
      <c r="AN48" s="16"/>
      <c r="AP48" s="16"/>
      <c r="AQ48" s="16"/>
      <c r="AR48" s="16"/>
      <c r="AS48" s="16"/>
      <c r="AT48" s="16"/>
      <c r="AU48" s="16"/>
      <c r="AV48" s="16"/>
      <c r="AW48" s="16"/>
      <c r="AX48" s="16"/>
      <c r="AY48" s="16"/>
      <c r="AZ48" s="16"/>
      <c r="BA48" s="16"/>
      <c r="BC48" s="17">
        <f t="shared" si="4"/>
        <v>96.550000000000011</v>
      </c>
      <c r="BD48" s="17">
        <f>AG48*Factors!AG$6+AF48*Factors!AF$6+AH48*Factors!AH$6</f>
        <v>0</v>
      </c>
      <c r="BE48" s="18">
        <f t="shared" si="5"/>
        <v>96.550000000000011</v>
      </c>
    </row>
    <row r="49" spans="1:57" x14ac:dyDescent="0.35">
      <c r="A49" s="13" t="s">
        <v>440</v>
      </c>
      <c r="B49" s="15" t="s">
        <v>441</v>
      </c>
      <c r="C49" s="16">
        <v>32.119999999999997</v>
      </c>
      <c r="D49" s="16"/>
      <c r="E49" s="16"/>
      <c r="G49" s="16"/>
      <c r="H49" s="16">
        <v>9.5</v>
      </c>
      <c r="I49" s="16">
        <v>0</v>
      </c>
      <c r="J49" s="16">
        <v>1.98</v>
      </c>
      <c r="K49" s="16"/>
      <c r="L49" s="16"/>
      <c r="M49" s="16"/>
      <c r="N49" s="16">
        <v>34.94</v>
      </c>
      <c r="O49" s="16">
        <v>0</v>
      </c>
      <c r="R49" s="16"/>
      <c r="S49" s="16"/>
      <c r="T49" s="16"/>
      <c r="U49" s="16"/>
      <c r="V49" s="16"/>
      <c r="X49" s="16"/>
      <c r="Y49" s="16"/>
      <c r="Z49" s="16"/>
      <c r="AE49" s="16">
        <v>12.29</v>
      </c>
      <c r="AI49" s="16"/>
      <c r="AJ49" s="16"/>
      <c r="AK49" s="16"/>
      <c r="AL49" s="16"/>
      <c r="AM49" s="16"/>
      <c r="AN49" s="16"/>
      <c r="AP49" s="16"/>
      <c r="AQ49" s="16"/>
      <c r="AR49" s="16"/>
      <c r="AS49" s="16"/>
      <c r="AT49" s="16"/>
      <c r="AU49" s="16"/>
      <c r="AV49" s="16"/>
      <c r="AW49" s="16"/>
      <c r="AX49" s="16"/>
      <c r="AY49" s="16"/>
      <c r="AZ49" s="16"/>
      <c r="BA49" s="16"/>
      <c r="BC49" s="17">
        <f t="shared" si="4"/>
        <v>90.829999999999984</v>
      </c>
      <c r="BD49" s="17">
        <f>AG49*Factors!AG$6+AF49*Factors!AF$6+AH49*Factors!AH$6</f>
        <v>0</v>
      </c>
      <c r="BE49" s="18">
        <f t="shared" si="5"/>
        <v>90.829999999999984</v>
      </c>
    </row>
    <row r="50" spans="1:57" x14ac:dyDescent="0.35">
      <c r="A50" s="13" t="s">
        <v>442</v>
      </c>
      <c r="B50" s="15" t="s">
        <v>443</v>
      </c>
      <c r="C50" s="16">
        <v>26.4</v>
      </c>
      <c r="D50" s="16"/>
      <c r="E50" s="16"/>
      <c r="G50" s="16"/>
      <c r="H50" s="16">
        <v>16.14</v>
      </c>
      <c r="I50" s="16">
        <v>5.7</v>
      </c>
      <c r="J50" s="16">
        <v>25.87</v>
      </c>
      <c r="K50" s="16">
        <v>0</v>
      </c>
      <c r="L50" s="16"/>
      <c r="M50" s="16"/>
      <c r="N50" s="16">
        <v>4.47</v>
      </c>
      <c r="O50" s="16">
        <v>0</v>
      </c>
      <c r="R50" s="16"/>
      <c r="S50" s="16">
        <v>0</v>
      </c>
      <c r="T50" s="16">
        <v>0</v>
      </c>
      <c r="U50" s="16"/>
      <c r="V50" s="16"/>
      <c r="X50" s="16"/>
      <c r="Y50" s="16"/>
      <c r="Z50" s="16"/>
      <c r="AE50" s="16">
        <v>11.5</v>
      </c>
      <c r="AI50" s="16"/>
      <c r="AJ50" s="16"/>
      <c r="AK50" s="16"/>
      <c r="AL50" s="16"/>
      <c r="AM50" s="16"/>
      <c r="AN50" s="16"/>
      <c r="AP50" s="16"/>
      <c r="AQ50" s="16"/>
      <c r="AR50" s="16"/>
      <c r="AS50" s="16"/>
      <c r="AT50" s="16"/>
      <c r="AU50" s="16"/>
      <c r="AV50" s="16"/>
      <c r="AW50" s="16"/>
      <c r="AX50" s="16"/>
      <c r="AY50" s="16"/>
      <c r="AZ50" s="16"/>
      <c r="BA50" s="16"/>
      <c r="BC50" s="17">
        <f t="shared" si="4"/>
        <v>90.08</v>
      </c>
      <c r="BD50" s="17">
        <f>AG50*Factors!AG$6+AF50*Factors!AF$6+AH50*Factors!AH$6</f>
        <v>0</v>
      </c>
      <c r="BE50" s="18">
        <f t="shared" si="5"/>
        <v>90.08</v>
      </c>
    </row>
    <row r="51" spans="1:57" x14ac:dyDescent="0.35">
      <c r="A51" s="13" t="s">
        <v>444</v>
      </c>
      <c r="B51" s="15" t="s">
        <v>445</v>
      </c>
      <c r="C51" s="16">
        <v>48.58</v>
      </c>
      <c r="D51" s="16"/>
      <c r="E51" s="16"/>
      <c r="G51" s="16"/>
      <c r="H51" s="16">
        <v>22.62</v>
      </c>
      <c r="I51" s="16">
        <v>0</v>
      </c>
      <c r="J51" s="16">
        <v>0.04</v>
      </c>
      <c r="K51" s="16">
        <v>0.51</v>
      </c>
      <c r="L51" s="16"/>
      <c r="M51" s="16"/>
      <c r="N51" s="16">
        <v>0</v>
      </c>
      <c r="O51" s="16">
        <v>0</v>
      </c>
      <c r="R51" s="16"/>
      <c r="S51" s="16">
        <v>0.26</v>
      </c>
      <c r="T51" s="16">
        <v>9.09</v>
      </c>
      <c r="U51" s="16">
        <v>3.7</v>
      </c>
      <c r="V51" s="16"/>
      <c r="X51" s="16"/>
      <c r="Y51" s="16"/>
      <c r="Z51" s="16"/>
      <c r="AE51" s="16">
        <v>3.1</v>
      </c>
      <c r="AF51">
        <v>4.93</v>
      </c>
      <c r="AI51" s="16"/>
      <c r="AJ51" s="16"/>
      <c r="AK51" s="16"/>
      <c r="AL51" s="16"/>
      <c r="AM51" s="16"/>
      <c r="AN51" s="16"/>
      <c r="AP51" s="16"/>
      <c r="AQ51" s="16"/>
      <c r="AR51" s="16"/>
      <c r="AS51" s="16"/>
      <c r="AT51" s="16"/>
      <c r="AU51" s="16"/>
      <c r="AV51" s="16"/>
      <c r="AW51" s="16"/>
      <c r="AX51" s="16"/>
      <c r="AY51" s="16"/>
      <c r="AZ51" s="16"/>
      <c r="BA51" s="16"/>
      <c r="BC51" s="17">
        <f t="shared" si="4"/>
        <v>92.830000000000013</v>
      </c>
      <c r="BD51" s="17">
        <f>AG51*Factors!AG$6+AF51*Factors!AF$6+AH51*Factors!AH$6</f>
        <v>-2.0758341983607269</v>
      </c>
      <c r="BE51" s="18">
        <f t="shared" si="5"/>
        <v>90.754165801639289</v>
      </c>
    </row>
    <row r="52" spans="1:57" x14ac:dyDescent="0.35">
      <c r="A52" s="13" t="s">
        <v>446</v>
      </c>
      <c r="B52" s="15" t="s">
        <v>138</v>
      </c>
      <c r="C52" s="16"/>
      <c r="D52" s="16"/>
      <c r="E52" s="16"/>
      <c r="G52" s="16"/>
      <c r="H52" s="16"/>
      <c r="I52" s="16"/>
      <c r="J52" s="16"/>
      <c r="K52" s="16"/>
      <c r="L52" s="16"/>
      <c r="M52" s="16"/>
      <c r="N52" s="16"/>
      <c r="O52" s="16">
        <v>55.52</v>
      </c>
      <c r="R52" s="16"/>
      <c r="S52" s="16"/>
      <c r="T52" s="16"/>
      <c r="U52" s="16"/>
      <c r="V52" s="16"/>
      <c r="X52" s="16"/>
      <c r="Y52" s="16"/>
      <c r="Z52" s="16"/>
      <c r="AA52">
        <v>42.01</v>
      </c>
      <c r="AE52" s="16"/>
      <c r="AF52">
        <v>3.67</v>
      </c>
      <c r="AI52" s="16"/>
      <c r="AJ52" s="16"/>
      <c r="AK52" s="16"/>
      <c r="AL52" s="16">
        <v>0</v>
      </c>
      <c r="AM52" s="16"/>
      <c r="AN52" s="16"/>
      <c r="AP52" s="16"/>
      <c r="AQ52" s="16">
        <v>0</v>
      </c>
      <c r="AR52" s="16"/>
      <c r="AS52" s="16"/>
      <c r="AT52" s="16">
        <v>0</v>
      </c>
      <c r="AU52" s="16"/>
      <c r="AV52" s="16"/>
      <c r="AW52" s="16"/>
      <c r="AX52" s="16"/>
      <c r="AY52" s="16"/>
      <c r="AZ52" s="16">
        <v>0</v>
      </c>
      <c r="BA52" s="16"/>
      <c r="BC52" s="17">
        <f t="shared" si="4"/>
        <v>101.2</v>
      </c>
      <c r="BD52" s="17">
        <f>AG52*Factors!AG$6+AF52*Factors!AF$6+AH52*Factors!AH$6</f>
        <v>-1.5452964519237053</v>
      </c>
      <c r="BE52" s="18">
        <f t="shared" si="5"/>
        <v>99.654703548076299</v>
      </c>
    </row>
    <row r="53" spans="1:57" x14ac:dyDescent="0.35">
      <c r="A53" s="13" t="s">
        <v>447</v>
      </c>
      <c r="B53" s="15" t="s">
        <v>448</v>
      </c>
      <c r="C53" s="16">
        <v>63.29</v>
      </c>
      <c r="D53" s="16"/>
      <c r="E53" s="16"/>
      <c r="G53" s="16"/>
      <c r="H53" s="16">
        <v>17.760000000000002</v>
      </c>
      <c r="I53" s="16"/>
      <c r="J53" s="16">
        <v>0</v>
      </c>
      <c r="K53" s="16"/>
      <c r="L53" s="16"/>
      <c r="M53" s="16"/>
      <c r="N53" s="16"/>
      <c r="O53" s="16"/>
      <c r="R53" s="16"/>
      <c r="S53" s="16">
        <v>0</v>
      </c>
      <c r="T53" s="16"/>
      <c r="U53" s="16">
        <v>0</v>
      </c>
      <c r="V53" s="16"/>
      <c r="W53">
        <v>10.79</v>
      </c>
      <c r="X53" s="16"/>
      <c r="Y53" s="16"/>
      <c r="Z53" s="16"/>
      <c r="AE53" s="16">
        <v>0</v>
      </c>
      <c r="AI53" s="16"/>
      <c r="AJ53" s="16"/>
      <c r="AK53" s="16"/>
      <c r="AL53" s="16"/>
      <c r="AM53" s="16"/>
      <c r="AN53" s="16"/>
      <c r="AP53" s="16"/>
      <c r="AQ53" s="16"/>
      <c r="AR53" s="16"/>
      <c r="AS53" s="16"/>
      <c r="AT53" s="16"/>
      <c r="AU53" s="16"/>
      <c r="AV53" s="16"/>
      <c r="AW53" s="16"/>
      <c r="AX53" s="16"/>
      <c r="AY53" s="16"/>
      <c r="AZ53" s="16"/>
      <c r="BA53" s="16"/>
      <c r="BC53" s="17">
        <f t="shared" si="4"/>
        <v>91.84</v>
      </c>
      <c r="BD53" s="17">
        <f>AG53*Factors!AG$6+AF53*Factors!AF$6+AH53*Factors!AH$6</f>
        <v>0</v>
      </c>
      <c r="BE53" s="18">
        <f t="shared" si="5"/>
        <v>91.84</v>
      </c>
    </row>
    <row r="54" spans="1:57" x14ac:dyDescent="0.35">
      <c r="A54" s="13" t="s">
        <v>449</v>
      </c>
      <c r="B54" s="15" t="s">
        <v>450</v>
      </c>
      <c r="C54" s="16"/>
      <c r="D54" s="16"/>
      <c r="E54" s="16"/>
      <c r="G54" s="16"/>
      <c r="H54" s="16">
        <v>34.700000000000003</v>
      </c>
      <c r="I54" s="16"/>
      <c r="J54" s="16"/>
      <c r="K54" s="16"/>
      <c r="L54" s="16"/>
      <c r="M54" s="16"/>
      <c r="N54" s="16"/>
      <c r="O54" s="16">
        <v>0</v>
      </c>
      <c r="R54" s="16"/>
      <c r="S54" s="16">
        <v>0</v>
      </c>
      <c r="T54" s="16">
        <v>0</v>
      </c>
      <c r="U54" s="16">
        <v>9.52</v>
      </c>
      <c r="V54" s="16"/>
      <c r="X54" s="16"/>
      <c r="Y54" s="16"/>
      <c r="Z54" s="16"/>
      <c r="AA54">
        <v>48.31</v>
      </c>
      <c r="AE54" s="16">
        <v>3.07</v>
      </c>
      <c r="AF54">
        <v>1.4</v>
      </c>
      <c r="AI54" s="16"/>
      <c r="AJ54" s="16"/>
      <c r="AK54" s="16"/>
      <c r="AL54" s="16"/>
      <c r="AM54" s="16"/>
      <c r="AN54" s="16"/>
      <c r="AP54" s="16"/>
      <c r="AQ54" s="16"/>
      <c r="AR54" s="16"/>
      <c r="AS54" s="16"/>
      <c r="AT54" s="16"/>
      <c r="AU54" s="16"/>
      <c r="AV54" s="16"/>
      <c r="AW54" s="16"/>
      <c r="AX54" s="16"/>
      <c r="AY54" s="16"/>
      <c r="AZ54" s="16"/>
      <c r="BA54" s="16"/>
      <c r="BC54" s="17">
        <f t="shared" si="4"/>
        <v>97</v>
      </c>
      <c r="BD54" s="17">
        <f>AG54*Factors!AG$6+AF54*Factors!AF$6+AH54*Factors!AH$6</f>
        <v>-0.58948638493002381</v>
      </c>
      <c r="BE54" s="18">
        <f t="shared" si="5"/>
        <v>96.410513615069974</v>
      </c>
    </row>
    <row r="55" spans="1:57" x14ac:dyDescent="0.35">
      <c r="A55" s="13" t="s">
        <v>451</v>
      </c>
      <c r="B55" s="15" t="s">
        <v>452</v>
      </c>
      <c r="C55" s="16">
        <v>60.76</v>
      </c>
      <c r="D55" s="16"/>
      <c r="E55" s="16"/>
      <c r="G55" s="16"/>
      <c r="H55" s="16">
        <v>21.26</v>
      </c>
      <c r="I55" s="16"/>
      <c r="J55" s="16"/>
      <c r="K55" s="16"/>
      <c r="L55" s="16"/>
      <c r="M55" s="16"/>
      <c r="N55" s="16"/>
      <c r="O55" s="16">
        <v>2.13</v>
      </c>
      <c r="R55" s="16"/>
      <c r="S55" s="16">
        <v>8.1199999999999992</v>
      </c>
      <c r="T55" s="16">
        <v>0</v>
      </c>
      <c r="U55" s="16"/>
      <c r="V55" s="16"/>
      <c r="X55" s="16"/>
      <c r="Y55" s="16"/>
      <c r="Z55" s="16"/>
      <c r="AE55" s="16">
        <v>0</v>
      </c>
      <c r="AI55" s="16"/>
      <c r="AJ55" s="16"/>
      <c r="AK55" s="16"/>
      <c r="AL55" s="16"/>
      <c r="AM55" s="16"/>
      <c r="AN55" s="16"/>
      <c r="AP55" s="16"/>
      <c r="AQ55" s="16"/>
      <c r="AR55" s="16"/>
      <c r="AS55" s="16"/>
      <c r="AT55" s="16"/>
      <c r="AU55" s="16"/>
      <c r="AV55" s="16"/>
      <c r="AW55" s="16"/>
      <c r="AX55" s="16"/>
      <c r="AY55" s="16"/>
      <c r="AZ55" s="16"/>
      <c r="BA55" s="16"/>
      <c r="BC55" s="17">
        <f t="shared" si="4"/>
        <v>92.27</v>
      </c>
      <c r="BD55" s="17">
        <f>AG55*Factors!AG$6+AF55*Factors!AF$6+AH55*Factors!AH$6</f>
        <v>0</v>
      </c>
      <c r="BE55" s="18">
        <f t="shared" si="5"/>
        <v>92.27</v>
      </c>
    </row>
    <row r="56" spans="1:57" x14ac:dyDescent="0.35">
      <c r="A56" s="13" t="s">
        <v>495</v>
      </c>
      <c r="B56" s="15" t="s">
        <v>75</v>
      </c>
      <c r="C56" s="16"/>
      <c r="D56" s="16"/>
      <c r="E56" s="16"/>
      <c r="G56" s="16"/>
      <c r="H56" s="16">
        <v>100</v>
      </c>
      <c r="I56" s="16"/>
      <c r="J56" s="16"/>
      <c r="K56" s="16"/>
      <c r="L56" s="16"/>
      <c r="M56" s="16"/>
      <c r="N56" s="16"/>
      <c r="O56" s="16"/>
      <c r="R56" s="16"/>
      <c r="S56" s="16"/>
      <c r="T56" s="16"/>
      <c r="U56" s="16"/>
      <c r="V56" s="16"/>
      <c r="X56" s="16"/>
      <c r="Y56" s="16"/>
      <c r="Z56" s="16"/>
      <c r="AE56" s="16"/>
      <c r="AI56" s="16"/>
      <c r="AJ56" s="16"/>
      <c r="AK56" s="16"/>
      <c r="AL56" s="16"/>
      <c r="AM56" s="16"/>
      <c r="AN56" s="16"/>
      <c r="AP56" s="16"/>
      <c r="AQ56" s="16"/>
      <c r="AR56" s="16"/>
      <c r="AS56" s="16"/>
      <c r="AT56" s="16"/>
      <c r="AU56" s="16"/>
      <c r="AV56" s="16"/>
      <c r="AW56" s="16"/>
      <c r="AX56" s="16"/>
      <c r="AY56" s="16"/>
      <c r="AZ56" s="16"/>
      <c r="BA56" s="16"/>
      <c r="BC56" s="17">
        <f t="shared" ref="BC56:BC59" si="6">SUM(C56:BB56)</f>
        <v>100</v>
      </c>
      <c r="BD56" s="17">
        <f>AG56*Factors!AG$6+AF56*Factors!AF$6+AH56*Factors!AH$6</f>
        <v>0</v>
      </c>
      <c r="BE56" s="18">
        <f t="shared" ref="BE56:BE59" si="7">BC56+BD56</f>
        <v>100</v>
      </c>
    </row>
    <row r="57" spans="1:57" x14ac:dyDescent="0.35">
      <c r="A57" s="13" t="s">
        <v>496</v>
      </c>
      <c r="B57" s="15" t="s">
        <v>497</v>
      </c>
      <c r="C57" s="16">
        <v>63.6</v>
      </c>
      <c r="D57" s="16"/>
      <c r="E57" s="16"/>
      <c r="G57" s="16"/>
      <c r="H57" s="16">
        <v>27.4</v>
      </c>
      <c r="I57" s="16">
        <v>0</v>
      </c>
      <c r="J57" s="16"/>
      <c r="K57" s="16">
        <v>0</v>
      </c>
      <c r="L57" s="16"/>
      <c r="M57" s="16"/>
      <c r="N57" s="16"/>
      <c r="O57" s="16"/>
      <c r="R57" s="16"/>
      <c r="S57" s="16">
        <v>0</v>
      </c>
      <c r="T57" s="16"/>
      <c r="U57" s="16">
        <v>7.79</v>
      </c>
      <c r="V57" s="16"/>
      <c r="X57" s="16"/>
      <c r="Y57" s="16"/>
      <c r="Z57" s="16"/>
      <c r="AE57" s="16">
        <v>0</v>
      </c>
      <c r="AI57" s="16"/>
      <c r="AJ57" s="16"/>
      <c r="AK57" s="16"/>
      <c r="AL57" s="16"/>
      <c r="AM57" s="16"/>
      <c r="AN57" s="16"/>
      <c r="AP57" s="16"/>
      <c r="AQ57" s="16"/>
      <c r="AR57" s="16"/>
      <c r="AS57" s="16"/>
      <c r="AT57" s="16"/>
      <c r="AU57" s="16"/>
      <c r="AV57" s="16"/>
      <c r="AW57" s="16"/>
      <c r="AX57" s="16"/>
      <c r="AY57" s="16"/>
      <c r="AZ57" s="16"/>
      <c r="BA57" s="16"/>
      <c r="BC57" s="17">
        <f t="shared" si="6"/>
        <v>98.79</v>
      </c>
      <c r="BD57" s="17">
        <f>AG57*Factors!AG$6+AF57*Factors!AF$6+AH57*Factors!AH$6</f>
        <v>0</v>
      </c>
      <c r="BE57" s="18">
        <f t="shared" si="7"/>
        <v>98.79</v>
      </c>
    </row>
    <row r="58" spans="1:57" x14ac:dyDescent="0.35">
      <c r="A58" s="13" t="s">
        <v>498</v>
      </c>
      <c r="B58" s="15" t="s">
        <v>499</v>
      </c>
      <c r="C58" s="16"/>
      <c r="D58" s="16"/>
      <c r="E58" s="16"/>
      <c r="G58" s="16"/>
      <c r="H58" s="16"/>
      <c r="I58" s="16"/>
      <c r="J58" s="16">
        <v>0</v>
      </c>
      <c r="K58" s="16"/>
      <c r="L58" s="16"/>
      <c r="M58" s="16"/>
      <c r="N58" s="16">
        <v>0</v>
      </c>
      <c r="O58" s="16">
        <v>53.6</v>
      </c>
      <c r="R58" s="16"/>
      <c r="S58" s="16"/>
      <c r="T58" s="16"/>
      <c r="U58" s="16"/>
      <c r="V58" s="16"/>
      <c r="X58" s="16"/>
      <c r="Y58" s="16"/>
      <c r="Z58" s="16"/>
      <c r="AD58">
        <v>43.97</v>
      </c>
      <c r="AE58" s="16"/>
      <c r="AI58" s="16"/>
      <c r="AJ58" s="16"/>
      <c r="AK58" s="16"/>
      <c r="AL58" s="16"/>
      <c r="AM58" s="16"/>
      <c r="AN58" s="16"/>
      <c r="AP58" s="16"/>
      <c r="AQ58" s="16"/>
      <c r="AR58" s="16"/>
      <c r="AS58" s="16"/>
      <c r="AT58" s="16"/>
      <c r="AU58" s="16"/>
      <c r="AV58" s="16"/>
      <c r="AW58" s="16"/>
      <c r="AX58" s="16"/>
      <c r="AY58" s="16"/>
      <c r="AZ58" s="16"/>
      <c r="BA58" s="16"/>
      <c r="BC58" s="17">
        <f t="shared" si="6"/>
        <v>97.57</v>
      </c>
      <c r="BD58" s="17">
        <f>AG58*Factors!AG$6+AF58*Factors!AF$6+AH58*Factors!AH$6</f>
        <v>0</v>
      </c>
      <c r="BE58" s="18">
        <f t="shared" si="7"/>
        <v>97.57</v>
      </c>
    </row>
    <row r="59" spans="1:57" x14ac:dyDescent="0.35">
      <c r="A59" s="13" t="s">
        <v>500</v>
      </c>
      <c r="B59" s="15" t="s">
        <v>501</v>
      </c>
      <c r="C59" s="16"/>
      <c r="D59" s="16"/>
      <c r="E59" s="16"/>
      <c r="G59" s="16"/>
      <c r="H59" s="16"/>
      <c r="I59" s="16"/>
      <c r="J59" s="16">
        <v>0</v>
      </c>
      <c r="K59" s="16">
        <v>0</v>
      </c>
      <c r="L59" s="16">
        <v>55.6</v>
      </c>
      <c r="M59" s="16"/>
      <c r="N59" s="16"/>
      <c r="O59" s="16"/>
      <c r="R59" s="16"/>
      <c r="S59" s="16"/>
      <c r="T59" s="16"/>
      <c r="U59" s="16"/>
      <c r="V59" s="16"/>
      <c r="X59" s="16"/>
      <c r="Y59" s="16"/>
      <c r="Z59" s="16"/>
      <c r="AE59" s="16"/>
      <c r="AH59">
        <v>32.78</v>
      </c>
      <c r="AI59" s="16"/>
      <c r="AJ59" s="16"/>
      <c r="AK59" s="16"/>
      <c r="AL59" s="16"/>
      <c r="AM59" s="16"/>
      <c r="AN59" s="16"/>
      <c r="AP59" s="16"/>
      <c r="AQ59" s="16"/>
      <c r="AR59" s="16"/>
      <c r="AS59" s="16"/>
      <c r="AT59" s="16"/>
      <c r="AU59" s="16"/>
      <c r="AV59" s="16"/>
      <c r="AW59" s="16"/>
      <c r="AX59" s="16"/>
      <c r="AY59" s="16"/>
      <c r="AZ59" s="16"/>
      <c r="BA59" s="16"/>
      <c r="BC59" s="17">
        <f t="shared" si="6"/>
        <v>88.38</v>
      </c>
      <c r="BD59" s="17">
        <f>AG59*Factors!AG$6+AF59*Factors!AF$6+AH59*Factors!AH$6</f>
        <v>-16.35830380536494</v>
      </c>
      <c r="BE59" s="18">
        <f t="shared" si="7"/>
        <v>72.021696194635055</v>
      </c>
    </row>
    <row r="60" spans="1:57" x14ac:dyDescent="0.35">
      <c r="A60" s="13" t="s">
        <v>519</v>
      </c>
      <c r="B60" s="15" t="s">
        <v>520</v>
      </c>
      <c r="C60" s="16"/>
      <c r="D60" s="16"/>
      <c r="E60" s="16"/>
      <c r="G60" s="16"/>
      <c r="H60" s="16">
        <v>35.15</v>
      </c>
      <c r="I60" s="16"/>
      <c r="J60" s="16"/>
      <c r="K60" s="16"/>
      <c r="L60" s="16"/>
      <c r="M60" s="16"/>
      <c r="N60" s="16">
        <v>0</v>
      </c>
      <c r="O60" s="16">
        <v>7.19</v>
      </c>
      <c r="P60">
        <v>0</v>
      </c>
      <c r="R60" s="16"/>
      <c r="S60" s="16"/>
      <c r="T60" s="16"/>
      <c r="U60" s="16"/>
      <c r="V60" s="16"/>
      <c r="X60" s="16"/>
      <c r="Y60" s="16"/>
      <c r="Z60" s="16"/>
      <c r="AA60">
        <v>27.09</v>
      </c>
      <c r="AC60">
        <v>0</v>
      </c>
      <c r="AE60" s="16">
        <v>14.48</v>
      </c>
      <c r="AI60" s="16"/>
      <c r="AJ60" s="16"/>
      <c r="AK60" s="16"/>
      <c r="AL60" s="16"/>
      <c r="AM60" s="16"/>
      <c r="AN60" s="16"/>
      <c r="AP60" s="16"/>
      <c r="AQ60" s="16"/>
      <c r="AR60" s="16"/>
      <c r="AS60" s="16"/>
      <c r="AT60" s="16"/>
      <c r="AU60" s="16"/>
      <c r="AV60" s="16"/>
      <c r="AW60" s="16"/>
      <c r="AX60" s="16"/>
      <c r="AY60" s="16"/>
      <c r="AZ60" s="16"/>
      <c r="BA60" s="16"/>
      <c r="BC60" s="17">
        <f t="shared" ref="BC60:BC61" si="8">SUM(C60:BB60)</f>
        <v>83.91</v>
      </c>
      <c r="BD60" s="17">
        <f>AG60*Factors!AG$6+AF60*Factors!AF$6+AH60*Factors!AH$6</f>
        <v>0</v>
      </c>
      <c r="BE60" s="18">
        <f t="shared" ref="BE60:BE61" si="9">BC60+BD60</f>
        <v>83.91</v>
      </c>
    </row>
    <row r="61" spans="1:57" x14ac:dyDescent="0.35">
      <c r="A61" s="13" t="s">
        <v>521</v>
      </c>
      <c r="B61" s="15" t="s">
        <v>522</v>
      </c>
      <c r="C61" s="16"/>
      <c r="D61" s="16"/>
      <c r="E61" s="16"/>
      <c r="G61" s="16">
        <v>32.06</v>
      </c>
      <c r="H61" s="16"/>
      <c r="I61" s="16"/>
      <c r="J61" s="16">
        <v>0</v>
      </c>
      <c r="K61" s="16"/>
      <c r="L61" s="16">
        <v>12.67</v>
      </c>
      <c r="M61" s="16">
        <v>32.56</v>
      </c>
      <c r="N61" s="16"/>
      <c r="O61" s="16"/>
      <c r="R61" s="16"/>
      <c r="S61" s="16"/>
      <c r="T61" s="16"/>
      <c r="U61" s="16"/>
      <c r="V61" s="16"/>
      <c r="X61" s="16"/>
      <c r="Y61" s="16"/>
      <c r="Z61" s="16"/>
      <c r="AE61" s="16"/>
      <c r="AH61">
        <v>28.4</v>
      </c>
      <c r="AI61" s="16"/>
      <c r="AJ61" s="16"/>
      <c r="AK61" s="16"/>
      <c r="AL61" s="16"/>
      <c r="AM61" s="16"/>
      <c r="AN61" s="16"/>
      <c r="AP61" s="16"/>
      <c r="AQ61" s="16"/>
      <c r="AR61" s="16"/>
      <c r="AS61" s="16"/>
      <c r="AT61" s="16"/>
      <c r="AU61" s="16"/>
      <c r="AV61" s="16"/>
      <c r="AW61" s="16"/>
      <c r="AX61" s="16"/>
      <c r="AY61" s="16"/>
      <c r="AZ61" s="16"/>
      <c r="BA61" s="16"/>
      <c r="BC61" s="17">
        <f t="shared" si="8"/>
        <v>105.69</v>
      </c>
      <c r="BD61" s="17">
        <f>AG61*Factors!AG$6+AF61*Factors!AF$6+AH61*Factors!AH$6</f>
        <v>-14.172538989394884</v>
      </c>
      <c r="BE61" s="18">
        <f t="shared" si="9"/>
        <v>91.517461010605118</v>
      </c>
    </row>
    <row r="62" spans="1:57" x14ac:dyDescent="0.35">
      <c r="A62" s="13" t="s">
        <v>531</v>
      </c>
      <c r="B62" s="15" t="s">
        <v>532</v>
      </c>
      <c r="C62" s="16">
        <v>0</v>
      </c>
      <c r="D62" s="16"/>
      <c r="E62" s="16"/>
      <c r="G62" s="16"/>
      <c r="H62" s="16">
        <v>0</v>
      </c>
      <c r="I62" s="16"/>
      <c r="J62" s="16">
        <v>0.16</v>
      </c>
      <c r="K62" s="16">
        <v>22.55</v>
      </c>
      <c r="L62" s="16"/>
      <c r="M62" s="16"/>
      <c r="N62" s="16"/>
      <c r="O62" s="16"/>
      <c r="R62" s="16"/>
      <c r="S62" s="16">
        <v>0</v>
      </c>
      <c r="T62" s="16"/>
      <c r="U62" s="16">
        <v>8.8000000000000007</v>
      </c>
      <c r="V62" s="16"/>
      <c r="X62" s="16"/>
      <c r="Y62" s="16"/>
      <c r="Z62" s="16"/>
      <c r="AA62">
        <v>44.5</v>
      </c>
      <c r="AE62" s="16">
        <v>0</v>
      </c>
      <c r="AI62" s="16"/>
      <c r="AJ62" s="16"/>
      <c r="AK62" s="16"/>
      <c r="AL62" s="16"/>
      <c r="AM62" s="16"/>
      <c r="AN62" s="16"/>
      <c r="AP62" s="16"/>
      <c r="AQ62" s="16"/>
      <c r="AR62" s="16"/>
      <c r="AS62" s="16"/>
      <c r="AT62" s="16"/>
      <c r="AU62" s="16"/>
      <c r="AV62" s="16"/>
      <c r="AW62" s="16"/>
      <c r="AX62" s="16"/>
      <c r="AY62" s="16"/>
      <c r="AZ62" s="16"/>
      <c r="BA62" s="16"/>
      <c r="BC62" s="17">
        <f t="shared" ref="BC62:BC63" si="10">SUM(C62:BB62)</f>
        <v>76.010000000000005</v>
      </c>
      <c r="BD62" s="17">
        <f>AG62*Factors!AG$6+AF62*Factors!AF$6+AH62*Factors!AH$6</f>
        <v>0</v>
      </c>
      <c r="BE62" s="18">
        <f t="shared" ref="BE62:BE63" si="11">BC62+BD62</f>
        <v>76.010000000000005</v>
      </c>
    </row>
    <row r="63" spans="1:57" x14ac:dyDescent="0.35">
      <c r="A63" s="13" t="s">
        <v>533</v>
      </c>
      <c r="B63" s="15" t="s">
        <v>534</v>
      </c>
      <c r="C63" s="16"/>
      <c r="D63" s="16"/>
      <c r="E63" s="16"/>
      <c r="G63" s="16"/>
      <c r="H63" s="16"/>
      <c r="I63" s="16"/>
      <c r="J63" s="16">
        <v>0</v>
      </c>
      <c r="K63" s="16">
        <v>60.87</v>
      </c>
      <c r="L63" s="16"/>
      <c r="M63" s="16"/>
      <c r="N63" s="16"/>
      <c r="O63" s="16">
        <v>0</v>
      </c>
      <c r="R63" s="16"/>
      <c r="S63" s="16"/>
      <c r="T63" s="16"/>
      <c r="U63" s="16"/>
      <c r="V63" s="16"/>
      <c r="X63" s="16"/>
      <c r="Y63" s="16"/>
      <c r="Z63" s="16"/>
      <c r="AD63">
        <v>38.26</v>
      </c>
      <c r="AE63" s="16"/>
      <c r="AI63" s="16"/>
      <c r="AJ63" s="16"/>
      <c r="AK63" s="16"/>
      <c r="AL63" s="16"/>
      <c r="AM63" s="16"/>
      <c r="AN63" s="16"/>
      <c r="AP63" s="16"/>
      <c r="AQ63" s="16"/>
      <c r="AR63" s="16"/>
      <c r="AS63" s="16"/>
      <c r="AT63" s="16"/>
      <c r="AU63" s="16"/>
      <c r="AV63" s="16"/>
      <c r="AW63" s="16"/>
      <c r="AX63" s="16"/>
      <c r="AY63" s="16"/>
      <c r="AZ63" s="16"/>
      <c r="BA63" s="16"/>
      <c r="BC63" s="17">
        <f t="shared" si="10"/>
        <v>99.13</v>
      </c>
      <c r="BD63" s="17">
        <f>AG63*Factors!AG$6+AF63*Factors!AF$6+AH63*Factors!AH$6</f>
        <v>0</v>
      </c>
      <c r="BE63" s="18">
        <f t="shared" si="11"/>
        <v>99.13</v>
      </c>
    </row>
    <row r="64" spans="1:57" x14ac:dyDescent="0.35">
      <c r="A64" s="7" t="s">
        <v>177</v>
      </c>
    </row>
    <row r="65" spans="1:1" x14ac:dyDescent="0.35">
      <c r="A65" s="7" t="s">
        <v>176</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65"/>
  <sheetViews>
    <sheetView workbookViewId="0">
      <pane xSplit="2" ySplit="1" topLeftCell="C2" activePane="bottomRight" state="frozen"/>
      <selection pane="topRight"/>
      <selection pane="bottomLeft"/>
      <selection pane="bottomRight"/>
    </sheetView>
  </sheetViews>
  <sheetFormatPr defaultRowHeight="14.5" x14ac:dyDescent="0.35"/>
  <cols>
    <col min="1" max="1" width="30" customWidth="1"/>
    <col min="2" max="2" width="34" customWidth="1"/>
    <col min="3" max="54" width="8.453125" customWidth="1"/>
    <col min="55" max="57" width="11" customWidth="1"/>
  </cols>
  <sheetData>
    <row r="1" spans="1:57" ht="30" customHeight="1" x14ac:dyDescent="0.35">
      <c r="A1" s="4" t="s">
        <v>121</v>
      </c>
      <c r="B1" s="4" t="s">
        <v>122</v>
      </c>
      <c r="C1" s="4" t="s">
        <v>70</v>
      </c>
      <c r="D1" s="4" t="s">
        <v>71</v>
      </c>
      <c r="E1" s="4" t="s">
        <v>72</v>
      </c>
      <c r="F1" s="4" t="s">
        <v>73</v>
      </c>
      <c r="G1" s="4" t="s">
        <v>74</v>
      </c>
      <c r="H1" s="4" t="s">
        <v>75</v>
      </c>
      <c r="I1" s="4" t="s">
        <v>76</v>
      </c>
      <c r="J1" s="4" t="s">
        <v>77</v>
      </c>
      <c r="K1" s="4" t="s">
        <v>78</v>
      </c>
      <c r="L1" s="4" t="s">
        <v>330</v>
      </c>
      <c r="M1" s="4" t="s">
        <v>518</v>
      </c>
      <c r="N1" s="4" t="s">
        <v>79</v>
      </c>
      <c r="O1" s="4" t="s">
        <v>80</v>
      </c>
      <c r="P1" s="4" t="s">
        <v>81</v>
      </c>
      <c r="Q1" s="4" t="s">
        <v>82</v>
      </c>
      <c r="R1" s="4" t="s">
        <v>83</v>
      </c>
      <c r="S1" s="4" t="s">
        <v>84</v>
      </c>
      <c r="T1" s="4" t="s">
        <v>85</v>
      </c>
      <c r="U1" s="4" t="s">
        <v>430</v>
      </c>
      <c r="V1" s="4" t="s">
        <v>431</v>
      </c>
      <c r="W1" s="4" t="s">
        <v>86</v>
      </c>
      <c r="X1" s="4" t="s">
        <v>87</v>
      </c>
      <c r="Y1" s="4" t="s">
        <v>88</v>
      </c>
      <c r="Z1" s="4" t="s">
        <v>89</v>
      </c>
      <c r="AA1" s="4" t="s">
        <v>90</v>
      </c>
      <c r="AB1" s="4" t="s">
        <v>91</v>
      </c>
      <c r="AC1" s="4" t="s">
        <v>92</v>
      </c>
      <c r="AD1" s="4" t="s">
        <v>93</v>
      </c>
      <c r="AE1" s="4" t="s">
        <v>94</v>
      </c>
      <c r="AF1" s="4" t="s">
        <v>47</v>
      </c>
      <c r="AG1" s="4" t="s">
        <v>48</v>
      </c>
      <c r="AH1" s="4" t="s">
        <v>493</v>
      </c>
      <c r="AI1" s="4" t="s">
        <v>95</v>
      </c>
      <c r="AJ1" s="4" t="s">
        <v>96</v>
      </c>
      <c r="AK1" s="4" t="s">
        <v>97</v>
      </c>
      <c r="AL1" s="4" t="s">
        <v>98</v>
      </c>
      <c r="AM1" s="4" t="s">
        <v>99</v>
      </c>
      <c r="AN1" s="4" t="s">
        <v>100</v>
      </c>
      <c r="AO1" s="4" t="s">
        <v>101</v>
      </c>
      <c r="AP1" s="4" t="s">
        <v>102</v>
      </c>
      <c r="AQ1" s="4" t="s">
        <v>103</v>
      </c>
      <c r="AR1" s="4" t="s">
        <v>104</v>
      </c>
      <c r="AS1" s="4" t="s">
        <v>105</v>
      </c>
      <c r="AT1" s="4" t="s">
        <v>106</v>
      </c>
      <c r="AU1" s="4" t="s">
        <v>107</v>
      </c>
      <c r="AV1" s="4" t="s">
        <v>108</v>
      </c>
      <c r="AW1" s="4" t="s">
        <v>109</v>
      </c>
      <c r="AX1" s="4" t="s">
        <v>110</v>
      </c>
      <c r="AY1" s="4" t="s">
        <v>111</v>
      </c>
      <c r="AZ1" s="4" t="s">
        <v>112</v>
      </c>
      <c r="BA1" s="4" t="s">
        <v>113</v>
      </c>
      <c r="BB1" s="4" t="s">
        <v>114</v>
      </c>
      <c r="BC1" s="4" t="s">
        <v>123</v>
      </c>
      <c r="BD1" s="4" t="s">
        <v>494</v>
      </c>
      <c r="BE1" s="4" t="s">
        <v>124</v>
      </c>
    </row>
    <row r="2" spans="1:57" x14ac:dyDescent="0.35">
      <c r="A2" s="13" t="s">
        <v>125</v>
      </c>
      <c r="B2" s="15" t="s">
        <v>126</v>
      </c>
      <c r="C2" s="16">
        <v>5</v>
      </c>
      <c r="H2" s="16">
        <v>0.3</v>
      </c>
      <c r="J2" s="16">
        <v>0.5</v>
      </c>
      <c r="O2" s="16">
        <v>4</v>
      </c>
      <c r="P2" s="16">
        <v>0.3</v>
      </c>
      <c r="R2" s="16">
        <v>1.5</v>
      </c>
      <c r="AA2" s="16">
        <v>31</v>
      </c>
      <c r="AC2" s="16">
        <v>0.5</v>
      </c>
      <c r="AI2" s="16">
        <v>20</v>
      </c>
      <c r="AJ2" s="16">
        <v>2</v>
      </c>
      <c r="AL2" s="16">
        <v>4</v>
      </c>
      <c r="AM2" s="16">
        <v>24</v>
      </c>
      <c r="AN2" s="16">
        <v>37</v>
      </c>
      <c r="AP2" s="16">
        <v>4</v>
      </c>
      <c r="AQ2" s="16">
        <v>14</v>
      </c>
      <c r="AR2" s="16">
        <v>4</v>
      </c>
      <c r="AS2" s="16">
        <v>0.3</v>
      </c>
      <c r="AT2" s="16">
        <v>3</v>
      </c>
      <c r="AU2" s="16">
        <v>0.3</v>
      </c>
      <c r="AV2" s="16">
        <v>1.5</v>
      </c>
      <c r="AW2" s="16">
        <v>0.3</v>
      </c>
      <c r="AX2" s="16">
        <v>0.5</v>
      </c>
      <c r="AY2" s="16">
        <v>0.05</v>
      </c>
      <c r="AZ2" s="16">
        <v>0.3</v>
      </c>
      <c r="BA2" s="16">
        <v>0.05</v>
      </c>
      <c r="BC2" s="17">
        <f t="shared" ref="BC2:BC26" si="0">SUM(C2:BB2)</f>
        <v>158.40000000000006</v>
      </c>
      <c r="BD2" s="17">
        <f>AG2*Factors!AG$6+AF2*Factors!AF$6+AH2*Factors!AH$6</f>
        <v>0</v>
      </c>
      <c r="BE2" s="18">
        <f t="shared" ref="BE2:BE26" si="1">BC2+BD2</f>
        <v>158.40000000000006</v>
      </c>
    </row>
    <row r="3" spans="1:57" x14ac:dyDescent="0.35">
      <c r="A3" s="13" t="s">
        <v>127</v>
      </c>
      <c r="B3" s="15" t="s">
        <v>128</v>
      </c>
      <c r="C3" s="16">
        <v>1</v>
      </c>
      <c r="J3" s="16">
        <v>0.6</v>
      </c>
      <c r="O3" s="16">
        <v>2.5</v>
      </c>
      <c r="P3" s="16">
        <v>1</v>
      </c>
      <c r="Q3" s="16">
        <v>1</v>
      </c>
      <c r="AA3" s="16">
        <v>0.6</v>
      </c>
      <c r="AD3" s="16">
        <v>21</v>
      </c>
      <c r="AE3" s="16">
        <v>2</v>
      </c>
      <c r="AF3" s="16">
        <v>9.5</v>
      </c>
      <c r="AI3" s="16">
        <v>2.5</v>
      </c>
      <c r="AJ3" s="16">
        <v>0.05</v>
      </c>
      <c r="AL3" s="16">
        <v>1.5</v>
      </c>
      <c r="AM3" s="16">
        <v>37.299999999999997</v>
      </c>
      <c r="AN3" s="16">
        <v>42</v>
      </c>
      <c r="AP3" s="16">
        <v>5</v>
      </c>
      <c r="AQ3" s="16">
        <v>16</v>
      </c>
      <c r="AR3" s="16">
        <v>2.5</v>
      </c>
      <c r="AS3" s="16">
        <v>0.4</v>
      </c>
      <c r="AT3" s="16">
        <v>1.2</v>
      </c>
      <c r="AV3" s="16">
        <v>0.4</v>
      </c>
      <c r="BC3" s="17">
        <f t="shared" si="0"/>
        <v>148.05000000000001</v>
      </c>
      <c r="BD3" s="17">
        <f>AG3*Factors!AG$6+AF3*Factors!AF$6+AH3*Factors!AH$6</f>
        <v>-4.0000861834537336</v>
      </c>
      <c r="BE3" s="18">
        <f t="shared" si="1"/>
        <v>144.04991381654628</v>
      </c>
    </row>
    <row r="4" spans="1:57" x14ac:dyDescent="0.35">
      <c r="A4" s="13" t="s">
        <v>129</v>
      </c>
      <c r="B4" s="15" t="s">
        <v>130</v>
      </c>
      <c r="C4" s="16">
        <v>2</v>
      </c>
      <c r="H4" s="16">
        <v>0.2</v>
      </c>
      <c r="J4" s="16">
        <v>0.5</v>
      </c>
      <c r="O4" s="16">
        <v>0.6</v>
      </c>
      <c r="R4" s="16">
        <v>0.3</v>
      </c>
      <c r="AA4" s="16">
        <v>36</v>
      </c>
      <c r="AI4" s="16">
        <v>3</v>
      </c>
      <c r="AJ4" s="16">
        <v>5</v>
      </c>
      <c r="AL4" s="16">
        <v>52</v>
      </c>
      <c r="AM4" s="16">
        <v>0.1</v>
      </c>
      <c r="AN4" s="16">
        <v>0.3</v>
      </c>
      <c r="AP4" s="16">
        <v>0.1</v>
      </c>
      <c r="AQ4" s="16">
        <v>0.5</v>
      </c>
      <c r="AR4" s="16">
        <v>1</v>
      </c>
      <c r="AS4" s="16">
        <v>0.2</v>
      </c>
      <c r="AT4" s="16">
        <v>4.5</v>
      </c>
      <c r="AU4" s="16">
        <v>1</v>
      </c>
      <c r="AV4" s="16">
        <v>7</v>
      </c>
      <c r="AW4" s="16">
        <v>1.8</v>
      </c>
      <c r="AX4" s="16">
        <v>5.5</v>
      </c>
      <c r="AY4" s="16">
        <v>1</v>
      </c>
      <c r="AZ4" s="16">
        <v>7</v>
      </c>
      <c r="BA4" s="16">
        <v>1.5</v>
      </c>
      <c r="BC4" s="17">
        <f t="shared" si="0"/>
        <v>131.09999999999997</v>
      </c>
      <c r="BD4" s="17">
        <f>AG4*Factors!AG$6+AF4*Factors!AF$6+AH4*Factors!AH$6</f>
        <v>0</v>
      </c>
      <c r="BE4" s="18">
        <f t="shared" si="1"/>
        <v>131.09999999999997</v>
      </c>
    </row>
    <row r="5" spans="1:57" x14ac:dyDescent="0.35">
      <c r="A5" s="13" t="s">
        <v>131</v>
      </c>
      <c r="B5" s="15" t="s">
        <v>132</v>
      </c>
      <c r="C5" s="16">
        <v>0.5</v>
      </c>
      <c r="J5" s="16">
        <v>0.3</v>
      </c>
      <c r="O5" s="16">
        <v>12</v>
      </c>
      <c r="P5" s="16">
        <v>1</v>
      </c>
      <c r="Q5" s="16">
        <v>0.5</v>
      </c>
      <c r="S5" s="16">
        <v>0.2</v>
      </c>
      <c r="AD5" s="16">
        <v>25.5</v>
      </c>
      <c r="AF5" s="16">
        <v>7.5</v>
      </c>
      <c r="AI5" s="16">
        <v>1.5</v>
      </c>
      <c r="AJ5" s="16">
        <v>0.05</v>
      </c>
      <c r="AL5" s="16">
        <v>2</v>
      </c>
      <c r="AM5" s="16">
        <v>20</v>
      </c>
      <c r="AN5" s="16">
        <v>33</v>
      </c>
      <c r="AP5" s="16">
        <v>4</v>
      </c>
      <c r="AQ5" s="16">
        <v>13.5</v>
      </c>
      <c r="AR5" s="16">
        <v>2.5</v>
      </c>
      <c r="AS5" s="16">
        <v>0.5</v>
      </c>
      <c r="AT5" s="16">
        <v>1.5</v>
      </c>
      <c r="AV5" s="16">
        <v>0.6</v>
      </c>
      <c r="BC5" s="17">
        <f t="shared" si="0"/>
        <v>126.64999999999999</v>
      </c>
      <c r="BD5" s="17">
        <f>AG5*Factors!AG$6+AF5*Factors!AF$6+AH5*Factors!AH$6</f>
        <v>-3.1579627764108422</v>
      </c>
      <c r="BE5" s="18">
        <f t="shared" si="1"/>
        <v>123.49203722358915</v>
      </c>
    </row>
    <row r="6" spans="1:57" x14ac:dyDescent="0.35">
      <c r="A6" s="13" t="s">
        <v>133</v>
      </c>
      <c r="B6" s="15" t="s">
        <v>134</v>
      </c>
      <c r="C6" s="16">
        <v>1</v>
      </c>
      <c r="J6" s="16">
        <v>0.5</v>
      </c>
      <c r="O6" s="16">
        <v>19.5</v>
      </c>
      <c r="P6" s="16">
        <v>1</v>
      </c>
      <c r="AD6" s="16">
        <v>29</v>
      </c>
      <c r="AF6" s="16">
        <v>6.5</v>
      </c>
      <c r="AI6" s="16">
        <v>2</v>
      </c>
      <c r="AJ6" s="16">
        <v>0.1</v>
      </c>
      <c r="AL6" s="16">
        <v>3</v>
      </c>
      <c r="AM6" s="16">
        <v>17</v>
      </c>
      <c r="AN6" s="16">
        <v>30</v>
      </c>
      <c r="AP6" s="16">
        <v>3.5</v>
      </c>
      <c r="AQ6" s="16">
        <v>13.5</v>
      </c>
      <c r="AR6" s="16">
        <v>2.5</v>
      </c>
      <c r="AS6" s="16">
        <v>0.5</v>
      </c>
      <c r="AT6" s="16">
        <v>2</v>
      </c>
      <c r="AV6" s="16">
        <v>0.8</v>
      </c>
      <c r="BC6" s="17">
        <f t="shared" si="0"/>
        <v>132.4</v>
      </c>
      <c r="BD6" s="17">
        <f>AG6*Factors!AG$6+AF6*Factors!AF$6+AH6*Factors!AH$6</f>
        <v>-2.7369010728893963</v>
      </c>
      <c r="BE6" s="18">
        <f t="shared" si="1"/>
        <v>129.66309892711061</v>
      </c>
    </row>
    <row r="7" spans="1:57" x14ac:dyDescent="0.35">
      <c r="A7" s="13" t="s">
        <v>135</v>
      </c>
      <c r="B7" s="15" t="s">
        <v>136</v>
      </c>
      <c r="C7" s="16">
        <v>35</v>
      </c>
      <c r="D7" s="16">
        <v>2.5</v>
      </c>
      <c r="H7" s="16">
        <v>22</v>
      </c>
      <c r="I7" s="16">
        <v>12</v>
      </c>
      <c r="J7" s="16">
        <v>15</v>
      </c>
      <c r="K7" s="16">
        <v>3</v>
      </c>
      <c r="L7" s="16"/>
      <c r="M7" s="16"/>
      <c r="N7" s="16">
        <v>3</v>
      </c>
      <c r="O7" s="16">
        <v>16</v>
      </c>
      <c r="S7" s="16">
        <v>0.3</v>
      </c>
      <c r="AA7" s="16">
        <v>0.1</v>
      </c>
      <c r="AE7" s="16">
        <v>3</v>
      </c>
      <c r="AF7" s="16">
        <v>0.5</v>
      </c>
      <c r="AI7" s="16">
        <v>3.5</v>
      </c>
      <c r="AJ7" s="16">
        <v>0.5</v>
      </c>
      <c r="AL7" s="16">
        <v>3</v>
      </c>
      <c r="AM7" s="16">
        <v>13</v>
      </c>
      <c r="AN7" s="16">
        <v>17</v>
      </c>
      <c r="AP7" s="16">
        <v>2.2999999999999998</v>
      </c>
      <c r="AQ7" s="16">
        <v>7</v>
      </c>
      <c r="AR7" s="16">
        <v>1.2</v>
      </c>
      <c r="AS7" s="16">
        <v>0.1</v>
      </c>
      <c r="AT7" s="16">
        <v>0.7</v>
      </c>
      <c r="AU7" s="16">
        <v>0.1</v>
      </c>
      <c r="AV7" s="16">
        <v>0.6</v>
      </c>
      <c r="AW7" s="16">
        <v>0.12</v>
      </c>
      <c r="AX7" s="16">
        <v>0.35</v>
      </c>
      <c r="AY7" s="16">
        <v>0.05</v>
      </c>
      <c r="AZ7" s="16">
        <v>0.3</v>
      </c>
      <c r="BA7" s="16">
        <v>0.05</v>
      </c>
      <c r="BC7" s="17">
        <f t="shared" si="0"/>
        <v>162.26999999999998</v>
      </c>
      <c r="BD7" s="17">
        <f>AG7*Factors!AG$6+AF7*Factors!AF$6+AH7*Factors!AH$6</f>
        <v>-0.21053085176072281</v>
      </c>
      <c r="BE7" s="18">
        <f t="shared" si="1"/>
        <v>162.05946914823926</v>
      </c>
    </row>
    <row r="8" spans="1:57" x14ac:dyDescent="0.35">
      <c r="A8" s="13" t="s">
        <v>137</v>
      </c>
      <c r="B8" s="15" t="s">
        <v>138</v>
      </c>
      <c r="C8" s="16">
        <v>1.5</v>
      </c>
      <c r="J8" s="16">
        <v>0.6</v>
      </c>
      <c r="K8" s="16">
        <v>0.5</v>
      </c>
      <c r="L8" s="16"/>
      <c r="M8" s="16"/>
      <c r="O8" s="16">
        <v>56</v>
      </c>
      <c r="P8" s="16">
        <v>3</v>
      </c>
      <c r="S8" s="16">
        <v>0.6</v>
      </c>
      <c r="AA8" s="16">
        <v>42.5</v>
      </c>
      <c r="AC8" s="16">
        <v>0.8</v>
      </c>
      <c r="AD8" s="16">
        <v>1.5</v>
      </c>
      <c r="AE8" s="16">
        <v>0.5</v>
      </c>
      <c r="AF8" s="16">
        <v>4</v>
      </c>
      <c r="AG8" s="16">
        <v>1</v>
      </c>
      <c r="AH8" s="16"/>
      <c r="AI8" s="16">
        <v>0.05</v>
      </c>
      <c r="AJ8" s="16">
        <v>0.02</v>
      </c>
      <c r="AL8" s="16">
        <v>0.5</v>
      </c>
      <c r="AM8" s="16">
        <v>1</v>
      </c>
      <c r="AN8" s="16">
        <v>1.5</v>
      </c>
      <c r="AP8" s="16">
        <v>0.2</v>
      </c>
      <c r="AQ8" s="16">
        <v>0.8</v>
      </c>
      <c r="AR8" s="16">
        <v>0.15</v>
      </c>
      <c r="AS8" s="16">
        <v>0.03</v>
      </c>
      <c r="AT8" s="16">
        <v>0.15</v>
      </c>
      <c r="AV8" s="16">
        <v>0.1</v>
      </c>
      <c r="AX8" s="16">
        <v>0.05</v>
      </c>
      <c r="AZ8" s="16">
        <v>0.03</v>
      </c>
      <c r="BC8" s="17">
        <f t="shared" si="0"/>
        <v>117.08</v>
      </c>
      <c r="BD8" s="17">
        <f>AG8*Factors!AG$6+AF8*Factors!AF$6+AH8*Factors!AH$6</f>
        <v>-1.9099026674003099</v>
      </c>
      <c r="BE8" s="18">
        <f t="shared" si="1"/>
        <v>115.17009733259968</v>
      </c>
    </row>
    <row r="9" spans="1:57" x14ac:dyDescent="0.35">
      <c r="A9" s="13" t="s">
        <v>139</v>
      </c>
      <c r="B9" s="15" t="s">
        <v>140</v>
      </c>
      <c r="C9" s="16">
        <v>2</v>
      </c>
      <c r="H9" s="16">
        <v>33</v>
      </c>
      <c r="I9" s="16">
        <v>4</v>
      </c>
      <c r="O9" s="16">
        <v>4</v>
      </c>
      <c r="P9" s="16">
        <v>5</v>
      </c>
      <c r="Q9" s="16">
        <v>2</v>
      </c>
      <c r="AA9" s="16">
        <v>29</v>
      </c>
      <c r="AC9" s="16">
        <v>3</v>
      </c>
      <c r="AE9" s="16">
        <v>13</v>
      </c>
      <c r="AF9" s="16">
        <v>1.6</v>
      </c>
      <c r="AI9" s="16">
        <v>3</v>
      </c>
      <c r="AL9" s="16">
        <v>3</v>
      </c>
      <c r="AM9" s="16">
        <v>12</v>
      </c>
      <c r="AN9" s="16">
        <v>20</v>
      </c>
      <c r="AP9" s="16">
        <v>2.5</v>
      </c>
      <c r="AQ9" s="16">
        <v>8</v>
      </c>
      <c r="AR9" s="16">
        <v>2</v>
      </c>
      <c r="AS9" s="16">
        <v>0.3</v>
      </c>
      <c r="AT9" s="16">
        <v>1</v>
      </c>
      <c r="AV9" s="16">
        <v>0.3</v>
      </c>
      <c r="BC9" s="17">
        <f t="shared" si="0"/>
        <v>148.70000000000002</v>
      </c>
      <c r="BD9" s="17">
        <f>AG9*Factors!AG$6+AF9*Factors!AF$6+AH9*Factors!AH$6</f>
        <v>-0.67369872563431299</v>
      </c>
      <c r="BE9" s="18">
        <f t="shared" si="1"/>
        <v>148.02630127436569</v>
      </c>
    </row>
    <row r="10" spans="1:57" x14ac:dyDescent="0.35">
      <c r="A10" s="13" t="s">
        <v>141</v>
      </c>
      <c r="B10" s="15" t="s">
        <v>142</v>
      </c>
      <c r="C10" s="16">
        <v>2</v>
      </c>
      <c r="E10" s="16">
        <v>0.7</v>
      </c>
      <c r="J10" s="16">
        <v>3</v>
      </c>
      <c r="O10" s="16">
        <v>2.5</v>
      </c>
      <c r="X10" s="16">
        <v>2</v>
      </c>
      <c r="Y10" s="16">
        <v>0.7</v>
      </c>
      <c r="AA10" s="16">
        <v>2</v>
      </c>
      <c r="AE10" s="16">
        <v>3</v>
      </c>
      <c r="AI10" s="16">
        <v>8</v>
      </c>
      <c r="AL10" s="16">
        <v>1.5</v>
      </c>
      <c r="AM10" s="16">
        <v>3</v>
      </c>
      <c r="AO10" s="16">
        <v>98</v>
      </c>
      <c r="AP10" s="16">
        <v>1</v>
      </c>
      <c r="AQ10" s="16">
        <v>4</v>
      </c>
      <c r="AZ10" s="16">
        <v>1.2</v>
      </c>
      <c r="BC10" s="17">
        <f t="shared" si="0"/>
        <v>132.6</v>
      </c>
      <c r="BD10" s="17">
        <f>AG10*Factors!AG$6+AF10*Factors!AF$6+AH10*Factors!AH$6</f>
        <v>0</v>
      </c>
      <c r="BE10" s="18">
        <f t="shared" si="1"/>
        <v>132.6</v>
      </c>
    </row>
    <row r="11" spans="1:57" x14ac:dyDescent="0.35">
      <c r="A11" s="13" t="s">
        <v>143</v>
      </c>
      <c r="B11" s="15" t="s">
        <v>144</v>
      </c>
      <c r="C11" s="16">
        <v>2.9</v>
      </c>
      <c r="D11" s="16">
        <v>10</v>
      </c>
      <c r="E11" s="16">
        <v>6.3</v>
      </c>
      <c r="H11" s="16">
        <v>0.1</v>
      </c>
      <c r="J11" s="16">
        <v>2.5</v>
      </c>
      <c r="K11" s="16">
        <v>1</v>
      </c>
      <c r="L11" s="16"/>
      <c r="M11" s="16"/>
      <c r="N11" s="16">
        <v>0.3</v>
      </c>
      <c r="O11" s="16">
        <v>18</v>
      </c>
      <c r="P11" s="16">
        <v>4</v>
      </c>
      <c r="Q11" s="16">
        <v>2.2999999999999998</v>
      </c>
      <c r="R11" s="16">
        <v>0.5</v>
      </c>
      <c r="S11" s="16">
        <v>8.1999999999999993</v>
      </c>
      <c r="T11" s="16">
        <v>0.1</v>
      </c>
      <c r="U11" s="16"/>
      <c r="V11" s="16"/>
      <c r="X11" s="16">
        <v>69</v>
      </c>
      <c r="Y11" s="16">
        <v>6.5</v>
      </c>
      <c r="AE11" s="16">
        <v>3</v>
      </c>
      <c r="AF11" s="16">
        <v>5</v>
      </c>
      <c r="AI11" s="16">
        <v>5.7</v>
      </c>
      <c r="AJ11" s="16">
        <v>5</v>
      </c>
      <c r="AL11" s="16">
        <v>0.5</v>
      </c>
      <c r="AM11" s="16">
        <v>2.5</v>
      </c>
      <c r="AN11" s="16">
        <v>7.5</v>
      </c>
      <c r="AP11" s="16">
        <v>0.6</v>
      </c>
      <c r="AQ11" s="16">
        <v>2.2999999999999998</v>
      </c>
      <c r="AR11" s="16">
        <v>0.4</v>
      </c>
      <c r="BC11" s="17">
        <f t="shared" si="0"/>
        <v>164.2</v>
      </c>
      <c r="BD11" s="17">
        <f>AG11*Factors!AG$6+AF11*Factors!AF$6+AH11*Factors!AH$6</f>
        <v>-2.1053085176072281</v>
      </c>
      <c r="BE11" s="18">
        <f t="shared" si="1"/>
        <v>162.09469148239276</v>
      </c>
    </row>
    <row r="12" spans="1:57" x14ac:dyDescent="0.35">
      <c r="A12" s="13" t="s">
        <v>145</v>
      </c>
      <c r="B12" s="15" t="s">
        <v>146</v>
      </c>
      <c r="J12" s="16">
        <v>0.4</v>
      </c>
      <c r="O12" s="16">
        <v>5</v>
      </c>
      <c r="P12" s="16">
        <v>27</v>
      </c>
      <c r="Q12" s="16">
        <v>1.5</v>
      </c>
      <c r="AD12" s="16">
        <v>24.5</v>
      </c>
      <c r="AE12" s="16">
        <v>7.5</v>
      </c>
      <c r="AF12" s="16">
        <v>2.2000000000000002</v>
      </c>
      <c r="AI12" s="16">
        <v>1.5</v>
      </c>
      <c r="AL12" s="16">
        <v>0.5</v>
      </c>
      <c r="AM12" s="16">
        <v>20</v>
      </c>
      <c r="AN12" s="16">
        <v>27</v>
      </c>
      <c r="AP12" s="16">
        <v>3</v>
      </c>
      <c r="AQ12" s="16">
        <v>10</v>
      </c>
      <c r="AR12" s="16">
        <v>1</v>
      </c>
      <c r="AT12" s="16">
        <v>0.5</v>
      </c>
      <c r="BC12" s="17">
        <f t="shared" si="0"/>
        <v>131.60000000000002</v>
      </c>
      <c r="BD12" s="17">
        <f>AG12*Factors!AG$6+AF12*Factors!AF$6+AH12*Factors!AH$6</f>
        <v>-0.92633574774718042</v>
      </c>
      <c r="BE12" s="18">
        <f t="shared" si="1"/>
        <v>130.67366425225285</v>
      </c>
    </row>
    <row r="13" spans="1:57" x14ac:dyDescent="0.35">
      <c r="A13" s="13" t="s">
        <v>147</v>
      </c>
      <c r="B13" s="15" t="s">
        <v>148</v>
      </c>
      <c r="C13" s="16">
        <v>75</v>
      </c>
      <c r="D13" s="16">
        <v>0.8</v>
      </c>
      <c r="H13" s="16">
        <v>32</v>
      </c>
      <c r="I13" s="16">
        <v>7</v>
      </c>
      <c r="K13" s="16">
        <v>0.35</v>
      </c>
      <c r="L13" s="16"/>
      <c r="M13" s="16"/>
      <c r="N13" s="16">
        <v>1.3</v>
      </c>
      <c r="O13" s="16">
        <v>0.5</v>
      </c>
      <c r="S13" s="16">
        <v>2.5</v>
      </c>
      <c r="T13" s="16">
        <v>6</v>
      </c>
      <c r="U13" s="16"/>
      <c r="V13" s="16"/>
      <c r="AA13" s="16">
        <v>0.08</v>
      </c>
      <c r="AE13" s="16">
        <v>14</v>
      </c>
      <c r="AL13" s="16">
        <v>0.33</v>
      </c>
      <c r="AM13" s="16">
        <v>0.22</v>
      </c>
      <c r="AN13" s="16">
        <v>0.05</v>
      </c>
      <c r="AP13" s="16">
        <v>4.4999999999999998E-2</v>
      </c>
      <c r="AQ13" s="16">
        <v>0.16</v>
      </c>
      <c r="AR13" s="16">
        <v>0.02</v>
      </c>
      <c r="AS13" s="16">
        <v>2.5000000000000001E-3</v>
      </c>
      <c r="AT13" s="16">
        <v>3.5000000000000003E-2</v>
      </c>
      <c r="AU13" s="16">
        <v>6.4999999999999997E-3</v>
      </c>
      <c r="AV13" s="16">
        <v>3.4000000000000002E-2</v>
      </c>
      <c r="AW13" s="16">
        <v>8.0000000000000002E-3</v>
      </c>
      <c r="AX13" s="16">
        <v>2.5000000000000001E-2</v>
      </c>
      <c r="AY13" s="16">
        <v>3.5000000000000001E-3</v>
      </c>
      <c r="AZ13" s="16">
        <v>1.2500000000000001E-2</v>
      </c>
      <c r="BA13" s="16">
        <v>2E-3</v>
      </c>
      <c r="BC13" s="17">
        <f t="shared" si="0"/>
        <v>140.48399999999998</v>
      </c>
      <c r="BD13" s="17">
        <f>AG13*Factors!AG$6+AF13*Factors!AF$6+AH13*Factors!AH$6</f>
        <v>0</v>
      </c>
      <c r="BE13" s="18">
        <f t="shared" si="1"/>
        <v>140.48399999999998</v>
      </c>
    </row>
    <row r="14" spans="1:57" x14ac:dyDescent="0.35">
      <c r="A14" s="13" t="s">
        <v>149</v>
      </c>
      <c r="B14" s="15" t="s">
        <v>150</v>
      </c>
      <c r="C14" s="16">
        <v>22</v>
      </c>
      <c r="H14" s="16">
        <v>0.5</v>
      </c>
      <c r="J14" s="16">
        <v>1</v>
      </c>
      <c r="K14" s="16">
        <v>0.5</v>
      </c>
      <c r="L14" s="16"/>
      <c r="M14" s="16"/>
      <c r="O14" s="16">
        <v>22</v>
      </c>
      <c r="P14" s="16">
        <v>3</v>
      </c>
      <c r="S14" s="16">
        <v>2</v>
      </c>
      <c r="AA14" s="16">
        <v>12</v>
      </c>
      <c r="AE14" s="16">
        <v>1.5</v>
      </c>
      <c r="AF14" s="16">
        <v>2.5</v>
      </c>
      <c r="AG14" s="16">
        <v>0.3</v>
      </c>
      <c r="AH14" s="16"/>
      <c r="AI14" s="16">
        <v>10</v>
      </c>
      <c r="AJ14" s="16">
        <v>1.5</v>
      </c>
      <c r="AL14" s="16">
        <v>5</v>
      </c>
      <c r="AM14" s="16">
        <v>17</v>
      </c>
      <c r="AN14" s="16">
        <v>33</v>
      </c>
      <c r="AP14" s="16">
        <v>4</v>
      </c>
      <c r="AQ14" s="16">
        <v>13</v>
      </c>
      <c r="AR14" s="16">
        <v>2.5</v>
      </c>
      <c r="AS14" s="16">
        <v>0.4</v>
      </c>
      <c r="AT14" s="16">
        <v>2</v>
      </c>
      <c r="AV14" s="16">
        <v>1</v>
      </c>
      <c r="AX14" s="16">
        <v>0.5</v>
      </c>
      <c r="AZ14" s="16">
        <v>0.3</v>
      </c>
      <c r="BC14" s="17">
        <f t="shared" si="0"/>
        <v>157.50000000000003</v>
      </c>
      <c r="BD14" s="17">
        <f>AG14*Factors!AG$6+AF14*Factors!AF$6+AH14*Factors!AH$6</f>
        <v>-1.1203510147979723</v>
      </c>
      <c r="BE14" s="18">
        <f t="shared" si="1"/>
        <v>156.37964898520207</v>
      </c>
    </row>
    <row r="15" spans="1:57" x14ac:dyDescent="0.35">
      <c r="A15" s="13" t="s">
        <v>151</v>
      </c>
      <c r="B15" s="15" t="s">
        <v>152</v>
      </c>
      <c r="C15" s="16">
        <v>0.5</v>
      </c>
      <c r="H15" s="16">
        <v>1</v>
      </c>
      <c r="I15" s="16">
        <v>1.5</v>
      </c>
      <c r="O15" s="16">
        <v>2</v>
      </c>
      <c r="AA15" s="16">
        <v>33</v>
      </c>
      <c r="AE15" s="16">
        <v>17</v>
      </c>
      <c r="AL15" s="16">
        <v>50</v>
      </c>
      <c r="AM15" s="16">
        <v>4</v>
      </c>
      <c r="AN15" s="16">
        <v>1.5</v>
      </c>
      <c r="AP15" s="16">
        <v>0.5</v>
      </c>
      <c r="AQ15" s="16">
        <v>4</v>
      </c>
      <c r="AR15" s="16">
        <v>1</v>
      </c>
      <c r="AS15" s="16">
        <v>0.3</v>
      </c>
      <c r="AT15" s="16">
        <v>4</v>
      </c>
      <c r="AU15" s="16">
        <v>0.8</v>
      </c>
      <c r="AV15" s="16">
        <v>5</v>
      </c>
      <c r="AW15" s="16">
        <v>1.2</v>
      </c>
      <c r="AX15" s="16">
        <v>4</v>
      </c>
      <c r="AY15" s="16">
        <v>0.6</v>
      </c>
      <c r="AZ15" s="16">
        <v>4</v>
      </c>
      <c r="BA15" s="16">
        <v>0.6</v>
      </c>
      <c r="BC15" s="17">
        <f t="shared" si="0"/>
        <v>136.5</v>
      </c>
      <c r="BD15" s="17">
        <f>AG15*Factors!AG$6+AF15*Factors!AF$6+AH15*Factors!AH$6</f>
        <v>0</v>
      </c>
      <c r="BE15" s="18">
        <f t="shared" si="1"/>
        <v>136.5</v>
      </c>
    </row>
    <row r="16" spans="1:57" x14ac:dyDescent="0.35">
      <c r="A16" s="13" t="s">
        <v>153</v>
      </c>
      <c r="B16" s="15" t="s">
        <v>154</v>
      </c>
      <c r="C16" s="16">
        <v>4</v>
      </c>
      <c r="H16" s="16">
        <v>2</v>
      </c>
      <c r="I16" s="16">
        <v>1.5</v>
      </c>
      <c r="O16" s="16">
        <v>4</v>
      </c>
      <c r="P16" s="16">
        <v>1</v>
      </c>
      <c r="R16" s="16">
        <v>0.2</v>
      </c>
      <c r="AA16" s="16">
        <v>30</v>
      </c>
      <c r="AE16" s="16">
        <v>9</v>
      </c>
      <c r="AI16" s="16">
        <v>8</v>
      </c>
      <c r="AJ16" s="16">
        <v>0.5</v>
      </c>
      <c r="AL16" s="16">
        <v>4</v>
      </c>
      <c r="AM16" s="16">
        <v>20</v>
      </c>
      <c r="AN16" s="16">
        <v>35</v>
      </c>
      <c r="AP16" s="16">
        <v>4</v>
      </c>
      <c r="AQ16" s="16">
        <v>21</v>
      </c>
      <c r="AR16" s="16">
        <v>4</v>
      </c>
      <c r="AS16" s="16">
        <v>1.8</v>
      </c>
      <c r="AT16" s="16">
        <v>3.5</v>
      </c>
      <c r="AU16" s="16">
        <v>0.4</v>
      </c>
      <c r="AV16" s="16">
        <v>1.7</v>
      </c>
      <c r="AW16" s="16">
        <v>0.4</v>
      </c>
      <c r="AX16" s="16">
        <v>1.1000000000000001</v>
      </c>
      <c r="AY16" s="16">
        <v>0.5</v>
      </c>
      <c r="AZ16" s="16">
        <v>0.5</v>
      </c>
      <c r="BA16" s="16">
        <v>0.1</v>
      </c>
      <c r="BC16" s="17">
        <f t="shared" si="0"/>
        <v>158.19999999999999</v>
      </c>
      <c r="BD16" s="17">
        <f>AG16*Factors!AG$6+AF16*Factors!AF$6+AH16*Factors!AH$6</f>
        <v>0</v>
      </c>
      <c r="BE16" s="18">
        <f t="shared" si="1"/>
        <v>158.19999999999999</v>
      </c>
    </row>
    <row r="17" spans="1:57" x14ac:dyDescent="0.35">
      <c r="A17" s="13" t="s">
        <v>155</v>
      </c>
      <c r="B17" s="15" t="s">
        <v>156</v>
      </c>
      <c r="C17" s="16">
        <v>0.5</v>
      </c>
      <c r="I17" s="16">
        <v>0.3</v>
      </c>
      <c r="O17" s="16">
        <v>1</v>
      </c>
      <c r="AF17" s="16">
        <v>29.5</v>
      </c>
      <c r="AI17" s="16">
        <v>2</v>
      </c>
      <c r="AL17" s="16">
        <v>1</v>
      </c>
      <c r="AM17" s="16">
        <v>33</v>
      </c>
      <c r="AN17" s="16">
        <v>55</v>
      </c>
      <c r="AP17" s="16">
        <v>5.5</v>
      </c>
      <c r="AQ17" s="16">
        <v>14</v>
      </c>
      <c r="AR17" s="16">
        <v>2</v>
      </c>
      <c r="AS17" s="16">
        <v>0.2</v>
      </c>
      <c r="AT17" s="16">
        <v>1</v>
      </c>
      <c r="BC17" s="17">
        <f t="shared" si="0"/>
        <v>145</v>
      </c>
      <c r="BD17" s="17">
        <f>AG17*Factors!AG$6+AF17*Factors!AF$6+AH17*Factors!AH$6</f>
        <v>-12.421320253882646</v>
      </c>
      <c r="BE17" s="18">
        <f t="shared" si="1"/>
        <v>132.57867974611736</v>
      </c>
    </row>
    <row r="18" spans="1:57" x14ac:dyDescent="0.35">
      <c r="A18" s="13" t="s">
        <v>157</v>
      </c>
      <c r="B18" s="15" t="s">
        <v>158</v>
      </c>
      <c r="C18" s="16">
        <v>24</v>
      </c>
      <c r="D18" s="16">
        <v>0.1</v>
      </c>
      <c r="H18" s="16">
        <v>1.5</v>
      </c>
      <c r="I18" s="16">
        <v>4</v>
      </c>
      <c r="K18" s="16">
        <v>0.3</v>
      </c>
      <c r="L18" s="16"/>
      <c r="M18" s="16"/>
      <c r="N18" s="16">
        <v>2.5</v>
      </c>
      <c r="O18" s="16">
        <v>6</v>
      </c>
      <c r="P18" s="16">
        <v>2</v>
      </c>
      <c r="Q18" s="16">
        <v>0.5</v>
      </c>
      <c r="S18" s="16">
        <v>0.3</v>
      </c>
      <c r="T18" s="16">
        <v>0.2</v>
      </c>
      <c r="U18" s="16"/>
      <c r="V18" s="16"/>
      <c r="AA18" s="16">
        <v>1</v>
      </c>
      <c r="AC18" s="16">
        <v>0.2</v>
      </c>
      <c r="AE18" s="16">
        <v>3.5</v>
      </c>
      <c r="AF18" s="16">
        <v>0.8</v>
      </c>
      <c r="AI18" s="16">
        <v>1</v>
      </c>
      <c r="AL18" s="16">
        <v>1.5</v>
      </c>
      <c r="AM18" s="16">
        <v>38</v>
      </c>
      <c r="AN18" s="16">
        <v>38</v>
      </c>
      <c r="AP18" s="16">
        <v>4</v>
      </c>
      <c r="AQ18" s="16">
        <v>13</v>
      </c>
      <c r="AR18" s="16">
        <v>2</v>
      </c>
      <c r="AS18" s="16">
        <v>0.2</v>
      </c>
      <c r="AT18" s="16">
        <v>1.2</v>
      </c>
      <c r="AU18" s="16">
        <v>0.1</v>
      </c>
      <c r="AV18" s="16">
        <v>0.5</v>
      </c>
      <c r="AX18" s="16">
        <v>0.2</v>
      </c>
      <c r="AZ18" s="16">
        <v>0.1</v>
      </c>
      <c r="BC18" s="17">
        <f t="shared" si="0"/>
        <v>146.69999999999996</v>
      </c>
      <c r="BD18" s="17">
        <f>AG18*Factors!AG$6+AF18*Factors!AF$6+AH18*Factors!AH$6</f>
        <v>-0.33684936281715649</v>
      </c>
      <c r="BE18" s="18">
        <f t="shared" si="1"/>
        <v>146.3631506371828</v>
      </c>
    </row>
    <row r="19" spans="1:57" x14ac:dyDescent="0.35">
      <c r="A19" s="13" t="s">
        <v>159</v>
      </c>
      <c r="B19" s="15" t="s">
        <v>160</v>
      </c>
      <c r="C19" s="16">
        <v>53</v>
      </c>
      <c r="D19" s="16">
        <v>1.5</v>
      </c>
      <c r="E19" s="16">
        <v>16</v>
      </c>
      <c r="F19" s="16">
        <v>0.5</v>
      </c>
      <c r="H19" s="16">
        <v>0.5</v>
      </c>
      <c r="I19" s="16">
        <v>1</v>
      </c>
      <c r="J19" s="16">
        <v>7</v>
      </c>
      <c r="K19" s="16">
        <v>5</v>
      </c>
      <c r="L19" s="16"/>
      <c r="M19" s="16"/>
      <c r="N19" s="16">
        <v>0.3</v>
      </c>
      <c r="O19" s="16">
        <v>12</v>
      </c>
      <c r="P19" s="16">
        <v>3.5</v>
      </c>
      <c r="Q19" s="16">
        <v>0.7</v>
      </c>
      <c r="S19" s="16">
        <v>17.5</v>
      </c>
      <c r="T19" s="16">
        <v>1.4</v>
      </c>
      <c r="U19" s="16"/>
      <c r="V19" s="16"/>
      <c r="X19" s="16">
        <v>3</v>
      </c>
      <c r="AC19" s="16">
        <v>0.6</v>
      </c>
      <c r="AE19" s="16">
        <v>2.5</v>
      </c>
      <c r="AF19" s="16">
        <v>0.3</v>
      </c>
      <c r="AG19" s="16">
        <v>1.9</v>
      </c>
      <c r="AH19" s="16"/>
      <c r="AI19" s="16">
        <v>0.1</v>
      </c>
      <c r="AJ19" s="16">
        <v>0.16</v>
      </c>
      <c r="AL19" s="16">
        <v>3.5</v>
      </c>
      <c r="AM19" s="16">
        <v>2.5</v>
      </c>
      <c r="AN19" s="16">
        <v>3.5</v>
      </c>
      <c r="AP19" s="16">
        <v>0.5</v>
      </c>
      <c r="AQ19" s="16">
        <v>1.5</v>
      </c>
      <c r="AR19" s="16">
        <v>0.3</v>
      </c>
      <c r="AS19" s="16">
        <v>0.1</v>
      </c>
      <c r="AT19" s="16">
        <v>0.35</v>
      </c>
      <c r="AU19" s="16">
        <v>0.05</v>
      </c>
      <c r="AV19" s="16">
        <v>0.35</v>
      </c>
      <c r="AW19" s="16">
        <v>7.0000000000000007E-2</v>
      </c>
      <c r="AX19" s="16">
        <v>0.25</v>
      </c>
      <c r="AY19" s="16">
        <v>0.04</v>
      </c>
      <c r="AZ19" s="16">
        <v>0.3</v>
      </c>
      <c r="BA19" s="16">
        <v>0.05</v>
      </c>
      <c r="BC19" s="17">
        <f t="shared" si="0"/>
        <v>141.82</v>
      </c>
      <c r="BD19" s="17">
        <f>AG19*Factors!AG$6+AF19*Factors!AF$6+AH19*Factors!AH$6</f>
        <v>-0.55506463235403591</v>
      </c>
      <c r="BE19" s="18">
        <f t="shared" si="1"/>
        <v>141.26493536764596</v>
      </c>
    </row>
    <row r="20" spans="1:57" x14ac:dyDescent="0.35">
      <c r="A20" s="13" t="s">
        <v>161</v>
      </c>
      <c r="B20" s="15" t="s">
        <v>162</v>
      </c>
      <c r="C20" s="16">
        <v>26</v>
      </c>
      <c r="I20" s="16">
        <v>3.5</v>
      </c>
      <c r="J20" s="16">
        <v>14</v>
      </c>
      <c r="K20" s="16">
        <v>0.7</v>
      </c>
      <c r="L20" s="16"/>
      <c r="M20" s="16"/>
      <c r="N20" s="16">
        <v>0.5</v>
      </c>
      <c r="O20" s="16">
        <v>3</v>
      </c>
      <c r="S20" s="16">
        <v>0.5</v>
      </c>
      <c r="W20" s="16">
        <v>10.5</v>
      </c>
      <c r="AE20" s="16">
        <v>2</v>
      </c>
      <c r="AI20" s="16">
        <v>1.5</v>
      </c>
      <c r="AJ20" s="16">
        <v>0.5</v>
      </c>
      <c r="AL20" s="16">
        <v>46</v>
      </c>
      <c r="AM20" s="16">
        <v>5</v>
      </c>
      <c r="AN20" s="16">
        <v>11.1</v>
      </c>
      <c r="AP20" s="16">
        <v>1.5</v>
      </c>
      <c r="AQ20" s="16">
        <v>6</v>
      </c>
      <c r="AR20" s="16">
        <v>3</v>
      </c>
      <c r="AS20" s="16">
        <v>0.6</v>
      </c>
      <c r="AT20" s="16">
        <v>4</v>
      </c>
      <c r="AU20" s="16">
        <v>1.1000000000000001</v>
      </c>
      <c r="AV20" s="16">
        <v>6</v>
      </c>
      <c r="AW20" s="16">
        <v>2</v>
      </c>
      <c r="AX20" s="16">
        <v>4.5</v>
      </c>
      <c r="AY20" s="16">
        <v>0.8</v>
      </c>
      <c r="AZ20" s="16">
        <v>4.5</v>
      </c>
      <c r="BA20" s="16">
        <v>0.8</v>
      </c>
      <c r="BC20" s="17">
        <f t="shared" si="0"/>
        <v>159.60000000000002</v>
      </c>
      <c r="BD20" s="17">
        <f>AG20*Factors!AG$6+AF20*Factors!AF$6+AH20*Factors!AH$6</f>
        <v>0</v>
      </c>
      <c r="BE20" s="18">
        <f t="shared" si="1"/>
        <v>159.60000000000002</v>
      </c>
    </row>
    <row r="21" spans="1:57" x14ac:dyDescent="0.35">
      <c r="A21" s="13" t="s">
        <v>163</v>
      </c>
      <c r="B21" s="15" t="s">
        <v>164</v>
      </c>
      <c r="C21" s="16">
        <v>33.5</v>
      </c>
      <c r="E21" s="16">
        <v>67.5</v>
      </c>
      <c r="F21" s="16">
        <v>6</v>
      </c>
      <c r="H21" s="16">
        <v>1</v>
      </c>
      <c r="J21" s="16">
        <v>2</v>
      </c>
      <c r="K21" s="16">
        <v>0.1</v>
      </c>
      <c r="L21" s="16"/>
      <c r="M21" s="16"/>
      <c r="O21" s="16">
        <v>2.5</v>
      </c>
      <c r="R21" s="16">
        <v>0.9</v>
      </c>
      <c r="S21" s="16">
        <v>0.3</v>
      </c>
      <c r="X21" s="16">
        <v>0.5</v>
      </c>
      <c r="AA21" s="16">
        <v>6</v>
      </c>
      <c r="AB21" s="16">
        <v>0.3</v>
      </c>
      <c r="AE21" s="16">
        <v>5</v>
      </c>
      <c r="AF21" s="16">
        <v>1.2</v>
      </c>
      <c r="AI21" s="16">
        <v>1.5</v>
      </c>
      <c r="AJ21" s="16">
        <v>3.5</v>
      </c>
      <c r="AK21" s="16">
        <v>0.5</v>
      </c>
      <c r="AL21" s="16">
        <v>8</v>
      </c>
      <c r="AM21" s="16">
        <v>0.05</v>
      </c>
      <c r="AN21" s="16">
        <v>0.5</v>
      </c>
      <c r="AP21" s="16">
        <v>0.06</v>
      </c>
      <c r="AQ21" s="16">
        <v>0.15</v>
      </c>
      <c r="AR21" s="16">
        <v>0.15</v>
      </c>
      <c r="AS21" s="16">
        <v>0.03</v>
      </c>
      <c r="AT21" s="16">
        <v>0.5</v>
      </c>
      <c r="AU21" s="16">
        <v>0.15</v>
      </c>
      <c r="AV21" s="16">
        <v>1.2</v>
      </c>
      <c r="AW21" s="16">
        <v>0.25</v>
      </c>
      <c r="AX21" s="16">
        <v>1</v>
      </c>
      <c r="AY21" s="16">
        <v>0.2</v>
      </c>
      <c r="AZ21" s="16">
        <v>2.2000000000000002</v>
      </c>
      <c r="BA21" s="16">
        <v>0.35</v>
      </c>
      <c r="BB21" s="16">
        <v>0.15</v>
      </c>
      <c r="BC21" s="17">
        <f t="shared" si="0"/>
        <v>147.24</v>
      </c>
      <c r="BD21" s="17">
        <f>AG21*Factors!AG$6+AF21*Factors!AF$6+AH21*Factors!AH$6</f>
        <v>-0.50527404422573474</v>
      </c>
      <c r="BE21" s="18">
        <f t="shared" si="1"/>
        <v>146.73472595577428</v>
      </c>
    </row>
    <row r="22" spans="1:57" x14ac:dyDescent="0.35">
      <c r="A22" s="13" t="s">
        <v>165</v>
      </c>
      <c r="B22" s="15" t="s">
        <v>166</v>
      </c>
      <c r="C22" s="16">
        <v>0.8</v>
      </c>
      <c r="D22" s="16">
        <v>44</v>
      </c>
      <c r="E22" s="16">
        <v>2.6</v>
      </c>
      <c r="G22" s="16">
        <v>0.2</v>
      </c>
      <c r="I22" s="16">
        <v>6.7</v>
      </c>
      <c r="J22" s="16">
        <v>4.3</v>
      </c>
      <c r="K22" s="16">
        <v>1.25</v>
      </c>
      <c r="L22" s="16"/>
      <c r="M22" s="16"/>
      <c r="O22" s="16">
        <v>3</v>
      </c>
      <c r="X22" s="16">
        <v>30</v>
      </c>
      <c r="Y22" s="16">
        <v>7</v>
      </c>
      <c r="AE22" s="16">
        <v>3.2</v>
      </c>
      <c r="AF22" s="16">
        <v>0.5</v>
      </c>
      <c r="AI22" s="16">
        <v>16</v>
      </c>
      <c r="AJ22" s="16">
        <v>1</v>
      </c>
      <c r="AL22" s="16">
        <v>6.3</v>
      </c>
      <c r="AM22" s="16">
        <v>14.2</v>
      </c>
      <c r="AN22" s="16">
        <v>21.8</v>
      </c>
      <c r="AP22" s="16">
        <v>2.5</v>
      </c>
      <c r="AQ22" s="16">
        <v>17.5</v>
      </c>
      <c r="AR22" s="16">
        <v>3.2</v>
      </c>
      <c r="AS22" s="16">
        <v>1.5</v>
      </c>
      <c r="AT22" s="16">
        <v>3.1</v>
      </c>
      <c r="AV22" s="16">
        <v>1.8</v>
      </c>
      <c r="AX22" s="16">
        <v>0.2</v>
      </c>
      <c r="AZ22" s="16">
        <v>0.2</v>
      </c>
      <c r="BC22" s="17">
        <f t="shared" si="0"/>
        <v>192.84999999999997</v>
      </c>
      <c r="BD22" s="17">
        <f>AG22*Factors!AG$6+AF22*Factors!AF$6+AH22*Factors!AH$6</f>
        <v>-0.21053085176072281</v>
      </c>
      <c r="BE22" s="18">
        <f t="shared" si="1"/>
        <v>192.63946914823924</v>
      </c>
    </row>
    <row r="23" spans="1:57" x14ac:dyDescent="0.35">
      <c r="A23" s="13" t="s">
        <v>167</v>
      </c>
      <c r="B23" s="15" t="s">
        <v>168</v>
      </c>
      <c r="C23" s="16">
        <v>0.8</v>
      </c>
      <c r="D23" s="16">
        <v>24</v>
      </c>
      <c r="E23" s="16">
        <v>0.1</v>
      </c>
      <c r="G23" s="16">
        <v>0.4</v>
      </c>
      <c r="H23" s="16">
        <v>0.15</v>
      </c>
      <c r="I23" s="16">
        <v>1.4</v>
      </c>
      <c r="J23" s="16">
        <v>1</v>
      </c>
      <c r="K23" s="16">
        <v>0.6</v>
      </c>
      <c r="L23" s="16"/>
      <c r="M23" s="16"/>
      <c r="N23" s="16">
        <v>0.15</v>
      </c>
      <c r="O23" s="16">
        <v>4.9000000000000004</v>
      </c>
      <c r="R23" s="16">
        <v>0.6</v>
      </c>
      <c r="S23" s="16">
        <v>0.2</v>
      </c>
      <c r="T23" s="16">
        <v>0.1</v>
      </c>
      <c r="U23" s="16"/>
      <c r="V23" s="16"/>
      <c r="X23" s="16">
        <v>42</v>
      </c>
      <c r="Y23" s="16">
        <v>15</v>
      </c>
      <c r="Z23" s="16">
        <v>0.3</v>
      </c>
      <c r="AE23" s="16">
        <v>3</v>
      </c>
      <c r="AI23" s="16">
        <v>5</v>
      </c>
      <c r="AJ23" s="16">
        <v>12</v>
      </c>
      <c r="AK23" s="16">
        <v>0.1</v>
      </c>
      <c r="AL23" s="16">
        <v>22</v>
      </c>
      <c r="AM23" s="16">
        <v>0.2</v>
      </c>
      <c r="AN23" s="16">
        <v>1.5</v>
      </c>
      <c r="AP23" s="16">
        <v>0.3</v>
      </c>
      <c r="AQ23" s="16">
        <v>1.5</v>
      </c>
      <c r="AR23" s="16">
        <v>1.8</v>
      </c>
      <c r="AS23" s="16">
        <v>0.6</v>
      </c>
      <c r="AT23" s="16">
        <v>2.2000000000000002</v>
      </c>
      <c r="AU23" s="16">
        <v>0.5</v>
      </c>
      <c r="AV23" s="16">
        <v>2.8</v>
      </c>
      <c r="AW23" s="16">
        <v>0.6</v>
      </c>
      <c r="AX23" s="16">
        <v>1.8</v>
      </c>
      <c r="AY23" s="16">
        <v>0.5</v>
      </c>
      <c r="AZ23" s="16">
        <v>2.2000000000000002</v>
      </c>
      <c r="BA23" s="16">
        <v>0.4</v>
      </c>
      <c r="BC23" s="17">
        <f t="shared" si="0"/>
        <v>150.70000000000002</v>
      </c>
      <c r="BD23" s="17">
        <f>AG23*Factors!AG$6+AF23*Factors!AF$6+AH23*Factors!AH$6</f>
        <v>0</v>
      </c>
      <c r="BE23" s="18">
        <f t="shared" si="1"/>
        <v>150.70000000000002</v>
      </c>
    </row>
    <row r="24" spans="1:57" x14ac:dyDescent="0.35">
      <c r="A24" s="13" t="s">
        <v>169</v>
      </c>
      <c r="B24" s="15" t="s">
        <v>170</v>
      </c>
      <c r="C24" s="16">
        <v>1</v>
      </c>
      <c r="D24" s="16">
        <v>4.7</v>
      </c>
      <c r="G24" s="16">
        <v>0.5</v>
      </c>
      <c r="J24" s="16">
        <v>4.5</v>
      </c>
      <c r="O24" s="16">
        <v>1.8</v>
      </c>
      <c r="X24" s="16">
        <v>48</v>
      </c>
      <c r="Y24" s="16">
        <v>6.3</v>
      </c>
      <c r="Z24" s="16">
        <v>0.2</v>
      </c>
      <c r="AE24" s="16">
        <v>2</v>
      </c>
      <c r="AI24" s="16">
        <v>6</v>
      </c>
      <c r="AJ24" s="16">
        <v>4.7</v>
      </c>
      <c r="AL24" s="16">
        <v>30.6</v>
      </c>
      <c r="AM24" s="16">
        <v>0.2</v>
      </c>
      <c r="AN24" s="16">
        <v>2</v>
      </c>
      <c r="AP24" s="16">
        <v>0.4</v>
      </c>
      <c r="AQ24" s="16">
        <v>3.1</v>
      </c>
      <c r="AR24" s="16">
        <v>1.6</v>
      </c>
      <c r="AS24" s="16">
        <v>0.15</v>
      </c>
      <c r="AT24" s="16">
        <v>2.5</v>
      </c>
      <c r="AU24" s="16">
        <v>0.7</v>
      </c>
      <c r="AV24" s="16">
        <v>5.8</v>
      </c>
      <c r="AW24" s="16">
        <v>1.35</v>
      </c>
      <c r="AX24" s="16">
        <v>5</v>
      </c>
      <c r="AY24" s="16">
        <v>0.9</v>
      </c>
      <c r="AZ24" s="16">
        <v>5.6</v>
      </c>
      <c r="BA24" s="16">
        <v>0.66</v>
      </c>
      <c r="BC24" s="17">
        <f t="shared" si="0"/>
        <v>140.26000000000002</v>
      </c>
      <c r="BD24" s="17">
        <f>AG24*Factors!AG$6+AF24*Factors!AF$6+AH24*Factors!AH$6</f>
        <v>0</v>
      </c>
      <c r="BE24" s="18">
        <f t="shared" si="1"/>
        <v>140.26000000000002</v>
      </c>
    </row>
    <row r="25" spans="1:57" x14ac:dyDescent="0.35">
      <c r="A25" s="13" t="s">
        <v>171</v>
      </c>
      <c r="B25" s="15" t="s">
        <v>172</v>
      </c>
      <c r="C25" s="16">
        <v>0.4</v>
      </c>
      <c r="D25" s="16">
        <v>43</v>
      </c>
      <c r="E25" s="16">
        <v>0.2</v>
      </c>
      <c r="H25" s="16">
        <v>0.2</v>
      </c>
      <c r="I25" s="16">
        <v>0.6</v>
      </c>
      <c r="J25" s="16">
        <v>0.9</v>
      </c>
      <c r="O25" s="16">
        <v>5.5</v>
      </c>
      <c r="P25" s="16">
        <v>7.1</v>
      </c>
      <c r="S25" s="16">
        <v>10.7</v>
      </c>
      <c r="T25" s="16">
        <v>0.15</v>
      </c>
      <c r="U25" s="16"/>
      <c r="V25" s="16"/>
      <c r="X25" s="16">
        <v>17.600000000000001</v>
      </c>
      <c r="Y25" s="16">
        <v>1.2</v>
      </c>
      <c r="AF25" s="16">
        <v>0.1</v>
      </c>
      <c r="AI25" s="16">
        <v>5.2</v>
      </c>
      <c r="AJ25" s="16">
        <v>0.34</v>
      </c>
      <c r="AM25" s="16">
        <v>13.8</v>
      </c>
      <c r="AN25" s="16">
        <v>22</v>
      </c>
      <c r="AP25" s="16">
        <v>2.8</v>
      </c>
      <c r="AQ25" s="16">
        <v>6.3</v>
      </c>
      <c r="AR25" s="16">
        <v>0.5</v>
      </c>
      <c r="BC25" s="17">
        <f t="shared" si="0"/>
        <v>138.59000000000003</v>
      </c>
      <c r="BD25" s="17">
        <f>AG25*Factors!AG$6+AF25*Factors!AF$6+AH25*Factors!AH$6</f>
        <v>-4.2106170352144562E-2</v>
      </c>
      <c r="BE25" s="18">
        <f t="shared" si="1"/>
        <v>138.54789382964788</v>
      </c>
    </row>
    <row r="26" spans="1:57" x14ac:dyDescent="0.35">
      <c r="A26" s="13" t="s">
        <v>173</v>
      </c>
      <c r="B26" s="15" t="s">
        <v>174</v>
      </c>
      <c r="C26" s="16">
        <v>0.5</v>
      </c>
      <c r="D26" s="16">
        <v>6.5</v>
      </c>
      <c r="E26" s="16">
        <v>1.1000000000000001</v>
      </c>
      <c r="G26" s="16">
        <v>2</v>
      </c>
      <c r="H26" s="16">
        <v>0.3</v>
      </c>
      <c r="I26" s="16">
        <v>6.1</v>
      </c>
      <c r="J26" s="16">
        <v>11.2</v>
      </c>
      <c r="K26" s="16">
        <v>1.6</v>
      </c>
      <c r="L26" s="16"/>
      <c r="M26" s="16"/>
      <c r="N26" s="16">
        <v>0.4</v>
      </c>
      <c r="O26" s="16">
        <v>1.2</v>
      </c>
      <c r="R26" s="16">
        <v>0.2</v>
      </c>
      <c r="S26" s="16">
        <v>0.3</v>
      </c>
      <c r="T26" s="16">
        <v>0.2</v>
      </c>
      <c r="U26" s="16"/>
      <c r="V26" s="16"/>
      <c r="X26" s="16">
        <v>42</v>
      </c>
      <c r="Y26" s="16">
        <v>32</v>
      </c>
      <c r="Z26" s="16">
        <v>3.7</v>
      </c>
      <c r="AE26" s="16">
        <v>3</v>
      </c>
      <c r="AI26" s="16">
        <v>4</v>
      </c>
      <c r="AJ26" s="16">
        <v>21</v>
      </c>
      <c r="AK26" s="16">
        <v>1</v>
      </c>
      <c r="AL26" s="16">
        <v>12.9</v>
      </c>
      <c r="AM26" s="16">
        <v>0.4</v>
      </c>
      <c r="AN26" s="16">
        <v>0.5</v>
      </c>
      <c r="AP26" s="16">
        <v>0.3</v>
      </c>
      <c r="AQ26" s="16">
        <v>1.2</v>
      </c>
      <c r="AR26" s="16">
        <v>1.9</v>
      </c>
      <c r="AS26" s="16">
        <v>0.2</v>
      </c>
      <c r="AT26" s="16">
        <v>2</v>
      </c>
      <c r="AU26" s="16">
        <v>0.45</v>
      </c>
      <c r="AV26" s="16">
        <v>2</v>
      </c>
      <c r="AW26" s="16">
        <v>0.35</v>
      </c>
      <c r="AX26" s="16">
        <v>1</v>
      </c>
      <c r="AY26" s="16">
        <v>0.3</v>
      </c>
      <c r="AZ26" s="16">
        <v>1.9</v>
      </c>
      <c r="BA26" s="16">
        <v>0.45</v>
      </c>
      <c r="BC26" s="17">
        <f t="shared" si="0"/>
        <v>164.15</v>
      </c>
      <c r="BD26" s="17">
        <f>AG26*Factors!AG$6+AF26*Factors!AF$6+AH26*Factors!AH$6</f>
        <v>0</v>
      </c>
      <c r="BE26" s="18">
        <f t="shared" si="1"/>
        <v>164.15</v>
      </c>
    </row>
    <row r="27" spans="1:57" x14ac:dyDescent="0.35">
      <c r="A27" s="13" t="s">
        <v>322</v>
      </c>
      <c r="B27" s="15" t="s">
        <v>323</v>
      </c>
      <c r="C27" s="16">
        <v>68.739999999999995</v>
      </c>
      <c r="D27" s="16"/>
      <c r="E27" s="16"/>
      <c r="G27" s="16"/>
      <c r="H27" s="16">
        <v>21.26</v>
      </c>
      <c r="I27" s="16"/>
      <c r="J27" s="16"/>
      <c r="K27" s="16"/>
      <c r="L27" s="16"/>
      <c r="M27" s="16"/>
      <c r="N27" s="16"/>
      <c r="O27" s="16">
        <v>2.13</v>
      </c>
      <c r="R27" s="16"/>
      <c r="S27" s="16">
        <v>11.82</v>
      </c>
      <c r="T27" s="16">
        <v>0.5</v>
      </c>
      <c r="U27" s="16"/>
      <c r="V27" s="16"/>
      <c r="X27" s="16"/>
      <c r="Y27" s="16"/>
      <c r="Z27" s="16"/>
      <c r="AE27" s="16"/>
      <c r="AI27" s="16"/>
      <c r="AJ27" s="16"/>
      <c r="AK27" s="16"/>
      <c r="AL27" s="16"/>
      <c r="AM27" s="16"/>
      <c r="AN27" s="16"/>
      <c r="AP27" s="16"/>
      <c r="AQ27" s="16"/>
      <c r="AR27" s="16"/>
      <c r="AS27" s="16"/>
      <c r="AT27" s="16"/>
      <c r="AU27" s="16"/>
      <c r="AV27" s="16"/>
      <c r="AW27" s="16"/>
      <c r="AX27" s="16"/>
      <c r="AY27" s="16"/>
      <c r="AZ27" s="16"/>
      <c r="BA27" s="16"/>
      <c r="BC27" s="17">
        <f t="shared" ref="BC27:BC44" si="2">SUM(C27:BB27)</f>
        <v>104.44999999999999</v>
      </c>
      <c r="BD27" s="17">
        <f>AG27*Factors!AG$6+AF27*Factors!AF$6+AH27*Factors!AH$6</f>
        <v>0</v>
      </c>
      <c r="BE27" s="18">
        <f t="shared" ref="BE27:BE44" si="3">BC27+BD27</f>
        <v>104.44999999999999</v>
      </c>
    </row>
    <row r="28" spans="1:57" x14ac:dyDescent="0.35">
      <c r="A28" s="13" t="s">
        <v>331</v>
      </c>
      <c r="B28" s="15" t="s">
        <v>332</v>
      </c>
      <c r="C28" s="16">
        <v>32.86</v>
      </c>
      <c r="D28" s="16"/>
      <c r="E28" s="16">
        <v>67.22</v>
      </c>
      <c r="F28">
        <v>1.1499999999999999</v>
      </c>
      <c r="G28" s="16"/>
      <c r="H28" s="16"/>
      <c r="I28" s="16"/>
      <c r="J28" s="16"/>
      <c r="K28" s="16"/>
      <c r="L28" s="16"/>
      <c r="M28" s="16"/>
      <c r="N28" s="16"/>
      <c r="O28" s="16"/>
      <c r="R28" s="16"/>
      <c r="S28" s="16"/>
      <c r="T28" s="16"/>
      <c r="U28" s="16"/>
      <c r="V28" s="16"/>
      <c r="X28" s="16"/>
      <c r="Y28" s="16"/>
      <c r="Z28" s="16"/>
      <c r="AE28" s="16"/>
      <c r="AI28" s="16">
        <v>0.01</v>
      </c>
      <c r="AJ28" s="16">
        <v>0.03</v>
      </c>
      <c r="AK28" s="16"/>
      <c r="AL28" s="16"/>
      <c r="AM28" s="16"/>
      <c r="AN28" s="16"/>
      <c r="AP28" s="16"/>
      <c r="AQ28" s="16"/>
      <c r="AR28" s="16"/>
      <c r="AS28" s="16"/>
      <c r="AT28" s="16"/>
      <c r="AU28" s="16"/>
      <c r="AV28" s="16"/>
      <c r="AW28" s="16"/>
      <c r="AX28" s="16"/>
      <c r="AY28" s="16"/>
      <c r="AZ28" s="16"/>
      <c r="BA28" s="16"/>
      <c r="BC28" s="17">
        <f t="shared" si="2"/>
        <v>101.27000000000001</v>
      </c>
      <c r="BD28" s="17">
        <f>AG28*Factors!AG$6+AF28*Factors!AF$6+AH28*Factors!AH$6</f>
        <v>0</v>
      </c>
      <c r="BE28" s="18">
        <f t="shared" si="3"/>
        <v>101.27000000000001</v>
      </c>
    </row>
    <row r="29" spans="1:57" x14ac:dyDescent="0.35">
      <c r="A29" s="13" t="s">
        <v>333</v>
      </c>
      <c r="B29" s="15" t="s">
        <v>334</v>
      </c>
      <c r="C29" s="16">
        <v>45.87</v>
      </c>
      <c r="D29" s="16"/>
      <c r="E29" s="16"/>
      <c r="G29" s="16"/>
      <c r="H29" s="16">
        <v>38.69</v>
      </c>
      <c r="I29" s="16"/>
      <c r="J29" s="16"/>
      <c r="K29" s="16"/>
      <c r="L29" s="16"/>
      <c r="M29" s="16"/>
      <c r="N29" s="16">
        <v>0.1</v>
      </c>
      <c r="O29" s="16"/>
      <c r="R29" s="16"/>
      <c r="S29" s="16">
        <v>0.64</v>
      </c>
      <c r="T29" s="16">
        <v>11.82</v>
      </c>
      <c r="U29" s="16"/>
      <c r="V29" s="16"/>
      <c r="X29" s="16"/>
      <c r="Y29" s="16"/>
      <c r="Z29" s="16"/>
      <c r="AE29" s="16">
        <v>4.67</v>
      </c>
      <c r="AI29" s="16"/>
      <c r="AJ29" s="16"/>
      <c r="AK29" s="16"/>
      <c r="AL29" s="16"/>
      <c r="AM29" s="16"/>
      <c r="AN29" s="16"/>
      <c r="AP29" s="16"/>
      <c r="AQ29" s="16"/>
      <c r="AR29" s="16"/>
      <c r="AS29" s="16"/>
      <c r="AT29" s="16"/>
      <c r="AU29" s="16"/>
      <c r="AV29" s="16"/>
      <c r="AW29" s="16"/>
      <c r="AX29" s="16"/>
      <c r="AY29" s="16"/>
      <c r="AZ29" s="16"/>
      <c r="BA29" s="16"/>
      <c r="BC29" s="17">
        <f t="shared" si="2"/>
        <v>101.79</v>
      </c>
      <c r="BD29" s="17">
        <f>AG29*Factors!AG$6+AF29*Factors!AF$6+AH29*Factors!AH$6</f>
        <v>0</v>
      </c>
      <c r="BE29" s="18">
        <f t="shared" si="3"/>
        <v>101.79</v>
      </c>
    </row>
    <row r="30" spans="1:57" x14ac:dyDescent="0.35">
      <c r="A30" s="13" t="s">
        <v>335</v>
      </c>
      <c r="B30" s="15" t="s">
        <v>70</v>
      </c>
      <c r="C30" s="16">
        <v>100</v>
      </c>
      <c r="D30" s="16"/>
      <c r="E30" s="16"/>
      <c r="G30" s="16"/>
      <c r="H30" s="16"/>
      <c r="I30" s="16"/>
      <c r="J30" s="16"/>
      <c r="K30" s="16"/>
      <c r="L30" s="16"/>
      <c r="M30" s="16"/>
      <c r="N30" s="16"/>
      <c r="O30" s="16"/>
      <c r="R30" s="16"/>
      <c r="S30" s="16"/>
      <c r="T30" s="16"/>
      <c r="U30" s="16"/>
      <c r="V30" s="16"/>
      <c r="X30" s="16"/>
      <c r="Y30" s="16"/>
      <c r="Z30" s="16"/>
      <c r="AE30" s="16"/>
      <c r="AI30" s="16"/>
      <c r="AJ30" s="16"/>
      <c r="AK30" s="16"/>
      <c r="AL30" s="16"/>
      <c r="AM30" s="16"/>
      <c r="AN30" s="16"/>
      <c r="AP30" s="16"/>
      <c r="AQ30" s="16"/>
      <c r="AR30" s="16"/>
      <c r="AS30" s="16"/>
      <c r="AT30" s="16"/>
      <c r="AU30" s="16"/>
      <c r="AV30" s="16"/>
      <c r="AW30" s="16"/>
      <c r="AX30" s="16"/>
      <c r="AY30" s="16"/>
      <c r="AZ30" s="16"/>
      <c r="BA30" s="16"/>
      <c r="BC30" s="17">
        <f t="shared" si="2"/>
        <v>100</v>
      </c>
      <c r="BD30" s="17">
        <f>AG30*Factors!AG$6+AF30*Factors!AF$6+AH30*Factors!AH$6</f>
        <v>0</v>
      </c>
      <c r="BE30" s="18">
        <f t="shared" si="3"/>
        <v>100</v>
      </c>
    </row>
    <row r="31" spans="1:57" x14ac:dyDescent="0.35">
      <c r="A31" s="13" t="s">
        <v>336</v>
      </c>
      <c r="B31" s="15" t="s">
        <v>337</v>
      </c>
      <c r="C31" s="16">
        <v>52.02</v>
      </c>
      <c r="D31" s="16">
        <v>1.1000000000000001</v>
      </c>
      <c r="E31" s="16"/>
      <c r="G31" s="16"/>
      <c r="H31" s="16">
        <v>2.15</v>
      </c>
      <c r="I31" s="16">
        <v>34.57</v>
      </c>
      <c r="J31" s="16">
        <v>2.2400000000000002</v>
      </c>
      <c r="K31" s="16"/>
      <c r="L31" s="16"/>
      <c r="M31" s="16"/>
      <c r="N31" s="16">
        <v>0.1</v>
      </c>
      <c r="O31" s="16">
        <v>1.25</v>
      </c>
      <c r="R31" s="16"/>
      <c r="S31" s="16">
        <v>13.41</v>
      </c>
      <c r="T31" s="16">
        <v>0.15</v>
      </c>
      <c r="U31" s="16"/>
      <c r="V31" s="16"/>
      <c r="X31" s="16"/>
      <c r="Y31" s="16"/>
      <c r="Z31" s="16"/>
      <c r="AE31" s="16">
        <v>0.28999999999999998</v>
      </c>
      <c r="AI31" s="16"/>
      <c r="AJ31" s="16"/>
      <c r="AK31" s="16"/>
      <c r="AL31" s="16"/>
      <c r="AM31" s="16"/>
      <c r="AN31" s="16"/>
      <c r="AP31" s="16"/>
      <c r="AQ31" s="16"/>
      <c r="AR31" s="16"/>
      <c r="AS31" s="16"/>
      <c r="AT31" s="16"/>
      <c r="AU31" s="16"/>
      <c r="AV31" s="16"/>
      <c r="AW31" s="16"/>
      <c r="AX31" s="16"/>
      <c r="AY31" s="16"/>
      <c r="AZ31" s="16"/>
      <c r="BA31" s="16"/>
      <c r="BC31" s="17">
        <f t="shared" si="2"/>
        <v>107.28</v>
      </c>
      <c r="BD31" s="17">
        <f>AG31*Factors!AG$6+AF31*Factors!AF$6+AH31*Factors!AH$6</f>
        <v>0</v>
      </c>
      <c r="BE31" s="18">
        <f t="shared" si="3"/>
        <v>107.28</v>
      </c>
    </row>
    <row r="32" spans="1:57" x14ac:dyDescent="0.35">
      <c r="A32" s="13" t="s">
        <v>338</v>
      </c>
      <c r="B32" s="15" t="s">
        <v>339</v>
      </c>
      <c r="C32" s="16"/>
      <c r="D32" s="16"/>
      <c r="E32" s="16"/>
      <c r="G32" s="16"/>
      <c r="H32" s="16">
        <v>25.05</v>
      </c>
      <c r="I32" s="16"/>
      <c r="J32" s="16"/>
      <c r="K32" s="16"/>
      <c r="L32" s="16"/>
      <c r="M32" s="16"/>
      <c r="N32" s="16"/>
      <c r="O32" s="16">
        <v>25.26</v>
      </c>
      <c r="R32" s="16"/>
      <c r="S32" s="16">
        <v>14.06</v>
      </c>
      <c r="T32" s="16"/>
      <c r="U32" s="16"/>
      <c r="V32" s="16"/>
      <c r="X32" s="16"/>
      <c r="Y32" s="16"/>
      <c r="Z32" s="16"/>
      <c r="AE32" s="16">
        <v>8.42</v>
      </c>
      <c r="AF32">
        <v>51.34</v>
      </c>
      <c r="AI32" s="16"/>
      <c r="AJ32" s="16"/>
      <c r="AK32" s="16"/>
      <c r="AL32" s="16"/>
      <c r="AM32" s="16"/>
      <c r="AN32" s="16"/>
      <c r="AP32" s="16"/>
      <c r="AQ32" s="16"/>
      <c r="AR32" s="16"/>
      <c r="AS32" s="16"/>
      <c r="AT32" s="16"/>
      <c r="AU32" s="16"/>
      <c r="AV32" s="16"/>
      <c r="AW32" s="16"/>
      <c r="AX32" s="16"/>
      <c r="AY32" s="16"/>
      <c r="AZ32" s="16"/>
      <c r="BA32" s="16"/>
      <c r="BC32" s="17">
        <f t="shared" si="2"/>
        <v>124.13000000000001</v>
      </c>
      <c r="BD32" s="17">
        <f>AG32*Factors!AG$6+AF32*Factors!AF$6+AH32*Factors!AH$6</f>
        <v>-21.617307858791019</v>
      </c>
      <c r="BE32" s="18">
        <f t="shared" si="3"/>
        <v>102.51269214120899</v>
      </c>
    </row>
    <row r="33" spans="1:57" x14ac:dyDescent="0.35">
      <c r="A33" s="13" t="s">
        <v>340</v>
      </c>
      <c r="B33" s="15" t="s">
        <v>341</v>
      </c>
      <c r="C33" s="16">
        <v>65.39</v>
      </c>
      <c r="D33" s="16"/>
      <c r="E33" s="16"/>
      <c r="G33" s="16"/>
      <c r="H33" s="16">
        <v>18.45</v>
      </c>
      <c r="I33" s="16"/>
      <c r="J33" s="16"/>
      <c r="K33" s="16"/>
      <c r="L33" s="16"/>
      <c r="M33" s="16"/>
      <c r="N33" s="16"/>
      <c r="O33" s="16"/>
      <c r="Q33">
        <v>0.02</v>
      </c>
      <c r="R33" s="16"/>
      <c r="S33" s="16">
        <v>1.08</v>
      </c>
      <c r="T33" s="16">
        <v>16.920000000000002</v>
      </c>
      <c r="U33" s="16"/>
      <c r="V33" s="16"/>
      <c r="X33" s="16"/>
      <c r="Y33" s="16"/>
      <c r="Z33" s="16"/>
      <c r="AE33" s="16"/>
      <c r="AI33" s="16"/>
      <c r="AJ33" s="16"/>
      <c r="AK33" s="16"/>
      <c r="AL33" s="16"/>
      <c r="AM33" s="16"/>
      <c r="AN33" s="16"/>
      <c r="AP33" s="16"/>
      <c r="AQ33" s="16"/>
      <c r="AR33" s="16"/>
      <c r="AS33" s="16"/>
      <c r="AT33" s="16"/>
      <c r="AU33" s="16"/>
      <c r="AV33" s="16"/>
      <c r="AW33" s="16"/>
      <c r="AX33" s="16"/>
      <c r="AY33" s="16"/>
      <c r="AZ33" s="16"/>
      <c r="BA33" s="16"/>
      <c r="BC33" s="17">
        <f t="shared" si="2"/>
        <v>101.86</v>
      </c>
      <c r="BD33" s="17">
        <f>AG33*Factors!AG$6+AF33*Factors!AF$6+AH33*Factors!AH$6</f>
        <v>0</v>
      </c>
      <c r="BE33" s="18">
        <f t="shared" si="3"/>
        <v>101.86</v>
      </c>
    </row>
    <row r="34" spans="1:57" x14ac:dyDescent="0.35">
      <c r="A34" s="13" t="s">
        <v>342</v>
      </c>
      <c r="B34" s="15" t="s">
        <v>343</v>
      </c>
      <c r="C34" s="16"/>
      <c r="D34" s="16"/>
      <c r="E34" s="16"/>
      <c r="G34" s="16"/>
      <c r="H34" s="16"/>
      <c r="I34" s="16">
        <v>100</v>
      </c>
      <c r="J34" s="16">
        <v>1.29</v>
      </c>
      <c r="K34" s="16">
        <v>0.87</v>
      </c>
      <c r="L34" s="16"/>
      <c r="M34" s="16"/>
      <c r="N34" s="16"/>
      <c r="O34" s="16"/>
      <c r="R34" s="16"/>
      <c r="S34" s="16"/>
      <c r="T34" s="16"/>
      <c r="U34" s="16"/>
      <c r="V34" s="16"/>
      <c r="X34" s="16"/>
      <c r="Y34" s="16"/>
      <c r="Z34" s="16"/>
      <c r="AE34" s="16"/>
      <c r="AI34" s="16"/>
      <c r="AJ34" s="16"/>
      <c r="AK34" s="16"/>
      <c r="AL34" s="16"/>
      <c r="AM34" s="16"/>
      <c r="AN34" s="16"/>
      <c r="AP34" s="16"/>
      <c r="AQ34" s="16"/>
      <c r="AR34" s="16"/>
      <c r="AS34" s="16"/>
      <c r="AT34" s="16"/>
      <c r="AU34" s="16"/>
      <c r="AV34" s="16"/>
      <c r="AW34" s="16"/>
      <c r="AX34" s="16"/>
      <c r="AY34" s="16"/>
      <c r="AZ34" s="16"/>
      <c r="BA34" s="16"/>
      <c r="BC34" s="17">
        <f t="shared" si="2"/>
        <v>102.16000000000001</v>
      </c>
      <c r="BD34" s="17">
        <f>AG34*Factors!AG$6+AF34*Factors!AF$6+AH34*Factors!AH$6</f>
        <v>0</v>
      </c>
      <c r="BE34" s="18">
        <f t="shared" si="3"/>
        <v>102.16000000000001</v>
      </c>
    </row>
    <row r="35" spans="1:57" x14ac:dyDescent="0.35">
      <c r="A35" s="13" t="s">
        <v>344</v>
      </c>
      <c r="B35" s="15" t="s">
        <v>345</v>
      </c>
      <c r="C35" s="16">
        <v>0.27</v>
      </c>
      <c r="D35" s="16">
        <v>0.28999999999999998</v>
      </c>
      <c r="E35" s="16"/>
      <c r="G35" s="16"/>
      <c r="H35" s="16">
        <v>0.44</v>
      </c>
      <c r="I35" s="16">
        <v>68.97</v>
      </c>
      <c r="J35" s="16">
        <v>31.21</v>
      </c>
      <c r="K35" s="16">
        <v>0.09</v>
      </c>
      <c r="L35" s="16"/>
      <c r="M35" s="16"/>
      <c r="N35" s="16">
        <v>0.02</v>
      </c>
      <c r="O35" s="16"/>
      <c r="R35" s="16"/>
      <c r="S35" s="16"/>
      <c r="T35" s="16"/>
      <c r="U35" s="16"/>
      <c r="V35" s="16"/>
      <c r="X35" s="16"/>
      <c r="Y35" s="16"/>
      <c r="Z35" s="16"/>
      <c r="AE35" s="16"/>
      <c r="AI35" s="16"/>
      <c r="AJ35" s="16"/>
      <c r="AK35" s="16"/>
      <c r="AL35" s="16"/>
      <c r="AM35" s="16"/>
      <c r="AN35" s="16"/>
      <c r="AP35" s="16"/>
      <c r="AQ35" s="16"/>
      <c r="AR35" s="16"/>
      <c r="AS35" s="16"/>
      <c r="AT35" s="16"/>
      <c r="AU35" s="16"/>
      <c r="AV35" s="16"/>
      <c r="AW35" s="16"/>
      <c r="AX35" s="16"/>
      <c r="AY35" s="16"/>
      <c r="AZ35" s="16"/>
      <c r="BA35" s="16"/>
      <c r="BC35" s="17">
        <f t="shared" si="2"/>
        <v>101.29</v>
      </c>
      <c r="BD35" s="17">
        <f>AG35*Factors!AG$6+AF35*Factors!AF$6+AH35*Factors!AH$6</f>
        <v>0</v>
      </c>
      <c r="BE35" s="18">
        <f t="shared" si="3"/>
        <v>101.29</v>
      </c>
    </row>
    <row r="36" spans="1:57" x14ac:dyDescent="0.35">
      <c r="A36" s="13" t="s">
        <v>346</v>
      </c>
      <c r="B36" s="15" t="s">
        <v>347</v>
      </c>
      <c r="C36" s="16">
        <v>18.54</v>
      </c>
      <c r="D36" s="16">
        <v>0.1</v>
      </c>
      <c r="E36" s="16"/>
      <c r="G36" s="16"/>
      <c r="H36" s="16">
        <v>1.29</v>
      </c>
      <c r="I36" s="16"/>
      <c r="J36" s="16">
        <v>0.59</v>
      </c>
      <c r="K36" s="16"/>
      <c r="L36" s="16"/>
      <c r="M36" s="16"/>
      <c r="N36" s="16">
        <v>0.01</v>
      </c>
      <c r="O36" s="16"/>
      <c r="R36" s="16">
        <v>0.1</v>
      </c>
      <c r="S36" s="16"/>
      <c r="T36" s="16"/>
      <c r="U36" s="16"/>
      <c r="V36" s="16"/>
      <c r="X36" s="16"/>
      <c r="Y36" s="16"/>
      <c r="Z36" s="16"/>
      <c r="AE36" s="16">
        <v>0.86</v>
      </c>
      <c r="AI36" s="16">
        <v>81.459999999999994</v>
      </c>
      <c r="AJ36" s="16">
        <v>8.36</v>
      </c>
      <c r="AK36" s="16"/>
      <c r="AL36" s="16"/>
      <c r="AM36" s="16"/>
      <c r="AN36" s="16">
        <v>0.54</v>
      </c>
      <c r="AP36" s="16"/>
      <c r="AQ36" s="16"/>
      <c r="AR36" s="16"/>
      <c r="AS36" s="16"/>
      <c r="AT36" s="16"/>
      <c r="AU36" s="16"/>
      <c r="AV36" s="16"/>
      <c r="AW36" s="16"/>
      <c r="AX36" s="16"/>
      <c r="AY36" s="16"/>
      <c r="AZ36" s="16"/>
      <c r="BA36" s="16"/>
      <c r="BC36" s="17">
        <f t="shared" si="2"/>
        <v>111.85</v>
      </c>
      <c r="BD36" s="17">
        <f>AG36*Factors!AG$6+AF36*Factors!AF$6+AH36*Factors!AH$6</f>
        <v>0</v>
      </c>
      <c r="BE36" s="18">
        <f t="shared" si="3"/>
        <v>111.85</v>
      </c>
    </row>
    <row r="37" spans="1:57" x14ac:dyDescent="0.35">
      <c r="A37" s="13" t="s">
        <v>348</v>
      </c>
      <c r="B37" s="15" t="s">
        <v>349</v>
      </c>
      <c r="C37" s="16"/>
      <c r="D37" s="16"/>
      <c r="E37" s="16"/>
      <c r="G37" s="16"/>
      <c r="H37" s="16">
        <v>24.58</v>
      </c>
      <c r="I37" s="16"/>
      <c r="J37" s="16"/>
      <c r="K37" s="16"/>
      <c r="L37" s="16"/>
      <c r="M37" s="16"/>
      <c r="N37" s="16"/>
      <c r="O37" s="16"/>
      <c r="R37" s="16"/>
      <c r="S37" s="16">
        <v>44.28</v>
      </c>
      <c r="T37" s="16"/>
      <c r="U37" s="16"/>
      <c r="V37" s="16"/>
      <c r="X37" s="16"/>
      <c r="Y37" s="16"/>
      <c r="Z37" s="16"/>
      <c r="AE37" s="16"/>
      <c r="AF37">
        <v>54.3</v>
      </c>
      <c r="AI37" s="16"/>
      <c r="AJ37" s="16"/>
      <c r="AK37" s="16"/>
      <c r="AL37" s="16"/>
      <c r="AM37" s="16"/>
      <c r="AN37" s="16"/>
      <c r="AP37" s="16"/>
      <c r="AQ37" s="16"/>
      <c r="AR37" s="16"/>
      <c r="AS37" s="16"/>
      <c r="AT37" s="16"/>
      <c r="AU37" s="16"/>
      <c r="AV37" s="16"/>
      <c r="AW37" s="16"/>
      <c r="AX37" s="16"/>
      <c r="AY37" s="16"/>
      <c r="AZ37" s="16"/>
      <c r="BA37" s="16"/>
      <c r="BC37" s="17">
        <f t="shared" si="2"/>
        <v>123.16</v>
      </c>
      <c r="BD37" s="17">
        <f>AG37*Factors!AG$6+AF37*Factors!AF$6+AH37*Factors!AH$6</f>
        <v>-22.863650501214497</v>
      </c>
      <c r="BE37" s="18">
        <f t="shared" si="3"/>
        <v>100.2963494987855</v>
      </c>
    </row>
    <row r="38" spans="1:57" x14ac:dyDescent="0.35">
      <c r="A38" s="13" t="s">
        <v>350</v>
      </c>
      <c r="B38" s="15" t="s">
        <v>74</v>
      </c>
      <c r="C38" s="16">
        <v>0.18</v>
      </c>
      <c r="D38" s="16">
        <v>0.01</v>
      </c>
      <c r="E38" s="16"/>
      <c r="G38" s="16">
        <v>100</v>
      </c>
      <c r="H38" s="16"/>
      <c r="I38" s="16"/>
      <c r="J38" s="16">
        <v>0.11</v>
      </c>
      <c r="K38" s="16"/>
      <c r="L38" s="16"/>
      <c r="M38" s="16"/>
      <c r="N38" s="16"/>
      <c r="O38" s="16"/>
      <c r="R38" s="16"/>
      <c r="S38" s="16"/>
      <c r="T38" s="16"/>
      <c r="U38" s="16"/>
      <c r="V38" s="16"/>
      <c r="X38" s="16">
        <v>0.03</v>
      </c>
      <c r="Y38" s="16">
        <v>0.01</v>
      </c>
      <c r="Z38" s="16">
        <v>0.01</v>
      </c>
      <c r="AE38" s="16"/>
      <c r="AI38" s="16"/>
      <c r="AJ38" s="16"/>
      <c r="AK38" s="16"/>
      <c r="AL38" s="16"/>
      <c r="AM38" s="16"/>
      <c r="AN38" s="16"/>
      <c r="AP38" s="16"/>
      <c r="AQ38" s="16"/>
      <c r="AR38" s="16"/>
      <c r="AS38" s="16"/>
      <c r="AT38" s="16"/>
      <c r="AU38" s="16"/>
      <c r="AV38" s="16"/>
      <c r="AW38" s="16"/>
      <c r="AX38" s="16"/>
      <c r="AY38" s="16"/>
      <c r="AZ38" s="16"/>
      <c r="BA38" s="16"/>
      <c r="BC38" s="17">
        <f t="shared" si="2"/>
        <v>100.35000000000001</v>
      </c>
      <c r="BD38" s="17">
        <f>AG38*Factors!AG$6+AF38*Factors!AF$6+AH38*Factors!AH$6</f>
        <v>0</v>
      </c>
      <c r="BE38" s="18">
        <f t="shared" si="3"/>
        <v>100.35000000000001</v>
      </c>
    </row>
    <row r="39" spans="1:57" x14ac:dyDescent="0.35">
      <c r="A39" s="13" t="s">
        <v>351</v>
      </c>
      <c r="B39" s="15" t="s">
        <v>352</v>
      </c>
      <c r="C39" s="16">
        <v>43.55</v>
      </c>
      <c r="D39" s="16"/>
      <c r="E39" s="16"/>
      <c r="G39" s="16"/>
      <c r="H39" s="16">
        <v>34.659999999999997</v>
      </c>
      <c r="I39" s="16"/>
      <c r="J39" s="16"/>
      <c r="K39" s="16"/>
      <c r="L39" s="16"/>
      <c r="M39" s="16"/>
      <c r="N39" s="16">
        <v>0.05</v>
      </c>
      <c r="O39" s="16">
        <v>4.4400000000000004</v>
      </c>
      <c r="R39" s="16"/>
      <c r="S39" s="16">
        <v>12.09</v>
      </c>
      <c r="T39" s="16">
        <v>4.87</v>
      </c>
      <c r="U39" s="16"/>
      <c r="V39" s="16"/>
      <c r="X39" s="16"/>
      <c r="Y39" s="16"/>
      <c r="Z39" s="16"/>
      <c r="AE39" s="16">
        <v>0.5</v>
      </c>
      <c r="AI39" s="16"/>
      <c r="AJ39" s="16"/>
      <c r="AK39" s="16"/>
      <c r="AL39" s="16"/>
      <c r="AM39" s="16"/>
      <c r="AN39" s="16"/>
      <c r="AP39" s="16"/>
      <c r="AQ39" s="16"/>
      <c r="AR39" s="16"/>
      <c r="AS39" s="16"/>
      <c r="AT39" s="16"/>
      <c r="AU39" s="16"/>
      <c r="AV39" s="16"/>
      <c r="AW39" s="16"/>
      <c r="AX39" s="16"/>
      <c r="AY39" s="16"/>
      <c r="AZ39" s="16"/>
      <c r="BA39" s="16"/>
      <c r="BC39" s="17">
        <f t="shared" si="2"/>
        <v>100.16</v>
      </c>
      <c r="BD39" s="17">
        <f>AG39*Factors!AG$6+AF39*Factors!AF$6+AH39*Factors!AH$6</f>
        <v>0</v>
      </c>
      <c r="BE39" s="18">
        <f t="shared" si="3"/>
        <v>100.16</v>
      </c>
    </row>
    <row r="40" spans="1:57" x14ac:dyDescent="0.35">
      <c r="A40" s="13" t="s">
        <v>353</v>
      </c>
      <c r="B40" s="15" t="s">
        <v>354</v>
      </c>
      <c r="C40" s="16">
        <v>31.9</v>
      </c>
      <c r="D40" s="16">
        <v>0.35</v>
      </c>
      <c r="E40" s="16"/>
      <c r="G40" s="16"/>
      <c r="H40" s="16">
        <v>13.72</v>
      </c>
      <c r="I40" s="16">
        <v>4.9000000000000004</v>
      </c>
      <c r="J40" s="16">
        <v>0.34</v>
      </c>
      <c r="K40" s="16">
        <v>12.5</v>
      </c>
      <c r="L40" s="16">
        <v>22.97</v>
      </c>
      <c r="M40" s="16"/>
      <c r="N40" s="16">
        <v>3.69</v>
      </c>
      <c r="O40" s="16">
        <v>0.02</v>
      </c>
      <c r="Q40">
        <v>0.65</v>
      </c>
      <c r="R40" s="16"/>
      <c r="S40" s="16">
        <v>0.24</v>
      </c>
      <c r="T40" s="16">
        <v>8.6</v>
      </c>
      <c r="U40" s="16"/>
      <c r="V40" s="16"/>
      <c r="X40" s="16"/>
      <c r="Y40" s="16"/>
      <c r="Z40" s="16"/>
      <c r="AE40" s="16">
        <v>4.5999999999999996</v>
      </c>
      <c r="AF40">
        <v>0.45</v>
      </c>
      <c r="AI40" s="16"/>
      <c r="AJ40" s="16"/>
      <c r="AK40" s="16"/>
      <c r="AL40" s="16"/>
      <c r="AM40" s="16"/>
      <c r="AN40" s="16"/>
      <c r="AP40" s="16"/>
      <c r="AQ40" s="16"/>
      <c r="AR40" s="16"/>
      <c r="AS40" s="16"/>
      <c r="AT40" s="16"/>
      <c r="AU40" s="16"/>
      <c r="AV40" s="16"/>
      <c r="AW40" s="16"/>
      <c r="AX40" s="16"/>
      <c r="AY40" s="16"/>
      <c r="AZ40" s="16"/>
      <c r="BA40" s="16"/>
      <c r="BC40" s="17">
        <f t="shared" si="2"/>
        <v>104.92999999999999</v>
      </c>
      <c r="BD40" s="17">
        <f>AG40*Factors!AG$6+AF40*Factors!AF$6+AH40*Factors!AH$6</f>
        <v>-0.18947776658465054</v>
      </c>
      <c r="BE40" s="18">
        <f t="shared" si="3"/>
        <v>104.74052223341535</v>
      </c>
    </row>
    <row r="41" spans="1:57" x14ac:dyDescent="0.35">
      <c r="A41" s="13" t="s">
        <v>355</v>
      </c>
      <c r="B41" s="15" t="s">
        <v>356</v>
      </c>
      <c r="C41" s="16">
        <v>0.05</v>
      </c>
      <c r="D41" s="16">
        <v>1.68</v>
      </c>
      <c r="E41" s="16"/>
      <c r="G41" s="16"/>
      <c r="H41" s="16"/>
      <c r="I41" s="16"/>
      <c r="J41" s="16">
        <v>0.17</v>
      </c>
      <c r="K41" s="16"/>
      <c r="L41" s="16"/>
      <c r="M41" s="16"/>
      <c r="N41" s="16"/>
      <c r="O41" s="16">
        <v>0.32</v>
      </c>
      <c r="P41">
        <v>0.16</v>
      </c>
      <c r="R41" s="16">
        <v>51.69</v>
      </c>
      <c r="S41" s="16"/>
      <c r="T41" s="16"/>
      <c r="U41" s="16"/>
      <c r="V41" s="16"/>
      <c r="X41" s="16">
        <v>40.06</v>
      </c>
      <c r="Y41" s="16">
        <v>4.74</v>
      </c>
      <c r="Z41" s="16"/>
      <c r="AE41" s="16">
        <v>0.95</v>
      </c>
      <c r="AI41" s="16"/>
      <c r="AJ41" s="16"/>
      <c r="AK41" s="16"/>
      <c r="AL41" s="16"/>
      <c r="AM41" s="16"/>
      <c r="AN41" s="16">
        <v>7.0000000000000007E-2</v>
      </c>
      <c r="AP41" s="16">
        <v>0.02</v>
      </c>
      <c r="AQ41" s="16"/>
      <c r="AR41" s="16"/>
      <c r="AS41" s="16"/>
      <c r="AT41" s="16"/>
      <c r="AU41" s="16"/>
      <c r="AV41" s="16"/>
      <c r="AW41" s="16"/>
      <c r="AX41" s="16"/>
      <c r="AY41" s="16"/>
      <c r="AZ41" s="16"/>
      <c r="BA41" s="16"/>
      <c r="BC41" s="17">
        <f t="shared" si="2"/>
        <v>99.909999999999982</v>
      </c>
      <c r="BD41" s="17">
        <f>AG41*Factors!AG$6+AF41*Factors!AF$6+AH41*Factors!AH$6</f>
        <v>0</v>
      </c>
      <c r="BE41" s="18">
        <f t="shared" si="3"/>
        <v>99.909999999999982</v>
      </c>
    </row>
    <row r="42" spans="1:57" x14ac:dyDescent="0.35">
      <c r="A42" s="13" t="s">
        <v>357</v>
      </c>
      <c r="B42" s="15" t="s">
        <v>358</v>
      </c>
      <c r="C42" s="16">
        <v>35.21</v>
      </c>
      <c r="D42" s="16">
        <v>1.48</v>
      </c>
      <c r="E42" s="16"/>
      <c r="G42" s="16"/>
      <c r="H42" s="16">
        <v>17.239999999999998</v>
      </c>
      <c r="I42" s="16"/>
      <c r="J42" s="16">
        <v>42.11</v>
      </c>
      <c r="K42" s="16">
        <v>1.77</v>
      </c>
      <c r="L42" s="16"/>
      <c r="M42" s="16"/>
      <c r="N42" s="16">
        <v>3.4</v>
      </c>
      <c r="O42" s="16">
        <v>0.15</v>
      </c>
      <c r="R42" s="16"/>
      <c r="S42" s="16">
        <v>0.28000000000000003</v>
      </c>
      <c r="T42" s="16">
        <v>9.1999999999999993</v>
      </c>
      <c r="U42" s="16"/>
      <c r="V42" s="16"/>
      <c r="X42" s="16"/>
      <c r="Y42" s="16"/>
      <c r="Z42" s="16"/>
      <c r="AE42" s="16">
        <v>3.52</v>
      </c>
      <c r="AF42">
        <v>2.2200000000000002</v>
      </c>
      <c r="AG42">
        <v>0.24</v>
      </c>
      <c r="AI42" s="16"/>
      <c r="AJ42" s="16"/>
      <c r="AK42" s="16"/>
      <c r="AL42" s="16"/>
      <c r="AM42" s="16"/>
      <c r="AN42" s="16"/>
      <c r="AP42" s="16"/>
      <c r="AQ42" s="16"/>
      <c r="AR42" s="16"/>
      <c r="AS42" s="16"/>
      <c r="AT42" s="16"/>
      <c r="AU42" s="16"/>
      <c r="AV42" s="16"/>
      <c r="AW42" s="16"/>
      <c r="AX42" s="16"/>
      <c r="AY42" s="16"/>
      <c r="AZ42" s="16"/>
      <c r="BA42" s="16"/>
      <c r="BC42" s="17">
        <f t="shared" si="2"/>
        <v>116.82</v>
      </c>
      <c r="BD42" s="17">
        <f>AG42*Factors!AG$6+AF42*Factors!AF$6+AH42*Factors!AH$6</f>
        <v>-0.98891438661309594</v>
      </c>
      <c r="BE42" s="18">
        <f t="shared" si="3"/>
        <v>115.8310856133869</v>
      </c>
    </row>
    <row r="43" spans="1:57" x14ac:dyDescent="0.35">
      <c r="A43" s="13" t="s">
        <v>359</v>
      </c>
      <c r="B43" s="15" t="s">
        <v>360</v>
      </c>
      <c r="C43" s="16"/>
      <c r="D43" s="16">
        <v>1.3</v>
      </c>
      <c r="E43" s="16"/>
      <c r="G43" s="16">
        <v>0.67</v>
      </c>
      <c r="H43" s="16"/>
      <c r="I43" s="16"/>
      <c r="J43" s="16">
        <v>21.28</v>
      </c>
      <c r="K43" s="16">
        <v>5.97</v>
      </c>
      <c r="L43" s="16"/>
      <c r="M43" s="16"/>
      <c r="N43" s="16"/>
      <c r="O43" s="16">
        <v>0.57999999999999996</v>
      </c>
      <c r="R43" s="16"/>
      <c r="S43" s="16"/>
      <c r="T43" s="16"/>
      <c r="U43" s="16"/>
      <c r="V43" s="16"/>
      <c r="X43" s="16">
        <v>78.72</v>
      </c>
      <c r="Y43" s="16">
        <v>28.68</v>
      </c>
      <c r="Z43" s="16">
        <v>0.28000000000000003</v>
      </c>
      <c r="AE43" s="16"/>
      <c r="AI43" s="16"/>
      <c r="AJ43" s="16"/>
      <c r="AK43" s="16"/>
      <c r="AL43" s="16"/>
      <c r="AM43" s="16"/>
      <c r="AN43" s="16"/>
      <c r="AP43" s="16"/>
      <c r="AQ43" s="16"/>
      <c r="AR43" s="16"/>
      <c r="AS43" s="16"/>
      <c r="AT43" s="16"/>
      <c r="AU43" s="16"/>
      <c r="AV43" s="16"/>
      <c r="AW43" s="16"/>
      <c r="AX43" s="16"/>
      <c r="AY43" s="16"/>
      <c r="AZ43" s="16"/>
      <c r="BA43" s="16"/>
      <c r="BC43" s="17">
        <f t="shared" si="2"/>
        <v>137.47999999999999</v>
      </c>
      <c r="BD43" s="17">
        <f>AG43*Factors!AG$6+AF43*Factors!AF$6+AH43*Factors!AH$6</f>
        <v>0</v>
      </c>
      <c r="BE43" s="18">
        <f t="shared" si="3"/>
        <v>137.47999999999999</v>
      </c>
    </row>
    <row r="44" spans="1:57" x14ac:dyDescent="0.35">
      <c r="A44" s="13" t="s">
        <v>361</v>
      </c>
      <c r="B44" s="15" t="s">
        <v>362</v>
      </c>
      <c r="C44" s="16"/>
      <c r="D44" s="16">
        <v>1.9</v>
      </c>
      <c r="E44" s="16"/>
      <c r="G44" s="16">
        <v>0.88</v>
      </c>
      <c r="H44" s="16"/>
      <c r="I44" s="16"/>
      <c r="J44" s="16">
        <v>8.6</v>
      </c>
      <c r="K44" s="16">
        <v>21.07</v>
      </c>
      <c r="L44" s="16"/>
      <c r="M44" s="16"/>
      <c r="N44" s="16"/>
      <c r="O44" s="16"/>
      <c r="R44" s="16"/>
      <c r="S44" s="16">
        <v>0.02</v>
      </c>
      <c r="T44" s="16"/>
      <c r="U44" s="16"/>
      <c r="V44" s="16"/>
      <c r="X44" s="16">
        <v>78.930000000000007</v>
      </c>
      <c r="Y44" s="16">
        <v>31.2</v>
      </c>
      <c r="Z44" s="16"/>
      <c r="AE44" s="16"/>
      <c r="AI44" s="16"/>
      <c r="AJ44" s="16"/>
      <c r="AK44" s="16"/>
      <c r="AL44" s="16"/>
      <c r="AM44" s="16"/>
      <c r="AN44" s="16"/>
      <c r="AP44" s="16"/>
      <c r="AQ44" s="16"/>
      <c r="AR44" s="16"/>
      <c r="AS44" s="16"/>
      <c r="AT44" s="16"/>
      <c r="AU44" s="16"/>
      <c r="AV44" s="16"/>
      <c r="AW44" s="16"/>
      <c r="AX44" s="16"/>
      <c r="AY44" s="16"/>
      <c r="AZ44" s="16"/>
      <c r="BA44" s="16"/>
      <c r="BC44" s="17">
        <f t="shared" si="2"/>
        <v>142.6</v>
      </c>
      <c r="BD44" s="17">
        <f>AG44*Factors!AG$6+AF44*Factors!AF$6+AH44*Factors!AH$6</f>
        <v>0</v>
      </c>
      <c r="BE44" s="18">
        <f t="shared" si="3"/>
        <v>142.6</v>
      </c>
    </row>
    <row r="45" spans="1:57" x14ac:dyDescent="0.35">
      <c r="A45" s="13" t="s">
        <v>432</v>
      </c>
      <c r="B45" s="15" t="s">
        <v>433</v>
      </c>
      <c r="C45" s="16">
        <v>36.409999999999997</v>
      </c>
      <c r="D45" s="16"/>
      <c r="E45" s="16"/>
      <c r="G45" s="16"/>
      <c r="H45" s="16">
        <v>21.5</v>
      </c>
      <c r="I45" s="16"/>
      <c r="J45" s="16"/>
      <c r="K45" s="16">
        <v>42.99</v>
      </c>
      <c r="L45" s="16"/>
      <c r="M45" s="16"/>
      <c r="N45" s="16"/>
      <c r="O45" s="16">
        <v>1.02</v>
      </c>
      <c r="R45" s="16"/>
      <c r="S45" s="16"/>
      <c r="T45" s="16"/>
      <c r="U45" s="16"/>
      <c r="V45" s="16"/>
      <c r="X45" s="16"/>
      <c r="Y45" s="16"/>
      <c r="Z45" s="16"/>
      <c r="AE45" s="16">
        <v>0.86</v>
      </c>
      <c r="AI45" s="16"/>
      <c r="AJ45" s="16"/>
      <c r="AK45" s="16"/>
      <c r="AL45" s="16"/>
      <c r="AM45" s="16"/>
      <c r="AN45" s="16"/>
      <c r="AP45" s="16"/>
      <c r="AQ45" s="16"/>
      <c r="AR45" s="16"/>
      <c r="AS45" s="16"/>
      <c r="AT45" s="16"/>
      <c r="AU45" s="16"/>
      <c r="AV45" s="16"/>
      <c r="AW45" s="16"/>
      <c r="AX45" s="16"/>
      <c r="AY45" s="16"/>
      <c r="AZ45" s="16"/>
      <c r="BA45" s="16"/>
      <c r="BC45" s="17">
        <f t="shared" ref="BC45:BC55" si="4">SUM(C45:BB45)</f>
        <v>102.78</v>
      </c>
      <c r="BD45" s="17">
        <f>AG45*Factors!AG$6+AF45*Factors!AF$6+AH45*Factors!AH$6</f>
        <v>0</v>
      </c>
      <c r="BE45" s="18">
        <f t="shared" ref="BE45:BE55" si="5">BC45+BD45</f>
        <v>102.78</v>
      </c>
    </row>
    <row r="46" spans="1:57" x14ac:dyDescent="0.35">
      <c r="A46" s="13" t="s">
        <v>434</v>
      </c>
      <c r="B46" s="15" t="s">
        <v>435</v>
      </c>
      <c r="C46" s="16">
        <v>36.04</v>
      </c>
      <c r="D46" s="16">
        <v>0.54</v>
      </c>
      <c r="E46" s="16"/>
      <c r="G46" s="16"/>
      <c r="H46" s="16">
        <v>30.83</v>
      </c>
      <c r="I46" s="16"/>
      <c r="J46" s="16">
        <v>20.46</v>
      </c>
      <c r="K46" s="16">
        <v>0.11</v>
      </c>
      <c r="L46" s="16"/>
      <c r="M46" s="16"/>
      <c r="N46" s="16">
        <v>0.42</v>
      </c>
      <c r="O46" s="16">
        <v>1.01</v>
      </c>
      <c r="R46" s="16"/>
      <c r="S46" s="16">
        <v>2.94</v>
      </c>
      <c r="T46" s="16">
        <v>0.05</v>
      </c>
      <c r="U46" s="16"/>
      <c r="V46" s="16">
        <v>10.43</v>
      </c>
      <c r="X46" s="16"/>
      <c r="Y46" s="16"/>
      <c r="Z46" s="16"/>
      <c r="AE46" s="16">
        <v>3.42</v>
      </c>
      <c r="AI46" s="16"/>
      <c r="AJ46" s="16"/>
      <c r="AK46" s="16"/>
      <c r="AL46" s="16"/>
      <c r="AM46" s="16"/>
      <c r="AN46" s="16"/>
      <c r="AP46" s="16"/>
      <c r="AQ46" s="16"/>
      <c r="AR46" s="16"/>
      <c r="AS46" s="16"/>
      <c r="AT46" s="16"/>
      <c r="AU46" s="16"/>
      <c r="AV46" s="16"/>
      <c r="AW46" s="16"/>
      <c r="AX46" s="16"/>
      <c r="AY46" s="16"/>
      <c r="AZ46" s="16"/>
      <c r="BA46" s="16"/>
      <c r="BC46" s="17">
        <f t="shared" si="4"/>
        <v>106.25000000000001</v>
      </c>
      <c r="BD46" s="17">
        <f>AG46*Factors!AG$6+AF46*Factors!AF$6+AH46*Factors!AH$6</f>
        <v>0</v>
      </c>
      <c r="BE46" s="18">
        <f t="shared" si="5"/>
        <v>106.25000000000001</v>
      </c>
    </row>
    <row r="47" spans="1:57" x14ac:dyDescent="0.35">
      <c r="A47" s="13" t="s">
        <v>436</v>
      </c>
      <c r="B47" s="15" t="s">
        <v>437</v>
      </c>
      <c r="C47" s="16">
        <v>46.55</v>
      </c>
      <c r="D47" s="16"/>
      <c r="E47" s="16"/>
      <c r="G47" s="16"/>
      <c r="H47" s="16">
        <v>39.549999999999997</v>
      </c>
      <c r="I47" s="16">
        <v>0.56999999999999995</v>
      </c>
      <c r="J47" s="16">
        <v>0.18</v>
      </c>
      <c r="K47" s="16"/>
      <c r="L47" s="16"/>
      <c r="M47" s="16"/>
      <c r="N47" s="16">
        <v>0.14000000000000001</v>
      </c>
      <c r="O47" s="16">
        <v>0.41</v>
      </c>
      <c r="R47" s="16"/>
      <c r="S47" s="16"/>
      <c r="T47" s="16">
        <v>0.03</v>
      </c>
      <c r="U47" s="16"/>
      <c r="V47" s="16"/>
      <c r="X47" s="16"/>
      <c r="Y47" s="16"/>
      <c r="Z47" s="16"/>
      <c r="AE47" s="16">
        <v>14.09</v>
      </c>
      <c r="AI47" s="16"/>
      <c r="AJ47" s="16"/>
      <c r="AK47" s="16"/>
      <c r="AL47" s="16"/>
      <c r="AM47" s="16"/>
      <c r="AN47" s="16"/>
      <c r="AP47" s="16"/>
      <c r="AQ47" s="16"/>
      <c r="AR47" s="16"/>
      <c r="AS47" s="16"/>
      <c r="AT47" s="16"/>
      <c r="AU47" s="16"/>
      <c r="AV47" s="16"/>
      <c r="AW47" s="16"/>
      <c r="AX47" s="16"/>
      <c r="AY47" s="16"/>
      <c r="AZ47" s="16"/>
      <c r="BA47" s="16"/>
      <c r="BC47" s="17">
        <f t="shared" si="4"/>
        <v>101.52</v>
      </c>
      <c r="BD47" s="17">
        <f>AG47*Factors!AG$6+AF47*Factors!AF$6+AH47*Factors!AH$6</f>
        <v>0</v>
      </c>
      <c r="BE47" s="18">
        <f t="shared" si="5"/>
        <v>101.52</v>
      </c>
    </row>
    <row r="48" spans="1:57" x14ac:dyDescent="0.35">
      <c r="A48" s="13" t="s">
        <v>438</v>
      </c>
      <c r="B48" s="15" t="s">
        <v>439</v>
      </c>
      <c r="C48" s="16">
        <v>38.49</v>
      </c>
      <c r="D48" s="16">
        <v>0.04</v>
      </c>
      <c r="E48" s="16"/>
      <c r="G48" s="16"/>
      <c r="H48" s="16">
        <v>43.85</v>
      </c>
      <c r="I48" s="16"/>
      <c r="J48" s="16">
        <v>0.11</v>
      </c>
      <c r="K48" s="16">
        <v>0.11</v>
      </c>
      <c r="L48" s="16"/>
      <c r="M48" s="16"/>
      <c r="N48" s="16"/>
      <c r="O48" s="16">
        <v>7.0000000000000007E-2</v>
      </c>
      <c r="R48" s="16"/>
      <c r="S48" s="16">
        <v>3.31</v>
      </c>
      <c r="T48" s="16"/>
      <c r="U48" s="16">
        <v>2.39</v>
      </c>
      <c r="V48" s="16">
        <v>11.15</v>
      </c>
      <c r="X48" s="16"/>
      <c r="Y48" s="16"/>
      <c r="Z48" s="16"/>
      <c r="AE48" s="16">
        <v>3.85</v>
      </c>
      <c r="AF48">
        <v>0.1</v>
      </c>
      <c r="AI48" s="16"/>
      <c r="AJ48" s="16"/>
      <c r="AK48" s="16"/>
      <c r="AL48" s="16"/>
      <c r="AM48" s="16"/>
      <c r="AN48" s="16"/>
      <c r="AP48" s="16"/>
      <c r="AQ48" s="16"/>
      <c r="AR48" s="16"/>
      <c r="AS48" s="16"/>
      <c r="AT48" s="16"/>
      <c r="AU48" s="16"/>
      <c r="AV48" s="16"/>
      <c r="AW48" s="16"/>
      <c r="AX48" s="16"/>
      <c r="AY48" s="16"/>
      <c r="AZ48" s="16"/>
      <c r="BA48" s="16"/>
      <c r="BC48" s="17">
        <f t="shared" si="4"/>
        <v>103.46999999999998</v>
      </c>
      <c r="BD48" s="17">
        <f>AG48*Factors!AG$6+AF48*Factors!AF$6+AH48*Factors!AH$6</f>
        <v>-4.2106170352144562E-2</v>
      </c>
      <c r="BE48" s="18">
        <f t="shared" si="5"/>
        <v>103.42789382964784</v>
      </c>
    </row>
    <row r="49" spans="1:57" x14ac:dyDescent="0.35">
      <c r="A49" s="13" t="s">
        <v>440</v>
      </c>
      <c r="B49" s="15" t="s">
        <v>441</v>
      </c>
      <c r="C49" s="16">
        <v>33.83</v>
      </c>
      <c r="D49" s="16"/>
      <c r="E49" s="16"/>
      <c r="G49" s="16"/>
      <c r="H49" s="16">
        <v>12.95</v>
      </c>
      <c r="I49" s="16">
        <v>2.25</v>
      </c>
      <c r="J49" s="16">
        <v>3.02</v>
      </c>
      <c r="K49" s="16"/>
      <c r="L49" s="16"/>
      <c r="M49" s="16"/>
      <c r="N49" s="16">
        <v>35.36</v>
      </c>
      <c r="O49" s="16">
        <v>1.24</v>
      </c>
      <c r="R49" s="16"/>
      <c r="S49" s="16"/>
      <c r="T49" s="16"/>
      <c r="U49" s="16"/>
      <c r="V49" s="16"/>
      <c r="X49" s="16"/>
      <c r="Y49" s="16"/>
      <c r="Z49" s="16"/>
      <c r="AE49" s="16">
        <v>13.11</v>
      </c>
      <c r="AI49" s="16"/>
      <c r="AJ49" s="16"/>
      <c r="AK49" s="16"/>
      <c r="AL49" s="16"/>
      <c r="AM49" s="16"/>
      <c r="AN49" s="16"/>
      <c r="AP49" s="16"/>
      <c r="AQ49" s="16"/>
      <c r="AR49" s="16"/>
      <c r="AS49" s="16"/>
      <c r="AT49" s="16"/>
      <c r="AU49" s="16"/>
      <c r="AV49" s="16"/>
      <c r="AW49" s="16"/>
      <c r="AX49" s="16"/>
      <c r="AY49" s="16"/>
      <c r="AZ49" s="16"/>
      <c r="BA49" s="16"/>
      <c r="BC49" s="17">
        <f t="shared" si="4"/>
        <v>101.75999999999999</v>
      </c>
      <c r="BD49" s="17">
        <f>AG49*Factors!AG$6+AF49*Factors!AF$6+AH49*Factors!AH$6</f>
        <v>0</v>
      </c>
      <c r="BE49" s="18">
        <f t="shared" si="5"/>
        <v>101.75999999999999</v>
      </c>
    </row>
    <row r="50" spans="1:57" x14ac:dyDescent="0.35">
      <c r="A50" s="13" t="s">
        <v>442</v>
      </c>
      <c r="B50" s="15" t="s">
        <v>443</v>
      </c>
      <c r="C50" s="16">
        <v>26.65</v>
      </c>
      <c r="D50" s="16"/>
      <c r="E50" s="16"/>
      <c r="G50" s="16"/>
      <c r="H50" s="16">
        <v>18.23</v>
      </c>
      <c r="I50" s="16">
        <v>6.69</v>
      </c>
      <c r="J50" s="16">
        <v>34.43</v>
      </c>
      <c r="K50" s="16">
        <v>0.04</v>
      </c>
      <c r="L50" s="16"/>
      <c r="M50" s="16"/>
      <c r="N50" s="16">
        <v>11.35</v>
      </c>
      <c r="O50" s="16">
        <v>0.42</v>
      </c>
      <c r="R50" s="16"/>
      <c r="S50" s="16">
        <v>0.17</v>
      </c>
      <c r="T50" s="16">
        <v>0.17</v>
      </c>
      <c r="U50" s="16"/>
      <c r="V50" s="16"/>
      <c r="X50" s="16"/>
      <c r="Y50" s="16"/>
      <c r="Z50" s="16"/>
      <c r="AE50" s="16">
        <v>11.65</v>
      </c>
      <c r="AI50" s="16"/>
      <c r="AJ50" s="16"/>
      <c r="AK50" s="16"/>
      <c r="AL50" s="16"/>
      <c r="AM50" s="16"/>
      <c r="AN50" s="16"/>
      <c r="AP50" s="16"/>
      <c r="AQ50" s="16"/>
      <c r="AR50" s="16"/>
      <c r="AS50" s="16"/>
      <c r="AT50" s="16"/>
      <c r="AU50" s="16"/>
      <c r="AV50" s="16"/>
      <c r="AW50" s="16"/>
      <c r="AX50" s="16"/>
      <c r="AY50" s="16"/>
      <c r="AZ50" s="16"/>
      <c r="BA50" s="16"/>
      <c r="BC50" s="17">
        <f t="shared" si="4"/>
        <v>109.80000000000001</v>
      </c>
      <c r="BD50" s="17">
        <f>AG50*Factors!AG$6+AF50*Factors!AF$6+AH50*Factors!AH$6</f>
        <v>0</v>
      </c>
      <c r="BE50" s="18">
        <f t="shared" si="5"/>
        <v>109.80000000000001</v>
      </c>
    </row>
    <row r="51" spans="1:57" x14ac:dyDescent="0.35">
      <c r="A51" s="13" t="s">
        <v>444</v>
      </c>
      <c r="B51" s="15" t="s">
        <v>445</v>
      </c>
      <c r="C51" s="16">
        <v>51.45</v>
      </c>
      <c r="D51" s="16"/>
      <c r="E51" s="16"/>
      <c r="G51" s="16"/>
      <c r="H51" s="16">
        <v>28.93</v>
      </c>
      <c r="I51" s="16">
        <v>0.16</v>
      </c>
      <c r="J51" s="16">
        <v>0.04</v>
      </c>
      <c r="K51" s="16">
        <v>0.92</v>
      </c>
      <c r="L51" s="16"/>
      <c r="M51" s="16"/>
      <c r="N51" s="16">
        <v>0.53</v>
      </c>
      <c r="O51" s="16">
        <v>0.2</v>
      </c>
      <c r="R51" s="16"/>
      <c r="S51" s="16">
        <v>0.87</v>
      </c>
      <c r="T51" s="16">
        <v>10.02</v>
      </c>
      <c r="U51" s="16">
        <v>5.42</v>
      </c>
      <c r="V51" s="16"/>
      <c r="X51" s="16"/>
      <c r="Y51" s="16"/>
      <c r="Z51" s="16"/>
      <c r="AE51" s="16">
        <v>3.2</v>
      </c>
      <c r="AF51">
        <v>7.4</v>
      </c>
      <c r="AI51" s="16"/>
      <c r="AJ51" s="16"/>
      <c r="AK51" s="16"/>
      <c r="AL51" s="16"/>
      <c r="AM51" s="16"/>
      <c r="AN51" s="16"/>
      <c r="AP51" s="16"/>
      <c r="AQ51" s="16"/>
      <c r="AR51" s="16"/>
      <c r="AS51" s="16"/>
      <c r="AT51" s="16"/>
      <c r="AU51" s="16"/>
      <c r="AV51" s="16"/>
      <c r="AW51" s="16"/>
      <c r="AX51" s="16"/>
      <c r="AY51" s="16"/>
      <c r="AZ51" s="16"/>
      <c r="BA51" s="16"/>
      <c r="BC51" s="17">
        <f t="shared" si="4"/>
        <v>109.14000000000001</v>
      </c>
      <c r="BD51" s="17">
        <f>AG51*Factors!AG$6+AF51*Factors!AF$6+AH51*Factors!AH$6</f>
        <v>-3.1158566060586979</v>
      </c>
      <c r="BE51" s="18">
        <f t="shared" si="5"/>
        <v>106.02414339394132</v>
      </c>
    </row>
    <row r="52" spans="1:57" x14ac:dyDescent="0.35">
      <c r="A52" s="13" t="s">
        <v>446</v>
      </c>
      <c r="B52" s="15" t="s">
        <v>138</v>
      </c>
      <c r="C52" s="16"/>
      <c r="D52" s="16"/>
      <c r="E52" s="16"/>
      <c r="G52" s="16"/>
      <c r="H52" s="16"/>
      <c r="I52" s="16"/>
      <c r="J52" s="16"/>
      <c r="K52" s="16"/>
      <c r="L52" s="16"/>
      <c r="M52" s="16"/>
      <c r="N52" s="16"/>
      <c r="O52" s="16">
        <v>55.6</v>
      </c>
      <c r="R52" s="16"/>
      <c r="S52" s="16"/>
      <c r="T52" s="16"/>
      <c r="U52" s="16"/>
      <c r="V52" s="16"/>
      <c r="X52" s="16"/>
      <c r="Y52" s="16"/>
      <c r="Z52" s="16"/>
      <c r="AA52">
        <v>42.22</v>
      </c>
      <c r="AE52" s="16"/>
      <c r="AF52">
        <v>3.89</v>
      </c>
      <c r="AI52" s="16"/>
      <c r="AJ52" s="16"/>
      <c r="AK52" s="16"/>
      <c r="AL52" s="16">
        <v>0.1</v>
      </c>
      <c r="AM52" s="16"/>
      <c r="AN52" s="16"/>
      <c r="AP52" s="16"/>
      <c r="AQ52" s="16">
        <v>0.06</v>
      </c>
      <c r="AR52" s="16"/>
      <c r="AS52" s="16"/>
      <c r="AT52" s="16">
        <v>0.06</v>
      </c>
      <c r="AU52" s="16"/>
      <c r="AV52" s="16"/>
      <c r="AW52" s="16"/>
      <c r="AX52" s="16"/>
      <c r="AY52" s="16"/>
      <c r="AZ52" s="16">
        <v>0.06</v>
      </c>
      <c r="BA52" s="16"/>
      <c r="BC52" s="17">
        <f t="shared" si="4"/>
        <v>101.99</v>
      </c>
      <c r="BD52" s="17">
        <f>AG52*Factors!AG$6+AF52*Factors!AF$6+AH52*Factors!AH$6</f>
        <v>-1.6379300266984236</v>
      </c>
      <c r="BE52" s="18">
        <f t="shared" si="5"/>
        <v>100.35206997330157</v>
      </c>
    </row>
    <row r="53" spans="1:57" x14ac:dyDescent="0.35">
      <c r="A53" s="13" t="s">
        <v>447</v>
      </c>
      <c r="B53" s="15" t="s">
        <v>448</v>
      </c>
      <c r="C53" s="16">
        <v>67.069999999999993</v>
      </c>
      <c r="D53" s="16"/>
      <c r="E53" s="16"/>
      <c r="G53" s="16"/>
      <c r="H53" s="16">
        <v>18.97</v>
      </c>
      <c r="I53" s="16"/>
      <c r="J53" s="16">
        <v>1.1599999999999999</v>
      </c>
      <c r="K53" s="16"/>
      <c r="L53" s="16"/>
      <c r="M53" s="16"/>
      <c r="N53" s="16"/>
      <c r="O53" s="16"/>
      <c r="R53" s="16"/>
      <c r="S53" s="16">
        <v>1.23</v>
      </c>
      <c r="T53" s="16"/>
      <c r="U53" s="16">
        <v>1.3</v>
      </c>
      <c r="V53" s="16"/>
      <c r="W53">
        <v>13.96</v>
      </c>
      <c r="X53" s="16"/>
      <c r="Y53" s="16"/>
      <c r="Z53" s="16"/>
      <c r="AE53" s="16">
        <v>1.1000000000000001</v>
      </c>
      <c r="AI53" s="16"/>
      <c r="AJ53" s="16"/>
      <c r="AK53" s="16"/>
      <c r="AL53" s="16"/>
      <c r="AM53" s="16"/>
      <c r="AN53" s="16"/>
      <c r="AP53" s="16"/>
      <c r="AQ53" s="16"/>
      <c r="AR53" s="16"/>
      <c r="AS53" s="16"/>
      <c r="AT53" s="16"/>
      <c r="AU53" s="16"/>
      <c r="AV53" s="16"/>
      <c r="AW53" s="16"/>
      <c r="AX53" s="16"/>
      <c r="AY53" s="16"/>
      <c r="AZ53" s="16"/>
      <c r="BA53" s="16"/>
      <c r="BC53" s="17">
        <f t="shared" si="4"/>
        <v>104.78999999999999</v>
      </c>
      <c r="BD53" s="17">
        <f>AG53*Factors!AG$6+AF53*Factors!AF$6+AH53*Factors!AH$6</f>
        <v>0</v>
      </c>
      <c r="BE53" s="18">
        <f t="shared" si="5"/>
        <v>104.78999999999999</v>
      </c>
    </row>
    <row r="54" spans="1:57" x14ac:dyDescent="0.35">
      <c r="A54" s="13" t="s">
        <v>449</v>
      </c>
      <c r="B54" s="15" t="s">
        <v>450</v>
      </c>
      <c r="C54" s="16"/>
      <c r="D54" s="16"/>
      <c r="E54" s="16"/>
      <c r="G54" s="16"/>
      <c r="H54" s="16">
        <v>35.1</v>
      </c>
      <c r="I54" s="16"/>
      <c r="J54" s="16"/>
      <c r="K54" s="16"/>
      <c r="L54" s="16"/>
      <c r="M54" s="16"/>
      <c r="N54" s="16"/>
      <c r="O54" s="16">
        <v>0.08</v>
      </c>
      <c r="R54" s="16"/>
      <c r="S54" s="16">
        <v>0.14000000000000001</v>
      </c>
      <c r="T54" s="16">
        <v>0.01</v>
      </c>
      <c r="U54" s="16">
        <v>10.17</v>
      </c>
      <c r="V54" s="16"/>
      <c r="X54" s="16"/>
      <c r="Y54" s="16"/>
      <c r="Z54" s="16"/>
      <c r="AA54">
        <v>49.11</v>
      </c>
      <c r="AE54" s="16">
        <v>5.32</v>
      </c>
      <c r="AF54">
        <v>6.47</v>
      </c>
      <c r="AI54" s="16"/>
      <c r="AJ54" s="16"/>
      <c r="AK54" s="16"/>
      <c r="AL54" s="16"/>
      <c r="AM54" s="16"/>
      <c r="AN54" s="16"/>
      <c r="AP54" s="16"/>
      <c r="AQ54" s="16"/>
      <c r="AR54" s="16"/>
      <c r="AS54" s="16"/>
      <c r="AT54" s="16"/>
      <c r="AU54" s="16"/>
      <c r="AV54" s="16"/>
      <c r="AW54" s="16"/>
      <c r="AX54" s="16"/>
      <c r="AY54" s="16"/>
      <c r="AZ54" s="16"/>
      <c r="BA54" s="16"/>
      <c r="BC54" s="17">
        <f t="shared" si="4"/>
        <v>106.4</v>
      </c>
      <c r="BD54" s="17">
        <f>AG54*Factors!AG$6+AF54*Factors!AF$6+AH54*Factors!AH$6</f>
        <v>-2.7242692217837532</v>
      </c>
      <c r="BE54" s="18">
        <f t="shared" si="5"/>
        <v>103.67573077821625</v>
      </c>
    </row>
    <row r="55" spans="1:57" x14ac:dyDescent="0.35">
      <c r="A55" s="13" t="s">
        <v>451</v>
      </c>
      <c r="B55" s="15" t="s">
        <v>452</v>
      </c>
      <c r="C55" s="16">
        <v>66.040000000000006</v>
      </c>
      <c r="D55" s="16"/>
      <c r="E55" s="16"/>
      <c r="G55" s="16"/>
      <c r="H55" s="16">
        <v>24.82</v>
      </c>
      <c r="I55" s="16"/>
      <c r="J55" s="16"/>
      <c r="K55" s="16"/>
      <c r="L55" s="16"/>
      <c r="M55" s="16"/>
      <c r="N55" s="16"/>
      <c r="O55" s="16">
        <v>6.3</v>
      </c>
      <c r="R55" s="16"/>
      <c r="S55" s="16">
        <v>10.57</v>
      </c>
      <c r="T55" s="16">
        <v>0.68</v>
      </c>
      <c r="U55" s="16"/>
      <c r="V55" s="16"/>
      <c r="X55" s="16"/>
      <c r="Y55" s="16"/>
      <c r="Z55" s="16"/>
      <c r="AE55" s="16">
        <v>0.09</v>
      </c>
      <c r="AI55" s="16"/>
      <c r="AJ55" s="16"/>
      <c r="AK55" s="16"/>
      <c r="AL55" s="16"/>
      <c r="AM55" s="16"/>
      <c r="AN55" s="16"/>
      <c r="AP55" s="16"/>
      <c r="AQ55" s="16"/>
      <c r="AR55" s="16"/>
      <c r="AS55" s="16"/>
      <c r="AT55" s="16"/>
      <c r="AU55" s="16"/>
      <c r="AV55" s="16"/>
      <c r="AW55" s="16"/>
      <c r="AX55" s="16"/>
      <c r="AY55" s="16"/>
      <c r="AZ55" s="16"/>
      <c r="BA55" s="16"/>
      <c r="BC55" s="17">
        <f t="shared" si="4"/>
        <v>108.50000000000003</v>
      </c>
      <c r="BD55" s="17">
        <f>AG55*Factors!AG$6+AF55*Factors!AF$6+AH55*Factors!AH$6</f>
        <v>0</v>
      </c>
      <c r="BE55" s="18">
        <f t="shared" si="5"/>
        <v>108.50000000000003</v>
      </c>
    </row>
    <row r="56" spans="1:57" x14ac:dyDescent="0.35">
      <c r="A56" s="13" t="s">
        <v>495</v>
      </c>
      <c r="B56" s="15" t="s">
        <v>75</v>
      </c>
      <c r="C56" s="16"/>
      <c r="D56" s="16"/>
      <c r="E56" s="16"/>
      <c r="G56" s="16"/>
      <c r="H56" s="16">
        <v>100</v>
      </c>
      <c r="I56" s="16"/>
      <c r="J56" s="16"/>
      <c r="K56" s="16"/>
      <c r="L56" s="16"/>
      <c r="M56" s="16"/>
      <c r="N56" s="16"/>
      <c r="O56" s="16"/>
      <c r="R56" s="16"/>
      <c r="S56" s="16"/>
      <c r="T56" s="16"/>
      <c r="U56" s="16"/>
      <c r="V56" s="16"/>
      <c r="X56" s="16"/>
      <c r="Y56" s="16"/>
      <c r="Z56" s="16"/>
      <c r="AE56" s="16"/>
      <c r="AI56" s="16"/>
      <c r="AJ56" s="16"/>
      <c r="AK56" s="16"/>
      <c r="AL56" s="16"/>
      <c r="AM56" s="16"/>
      <c r="AN56" s="16"/>
      <c r="AP56" s="16"/>
      <c r="AQ56" s="16"/>
      <c r="AR56" s="16"/>
      <c r="AS56" s="16"/>
      <c r="AT56" s="16"/>
      <c r="AU56" s="16"/>
      <c r="AV56" s="16"/>
      <c r="AW56" s="16"/>
      <c r="AX56" s="16"/>
      <c r="AY56" s="16"/>
      <c r="AZ56" s="16"/>
      <c r="BA56" s="16"/>
      <c r="BC56" s="17">
        <f t="shared" ref="BC56:BC59" si="6">SUM(C56:BB56)</f>
        <v>100</v>
      </c>
      <c r="BD56" s="17">
        <f>AG56*Factors!AG$6+AF56*Factors!AF$6+AH56*Factors!AH$6</f>
        <v>0</v>
      </c>
      <c r="BE56" s="18">
        <f t="shared" ref="BE56:BE59" si="7">BC56+BD56</f>
        <v>100</v>
      </c>
    </row>
    <row r="57" spans="1:57" x14ac:dyDescent="0.35">
      <c r="A57" s="13" t="s">
        <v>496</v>
      </c>
      <c r="B57" s="15" t="s">
        <v>497</v>
      </c>
      <c r="C57" s="16">
        <v>64.58</v>
      </c>
      <c r="D57" s="16"/>
      <c r="E57" s="16"/>
      <c r="G57" s="16"/>
      <c r="H57" s="16">
        <v>27.48</v>
      </c>
      <c r="I57" s="16">
        <v>0.04</v>
      </c>
      <c r="J57" s="16"/>
      <c r="K57" s="16">
        <v>0.14000000000000001</v>
      </c>
      <c r="L57" s="16"/>
      <c r="M57" s="16"/>
      <c r="N57" s="16"/>
      <c r="O57" s="16"/>
      <c r="R57" s="16"/>
      <c r="S57" s="16">
        <v>0.22</v>
      </c>
      <c r="T57" s="16"/>
      <c r="U57" s="16">
        <v>8.0299999999999994</v>
      </c>
      <c r="V57" s="16"/>
      <c r="X57" s="16"/>
      <c r="Y57" s="16"/>
      <c r="Z57" s="16"/>
      <c r="AE57" s="16">
        <v>0.17</v>
      </c>
      <c r="AI57" s="16"/>
      <c r="AJ57" s="16"/>
      <c r="AK57" s="16"/>
      <c r="AL57" s="16"/>
      <c r="AM57" s="16"/>
      <c r="AN57" s="16"/>
      <c r="AP57" s="16"/>
      <c r="AQ57" s="16"/>
      <c r="AR57" s="16"/>
      <c r="AS57" s="16"/>
      <c r="AT57" s="16"/>
      <c r="AU57" s="16"/>
      <c r="AV57" s="16"/>
      <c r="AW57" s="16"/>
      <c r="AX57" s="16"/>
      <c r="AY57" s="16"/>
      <c r="AZ57" s="16"/>
      <c r="BA57" s="16"/>
      <c r="BC57" s="17">
        <f t="shared" si="6"/>
        <v>100.66000000000001</v>
      </c>
      <c r="BD57" s="17">
        <f>AG57*Factors!AG$6+AF57*Factors!AF$6+AH57*Factors!AH$6</f>
        <v>0</v>
      </c>
      <c r="BE57" s="18">
        <f t="shared" si="7"/>
        <v>100.66000000000001</v>
      </c>
    </row>
    <row r="58" spans="1:57" x14ac:dyDescent="0.35">
      <c r="A58" s="13" t="s">
        <v>498</v>
      </c>
      <c r="B58" s="15" t="s">
        <v>499</v>
      </c>
      <c r="C58" s="16"/>
      <c r="D58" s="16"/>
      <c r="E58" s="16"/>
      <c r="G58" s="16"/>
      <c r="H58" s="16"/>
      <c r="I58" s="16"/>
      <c r="J58" s="16">
        <v>0.43</v>
      </c>
      <c r="K58" s="16"/>
      <c r="L58" s="16"/>
      <c r="M58" s="16"/>
      <c r="N58" s="16">
        <v>1.74</v>
      </c>
      <c r="O58" s="16">
        <v>56.03</v>
      </c>
      <c r="R58" s="16"/>
      <c r="S58" s="16"/>
      <c r="T58" s="16"/>
      <c r="U58" s="16"/>
      <c r="V58" s="16"/>
      <c r="X58" s="16"/>
      <c r="Y58" s="16"/>
      <c r="Z58" s="16"/>
      <c r="AD58">
        <v>44.22</v>
      </c>
      <c r="AE58" s="16"/>
      <c r="AI58" s="16"/>
      <c r="AJ58" s="16"/>
      <c r="AK58" s="16"/>
      <c r="AL58" s="16"/>
      <c r="AM58" s="16"/>
      <c r="AN58" s="16"/>
      <c r="AP58" s="16"/>
      <c r="AQ58" s="16"/>
      <c r="AR58" s="16"/>
      <c r="AS58" s="16"/>
      <c r="AT58" s="16"/>
      <c r="AU58" s="16"/>
      <c r="AV58" s="16"/>
      <c r="AW58" s="16"/>
      <c r="AX58" s="16"/>
      <c r="AY58" s="16"/>
      <c r="AZ58" s="16"/>
      <c r="BA58" s="16"/>
      <c r="BC58" s="17">
        <f t="shared" si="6"/>
        <v>102.42</v>
      </c>
      <c r="BD58" s="17">
        <f>AG58*Factors!AG$6+AF58*Factors!AF$6+AH58*Factors!AH$6</f>
        <v>0</v>
      </c>
      <c r="BE58" s="18">
        <f t="shared" si="7"/>
        <v>102.42</v>
      </c>
    </row>
    <row r="59" spans="1:57" x14ac:dyDescent="0.35">
      <c r="A59" s="13" t="s">
        <v>500</v>
      </c>
      <c r="B59" s="15" t="s">
        <v>501</v>
      </c>
      <c r="C59" s="16"/>
      <c r="D59" s="16"/>
      <c r="E59" s="16"/>
      <c r="G59" s="16"/>
      <c r="H59" s="16"/>
      <c r="I59" s="16"/>
      <c r="J59" s="16">
        <v>23.48</v>
      </c>
      <c r="K59" s="16">
        <v>3.43</v>
      </c>
      <c r="L59" s="16">
        <v>83.52</v>
      </c>
      <c r="M59" s="16"/>
      <c r="N59" s="16"/>
      <c r="O59" s="16"/>
      <c r="R59" s="16"/>
      <c r="S59" s="16"/>
      <c r="T59" s="16"/>
      <c r="U59" s="16"/>
      <c r="V59" s="16"/>
      <c r="X59" s="16"/>
      <c r="Y59" s="16"/>
      <c r="Z59" s="16"/>
      <c r="AE59" s="16"/>
      <c r="AH59">
        <v>33.57</v>
      </c>
      <c r="AI59" s="16"/>
      <c r="AJ59" s="16"/>
      <c r="AK59" s="16"/>
      <c r="AL59" s="16"/>
      <c r="AM59" s="16"/>
      <c r="AN59" s="16"/>
      <c r="AP59" s="16"/>
      <c r="AQ59" s="16"/>
      <c r="AR59" s="16"/>
      <c r="AS59" s="16"/>
      <c r="AT59" s="16"/>
      <c r="AU59" s="16"/>
      <c r="AV59" s="16"/>
      <c r="AW59" s="16"/>
      <c r="AX59" s="16"/>
      <c r="AY59" s="16"/>
      <c r="AZ59" s="16"/>
      <c r="BA59" s="16"/>
      <c r="BC59" s="17">
        <f t="shared" si="6"/>
        <v>144</v>
      </c>
      <c r="BD59" s="17">
        <f>AG59*Factors!AG$6+AF59*Factors!AF$6+AH59*Factors!AH$6</f>
        <v>-16.752539925140361</v>
      </c>
      <c r="BE59" s="18">
        <f t="shared" si="7"/>
        <v>127.24746007485965</v>
      </c>
    </row>
    <row r="60" spans="1:57" x14ac:dyDescent="0.35">
      <c r="A60" s="13" t="s">
        <v>519</v>
      </c>
      <c r="B60" s="15" t="s">
        <v>520</v>
      </c>
      <c r="C60" s="16"/>
      <c r="D60" s="16"/>
      <c r="E60" s="16"/>
      <c r="G60" s="16"/>
      <c r="H60" s="16">
        <v>38.71</v>
      </c>
      <c r="I60" s="16"/>
      <c r="J60" s="16"/>
      <c r="K60" s="16"/>
      <c r="L60" s="16"/>
      <c r="M60" s="16"/>
      <c r="N60" s="16">
        <v>0.94</v>
      </c>
      <c r="O60" s="16">
        <v>13.55</v>
      </c>
      <c r="P60">
        <v>10.53</v>
      </c>
      <c r="R60" s="16"/>
      <c r="S60" s="16"/>
      <c r="T60" s="16"/>
      <c r="U60" s="16"/>
      <c r="V60" s="16"/>
      <c r="X60" s="16"/>
      <c r="Y60" s="16"/>
      <c r="Z60" s="16"/>
      <c r="AA60">
        <v>34.28</v>
      </c>
      <c r="AC60">
        <v>3.8</v>
      </c>
      <c r="AE60" s="16">
        <v>20.149999999999999</v>
      </c>
      <c r="AI60" s="16"/>
      <c r="AJ60" s="16"/>
      <c r="AK60" s="16"/>
      <c r="AL60" s="16"/>
      <c r="AM60" s="16"/>
      <c r="AN60" s="16"/>
      <c r="AP60" s="16"/>
      <c r="AQ60" s="16"/>
      <c r="AR60" s="16"/>
      <c r="AS60" s="16"/>
      <c r="AT60" s="16"/>
      <c r="AU60" s="16"/>
      <c r="AV60" s="16"/>
      <c r="AW60" s="16"/>
      <c r="AX60" s="16"/>
      <c r="AY60" s="16"/>
      <c r="AZ60" s="16"/>
      <c r="BA60" s="16"/>
      <c r="BC60" s="17">
        <f t="shared" ref="BC60:BC61" si="8">SUM(C60:BB60)</f>
        <v>121.96000000000001</v>
      </c>
      <c r="BD60" s="17">
        <f>AG60*Factors!AG$6+AF60*Factors!AF$6+AH60*Factors!AH$6</f>
        <v>0</v>
      </c>
      <c r="BE60" s="18">
        <f t="shared" ref="BE60:BE61" si="9">BC60+BD60</f>
        <v>121.96000000000001</v>
      </c>
    </row>
    <row r="61" spans="1:57" x14ac:dyDescent="0.35">
      <c r="A61" s="13" t="s">
        <v>521</v>
      </c>
      <c r="B61" s="15" t="s">
        <v>522</v>
      </c>
      <c r="C61" s="16"/>
      <c r="D61" s="16"/>
      <c r="E61" s="16"/>
      <c r="G61" s="16">
        <v>35.64</v>
      </c>
      <c r="H61" s="16"/>
      <c r="I61" s="16"/>
      <c r="J61" s="16">
        <v>4.01</v>
      </c>
      <c r="K61" s="16"/>
      <c r="L61" s="16">
        <v>18.52</v>
      </c>
      <c r="M61" s="16">
        <v>34.409999999999997</v>
      </c>
      <c r="N61" s="16"/>
      <c r="O61" s="16"/>
      <c r="R61" s="16"/>
      <c r="S61" s="16"/>
      <c r="T61" s="16"/>
      <c r="U61" s="16"/>
      <c r="V61" s="16"/>
      <c r="X61" s="16"/>
      <c r="Y61" s="16"/>
      <c r="Z61" s="16"/>
      <c r="AE61" s="16"/>
      <c r="AH61">
        <v>29.19</v>
      </c>
      <c r="AI61" s="16"/>
      <c r="AJ61" s="16"/>
      <c r="AK61" s="16"/>
      <c r="AL61" s="16"/>
      <c r="AM61" s="16"/>
      <c r="AN61" s="16"/>
      <c r="AP61" s="16"/>
      <c r="AQ61" s="16"/>
      <c r="AR61" s="16"/>
      <c r="AS61" s="16"/>
      <c r="AT61" s="16"/>
      <c r="AU61" s="16"/>
      <c r="AV61" s="16"/>
      <c r="AW61" s="16"/>
      <c r="AX61" s="16"/>
      <c r="AY61" s="16"/>
      <c r="AZ61" s="16"/>
      <c r="BA61" s="16"/>
      <c r="BC61" s="17">
        <f t="shared" si="8"/>
        <v>121.77</v>
      </c>
      <c r="BD61" s="17">
        <f>AG61*Factors!AG$6+AF61*Factors!AF$6+AH61*Factors!AH$6</f>
        <v>-14.566775109170306</v>
      </c>
      <c r="BE61" s="18">
        <f t="shared" si="9"/>
        <v>107.20322489082969</v>
      </c>
    </row>
    <row r="62" spans="1:57" x14ac:dyDescent="0.35">
      <c r="A62" s="13" t="s">
        <v>531</v>
      </c>
      <c r="B62" s="15" t="s">
        <v>532</v>
      </c>
      <c r="C62" s="16">
        <v>0.09</v>
      </c>
      <c r="D62" s="16"/>
      <c r="E62" s="16"/>
      <c r="G62" s="16"/>
      <c r="H62" s="16">
        <v>7.0000000000000007E-2</v>
      </c>
      <c r="I62" s="16"/>
      <c r="J62" s="16">
        <v>22.84</v>
      </c>
      <c r="K62" s="16">
        <v>46.4</v>
      </c>
      <c r="L62" s="16"/>
      <c r="M62" s="16"/>
      <c r="N62" s="16"/>
      <c r="O62" s="16"/>
      <c r="R62" s="16"/>
      <c r="S62" s="16">
        <v>0.24</v>
      </c>
      <c r="T62" s="16"/>
      <c r="U62" s="16">
        <v>9.5</v>
      </c>
      <c r="V62" s="16"/>
      <c r="X62" s="16"/>
      <c r="Y62" s="16"/>
      <c r="Z62" s="16"/>
      <c r="AA62">
        <v>45.11</v>
      </c>
      <c r="AE62" s="16">
        <v>0.65</v>
      </c>
      <c r="AI62" s="16"/>
      <c r="AJ62" s="16"/>
      <c r="AK62" s="16"/>
      <c r="AL62" s="16"/>
      <c r="AM62" s="16"/>
      <c r="AN62" s="16"/>
      <c r="AP62" s="16"/>
      <c r="AQ62" s="16"/>
      <c r="AR62" s="16"/>
      <c r="AS62" s="16"/>
      <c r="AT62" s="16"/>
      <c r="AU62" s="16"/>
      <c r="AV62" s="16"/>
      <c r="AW62" s="16"/>
      <c r="AX62" s="16"/>
      <c r="AY62" s="16"/>
      <c r="AZ62" s="16"/>
      <c r="BA62" s="16"/>
      <c r="BC62" s="17">
        <f t="shared" ref="BC62:BC63" si="10">SUM(C62:BB62)</f>
        <v>124.9</v>
      </c>
      <c r="BD62" s="17">
        <f>AG62*Factors!AG$6+AF62*Factors!AF$6+AH62*Factors!AH$6</f>
        <v>0</v>
      </c>
      <c r="BE62" s="18">
        <f t="shared" ref="BE62:BE63" si="11">BC62+BD62</f>
        <v>124.9</v>
      </c>
    </row>
    <row r="63" spans="1:57" x14ac:dyDescent="0.35">
      <c r="A63" s="13" t="s">
        <v>533</v>
      </c>
      <c r="B63" s="15" t="s">
        <v>534</v>
      </c>
      <c r="C63" s="16"/>
      <c r="D63" s="16"/>
      <c r="E63" s="16"/>
      <c r="G63" s="16"/>
      <c r="H63" s="16"/>
      <c r="I63" s="16"/>
      <c r="J63" s="16">
        <v>0.77</v>
      </c>
      <c r="K63" s="16">
        <v>61.71</v>
      </c>
      <c r="L63" s="16"/>
      <c r="M63" s="16"/>
      <c r="N63" s="16"/>
      <c r="O63" s="16">
        <v>0.51</v>
      </c>
      <c r="R63" s="16"/>
      <c r="S63" s="16"/>
      <c r="T63" s="16"/>
      <c r="U63" s="16"/>
      <c r="V63" s="16"/>
      <c r="X63" s="16"/>
      <c r="Y63" s="16"/>
      <c r="Z63" s="16"/>
      <c r="AD63">
        <v>38.29</v>
      </c>
      <c r="AE63" s="16"/>
      <c r="AI63" s="16"/>
      <c r="AJ63" s="16"/>
      <c r="AK63" s="16"/>
      <c r="AL63" s="16"/>
      <c r="AM63" s="16"/>
      <c r="AN63" s="16"/>
      <c r="AP63" s="16"/>
      <c r="AQ63" s="16"/>
      <c r="AR63" s="16"/>
      <c r="AS63" s="16"/>
      <c r="AT63" s="16"/>
      <c r="AU63" s="16"/>
      <c r="AV63" s="16"/>
      <c r="AW63" s="16"/>
      <c r="AX63" s="16"/>
      <c r="AY63" s="16"/>
      <c r="AZ63" s="16"/>
      <c r="BA63" s="16"/>
      <c r="BC63" s="17">
        <f t="shared" si="10"/>
        <v>101.28</v>
      </c>
      <c r="BD63" s="17">
        <f>AG63*Factors!AG$6+AF63*Factors!AF$6+AH63*Factors!AH$6</f>
        <v>0</v>
      </c>
      <c r="BE63" s="18">
        <f t="shared" si="11"/>
        <v>101.28</v>
      </c>
    </row>
    <row r="64" spans="1:57" x14ac:dyDescent="0.35">
      <c r="A64" s="7" t="s">
        <v>178</v>
      </c>
    </row>
    <row r="65" spans="1:1" x14ac:dyDescent="0.35">
      <c r="A65" s="7" t="s">
        <v>176</v>
      </c>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63"/>
  <sheetViews>
    <sheetView workbookViewId="0">
      <pane xSplit="1" ySplit="1" topLeftCell="B20" activePane="bottomRight" state="frozen"/>
      <selection pane="topRight"/>
      <selection pane="bottomLeft"/>
      <selection pane="bottomRight" activeCell="T29" sqref="T29"/>
    </sheetView>
  </sheetViews>
  <sheetFormatPr defaultRowHeight="14.5" x14ac:dyDescent="0.35"/>
  <cols>
    <col min="1" max="1" width="30" customWidth="1"/>
    <col min="2" max="52" width="8" customWidth="1"/>
  </cols>
  <sheetData>
    <row r="1" spans="1:52" x14ac:dyDescent="0.35">
      <c r="A1" s="4" t="s">
        <v>179</v>
      </c>
      <c r="B1" s="4" t="s">
        <v>20</v>
      </c>
      <c r="C1" s="4" t="s">
        <v>22</v>
      </c>
      <c r="D1" s="4" t="s">
        <v>23</v>
      </c>
      <c r="E1" s="19" t="s">
        <v>24</v>
      </c>
      <c r="F1" s="4" t="s">
        <v>26</v>
      </c>
      <c r="G1" s="4" t="s">
        <v>27</v>
      </c>
      <c r="H1" s="4" t="s">
        <v>28</v>
      </c>
      <c r="I1" s="4" t="s">
        <v>29</v>
      </c>
      <c r="J1" s="4" t="s">
        <v>30</v>
      </c>
      <c r="K1" s="4" t="s">
        <v>328</v>
      </c>
      <c r="L1" s="4" t="s">
        <v>517</v>
      </c>
      <c r="M1" s="4" t="s">
        <v>31</v>
      </c>
      <c r="N1" s="4" t="s">
        <v>32</v>
      </c>
      <c r="O1" s="4" t="s">
        <v>33</v>
      </c>
      <c r="P1" s="4" t="s">
        <v>34</v>
      </c>
      <c r="Q1" s="4" t="s">
        <v>35</v>
      </c>
      <c r="R1" s="4" t="s">
        <v>36</v>
      </c>
      <c r="S1" s="4" t="s">
        <v>37</v>
      </c>
      <c r="T1" s="4" t="s">
        <v>428</v>
      </c>
      <c r="U1" s="4" t="s">
        <v>429</v>
      </c>
      <c r="V1" s="4" t="s">
        <v>38</v>
      </c>
      <c r="W1" s="19" t="s">
        <v>39</v>
      </c>
      <c r="X1" s="4" t="s">
        <v>40</v>
      </c>
      <c r="Y1" s="4" t="s">
        <v>41</v>
      </c>
      <c r="Z1" s="4" t="s">
        <v>42</v>
      </c>
      <c r="AA1" s="4" t="s">
        <v>43</v>
      </c>
      <c r="AB1" s="4" t="s">
        <v>44</v>
      </c>
      <c r="AC1" s="4" t="s">
        <v>45</v>
      </c>
      <c r="AD1" s="4" t="s">
        <v>46</v>
      </c>
      <c r="AE1" s="4" t="s">
        <v>47</v>
      </c>
      <c r="AF1" s="4" t="s">
        <v>48</v>
      </c>
      <c r="AG1" s="19" t="s">
        <v>49</v>
      </c>
      <c r="AH1" s="19" t="s">
        <v>50</v>
      </c>
      <c r="AI1" s="4" t="s">
        <v>51</v>
      </c>
      <c r="AJ1" s="4" t="s">
        <v>52</v>
      </c>
      <c r="AK1" s="4" t="s">
        <v>53</v>
      </c>
      <c r="AL1" s="4" t="s">
        <v>54</v>
      </c>
      <c r="AM1" s="4" t="s">
        <v>55</v>
      </c>
      <c r="AN1" s="4" t="s">
        <v>56</v>
      </c>
      <c r="AO1" s="4" t="s">
        <v>57</v>
      </c>
      <c r="AP1" s="4" t="s">
        <v>58</v>
      </c>
      <c r="AQ1" s="4" t="s">
        <v>59</v>
      </c>
      <c r="AR1" s="4" t="s">
        <v>60</v>
      </c>
      <c r="AS1" s="4" t="s">
        <v>61</v>
      </c>
      <c r="AT1" s="4" t="s">
        <v>62</v>
      </c>
      <c r="AU1" s="4" t="s">
        <v>63</v>
      </c>
      <c r="AV1" s="4" t="s">
        <v>64</v>
      </c>
      <c r="AW1" s="4" t="s">
        <v>65</v>
      </c>
      <c r="AX1" s="4" t="s">
        <v>66</v>
      </c>
      <c r="AY1" s="4" t="s">
        <v>67</v>
      </c>
      <c r="AZ1" s="4" t="s">
        <v>180</v>
      </c>
    </row>
    <row r="2" spans="1:52" x14ac:dyDescent="0.35">
      <c r="A2" s="13" t="s">
        <v>125</v>
      </c>
      <c r="B2" s="20">
        <f>MAX(0,(SUMPRODUCT(Oxides_min!$C2:$BB2,Factors!$C$9:$BB$9)+SUMPRODUCT(Oxides_max!$C2:$BB2,Factors!$C$9:$BB$9))/2)</f>
        <v>29.409387914656897</v>
      </c>
      <c r="C2" s="20">
        <f>MAX(0,(SUMPRODUCT(Oxides_min!$C2:$BB2,Factors!$C$10:$BB$10)+SUMPRODUCT(Oxides_max!$C2:$BB2,Factors!$C$10:$BB$10))/2)</f>
        <v>1.1802776991827972</v>
      </c>
      <c r="D2" s="20">
        <f>MAX(0,(SUMPRODUCT(Oxides_min!$C2:$BB2,Factors!$C$11:$BB$11)+SUMPRODUCT(Oxides_max!$C2:$BB2,Factors!$C$11:$BB$11))/2)</f>
        <v>0</v>
      </c>
      <c r="E2" s="20">
        <f>MAX(0,(SUMPRODUCT(Oxides_min!$C2:$BB2,Factors!$C$12:$BB$12)+SUMPRODUCT(Oxides_max!$C2:$BB2,Factors!$C$12:$BB$12))/2)</f>
        <v>0</v>
      </c>
      <c r="F2" s="20">
        <f>MAX(0,(SUMPRODUCT(Oxides_min!$C2:$BB2,Factors!$C$13:$BB$13)+SUMPRODUCT(Oxides_max!$C2:$BB2,Factors!$C$13:$BB$13))/2)</f>
        <v>0</v>
      </c>
      <c r="G2" s="20">
        <f>MAX(0,(SUMPRODUCT(Oxides_min!$C2:$BB2,Factors!$C$14:$BB$14)+SUMPRODUCT(Oxides_max!$C2:$BB2,Factors!$C$14:$BB$14))/2)</f>
        <v>0</v>
      </c>
      <c r="H2" s="20">
        <f>MAX(0,(SUMPRODUCT(Oxides_min!$C2:$BB2,Factors!$C$15:$BB$15)+SUMPRODUCT(Oxides_max!$C2:$BB2,Factors!$C$15:$BB$15))/2)</f>
        <v>7.9388539006301453E-2</v>
      </c>
      <c r="I2" s="20">
        <f>MAX(0,(SUMPRODUCT(Oxides_min!$C2:$BB2,Factors!$C$16:$BB$16)+SUMPRODUCT(Oxides_max!$C2:$BB2,Factors!$C$16:$BB$16))/2)</f>
        <v>0.19432729246701186</v>
      </c>
      <c r="J2" s="20">
        <f>MAX(0,(SUMPRODUCT(Oxides_min!$C2:$BB2,Factors!$C$17:$BB$17)+SUMPRODUCT(Oxides_max!$C2:$BB2,Factors!$C$17:$BB$17))/2)</f>
        <v>0</v>
      </c>
      <c r="K2" s="20">
        <f>MAX(0,(SUMPRODUCT(Oxides_min!$C2:$BB2,Factors!$C$18:$BB$18)+SUMPRODUCT(Oxides_max!$C2:$BB2,Factors!$C$18:$BB$18))/2)</f>
        <v>0</v>
      </c>
      <c r="L2" s="20">
        <f>MAX(0,(SUMPRODUCT(Oxides_min!$C2:$BB2,Factors!$C$19:$BB$19)+SUMPRODUCT(Oxides_max!$C2:$BB2,Factors!$C$19:$BB$19))/2)</f>
        <v>0</v>
      </c>
      <c r="M2" s="20">
        <f>MAX(0,(SUMPRODUCT(Oxides_min!$C2:$BB2,Factors!$C$20:$BB$20)+SUMPRODUCT(Oxides_max!$C2:$BB2,Factors!$C$20:$BB$20))/2)</f>
        <v>0</v>
      </c>
      <c r="N2" s="20">
        <f>MAX(0,(SUMPRODUCT(Oxides_min!$C2:$BB2,Factors!$C$21:$BB$21)+SUMPRODUCT(Oxides_max!$C2:$BB2,Factors!$C$21:$BB$21))/2)</f>
        <v>1.4651265224601886</v>
      </c>
      <c r="O2" s="20">
        <f>MAX(0,(SUMPRODUCT(Oxides_min!$C2:$BB2,Factors!$C$22:$BB$22)+SUMPRODUCT(Oxides_max!$C2:$BB2,Factors!$C$22:$BB$22))/2)</f>
        <v>0.12683967226087881</v>
      </c>
      <c r="P2" s="20">
        <f>MAX(0,(SUMPRODUCT(Oxides_min!$C2:$BB2,Factors!$C$23:$BB$23)+SUMPRODUCT(Oxides_max!$C2:$BB2,Factors!$C$23:$BB$23))/2)</f>
        <v>0</v>
      </c>
      <c r="Q2" s="20">
        <f>MAX(0,(SUMPRODUCT(Oxides_min!$C2:$BB2,Factors!$C$24:$BB$24)+SUMPRODUCT(Oxides_max!$C2:$BB2,Factors!$C$24:$BB$24))/2)</f>
        <v>0.70088127634980446</v>
      </c>
      <c r="R2" s="20">
        <f>MAX(0,(SUMPRODUCT(Oxides_min!$C2:$BB2,Factors!$C$25:$BB$25)+SUMPRODUCT(Oxides_max!$C2:$BB2,Factors!$C$25:$BB$25))/2)</f>
        <v>0</v>
      </c>
      <c r="S2" s="20">
        <f>MAX(0,(SUMPRODUCT(Oxides_min!$C2:$BB2,Factors!$C$26:$BB$26)+SUMPRODUCT(Oxides_max!$C2:$BB2,Factors!$C$26:$BB$26))/2)</f>
        <v>0</v>
      </c>
      <c r="T2" s="20">
        <f>MAX(0,(SUMPRODUCT(Oxides_min!$C2:$BB2,Factors!$C$27:$BB$27)+SUMPRODUCT(Oxides_max!$C2:$BB2,Factors!$C$27:$BB$27))/2)</f>
        <v>0</v>
      </c>
      <c r="U2" s="20">
        <f>MAX(0,(SUMPRODUCT(Oxides_min!$C2:$BB2,Factors!$C$28:$BB$28)+SUMPRODUCT(Oxides_max!$C2:$BB2,Factors!$C$28:$BB$28))/2)</f>
        <v>0</v>
      </c>
      <c r="V2" s="20">
        <f>MAX(0,(SUMPRODUCT(Oxides_min!$C2:$BB2,Factors!$C$29:$BB$29)+SUMPRODUCT(Oxides_max!$C2:$BB2,Factors!$C$29:$BB$29))/2)</f>
        <v>0</v>
      </c>
      <c r="W2" s="20">
        <f>MAX(0,(SUMPRODUCT(Oxides_min!$C2:$BB2,Factors!$C$30:$BB$30)+SUMPRODUCT(Oxides_max!$C2:$BB2,Factors!$C$30:$BB$30))/2)</f>
        <v>0</v>
      </c>
      <c r="X2" s="20">
        <f>MAX(0,(SUMPRODUCT(Oxides_min!$C2:$BB2,Factors!$C$31:$BB$31)+SUMPRODUCT(Oxides_max!$C2:$BB2,Factors!$C$31:$BB$31))/2)</f>
        <v>0</v>
      </c>
      <c r="Y2" s="20">
        <f>MAX(0,(SUMPRODUCT(Oxides_min!$C2:$BB2,Factors!$C$32:$BB$32)+SUMPRODUCT(Oxides_max!$C2:$BB2,Factors!$C$32:$BB$32))/2)</f>
        <v>0</v>
      </c>
      <c r="Z2" s="20">
        <f>MAX(0,(SUMPRODUCT(Oxides_min!$C2:$BB2,Factors!$C$33:$BB$33)+SUMPRODUCT(Oxides_max!$C2:$BB2,Factors!$C$33:$BB$33))/2)</f>
        <v>12.219950886155017</v>
      </c>
      <c r="AA2" s="20">
        <f>MAX(0,(SUMPRODUCT(Oxides_min!$C2:$BB2,Factors!$C$34:$BB$34)+SUMPRODUCT(Oxides_max!$C2:$BB2,Factors!$C$34:$BB$34))/2)</f>
        <v>0</v>
      </c>
      <c r="AB2" s="20">
        <f>MAX(0,(SUMPRODUCT(Oxides_min!$C2:$BB2,Factors!$C$35:$BB$35)+SUMPRODUCT(Oxides_max!$C2:$BB2,Factors!$C$35:$BB$35))/2)</f>
        <v>0.10011616723084803</v>
      </c>
      <c r="AC2" s="20">
        <f>MAX(0,(SUMPRODUCT(Oxides_min!$C2:$BB2,Factors!$C$36:$BB$36)+SUMPRODUCT(Oxides_max!$C2:$BB2,Factors!$C$36:$BB$36))/2)</f>
        <v>0</v>
      </c>
      <c r="AD2" s="20">
        <f>MAX(0,(SUMPRODUCT(Oxides_min!$C2:$BB2,Factors!$C$37:$BB$37)+SUMPRODUCT(Oxides_max!$C2:$BB2,Factors!$C$37:$BB$37))/2)</f>
        <v>0</v>
      </c>
      <c r="AE2" s="20">
        <f>MAX(0,(SUMPRODUCT(Oxides_min!$C2:$BB2,Factors!$C$38:$BB$38)+SUMPRODUCT(Oxides_max!$C2:$BB2,Factors!$C$38:$BB$38))/2)</f>
        <v>0</v>
      </c>
      <c r="AF2" s="20">
        <f>MAX(0,(SUMPRODUCT(Oxides_min!$C2:$BB2,Factors!$C$39:$BB$39)+SUMPRODUCT(Oxides_max!$C2:$BB2,Factors!$C$39:$BB$39))/2)</f>
        <v>0</v>
      </c>
      <c r="AG2" s="20">
        <f>MAX(0,(SUMPRODUCT(Oxides_min!$C2:$BB2,Factors!$C$40:$BB$40)+SUMPRODUCT(Oxides_max!$C2:$BB2,Factors!$C$40:$BB$40))/2)</f>
        <v>9.2275243461395569</v>
      </c>
      <c r="AH2" s="20">
        <f>MAX(0,(SUMPRODUCT(Oxides_min!$C2:$BB2,Factors!$C$41:$BB$41)+SUMPRODUCT(Oxides_max!$C2:$BB2,Factors!$C$41:$BB$41))/2)</f>
        <v>0.88150069931919006</v>
      </c>
      <c r="AI2" s="20">
        <f>MAX(0,(SUMPRODUCT(Oxides_min!$C2:$BB2,Factors!$C$42:$BB$42)+SUMPRODUCT(Oxides_max!$C2:$BB2,Factors!$C$42:$BB$42))/2)</f>
        <v>0</v>
      </c>
      <c r="AJ2" s="20">
        <f>MAX(0,(SUMPRODUCT(Oxides_min!$C2:$BB2,Factors!$C$43:$BB$43)+SUMPRODUCT(Oxides_max!$C2:$BB2,Factors!$C$43:$BB$43))/2)</f>
        <v>1.5748879095347443</v>
      </c>
      <c r="AK2" s="20">
        <f>MAX(0,(SUMPRODUCT(Oxides_min!$C2:$BB2,Factors!$C$44:$BB$44)+SUMPRODUCT(Oxides_max!$C2:$BB2,Factors!$C$44:$BB$44))/2)</f>
        <v>14.49561352003883</v>
      </c>
      <c r="AL2" s="20">
        <f>MAX(0,(SUMPRODUCT(Oxides_min!$C2:$BB2,Factors!$C$45:$BB$45)+SUMPRODUCT(Oxides_max!$C2:$BB2,Factors!$C$45:$BB$45))/2)</f>
        <v>26.466863074256082</v>
      </c>
      <c r="AM2" s="20">
        <f>MAX(0,(SUMPRODUCT(Oxides_min!$C2:$BB2,Factors!$C$46:$BB$46)+SUMPRODUCT(Oxides_max!$C2:$BB2,Factors!$C$46:$BB$46))/2)</f>
        <v>2.1361794489666122</v>
      </c>
      <c r="AN2" s="20">
        <f>MAX(0,(SUMPRODUCT(Oxides_min!$C2:$BB2,Factors!$C$47:$BB$47)+SUMPRODUCT(Oxides_max!$C2:$BB2,Factors!$C$47:$BB$47))/2)</f>
        <v>8.5735598741087902</v>
      </c>
      <c r="AO2" s="20">
        <f>MAX(0,(SUMPRODUCT(Oxides_min!$C2:$BB2,Factors!$C$48:$BB$48)+SUMPRODUCT(Oxides_max!$C2:$BB2,Factors!$C$48:$BB$48))/2)</f>
        <v>1.8109584562840355</v>
      </c>
      <c r="AP2" s="20">
        <f>MAX(0,(SUMPRODUCT(Oxides_min!$C2:$BB2,Factors!$C$49:$BB$49)+SUMPRODUCT(Oxides_max!$C2:$BB2,Factors!$C$49:$BB$49))/2)</f>
        <v>0.12954237408538749</v>
      </c>
      <c r="AQ2" s="20">
        <f>MAX(0,(SUMPRODUCT(Oxides_min!$C2:$BB2,Factors!$C$50:$BB$50)+SUMPRODUCT(Oxides_max!$C2:$BB2,Factors!$C$50:$BB$50))/2)</f>
        <v>1.3230799151441253</v>
      </c>
      <c r="AR2" s="20">
        <f>MAX(0,(SUMPRODUCT(Oxides_min!$C2:$BB2,Factors!$C$51:$BB$51)+SUMPRODUCT(Oxides_max!$C2:$BB2,Factors!$C$51:$BB$51))/2)</f>
        <v>0.13032090949321259</v>
      </c>
      <c r="AS2" s="20">
        <f>MAX(0,(SUMPRODUCT(Oxides_min!$C2:$BB2,Factors!$C$52:$BB$52)+SUMPRODUCT(Oxides_max!$C2:$BB2,Factors!$C$52:$BB$52))/2)</f>
        <v>0.6534905106475386</v>
      </c>
      <c r="AT2" s="20">
        <f>MAX(0,(SUMPRODUCT(Oxides_min!$C2:$BB2,Factors!$C$53:$BB$53)+SUMPRODUCT(Oxides_max!$C2:$BB2,Factors!$C$53:$BB$53))/2)</f>
        <v>0.1309463965875404</v>
      </c>
      <c r="AU2" s="20">
        <f>MAX(0,(SUMPRODUCT(Oxides_min!$C2:$BB2,Factors!$C$54:$BB$54)+SUMPRODUCT(Oxides_max!$C2:$BB2,Factors!$C$54:$BB$54))/2)</f>
        <v>0.21863064193561035</v>
      </c>
      <c r="AV2" s="20">
        <f>MAX(0,(SUMPRODUCT(Oxides_min!$C2:$BB2,Factors!$C$55:$BB$55)+SUMPRODUCT(Oxides_max!$C2:$BB2,Factors!$C$55:$BB$55))/2)</f>
        <v>2.1890301966405699E-2</v>
      </c>
      <c r="AW2" s="20">
        <f>MAX(0,(SUMPRODUCT(Oxides_min!$C2:$BB2,Factors!$C$56:$BB$56)+SUMPRODUCT(Oxides_max!$C2:$BB2,Factors!$C$56:$BB$56))/2)</f>
        <v>0.13173106446038566</v>
      </c>
      <c r="AX2" s="20">
        <f>MAX(0,(SUMPRODUCT(Oxides_min!$C2:$BB2,Factors!$C$57:$BB$57)+SUMPRODUCT(Oxides_max!$C2:$BB2,Factors!$C$57:$BB$57))/2)</f>
        <v>2.1984587262200997E-2</v>
      </c>
      <c r="AY2" s="20">
        <f>MAX(0,(SUMPRODUCT(Oxides_min!$C2:$BB2,Factors!$C$58:$BB$58)+SUMPRODUCT(Oxides_max!$C2:$BB2,Factors!$C$58:$BB$58))/2)</f>
        <v>0</v>
      </c>
      <c r="AZ2" s="18">
        <f t="shared" ref="AZ2:AZ26" si="0">SUM(B2:AY2)</f>
        <v>113.40499999999999</v>
      </c>
    </row>
    <row r="3" spans="1:52" x14ac:dyDescent="0.35">
      <c r="A3" s="13" t="s">
        <v>127</v>
      </c>
      <c r="B3" s="20">
        <f>MAX(0,(SUMPRODUCT(Oxides_min!$C3:$BB3,Factors!$C$9:$BB$9)+SUMPRODUCT(Oxides_max!$C3:$BB3,Factors!$C$9:$BB$9))/2)</f>
        <v>24.428168902130988</v>
      </c>
      <c r="C3" s="20">
        <f>MAX(0,(SUMPRODUCT(Oxides_min!$C3:$BB3,Factors!$C$10:$BB$10)+SUMPRODUCT(Oxides_max!$C3:$BB3,Factors!$C$10:$BB$10))/2)</f>
        <v>0.23371835627382123</v>
      </c>
      <c r="D3" s="20">
        <f>MAX(0,(SUMPRODUCT(Oxides_min!$C3:$BB3,Factors!$C$11:$BB$11)+SUMPRODUCT(Oxides_max!$C3:$BB3,Factors!$C$11:$BB$11))/2)</f>
        <v>0</v>
      </c>
      <c r="E3" s="20">
        <f>MAX(0,(SUMPRODUCT(Oxides_min!$C3:$BB3,Factors!$C$12:$BB$12)+SUMPRODUCT(Oxides_max!$C3:$BB3,Factors!$C$12:$BB$12))/2)</f>
        <v>0</v>
      </c>
      <c r="F3" s="20">
        <f>MAX(0,(SUMPRODUCT(Oxides_min!$C3:$BB3,Factors!$C$13:$BB$13)+SUMPRODUCT(Oxides_max!$C3:$BB3,Factors!$C$13:$BB$13))/2)</f>
        <v>0</v>
      </c>
      <c r="G3" s="20">
        <f>MAX(0,(SUMPRODUCT(Oxides_min!$C3:$BB3,Factors!$C$14:$BB$14)+SUMPRODUCT(Oxides_max!$C3:$BB3,Factors!$C$14:$BB$14))/2)</f>
        <v>0</v>
      </c>
      <c r="H3" s="20">
        <f>MAX(0,(SUMPRODUCT(Oxides_min!$C3:$BB3,Factors!$C$15:$BB$15)+SUMPRODUCT(Oxides_max!$C3:$BB3,Factors!$C$15:$BB$15))/2)</f>
        <v>0</v>
      </c>
      <c r="I3" s="20">
        <f>MAX(0,(SUMPRODUCT(Oxides_min!$C3:$BB3,Factors!$C$16:$BB$16)+SUMPRODUCT(Oxides_max!$C3:$BB3,Factors!$C$16:$BB$16))/2)</f>
        <v>0.23319275096041422</v>
      </c>
      <c r="J3" s="20">
        <f>MAX(0,(SUMPRODUCT(Oxides_min!$C3:$BB3,Factors!$C$17:$BB$17)+SUMPRODUCT(Oxides_max!$C3:$BB3,Factors!$C$17:$BB$17))/2)</f>
        <v>0</v>
      </c>
      <c r="K3" s="20">
        <f>MAX(0,(SUMPRODUCT(Oxides_min!$C3:$BB3,Factors!$C$18:$BB$18)+SUMPRODUCT(Oxides_max!$C3:$BB3,Factors!$C$18:$BB$18))/2)</f>
        <v>0</v>
      </c>
      <c r="L3" s="20">
        <f>MAX(0,(SUMPRODUCT(Oxides_min!$C3:$BB3,Factors!$C$19:$BB$19)+SUMPRODUCT(Oxides_max!$C3:$BB3,Factors!$C$19:$BB$19))/2)</f>
        <v>0</v>
      </c>
      <c r="M3" s="20">
        <f>MAX(0,(SUMPRODUCT(Oxides_min!$C3:$BB3,Factors!$C$20:$BB$20)+SUMPRODUCT(Oxides_max!$C3:$BB3,Factors!$C$20:$BB$20))/2)</f>
        <v>0</v>
      </c>
      <c r="N3" s="20">
        <f>MAX(0,(SUMPRODUCT(Oxides_min!$C3:$BB3,Factors!$C$21:$BB$21)+SUMPRODUCT(Oxides_max!$C3:$BB3,Factors!$C$21:$BB$21))/2)</f>
        <v>0.8933698307684077</v>
      </c>
      <c r="O3" s="20">
        <f>MAX(0,(SUMPRODUCT(Oxides_min!$C3:$BB3,Factors!$C$22:$BB$22)+SUMPRODUCT(Oxides_max!$C3:$BB3,Factors!$C$22:$BB$22))/2)</f>
        <v>0.4227989075362627</v>
      </c>
      <c r="P3" s="20">
        <f>MAX(0,(SUMPRODUCT(Oxides_min!$C3:$BB3,Factors!$C$23:$BB$23)+SUMPRODUCT(Oxides_max!$C3:$BB3,Factors!$C$23:$BB$23))/2)</f>
        <v>0.44782685258860205</v>
      </c>
      <c r="Q3" s="20">
        <f>MAX(0,(SUMPRODUCT(Oxides_min!$C3:$BB3,Factors!$C$24:$BB$24)+SUMPRODUCT(Oxides_max!$C3:$BB3,Factors!$C$24:$BB$24))/2)</f>
        <v>0</v>
      </c>
      <c r="R3" s="20">
        <f>MAX(0,(SUMPRODUCT(Oxides_min!$C3:$BB3,Factors!$C$25:$BB$25)+SUMPRODUCT(Oxides_max!$C3:$BB3,Factors!$C$25:$BB$25))/2)</f>
        <v>0</v>
      </c>
      <c r="S3" s="20">
        <f>MAX(0,(SUMPRODUCT(Oxides_min!$C3:$BB3,Factors!$C$26:$BB$26)+SUMPRODUCT(Oxides_max!$C3:$BB3,Factors!$C$26:$BB$26))/2)</f>
        <v>0</v>
      </c>
      <c r="T3" s="20">
        <f>MAX(0,(SUMPRODUCT(Oxides_min!$C3:$BB3,Factors!$C$27:$BB$27)+SUMPRODUCT(Oxides_max!$C3:$BB3,Factors!$C$27:$BB$27))/2)</f>
        <v>0</v>
      </c>
      <c r="U3" s="20">
        <f>MAX(0,(SUMPRODUCT(Oxides_min!$C3:$BB3,Factors!$C$28:$BB$28)+SUMPRODUCT(Oxides_max!$C3:$BB3,Factors!$C$28:$BB$28))/2)</f>
        <v>0</v>
      </c>
      <c r="V3" s="20">
        <f>MAX(0,(SUMPRODUCT(Oxides_min!$C3:$BB3,Factors!$C$29:$BB$29)+SUMPRODUCT(Oxides_max!$C3:$BB3,Factors!$C$29:$BB$29))/2)</f>
        <v>0</v>
      </c>
      <c r="W3" s="20">
        <f>MAX(0,(SUMPRODUCT(Oxides_min!$C3:$BB3,Factors!$C$30:$BB$30)+SUMPRODUCT(Oxides_max!$C3:$BB3,Factors!$C$30:$BB$30))/2)</f>
        <v>0</v>
      </c>
      <c r="X3" s="20">
        <f>MAX(0,(SUMPRODUCT(Oxides_min!$C3:$BB3,Factors!$C$31:$BB$31)+SUMPRODUCT(Oxides_max!$C3:$BB3,Factors!$C$31:$BB$31))/2)</f>
        <v>0</v>
      </c>
      <c r="Y3" s="20">
        <f>MAX(0,(SUMPRODUCT(Oxides_min!$C3:$BB3,Factors!$C$32:$BB$32)+SUMPRODUCT(Oxides_max!$C3:$BB3,Factors!$C$32:$BB$32))/2)</f>
        <v>0</v>
      </c>
      <c r="Z3" s="20">
        <f>MAX(0,(SUMPRODUCT(Oxides_min!$C3:$BB3,Factors!$C$33:$BB$33)+SUMPRODUCT(Oxides_max!$C3:$BB3,Factors!$C$33:$BB$33))/2)</f>
        <v>0.13092804520880374</v>
      </c>
      <c r="AA3" s="20">
        <f>MAX(0,(SUMPRODUCT(Oxides_min!$C3:$BB3,Factors!$C$34:$BB$34)+SUMPRODUCT(Oxides_max!$C3:$BB3,Factors!$C$34:$BB$34))/2)</f>
        <v>0</v>
      </c>
      <c r="AB3" s="20">
        <f>MAX(0,(SUMPRODUCT(Oxides_min!$C3:$BB3,Factors!$C$35:$BB$35)+SUMPRODUCT(Oxides_max!$C3:$BB3,Factors!$C$35:$BB$35))/2)</f>
        <v>0</v>
      </c>
      <c r="AC3" s="20">
        <f>MAX(0,(SUMPRODUCT(Oxides_min!$C3:$BB3,Factors!$C$36:$BB$36)+SUMPRODUCT(Oxides_max!$C3:$BB3,Factors!$C$36:$BB$36))/2)</f>
        <v>5.3901985957417802</v>
      </c>
      <c r="AD3" s="20">
        <f>MAX(0,(SUMPRODUCT(Oxides_min!$C3:$BB3,Factors!$C$37:$BB$37)+SUMPRODUCT(Oxides_max!$C3:$BB3,Factors!$C$37:$BB$37))/2)</f>
        <v>0.11190674437968359</v>
      </c>
      <c r="AE3" s="20">
        <f>MAX(0,(SUMPRODUCT(Oxides_min!$C3:$BB3,Factors!$C$38:$BB$38)+SUMPRODUCT(Oxides_max!$C3:$BB3,Factors!$C$38:$BB$38))/2)</f>
        <v>7.5</v>
      </c>
      <c r="AF3" s="20">
        <f>MAX(0,(SUMPRODUCT(Oxides_min!$C3:$BB3,Factors!$C$39:$BB$39)+SUMPRODUCT(Oxides_max!$C3:$BB3,Factors!$C$39:$BB$39))/2)</f>
        <v>0</v>
      </c>
      <c r="AG3" s="20">
        <f>MAX(0,(SUMPRODUCT(Oxides_min!$C3:$BB3,Factors!$C$40:$BB$40)+SUMPRODUCT(Oxides_max!$C3:$BB3,Factors!$C$40:$BB$40))/2)</f>
        <v>1.0985148031118519</v>
      </c>
      <c r="AH3" s="20">
        <f>MAX(0,(SUMPRODUCT(Oxides_min!$C3:$BB3,Factors!$C$41:$BB$41)+SUMPRODUCT(Oxides_max!$C3:$BB3,Factors!$C$41:$BB$41))/2)</f>
        <v>2.2037517482979753E-2</v>
      </c>
      <c r="AI3" s="20">
        <f>MAX(0,(SUMPRODUCT(Oxides_min!$C3:$BB3,Factors!$C$42:$BB$42)+SUMPRODUCT(Oxides_max!$C3:$BB3,Factors!$C$42:$BB$42))/2)</f>
        <v>0</v>
      </c>
      <c r="AJ3" s="20">
        <f>MAX(0,(SUMPRODUCT(Oxides_min!$C3:$BB3,Factors!$C$43:$BB$43)+SUMPRODUCT(Oxides_max!$C3:$BB3,Factors!$C$43:$BB$43))/2)</f>
        <v>0.59058296607552907</v>
      </c>
      <c r="AK3" s="20">
        <f>MAX(0,(SUMPRODUCT(Oxides_min!$C3:$BB3,Factors!$C$44:$BB$44)+SUMPRODUCT(Oxides_max!$C3:$BB3,Factors!$C$44:$BB$44))/2)</f>
        <v>21.871322752293878</v>
      </c>
      <c r="AL3" s="20">
        <f>MAX(0,(SUMPRODUCT(Oxides_min!$C3:$BB3,Factors!$C$45:$BB$45)+SUMPRODUCT(Oxides_max!$C3:$BB3,Factors!$C$45:$BB$45))/2)</f>
        <v>29.881942180611702</v>
      </c>
      <c r="AM3" s="20">
        <f>MAX(0,(SUMPRODUCT(Oxides_min!$C3:$BB3,Factors!$C$46:$BB$46)+SUMPRODUCT(Oxides_max!$C3:$BB3,Factors!$C$46:$BB$46))/2)</f>
        <v>2.7770332836565959</v>
      </c>
      <c r="AN3" s="20">
        <f>MAX(0,(SUMPRODUCT(Oxides_min!$C3:$BB3,Factors!$C$47:$BB$47)+SUMPRODUCT(Oxides_max!$C3:$BB3,Factors!$C$47:$BB$47))/2)</f>
        <v>8.14488188040335</v>
      </c>
      <c r="AO3" s="20">
        <f>MAX(0,(SUMPRODUCT(Oxides_min!$C3:$BB3,Factors!$C$48:$BB$48)+SUMPRODUCT(Oxides_max!$C3:$BB3,Factors!$C$48:$BB$48))/2)</f>
        <v>1.1210695205567838</v>
      </c>
      <c r="AP3" s="20">
        <f>MAX(0,(SUMPRODUCT(Oxides_min!$C3:$BB3,Factors!$C$49:$BB$49)+SUMPRODUCT(Oxides_max!$C3:$BB3,Factors!$C$49:$BB$49))/2)</f>
        <v>0.17272316544718336</v>
      </c>
      <c r="AQ3" s="20">
        <f>MAX(0,(SUMPRODUCT(Oxides_min!$C3:$BB3,Factors!$C$50:$BB$50)+SUMPRODUCT(Oxides_max!$C3:$BB3,Factors!$C$50:$BB$50))/2)</f>
        <v>0.52055603218785251</v>
      </c>
      <c r="AR3" s="20">
        <f>MAX(0,(SUMPRODUCT(Oxides_min!$C3:$BB3,Factors!$C$51:$BB$51)+SUMPRODUCT(Oxides_max!$C3:$BB3,Factors!$C$51:$BB$51))/2)</f>
        <v>0</v>
      </c>
      <c r="AS3" s="20">
        <f>MAX(0,(SUMPRODUCT(Oxides_min!$C3:$BB3,Factors!$C$52:$BB$52)+SUMPRODUCT(Oxides_max!$C3:$BB3,Factors!$C$52:$BB$52))/2)</f>
        <v>0.174264136172677</v>
      </c>
      <c r="AT3" s="20">
        <f>MAX(0,(SUMPRODUCT(Oxides_min!$C3:$BB3,Factors!$C$53:$BB$53)+SUMPRODUCT(Oxides_max!$C3:$BB3,Factors!$C$53:$BB$53))/2)</f>
        <v>0</v>
      </c>
      <c r="AU3" s="20">
        <f>MAX(0,(SUMPRODUCT(Oxides_min!$C3:$BB3,Factors!$C$54:$BB$54)+SUMPRODUCT(Oxides_max!$C3:$BB3,Factors!$C$54:$BB$54))/2)</f>
        <v>0</v>
      </c>
      <c r="AV3" s="20">
        <f>MAX(0,(SUMPRODUCT(Oxides_min!$C3:$BB3,Factors!$C$55:$BB$55)+SUMPRODUCT(Oxides_max!$C3:$BB3,Factors!$C$55:$BB$55))/2)</f>
        <v>0</v>
      </c>
      <c r="AW3" s="20">
        <f>MAX(0,(SUMPRODUCT(Oxides_min!$C3:$BB3,Factors!$C$56:$BB$56)+SUMPRODUCT(Oxides_max!$C3:$BB3,Factors!$C$56:$BB$56))/2)</f>
        <v>0</v>
      </c>
      <c r="AX3" s="20">
        <f>MAX(0,(SUMPRODUCT(Oxides_min!$C3:$BB3,Factors!$C$57:$BB$57)+SUMPRODUCT(Oxides_max!$C3:$BB3,Factors!$C$57:$BB$57))/2)</f>
        <v>0</v>
      </c>
      <c r="AY3" s="20">
        <f>MAX(0,(SUMPRODUCT(Oxides_min!$C3:$BB3,Factors!$C$58:$BB$58)+SUMPRODUCT(Oxides_max!$C3:$BB3,Factors!$C$58:$BB$58))/2)</f>
        <v>0</v>
      </c>
      <c r="AZ3" s="18">
        <f t="shared" si="0"/>
        <v>106.16703722358915</v>
      </c>
    </row>
    <row r="4" spans="1:52" x14ac:dyDescent="0.35">
      <c r="A4" s="13" t="s">
        <v>129</v>
      </c>
      <c r="B4" s="20">
        <f>MAX(0,(SUMPRODUCT(Oxides_min!$C4:$BB4,Factors!$C$9:$BB$9)+SUMPRODUCT(Oxides_max!$C4:$BB4,Factors!$C$9:$BB$9))/2)</f>
        <v>32.553104220500359</v>
      </c>
      <c r="C4" s="20">
        <f>MAX(0,(SUMPRODUCT(Oxides_min!$C4:$BB4,Factors!$C$10:$BB$10)+SUMPRODUCT(Oxides_max!$C4:$BB4,Factors!$C$10:$BB$10))/2)</f>
        <v>0.46743671254764246</v>
      </c>
      <c r="D4" s="20">
        <f>MAX(0,(SUMPRODUCT(Oxides_min!$C4:$BB4,Factors!$C$11:$BB$11)+SUMPRODUCT(Oxides_max!$C4:$BB4,Factors!$C$11:$BB$11))/2)</f>
        <v>0</v>
      </c>
      <c r="E4" s="20">
        <f>MAX(0,(SUMPRODUCT(Oxides_min!$C4:$BB4,Factors!$C$12:$BB$12)+SUMPRODUCT(Oxides_max!$C4:$BB4,Factors!$C$12:$BB$12))/2)</f>
        <v>0</v>
      </c>
      <c r="F4" s="20">
        <f>MAX(0,(SUMPRODUCT(Oxides_min!$C4:$BB4,Factors!$C$13:$BB$13)+SUMPRODUCT(Oxides_max!$C4:$BB4,Factors!$C$13:$BB$13))/2)</f>
        <v>0</v>
      </c>
      <c r="G4" s="20">
        <f>MAX(0,(SUMPRODUCT(Oxides_min!$C4:$BB4,Factors!$C$14:$BB$14)+SUMPRODUCT(Oxides_max!$C4:$BB4,Factors!$C$14:$BB$14))/2)</f>
        <v>0</v>
      </c>
      <c r="H4" s="20">
        <f>MAX(0,(SUMPRODUCT(Oxides_min!$C4:$BB4,Factors!$C$15:$BB$15)+SUMPRODUCT(Oxides_max!$C4:$BB4,Factors!$C$15:$BB$15))/2)</f>
        <v>5.2925692670867643E-2</v>
      </c>
      <c r="I4" s="20">
        <f>MAX(0,(SUMPRODUCT(Oxides_min!$C4:$BB4,Factors!$C$16:$BB$16)+SUMPRODUCT(Oxides_max!$C4:$BB4,Factors!$C$16:$BB$16))/2)</f>
        <v>0.19432729246701186</v>
      </c>
      <c r="J4" s="20">
        <f>MAX(0,(SUMPRODUCT(Oxides_min!$C4:$BB4,Factors!$C$17:$BB$17)+SUMPRODUCT(Oxides_max!$C4:$BB4,Factors!$C$17:$BB$17))/2)</f>
        <v>0</v>
      </c>
      <c r="K4" s="20">
        <f>MAX(0,(SUMPRODUCT(Oxides_min!$C4:$BB4,Factors!$C$18:$BB$18)+SUMPRODUCT(Oxides_max!$C4:$BB4,Factors!$C$18:$BB$18))/2)</f>
        <v>0</v>
      </c>
      <c r="L4" s="20">
        <f>MAX(0,(SUMPRODUCT(Oxides_min!$C4:$BB4,Factors!$C$19:$BB$19)+SUMPRODUCT(Oxides_max!$C4:$BB4,Factors!$C$19:$BB$19))/2)</f>
        <v>0</v>
      </c>
      <c r="M4" s="20">
        <f>MAX(0,(SUMPRODUCT(Oxides_min!$C4:$BB4,Factors!$C$20:$BB$20)+SUMPRODUCT(Oxides_max!$C4:$BB4,Factors!$C$20:$BB$20))/2)</f>
        <v>0</v>
      </c>
      <c r="N4" s="20">
        <f>MAX(0,(SUMPRODUCT(Oxides_min!$C4:$BB4,Factors!$C$21:$BB$21)+SUMPRODUCT(Oxides_max!$C4:$BB4,Factors!$C$21:$BB$21))/2)</f>
        <v>0.21440875938441784</v>
      </c>
      <c r="O4" s="20">
        <f>MAX(0,(SUMPRODUCT(Oxides_min!$C4:$BB4,Factors!$C$22:$BB$22)+SUMPRODUCT(Oxides_max!$C4:$BB4,Factors!$C$22:$BB$22))/2)</f>
        <v>0</v>
      </c>
      <c r="P4" s="20">
        <f>MAX(0,(SUMPRODUCT(Oxides_min!$C4:$BB4,Factors!$C$23:$BB$23)+SUMPRODUCT(Oxides_max!$C4:$BB4,Factors!$C$23:$BB$23))/2)</f>
        <v>0</v>
      </c>
      <c r="Q4" s="20">
        <f>MAX(0,(SUMPRODUCT(Oxides_min!$C4:$BB4,Factors!$C$24:$BB$24)+SUMPRODUCT(Oxides_max!$C4:$BB4,Factors!$C$24:$BB$24))/2)</f>
        <v>0.13924793569863664</v>
      </c>
      <c r="R4" s="20">
        <f>MAX(0,(SUMPRODUCT(Oxides_min!$C4:$BB4,Factors!$C$25:$BB$25)+SUMPRODUCT(Oxides_max!$C4:$BB4,Factors!$C$25:$BB$25))/2)</f>
        <v>0</v>
      </c>
      <c r="S4" s="20">
        <f>MAX(0,(SUMPRODUCT(Oxides_min!$C4:$BB4,Factors!$C$26:$BB$26)+SUMPRODUCT(Oxides_max!$C4:$BB4,Factors!$C$26:$BB$26))/2)</f>
        <v>0</v>
      </c>
      <c r="T4" s="20">
        <f>MAX(0,(SUMPRODUCT(Oxides_min!$C4:$BB4,Factors!$C$27:$BB$27)+SUMPRODUCT(Oxides_max!$C4:$BB4,Factors!$C$27:$BB$27))/2)</f>
        <v>0</v>
      </c>
      <c r="U4" s="20">
        <f>MAX(0,(SUMPRODUCT(Oxides_min!$C4:$BB4,Factors!$C$28:$BB$28)+SUMPRODUCT(Oxides_max!$C4:$BB4,Factors!$C$28:$BB$28))/2)</f>
        <v>0</v>
      </c>
      <c r="V4" s="20">
        <f>MAX(0,(SUMPRODUCT(Oxides_min!$C4:$BB4,Factors!$C$29:$BB$29)+SUMPRODUCT(Oxides_max!$C4:$BB4,Factors!$C$29:$BB$29))/2)</f>
        <v>0</v>
      </c>
      <c r="W4" s="20">
        <f>MAX(0,(SUMPRODUCT(Oxides_min!$C4:$BB4,Factors!$C$30:$BB$30)+SUMPRODUCT(Oxides_max!$C4:$BB4,Factors!$C$30:$BB$30))/2)</f>
        <v>0</v>
      </c>
      <c r="X4" s="20">
        <f>MAX(0,(SUMPRODUCT(Oxides_min!$C4:$BB4,Factors!$C$31:$BB$31)+SUMPRODUCT(Oxides_max!$C4:$BB4,Factors!$C$31:$BB$31))/2)</f>
        <v>0</v>
      </c>
      <c r="Y4" s="20">
        <f>MAX(0,(SUMPRODUCT(Oxides_min!$C4:$BB4,Factors!$C$32:$BB$32)+SUMPRODUCT(Oxides_max!$C4:$BB4,Factors!$C$32:$BB$32))/2)</f>
        <v>0</v>
      </c>
      <c r="Z4" s="20">
        <f>MAX(0,(SUMPRODUCT(Oxides_min!$C4:$BB4,Factors!$C$33:$BB$33)+SUMPRODUCT(Oxides_max!$C4:$BB4,Factors!$C$33:$BB$33))/2)</f>
        <v>14.838511790331093</v>
      </c>
      <c r="AA4" s="20">
        <f>MAX(0,(SUMPRODUCT(Oxides_min!$C4:$BB4,Factors!$C$34:$BB$34)+SUMPRODUCT(Oxides_max!$C4:$BB4,Factors!$C$34:$BB$34))/2)</f>
        <v>0</v>
      </c>
      <c r="AB4" s="20">
        <f>MAX(0,(SUMPRODUCT(Oxides_min!$C4:$BB4,Factors!$C$35:$BB$35)+SUMPRODUCT(Oxides_max!$C4:$BB4,Factors!$C$35:$BB$35))/2)</f>
        <v>0</v>
      </c>
      <c r="AC4" s="20">
        <f>MAX(0,(SUMPRODUCT(Oxides_min!$C4:$BB4,Factors!$C$36:$BB$36)+SUMPRODUCT(Oxides_max!$C4:$BB4,Factors!$C$36:$BB$36))/2)</f>
        <v>0</v>
      </c>
      <c r="AD4" s="20">
        <f>MAX(0,(SUMPRODUCT(Oxides_min!$C4:$BB4,Factors!$C$37:$BB$37)+SUMPRODUCT(Oxides_max!$C4:$BB4,Factors!$C$37:$BB$37))/2)</f>
        <v>0</v>
      </c>
      <c r="AE4" s="20">
        <f>MAX(0,(SUMPRODUCT(Oxides_min!$C4:$BB4,Factors!$C$38:$BB$38)+SUMPRODUCT(Oxides_max!$C4:$BB4,Factors!$C$38:$BB$38))/2)</f>
        <v>0</v>
      </c>
      <c r="AF4" s="20">
        <f>MAX(0,(SUMPRODUCT(Oxides_min!$C4:$BB4,Factors!$C$39:$BB$39)+SUMPRODUCT(Oxides_max!$C4:$BB4,Factors!$C$39:$BB$39))/2)</f>
        <v>0</v>
      </c>
      <c r="AG4" s="20">
        <f>MAX(0,(SUMPRODUCT(Oxides_min!$C4:$BB4,Factors!$C$40:$BB$40)+SUMPRODUCT(Oxides_max!$C4:$BB4,Factors!$C$40:$BB$40))/2)</f>
        <v>1.3182177637342223</v>
      </c>
      <c r="AH4" s="20">
        <f>MAX(0,(SUMPRODUCT(Oxides_min!$C4:$BB4,Factors!$C$41:$BB$41)+SUMPRODUCT(Oxides_max!$C4:$BB4,Factors!$C$41:$BB$41))/2)</f>
        <v>2.2037517482979752</v>
      </c>
      <c r="AI4" s="20">
        <f>MAX(0,(SUMPRODUCT(Oxides_min!$C4:$BB4,Factors!$C$42:$BB$42)+SUMPRODUCT(Oxides_max!$C4:$BB4,Factors!$C$42:$BB$42))/2)</f>
        <v>0</v>
      </c>
      <c r="AJ4" s="20">
        <f>MAX(0,(SUMPRODUCT(Oxides_min!$C4:$BB4,Factors!$C$43:$BB$43)+SUMPRODUCT(Oxides_max!$C4:$BB4,Factors!$C$43:$BB$43))/2)</f>
        <v>35.434977964531747</v>
      </c>
      <c r="AK4" s="20">
        <f>MAX(0,(SUMPRODUCT(Oxides_min!$C4:$BB4,Factors!$C$44:$BB$44)+SUMPRODUCT(Oxides_max!$C4:$BB4,Factors!$C$44:$BB$44))/2)</f>
        <v>4.2634157411878912E-2</v>
      </c>
      <c r="AL4" s="20">
        <f>MAX(0,(SUMPRODUCT(Oxides_min!$C4:$BB4,Factors!$C$45:$BB$45)+SUMPRODUCT(Oxides_max!$C4:$BB4,Factors!$C$45:$BB$45))/2)</f>
        <v>0.12806546648833586</v>
      </c>
      <c r="AM4" s="20">
        <f>MAX(0,(SUMPRODUCT(Oxides_min!$C4:$BB4,Factors!$C$46:$BB$46)+SUMPRODUCT(Oxides_max!$C4:$BB4,Factors!$C$46:$BB$46))/2)</f>
        <v>4.2723588979332247E-2</v>
      </c>
      <c r="AN4" s="20">
        <f>MAX(0,(SUMPRODUCT(Oxides_min!$C4:$BB4,Factors!$C$47:$BB$47)+SUMPRODUCT(Oxides_max!$C4:$BB4,Factors!$C$47:$BB$47))/2)</f>
        <v>0.21433899685271976</v>
      </c>
      <c r="AO4" s="20">
        <f>MAX(0,(SUMPRODUCT(Oxides_min!$C4:$BB4,Factors!$C$48:$BB$48)+SUMPRODUCT(Oxides_max!$C4:$BB4,Factors!$C$48:$BB$48))/2)</f>
        <v>0.45273961407100888</v>
      </c>
      <c r="AP4" s="20">
        <f>MAX(0,(SUMPRODUCT(Oxides_min!$C4:$BB4,Factors!$C$49:$BB$49)+SUMPRODUCT(Oxides_max!$C4:$BB4,Factors!$C$49:$BB$49))/2)</f>
        <v>8.6361582723591679E-2</v>
      </c>
      <c r="AQ4" s="20">
        <f>MAX(0,(SUMPRODUCT(Oxides_min!$C4:$BB4,Factors!$C$50:$BB$50)+SUMPRODUCT(Oxides_max!$C4:$BB4,Factors!$C$50:$BB$50))/2)</f>
        <v>2.2991224754963491</v>
      </c>
      <c r="AR4" s="20">
        <f>MAX(0,(SUMPRODUCT(Oxides_min!$C4:$BB4,Factors!$C$51:$BB$51)+SUMPRODUCT(Oxides_max!$C4:$BB4,Factors!$C$51:$BB$51))/2)</f>
        <v>0.52128363797285049</v>
      </c>
      <c r="AS4" s="20">
        <f>MAX(0,(SUMPRODUCT(Oxides_min!$C4:$BB4,Factors!$C$52:$BB$52)+SUMPRODUCT(Oxides_max!$C4:$BB4,Factors!$C$52:$BB$52))/2)</f>
        <v>4.3566034043169246</v>
      </c>
      <c r="AT4" s="20">
        <f>MAX(0,(SUMPRODUCT(Oxides_min!$C4:$BB4,Factors!$C$53:$BB$53)+SUMPRODUCT(Oxides_max!$C4:$BB4,Factors!$C$53:$BB$53))/2)</f>
        <v>1.0475711727003232</v>
      </c>
      <c r="AU4" s="20">
        <f>MAX(0,(SUMPRODUCT(Oxides_min!$C4:$BB4,Factors!$C$54:$BB$54)+SUMPRODUCT(Oxides_max!$C4:$BB4,Factors!$C$54:$BB$54))/2)</f>
        <v>3.4980902709697657</v>
      </c>
      <c r="AV4" s="20">
        <f>MAX(0,(SUMPRODUCT(Oxides_min!$C4:$BB4,Factors!$C$55:$BB$55)+SUMPRODUCT(Oxides_max!$C4:$BB4,Factors!$C$55:$BB$55))/2)</f>
        <v>0.5691478511265482</v>
      </c>
      <c r="AW4" s="20">
        <f>MAX(0,(SUMPRODUCT(Oxides_min!$C4:$BB4,Factors!$C$56:$BB$56)+SUMPRODUCT(Oxides_max!$C4:$BB4,Factors!$C$56:$BB$56))/2)</f>
        <v>3.9519319338115695</v>
      </c>
      <c r="AX4" s="20">
        <f>MAX(0,(SUMPRODUCT(Oxides_min!$C4:$BB4,Factors!$C$57:$BB$57)+SUMPRODUCT(Oxides_max!$C4:$BB4,Factors!$C$57:$BB$57))/2)</f>
        <v>0.74747596691483387</v>
      </c>
      <c r="AY4" s="20">
        <f>MAX(0,(SUMPRODUCT(Oxides_min!$C4:$BB4,Factors!$C$58:$BB$58)+SUMPRODUCT(Oxides_max!$C4:$BB4,Factors!$C$58:$BB$58))/2)</f>
        <v>0</v>
      </c>
      <c r="AZ4" s="18">
        <f t="shared" si="0"/>
        <v>105.37500000000003</v>
      </c>
    </row>
    <row r="5" spans="1:52" x14ac:dyDescent="0.35">
      <c r="A5" s="13" t="s">
        <v>131</v>
      </c>
      <c r="B5" s="20">
        <f>MAX(0,(SUMPRODUCT(Oxides_min!$C5:$BB5,Factors!$C$9:$BB$9)+SUMPRODUCT(Oxides_max!$C5:$BB5,Factors!$C$9:$BB$9))/2)</f>
        <v>26.985782797481743</v>
      </c>
      <c r="C5" s="20">
        <f>MAX(0,(SUMPRODUCT(Oxides_min!$C5:$BB5,Factors!$C$10:$BB$10)+SUMPRODUCT(Oxides_max!$C5:$BB5,Factors!$C$10:$BB$10))/2)</f>
        <v>0.11685917813691062</v>
      </c>
      <c r="D5" s="20">
        <f>MAX(0,(SUMPRODUCT(Oxides_min!$C5:$BB5,Factors!$C$11:$BB$11)+SUMPRODUCT(Oxides_max!$C5:$BB5,Factors!$C$11:$BB$11))/2)</f>
        <v>0</v>
      </c>
      <c r="E5" s="20">
        <f>MAX(0,(SUMPRODUCT(Oxides_min!$C5:$BB5,Factors!$C$12:$BB$12)+SUMPRODUCT(Oxides_max!$C5:$BB5,Factors!$C$12:$BB$12))/2)</f>
        <v>0</v>
      </c>
      <c r="F5" s="20">
        <f>MAX(0,(SUMPRODUCT(Oxides_min!$C5:$BB5,Factors!$C$13:$BB$13)+SUMPRODUCT(Oxides_max!$C5:$BB5,Factors!$C$13:$BB$13))/2)</f>
        <v>0</v>
      </c>
      <c r="G5" s="20">
        <f>MAX(0,(SUMPRODUCT(Oxides_min!$C5:$BB5,Factors!$C$14:$BB$14)+SUMPRODUCT(Oxides_max!$C5:$BB5,Factors!$C$14:$BB$14))/2)</f>
        <v>0</v>
      </c>
      <c r="H5" s="20">
        <f>MAX(0,(SUMPRODUCT(Oxides_min!$C5:$BB5,Factors!$C$15:$BB$15)+SUMPRODUCT(Oxides_max!$C5:$BB5,Factors!$C$15:$BB$15))/2)</f>
        <v>0</v>
      </c>
      <c r="I5" s="20">
        <f>MAX(0,(SUMPRODUCT(Oxides_min!$C5:$BB5,Factors!$C$16:$BB$16)+SUMPRODUCT(Oxides_max!$C5:$BB5,Factors!$C$16:$BB$16))/2)</f>
        <v>0.11659637548020711</v>
      </c>
      <c r="J5" s="20">
        <f>MAX(0,(SUMPRODUCT(Oxides_min!$C5:$BB5,Factors!$C$17:$BB$17)+SUMPRODUCT(Oxides_max!$C5:$BB5,Factors!$C$17:$BB$17))/2)</f>
        <v>0</v>
      </c>
      <c r="K5" s="20">
        <f>MAX(0,(SUMPRODUCT(Oxides_min!$C5:$BB5,Factors!$C$18:$BB$18)+SUMPRODUCT(Oxides_max!$C5:$BB5,Factors!$C$18:$BB$18))/2)</f>
        <v>0</v>
      </c>
      <c r="L5" s="20">
        <f>MAX(0,(SUMPRODUCT(Oxides_min!$C5:$BB5,Factors!$C$19:$BB$19)+SUMPRODUCT(Oxides_max!$C5:$BB5,Factors!$C$19:$BB$19))/2)</f>
        <v>0</v>
      </c>
      <c r="M5" s="20">
        <f>MAX(0,(SUMPRODUCT(Oxides_min!$C5:$BB5,Factors!$C$20:$BB$20)+SUMPRODUCT(Oxides_max!$C5:$BB5,Factors!$C$20:$BB$20))/2)</f>
        <v>0</v>
      </c>
      <c r="N5" s="20">
        <f>MAX(0,(SUMPRODUCT(Oxides_min!$C5:$BB5,Factors!$C$21:$BB$21)+SUMPRODUCT(Oxides_max!$C5:$BB5,Factors!$C$21:$BB$21))/2)</f>
        <v>7.5043065784546243</v>
      </c>
      <c r="O5" s="20">
        <f>MAX(0,(SUMPRODUCT(Oxides_min!$C5:$BB5,Factors!$C$22:$BB$22)+SUMPRODUCT(Oxides_max!$C5:$BB5,Factors!$C$22:$BB$22))/2)</f>
        <v>0.4227989075362627</v>
      </c>
      <c r="P5" s="20">
        <f>MAX(0,(SUMPRODUCT(Oxides_min!$C5:$BB5,Factors!$C$23:$BB$23)+SUMPRODUCT(Oxides_max!$C5:$BB5,Factors!$C$23:$BB$23))/2)</f>
        <v>0.22391342629430103</v>
      </c>
      <c r="Q5" s="20">
        <f>MAX(0,(SUMPRODUCT(Oxides_min!$C5:$BB5,Factors!$C$24:$BB$24)+SUMPRODUCT(Oxides_max!$C5:$BB5,Factors!$C$24:$BB$24))/2)</f>
        <v>0</v>
      </c>
      <c r="R5" s="20">
        <f>MAX(0,(SUMPRODUCT(Oxides_min!$C5:$BB5,Factors!$C$25:$BB$25)+SUMPRODUCT(Oxides_max!$C5:$BB5,Factors!$C$25:$BB$25))/2)</f>
        <v>7.4186225794092037E-2</v>
      </c>
      <c r="S5" s="20">
        <f>MAX(0,(SUMPRODUCT(Oxides_min!$C5:$BB5,Factors!$C$26:$BB$26)+SUMPRODUCT(Oxides_max!$C5:$BB5,Factors!$C$26:$BB$26))/2)</f>
        <v>0</v>
      </c>
      <c r="T5" s="20">
        <f>MAX(0,(SUMPRODUCT(Oxides_min!$C5:$BB5,Factors!$C$27:$BB$27)+SUMPRODUCT(Oxides_max!$C5:$BB5,Factors!$C$27:$BB$27))/2)</f>
        <v>0</v>
      </c>
      <c r="U5" s="20">
        <f>MAX(0,(SUMPRODUCT(Oxides_min!$C5:$BB5,Factors!$C$28:$BB$28)+SUMPRODUCT(Oxides_max!$C5:$BB5,Factors!$C$28:$BB$28))/2)</f>
        <v>0</v>
      </c>
      <c r="V5" s="20">
        <f>MAX(0,(SUMPRODUCT(Oxides_min!$C5:$BB5,Factors!$C$29:$BB$29)+SUMPRODUCT(Oxides_max!$C5:$BB5,Factors!$C$29:$BB$29))/2)</f>
        <v>0</v>
      </c>
      <c r="W5" s="20">
        <f>MAX(0,(SUMPRODUCT(Oxides_min!$C5:$BB5,Factors!$C$30:$BB$30)+SUMPRODUCT(Oxides_max!$C5:$BB5,Factors!$C$30:$BB$30))/2)</f>
        <v>0</v>
      </c>
      <c r="X5" s="20">
        <f>MAX(0,(SUMPRODUCT(Oxides_min!$C5:$BB5,Factors!$C$31:$BB$31)+SUMPRODUCT(Oxides_max!$C5:$BB5,Factors!$C$31:$BB$31))/2)</f>
        <v>0</v>
      </c>
      <c r="Y5" s="20">
        <f>MAX(0,(SUMPRODUCT(Oxides_min!$C5:$BB5,Factors!$C$32:$BB$32)+SUMPRODUCT(Oxides_max!$C5:$BB5,Factors!$C$32:$BB$32))/2)</f>
        <v>0</v>
      </c>
      <c r="Z5" s="20">
        <f>MAX(0,(SUMPRODUCT(Oxides_min!$C5:$BB5,Factors!$C$33:$BB$33)+SUMPRODUCT(Oxides_max!$C5:$BB5,Factors!$C$33:$BB$33))/2)</f>
        <v>0</v>
      </c>
      <c r="AA5" s="20">
        <f>MAX(0,(SUMPRODUCT(Oxides_min!$C5:$BB5,Factors!$C$34:$BB$34)+SUMPRODUCT(Oxides_max!$C5:$BB5,Factors!$C$34:$BB$34))/2)</f>
        <v>0</v>
      </c>
      <c r="AB5" s="20">
        <f>MAX(0,(SUMPRODUCT(Oxides_min!$C5:$BB5,Factors!$C$35:$BB$35)+SUMPRODUCT(Oxides_max!$C5:$BB5,Factors!$C$35:$BB$35))/2)</f>
        <v>0</v>
      </c>
      <c r="AC5" s="20">
        <f>MAX(0,(SUMPRODUCT(Oxides_min!$C5:$BB5,Factors!$C$36:$BB$36)+SUMPRODUCT(Oxides_max!$C5:$BB5,Factors!$C$36:$BB$36))/2)</f>
        <v>6.6183451112272493</v>
      </c>
      <c r="AD5" s="20">
        <f>MAX(0,(SUMPRODUCT(Oxides_min!$C5:$BB5,Factors!$C$37:$BB$37)+SUMPRODUCT(Oxides_max!$C5:$BB5,Factors!$C$37:$BB$37))/2)</f>
        <v>0</v>
      </c>
      <c r="AE5" s="20">
        <f>MAX(0,(SUMPRODUCT(Oxides_min!$C5:$BB5,Factors!$C$38:$BB$38)+SUMPRODUCT(Oxides_max!$C5:$BB5,Factors!$C$38:$BB$38))/2)</f>
        <v>6.25</v>
      </c>
      <c r="AF5" s="20">
        <f>MAX(0,(SUMPRODUCT(Oxides_min!$C5:$BB5,Factors!$C$39:$BB$39)+SUMPRODUCT(Oxides_max!$C5:$BB5,Factors!$C$39:$BB$39))/2)</f>
        <v>0</v>
      </c>
      <c r="AG5" s="20">
        <f>MAX(0,(SUMPRODUCT(Oxides_min!$C5:$BB5,Factors!$C$40:$BB$40)+SUMPRODUCT(Oxides_max!$C5:$BB5,Factors!$C$40:$BB$40))/2)</f>
        <v>0.65910888186711114</v>
      </c>
      <c r="AH5" s="20">
        <f>MAX(0,(SUMPRODUCT(Oxides_min!$C5:$BB5,Factors!$C$41:$BB$41)+SUMPRODUCT(Oxides_max!$C5:$BB5,Factors!$C$41:$BB$41))/2)</f>
        <v>2.2037517482979753E-2</v>
      </c>
      <c r="AI5" s="20">
        <f>MAX(0,(SUMPRODUCT(Oxides_min!$C5:$BB5,Factors!$C$42:$BB$42)+SUMPRODUCT(Oxides_max!$C5:$BB5,Factors!$C$42:$BB$42))/2)</f>
        <v>0</v>
      </c>
      <c r="AJ5" s="20">
        <f>MAX(0,(SUMPRODUCT(Oxides_min!$C5:$BB5,Factors!$C$43:$BB$43)+SUMPRODUCT(Oxides_max!$C5:$BB5,Factors!$C$43:$BB$43))/2)</f>
        <v>0.78744395476737217</v>
      </c>
      <c r="AK5" s="20">
        <f>MAX(0,(SUMPRODUCT(Oxides_min!$C5:$BB5,Factors!$C$44:$BB$44)+SUMPRODUCT(Oxides_max!$C5:$BB5,Factors!$C$44:$BB$44))/2)</f>
        <v>12.363905649444884</v>
      </c>
      <c r="AL5" s="20">
        <f>MAX(0,(SUMPRODUCT(Oxides_min!$C5:$BB5,Factors!$C$45:$BB$45)+SUMPRODUCT(Oxides_max!$C5:$BB5,Factors!$C$45:$BB$45))/2)</f>
        <v>24.332438632783816</v>
      </c>
      <c r="AM5" s="20">
        <f>MAX(0,(SUMPRODUCT(Oxides_min!$C5:$BB5,Factors!$C$46:$BB$46)+SUMPRODUCT(Oxides_max!$C5:$BB5,Factors!$C$46:$BB$46))/2)</f>
        <v>2.3497973938632732</v>
      </c>
      <c r="AN5" s="20">
        <f>MAX(0,(SUMPRODUCT(Oxides_min!$C5:$BB5,Factors!$C$47:$BB$47)+SUMPRODUCT(Oxides_max!$C5:$BB5,Factors!$C$47:$BB$47))/2)</f>
        <v>7.9305428835506309</v>
      </c>
      <c r="AO5" s="20">
        <f>MAX(0,(SUMPRODUCT(Oxides_min!$C5:$BB5,Factors!$C$48:$BB$48)+SUMPRODUCT(Oxides_max!$C5:$BB5,Factors!$C$48:$BB$48))/2)</f>
        <v>1.2073056375226903</v>
      </c>
      <c r="AP5" s="20">
        <f>MAX(0,(SUMPRODUCT(Oxides_min!$C5:$BB5,Factors!$C$49:$BB$49)+SUMPRODUCT(Oxides_max!$C5:$BB5,Factors!$C$49:$BB$49))/2)</f>
        <v>0.21590395680897917</v>
      </c>
      <c r="AQ5" s="20">
        <f>MAX(0,(SUMPRODUCT(Oxides_min!$C5:$BB5,Factors!$C$50:$BB$50)+SUMPRODUCT(Oxides_max!$C5:$BB5,Factors!$C$50:$BB$50))/2)</f>
        <v>0.65069504023481572</v>
      </c>
      <c r="AR5" s="20">
        <f>MAX(0,(SUMPRODUCT(Oxides_min!$C5:$BB5,Factors!$C$51:$BB$51)+SUMPRODUCT(Oxides_max!$C5:$BB5,Factors!$C$51:$BB$51))/2)</f>
        <v>0</v>
      </c>
      <c r="AS5" s="20">
        <f>MAX(0,(SUMPRODUCT(Oxides_min!$C5:$BB5,Factors!$C$52:$BB$52)+SUMPRODUCT(Oxides_max!$C5:$BB5,Factors!$C$52:$BB$52))/2)</f>
        <v>0.26139620425901544</v>
      </c>
      <c r="AT5" s="20">
        <f>MAX(0,(SUMPRODUCT(Oxides_min!$C5:$BB5,Factors!$C$53:$BB$53)+SUMPRODUCT(Oxides_max!$C5:$BB5,Factors!$C$53:$BB$53))/2)</f>
        <v>0</v>
      </c>
      <c r="AU5" s="20">
        <f>MAX(0,(SUMPRODUCT(Oxides_min!$C5:$BB5,Factors!$C$54:$BB$54)+SUMPRODUCT(Oxides_max!$C5:$BB5,Factors!$C$54:$BB$54))/2)</f>
        <v>0</v>
      </c>
      <c r="AV5" s="20">
        <f>MAX(0,(SUMPRODUCT(Oxides_min!$C5:$BB5,Factors!$C$55:$BB$55)+SUMPRODUCT(Oxides_max!$C5:$BB5,Factors!$C$55:$BB$55))/2)</f>
        <v>0</v>
      </c>
      <c r="AW5" s="20">
        <f>MAX(0,(SUMPRODUCT(Oxides_min!$C5:$BB5,Factors!$C$56:$BB$56)+SUMPRODUCT(Oxides_max!$C5:$BB5,Factors!$C$56:$BB$56))/2)</f>
        <v>0</v>
      </c>
      <c r="AX5" s="20">
        <f>MAX(0,(SUMPRODUCT(Oxides_min!$C5:$BB5,Factors!$C$57:$BB$57)+SUMPRODUCT(Oxides_max!$C5:$BB5,Factors!$C$57:$BB$57))/2)</f>
        <v>0</v>
      </c>
      <c r="AY5" s="20">
        <f>MAX(0,(SUMPRODUCT(Oxides_min!$C5:$BB5,Factors!$C$58:$BB$58)+SUMPRODUCT(Oxides_max!$C5:$BB5,Factors!$C$58:$BB$58))/2)</f>
        <v>0</v>
      </c>
      <c r="AZ5" s="18">
        <f t="shared" si="0"/>
        <v>99.09336435299096</v>
      </c>
    </row>
    <row r="6" spans="1:52" x14ac:dyDescent="0.35">
      <c r="A6" s="13" t="s">
        <v>133</v>
      </c>
      <c r="B6" s="20">
        <f>MAX(0,(SUMPRODUCT(Oxides_min!$C6:$BB6,Factors!$C$9:$BB$9)+SUMPRODUCT(Oxides_max!$C6:$BB6,Factors!$C$9:$BB$9))/2)</f>
        <v>30.805040811060604</v>
      </c>
      <c r="C6" s="20">
        <f>MAX(0,(SUMPRODUCT(Oxides_min!$C6:$BB6,Factors!$C$10:$BB$10)+SUMPRODUCT(Oxides_max!$C6:$BB6,Factors!$C$10:$BB$10))/2)</f>
        <v>0.23371835627382123</v>
      </c>
      <c r="D6" s="20">
        <f>MAX(0,(SUMPRODUCT(Oxides_min!$C6:$BB6,Factors!$C$11:$BB$11)+SUMPRODUCT(Oxides_max!$C6:$BB6,Factors!$C$11:$BB$11))/2)</f>
        <v>0</v>
      </c>
      <c r="E6" s="20">
        <f>MAX(0,(SUMPRODUCT(Oxides_min!$C6:$BB6,Factors!$C$12:$BB$12)+SUMPRODUCT(Oxides_max!$C6:$BB6,Factors!$C$12:$BB$12))/2)</f>
        <v>0</v>
      </c>
      <c r="F6" s="20">
        <f>MAX(0,(SUMPRODUCT(Oxides_min!$C6:$BB6,Factors!$C$13:$BB$13)+SUMPRODUCT(Oxides_max!$C6:$BB6,Factors!$C$13:$BB$13))/2)</f>
        <v>0</v>
      </c>
      <c r="G6" s="20">
        <f>MAX(0,(SUMPRODUCT(Oxides_min!$C6:$BB6,Factors!$C$14:$BB$14)+SUMPRODUCT(Oxides_max!$C6:$BB6,Factors!$C$14:$BB$14))/2)</f>
        <v>0</v>
      </c>
      <c r="H6" s="20">
        <f>MAX(0,(SUMPRODUCT(Oxides_min!$C6:$BB6,Factors!$C$15:$BB$15)+SUMPRODUCT(Oxides_max!$C6:$BB6,Factors!$C$15:$BB$15))/2)</f>
        <v>0</v>
      </c>
      <c r="I6" s="20">
        <f>MAX(0,(SUMPRODUCT(Oxides_min!$C6:$BB6,Factors!$C$16:$BB$16)+SUMPRODUCT(Oxides_max!$C6:$BB6,Factors!$C$16:$BB$16))/2)</f>
        <v>0.19432729246701186</v>
      </c>
      <c r="J6" s="20">
        <f>MAX(0,(SUMPRODUCT(Oxides_min!$C6:$BB6,Factors!$C$17:$BB$17)+SUMPRODUCT(Oxides_max!$C6:$BB6,Factors!$C$17:$BB$17))/2)</f>
        <v>0</v>
      </c>
      <c r="K6" s="20">
        <f>MAX(0,(SUMPRODUCT(Oxides_min!$C6:$BB6,Factors!$C$18:$BB$18)+SUMPRODUCT(Oxides_max!$C6:$BB6,Factors!$C$18:$BB$18))/2)</f>
        <v>0</v>
      </c>
      <c r="L6" s="20">
        <f>MAX(0,(SUMPRODUCT(Oxides_min!$C6:$BB6,Factors!$C$19:$BB$19)+SUMPRODUCT(Oxides_max!$C6:$BB6,Factors!$C$19:$BB$19))/2)</f>
        <v>0</v>
      </c>
      <c r="M6" s="20">
        <f>MAX(0,(SUMPRODUCT(Oxides_min!$C6:$BB6,Factors!$C$20:$BB$20)+SUMPRODUCT(Oxides_max!$C6:$BB6,Factors!$C$20:$BB$20))/2)</f>
        <v>0</v>
      </c>
      <c r="N6" s="20">
        <f>MAX(0,(SUMPRODUCT(Oxides_min!$C6:$BB6,Factors!$C$21:$BB$21)+SUMPRODUCT(Oxides_max!$C6:$BB6,Factors!$C$21:$BB$21))/2)</f>
        <v>12.507177630757706</v>
      </c>
      <c r="O6" s="20">
        <f>MAX(0,(SUMPRODUCT(Oxides_min!$C6:$BB6,Factors!$C$22:$BB$22)+SUMPRODUCT(Oxides_max!$C6:$BB6,Factors!$C$22:$BB$22))/2)</f>
        <v>0.4227989075362627</v>
      </c>
      <c r="P6" s="20">
        <f>MAX(0,(SUMPRODUCT(Oxides_min!$C6:$BB6,Factors!$C$23:$BB$23)+SUMPRODUCT(Oxides_max!$C6:$BB6,Factors!$C$23:$BB$23))/2)</f>
        <v>0</v>
      </c>
      <c r="Q6" s="20">
        <f>MAX(0,(SUMPRODUCT(Oxides_min!$C6:$BB6,Factors!$C$24:$BB$24)+SUMPRODUCT(Oxides_max!$C6:$BB6,Factors!$C$24:$BB$24))/2)</f>
        <v>0</v>
      </c>
      <c r="R6" s="20">
        <f>MAX(0,(SUMPRODUCT(Oxides_min!$C6:$BB6,Factors!$C$25:$BB$25)+SUMPRODUCT(Oxides_max!$C6:$BB6,Factors!$C$25:$BB$25))/2)</f>
        <v>0</v>
      </c>
      <c r="S6" s="20">
        <f>MAX(0,(SUMPRODUCT(Oxides_min!$C6:$BB6,Factors!$C$26:$BB$26)+SUMPRODUCT(Oxides_max!$C6:$BB6,Factors!$C$26:$BB$26))/2)</f>
        <v>0</v>
      </c>
      <c r="T6" s="20">
        <f>MAX(0,(SUMPRODUCT(Oxides_min!$C6:$BB6,Factors!$C$27:$BB$27)+SUMPRODUCT(Oxides_max!$C6:$BB6,Factors!$C$27:$BB$27))/2)</f>
        <v>0</v>
      </c>
      <c r="U6" s="20">
        <f>MAX(0,(SUMPRODUCT(Oxides_min!$C6:$BB6,Factors!$C$28:$BB$28)+SUMPRODUCT(Oxides_max!$C6:$BB6,Factors!$C$28:$BB$28))/2)</f>
        <v>0</v>
      </c>
      <c r="V6" s="20">
        <f>MAX(0,(SUMPRODUCT(Oxides_min!$C6:$BB6,Factors!$C$29:$BB$29)+SUMPRODUCT(Oxides_max!$C6:$BB6,Factors!$C$29:$BB$29))/2)</f>
        <v>0</v>
      </c>
      <c r="W6" s="20">
        <f>MAX(0,(SUMPRODUCT(Oxides_min!$C6:$BB6,Factors!$C$30:$BB$30)+SUMPRODUCT(Oxides_max!$C6:$BB6,Factors!$C$30:$BB$30))/2)</f>
        <v>0</v>
      </c>
      <c r="X6" s="20">
        <f>MAX(0,(SUMPRODUCT(Oxides_min!$C6:$BB6,Factors!$C$31:$BB$31)+SUMPRODUCT(Oxides_max!$C6:$BB6,Factors!$C$31:$BB$31))/2)</f>
        <v>0</v>
      </c>
      <c r="Y6" s="20">
        <f>MAX(0,(SUMPRODUCT(Oxides_min!$C6:$BB6,Factors!$C$32:$BB$32)+SUMPRODUCT(Oxides_max!$C6:$BB6,Factors!$C$32:$BB$32))/2)</f>
        <v>0</v>
      </c>
      <c r="Z6" s="20">
        <f>MAX(0,(SUMPRODUCT(Oxides_min!$C6:$BB6,Factors!$C$33:$BB$33)+SUMPRODUCT(Oxides_max!$C6:$BB6,Factors!$C$33:$BB$33))/2)</f>
        <v>0</v>
      </c>
      <c r="AA6" s="20">
        <f>MAX(0,(SUMPRODUCT(Oxides_min!$C6:$BB6,Factors!$C$34:$BB$34)+SUMPRODUCT(Oxides_max!$C6:$BB6,Factors!$C$34:$BB$34))/2)</f>
        <v>0</v>
      </c>
      <c r="AB6" s="20">
        <f>MAX(0,(SUMPRODUCT(Oxides_min!$C6:$BB6,Factors!$C$35:$BB$35)+SUMPRODUCT(Oxides_max!$C6:$BB6,Factors!$C$35:$BB$35))/2)</f>
        <v>0</v>
      </c>
      <c r="AC6" s="20">
        <f>MAX(0,(SUMPRODUCT(Oxides_min!$C6:$BB6,Factors!$C$36:$BB$36)+SUMPRODUCT(Oxides_max!$C6:$BB6,Factors!$C$36:$BB$36))/2)</f>
        <v>7.5053398168556438</v>
      </c>
      <c r="AD6" s="20">
        <f>MAX(0,(SUMPRODUCT(Oxides_min!$C6:$BB6,Factors!$C$37:$BB$37)+SUMPRODUCT(Oxides_max!$C6:$BB6,Factors!$C$37:$BB$37))/2)</f>
        <v>0</v>
      </c>
      <c r="AE6" s="20">
        <f>MAX(0,(SUMPRODUCT(Oxides_min!$C6:$BB6,Factors!$C$38:$BB$38)+SUMPRODUCT(Oxides_max!$C6:$BB6,Factors!$C$38:$BB$38))/2)</f>
        <v>5.25</v>
      </c>
      <c r="AF6" s="20">
        <f>MAX(0,(SUMPRODUCT(Oxides_min!$C6:$BB6,Factors!$C$39:$BB$39)+SUMPRODUCT(Oxides_max!$C6:$BB6,Factors!$C$39:$BB$39))/2)</f>
        <v>0</v>
      </c>
      <c r="AG6" s="20">
        <f>MAX(0,(SUMPRODUCT(Oxides_min!$C6:$BB6,Factors!$C$40:$BB$40)+SUMPRODUCT(Oxides_max!$C6:$BB6,Factors!$C$40:$BB$40))/2)</f>
        <v>0.87881184248948152</v>
      </c>
      <c r="AH6" s="20">
        <f>MAX(0,(SUMPRODUCT(Oxides_min!$C6:$BB6,Factors!$C$41:$BB$41)+SUMPRODUCT(Oxides_max!$C6:$BB6,Factors!$C$41:$BB$41))/2)</f>
        <v>4.4075034965959506E-2</v>
      </c>
      <c r="AI6" s="20">
        <f>MAX(0,(SUMPRODUCT(Oxides_min!$C6:$BB6,Factors!$C$42:$BB$42)+SUMPRODUCT(Oxides_max!$C6:$BB6,Factors!$C$42:$BB$42))/2)</f>
        <v>0</v>
      </c>
      <c r="AJ6" s="20">
        <f>MAX(0,(SUMPRODUCT(Oxides_min!$C6:$BB6,Factors!$C$43:$BB$43)+SUMPRODUCT(Oxides_max!$C6:$BB6,Factors!$C$43:$BB$43))/2)</f>
        <v>1.1811659321510581</v>
      </c>
      <c r="AK6" s="20">
        <f>MAX(0,(SUMPRODUCT(Oxides_min!$C6:$BB6,Factors!$C$44:$BB$44)+SUMPRODUCT(Oxides_max!$C6:$BB6,Factors!$C$44:$BB$44))/2)</f>
        <v>9.805856204732148</v>
      </c>
      <c r="AL6" s="20">
        <f>MAX(0,(SUMPRODUCT(Oxides_min!$C6:$BB6,Factors!$C$45:$BB$45)+SUMPRODUCT(Oxides_max!$C6:$BB6,Factors!$C$45:$BB$45))/2)</f>
        <v>20.49047463813374</v>
      </c>
      <c r="AM6" s="20">
        <f>MAX(0,(SUMPRODUCT(Oxides_min!$C6:$BB6,Factors!$C$46:$BB$46)+SUMPRODUCT(Oxides_max!$C6:$BB6,Factors!$C$46:$BB$46))/2)</f>
        <v>1.9225615040699509</v>
      </c>
      <c r="AN6" s="20">
        <f>MAX(0,(SUMPRODUCT(Oxides_min!$C6:$BB6,Factors!$C$47:$BB$47)+SUMPRODUCT(Oxides_max!$C6:$BB6,Factors!$C$47:$BB$47))/2)</f>
        <v>7.5018648898451916</v>
      </c>
      <c r="AO6" s="20">
        <f>MAX(0,(SUMPRODUCT(Oxides_min!$C6:$BB6,Factors!$C$48:$BB$48)+SUMPRODUCT(Oxides_max!$C6:$BB6,Factors!$C$48:$BB$48))/2)</f>
        <v>1.1641875790397371</v>
      </c>
      <c r="AP6" s="20">
        <f>MAX(0,(SUMPRODUCT(Oxides_min!$C6:$BB6,Factors!$C$49:$BB$49)+SUMPRODUCT(Oxides_max!$C6:$BB6,Factors!$C$49:$BB$49))/2)</f>
        <v>0.21590395680897917</v>
      </c>
      <c r="AQ6" s="20">
        <f>MAX(0,(SUMPRODUCT(Oxides_min!$C6:$BB6,Factors!$C$50:$BB$50)+SUMPRODUCT(Oxides_max!$C6:$BB6,Factors!$C$50:$BB$50))/2)</f>
        <v>0.8675933869797543</v>
      </c>
      <c r="AR6" s="20">
        <f>MAX(0,(SUMPRODUCT(Oxides_min!$C6:$BB6,Factors!$C$51:$BB$51)+SUMPRODUCT(Oxides_max!$C6:$BB6,Factors!$C$51:$BB$51))/2)</f>
        <v>0</v>
      </c>
      <c r="AS6" s="20">
        <f>MAX(0,(SUMPRODUCT(Oxides_min!$C6:$BB6,Factors!$C$52:$BB$52)+SUMPRODUCT(Oxides_max!$C6:$BB6,Factors!$C$52:$BB$52))/2)</f>
        <v>0.348528272345354</v>
      </c>
      <c r="AT6" s="20">
        <f>MAX(0,(SUMPRODUCT(Oxides_min!$C6:$BB6,Factors!$C$53:$BB$53)+SUMPRODUCT(Oxides_max!$C6:$BB6,Factors!$C$53:$BB$53))/2)</f>
        <v>0</v>
      </c>
      <c r="AU6" s="20">
        <f>MAX(0,(SUMPRODUCT(Oxides_min!$C6:$BB6,Factors!$C$54:$BB$54)+SUMPRODUCT(Oxides_max!$C6:$BB6,Factors!$C$54:$BB$54))/2)</f>
        <v>0</v>
      </c>
      <c r="AV6" s="20">
        <f>MAX(0,(SUMPRODUCT(Oxides_min!$C6:$BB6,Factors!$C$55:$BB$55)+SUMPRODUCT(Oxides_max!$C6:$BB6,Factors!$C$55:$BB$55))/2)</f>
        <v>0</v>
      </c>
      <c r="AW6" s="20">
        <f>MAX(0,(SUMPRODUCT(Oxides_min!$C6:$BB6,Factors!$C$56:$BB$56)+SUMPRODUCT(Oxides_max!$C6:$BB6,Factors!$C$56:$BB$56))/2)</f>
        <v>0</v>
      </c>
      <c r="AX6" s="20">
        <f>MAX(0,(SUMPRODUCT(Oxides_min!$C6:$BB6,Factors!$C$57:$BB$57)+SUMPRODUCT(Oxides_max!$C6:$BB6,Factors!$C$57:$BB$57))/2)</f>
        <v>0</v>
      </c>
      <c r="AY6" s="20">
        <f>MAX(0,(SUMPRODUCT(Oxides_min!$C6:$BB6,Factors!$C$58:$BB$58)+SUMPRODUCT(Oxides_max!$C6:$BB6,Factors!$C$58:$BB$58))/2)</f>
        <v>0</v>
      </c>
      <c r="AZ6" s="18">
        <f t="shared" si="0"/>
        <v>101.33942605651239</v>
      </c>
    </row>
    <row r="7" spans="1:52" x14ac:dyDescent="0.35">
      <c r="A7" s="13" t="s">
        <v>135</v>
      </c>
      <c r="B7" s="20">
        <f>MAX(0,(SUMPRODUCT(Oxides_min!$C7:$BB7,Factors!$C$9:$BB$9)+SUMPRODUCT(Oxides_max!$C7:$BB7,Factors!$C$9:$BB$9))/2)</f>
        <v>39.767340976173941</v>
      </c>
      <c r="C7" s="20">
        <f>MAX(0,(SUMPRODUCT(Oxides_min!$C7:$BB7,Factors!$C$10:$BB$10)+SUMPRODUCT(Oxides_max!$C7:$BB7,Factors!$C$10:$BB$10))/2)</f>
        <v>14.957974801524557</v>
      </c>
      <c r="D7" s="20">
        <f>MAX(0,(SUMPRODUCT(Oxides_min!$C7:$BB7,Factors!$C$11:$BB$11)+SUMPRODUCT(Oxides_max!$C7:$BB7,Factors!$C$11:$BB$11))/2)</f>
        <v>0.74918612658861838</v>
      </c>
      <c r="E7" s="20">
        <f>MAX(0,(SUMPRODUCT(Oxides_min!$C7:$BB7,Factors!$C$12:$BB$12)+SUMPRODUCT(Oxides_max!$C7:$BB7,Factors!$C$12:$BB$12))/2)</f>
        <v>0</v>
      </c>
      <c r="F7" s="20">
        <f>MAX(0,(SUMPRODUCT(Oxides_min!$C7:$BB7,Factors!$C$13:$BB$13)+SUMPRODUCT(Oxides_max!$C7:$BB7,Factors!$C$13:$BB$13))/2)</f>
        <v>0</v>
      </c>
      <c r="G7" s="20">
        <f>MAX(0,(SUMPRODUCT(Oxides_min!$C7:$BB7,Factors!$C$14:$BB$14)+SUMPRODUCT(Oxides_max!$C7:$BB7,Factors!$C$14:$BB$14))/2)</f>
        <v>0</v>
      </c>
      <c r="H7" s="20">
        <f>MAX(0,(SUMPRODUCT(Oxides_min!$C7:$BB7,Factors!$C$15:$BB$15)+SUMPRODUCT(Oxides_max!$C7:$BB7,Factors!$C$15:$BB$15))/2)</f>
        <v>8.4681108273388226</v>
      </c>
      <c r="I7" s="20">
        <f>MAX(0,(SUMPRODUCT(Oxides_min!$C7:$BB7,Factors!$C$16:$BB$16)+SUMPRODUCT(Oxides_max!$C7:$BB7,Factors!$C$16:$BB$16))/2)</f>
        <v>11.542082478088197</v>
      </c>
      <c r="J7" s="20">
        <f>MAX(0,(SUMPRODUCT(Oxides_min!$C7:$BB7,Factors!$C$17:$BB$17)+SUMPRODUCT(Oxides_max!$C7:$BB7,Factors!$C$17:$BB$17))/2)</f>
        <v>1.1810545291399512</v>
      </c>
      <c r="K7" s="20">
        <f>MAX(0,(SUMPRODUCT(Oxides_min!$C7:$BB7,Factors!$C$18:$BB$18)+SUMPRODUCT(Oxides_max!$C7:$BB7,Factors!$C$18:$BB$18))/2)</f>
        <v>0</v>
      </c>
      <c r="L7" s="20">
        <f>MAX(0,(SUMPRODUCT(Oxides_min!$C7:$BB7,Factors!$C$19:$BB$19)+SUMPRODUCT(Oxides_max!$C7:$BB7,Factors!$C$19:$BB$19))/2)</f>
        <v>0</v>
      </c>
      <c r="M7" s="20">
        <f>MAX(0,(SUMPRODUCT(Oxides_min!$C7:$BB7,Factors!$C$20:$BB$20)+SUMPRODUCT(Oxides_max!$C7:$BB7,Factors!$C$20:$BB$20))/2)</f>
        <v>0.90456282254863041</v>
      </c>
      <c r="N7" s="20">
        <f>MAX(0,(SUMPRODUCT(Oxides_min!$C7:$BB7,Factors!$C$21:$BB$21)+SUMPRODUCT(Oxides_max!$C7:$BB7,Factors!$C$21:$BB$21))/2)</f>
        <v>8.5763503753767125</v>
      </c>
      <c r="O7" s="20">
        <f>MAX(0,(SUMPRODUCT(Oxides_min!$C7:$BB7,Factors!$C$22:$BB$22)+SUMPRODUCT(Oxides_max!$C7:$BB7,Factors!$C$22:$BB$22))/2)</f>
        <v>0</v>
      </c>
      <c r="P7" s="20">
        <f>MAX(0,(SUMPRODUCT(Oxides_min!$C7:$BB7,Factors!$C$23:$BB$23)+SUMPRODUCT(Oxides_max!$C7:$BB7,Factors!$C$23:$BB$23))/2)</f>
        <v>0</v>
      </c>
      <c r="Q7" s="20">
        <f>MAX(0,(SUMPRODUCT(Oxides_min!$C7:$BB7,Factors!$C$24:$BB$24)+SUMPRODUCT(Oxides_max!$C7:$BB7,Factors!$C$24:$BB$24))/2)</f>
        <v>0</v>
      </c>
      <c r="R7" s="20">
        <f>MAX(0,(SUMPRODUCT(Oxides_min!$C7:$BB7,Factors!$C$25:$BB$25)+SUMPRODUCT(Oxides_max!$C7:$BB7,Factors!$C$25:$BB$25))/2)</f>
        <v>0.11127933869113804</v>
      </c>
      <c r="S7" s="20">
        <f>MAX(0,(SUMPRODUCT(Oxides_min!$C7:$BB7,Factors!$C$26:$BB$26)+SUMPRODUCT(Oxides_max!$C7:$BB7,Factors!$C$26:$BB$26))/2)</f>
        <v>0</v>
      </c>
      <c r="T7" s="20">
        <f>MAX(0,(SUMPRODUCT(Oxides_min!$C7:$BB7,Factors!$C$27:$BB$27)+SUMPRODUCT(Oxides_max!$C7:$BB7,Factors!$C$27:$BB$27))/2)</f>
        <v>0</v>
      </c>
      <c r="U7" s="20">
        <f>MAX(0,(SUMPRODUCT(Oxides_min!$C7:$BB7,Factors!$C$28:$BB$28)+SUMPRODUCT(Oxides_max!$C7:$BB7,Factors!$C$28:$BB$28))/2)</f>
        <v>0</v>
      </c>
      <c r="V7" s="20">
        <f>MAX(0,(SUMPRODUCT(Oxides_min!$C7:$BB7,Factors!$C$29:$BB$29)+SUMPRODUCT(Oxides_max!$C7:$BB7,Factors!$C$29:$BB$29))/2)</f>
        <v>0</v>
      </c>
      <c r="W7" s="20">
        <f>MAX(0,(SUMPRODUCT(Oxides_min!$C7:$BB7,Factors!$C$30:$BB$30)+SUMPRODUCT(Oxides_max!$C7:$BB7,Factors!$C$30:$BB$30))/2)</f>
        <v>0</v>
      </c>
      <c r="X7" s="20">
        <f>MAX(0,(SUMPRODUCT(Oxides_min!$C7:$BB7,Factors!$C$31:$BB$31)+SUMPRODUCT(Oxides_max!$C7:$BB7,Factors!$C$31:$BB$31))/2)</f>
        <v>0</v>
      </c>
      <c r="Y7" s="20">
        <f>MAX(0,(SUMPRODUCT(Oxides_min!$C7:$BB7,Factors!$C$32:$BB$32)+SUMPRODUCT(Oxides_max!$C7:$BB7,Factors!$C$32:$BB$32))/2)</f>
        <v>0</v>
      </c>
      <c r="Z7" s="20">
        <f>MAX(0,(SUMPRODUCT(Oxides_min!$C7:$BB7,Factors!$C$33:$BB$33)+SUMPRODUCT(Oxides_max!$C7:$BB7,Factors!$C$33:$BB$33))/2)</f>
        <v>2.1821340868133962E-2</v>
      </c>
      <c r="AA7" s="20">
        <f>MAX(0,(SUMPRODUCT(Oxides_min!$C7:$BB7,Factors!$C$34:$BB$34)+SUMPRODUCT(Oxides_max!$C7:$BB7,Factors!$C$34:$BB$34))/2)</f>
        <v>0</v>
      </c>
      <c r="AB7" s="20">
        <f>MAX(0,(SUMPRODUCT(Oxides_min!$C7:$BB7,Factors!$C$35:$BB$35)+SUMPRODUCT(Oxides_max!$C7:$BB7,Factors!$C$35:$BB$35))/2)</f>
        <v>0</v>
      </c>
      <c r="AC7" s="20">
        <f>MAX(0,(SUMPRODUCT(Oxides_min!$C7:$BB7,Factors!$C$36:$BB$36)+SUMPRODUCT(Oxides_max!$C7:$BB7,Factors!$C$36:$BB$36))/2)</f>
        <v>0</v>
      </c>
      <c r="AD7" s="20">
        <f>MAX(0,(SUMPRODUCT(Oxides_min!$C7:$BB7,Factors!$C$37:$BB$37)+SUMPRODUCT(Oxides_max!$C7:$BB7,Factors!$C$37:$BB$37))/2)</f>
        <v>0.23500416319733552</v>
      </c>
      <c r="AE7" s="20">
        <f>MAX(0,(SUMPRODUCT(Oxides_min!$C7:$BB7,Factors!$C$38:$BB$38)+SUMPRODUCT(Oxides_max!$C7:$BB7,Factors!$C$38:$BB$38))/2)</f>
        <v>0.25</v>
      </c>
      <c r="AF7" s="20">
        <f>MAX(0,(SUMPRODUCT(Oxides_min!$C7:$BB7,Factors!$C$39:$BB$39)+SUMPRODUCT(Oxides_max!$C7:$BB7,Factors!$C$39:$BB$39))/2)</f>
        <v>0</v>
      </c>
      <c r="AG7" s="20">
        <f>MAX(0,(SUMPRODUCT(Oxides_min!$C7:$BB7,Factors!$C$40:$BB$40)+SUMPRODUCT(Oxides_max!$C7:$BB7,Factors!$C$40:$BB$40))/2)</f>
        <v>1.5379207243565927</v>
      </c>
      <c r="AH7" s="20">
        <f>MAX(0,(SUMPRODUCT(Oxides_min!$C7:$BB7,Factors!$C$41:$BB$41)+SUMPRODUCT(Oxides_max!$C7:$BB7,Factors!$C$41:$BB$41))/2)</f>
        <v>0.22037517482979752</v>
      </c>
      <c r="AI7" s="20">
        <f>MAX(0,(SUMPRODUCT(Oxides_min!$C7:$BB7,Factors!$C$42:$BB$42)+SUMPRODUCT(Oxides_max!$C7:$BB7,Factors!$C$42:$BB$42))/2)</f>
        <v>0</v>
      </c>
      <c r="AJ7" s="20">
        <f>MAX(0,(SUMPRODUCT(Oxides_min!$C7:$BB7,Factors!$C$43:$BB$43)+SUMPRODUCT(Oxides_max!$C7:$BB7,Factors!$C$43:$BB$43))/2)</f>
        <v>1.1811659321510581</v>
      </c>
      <c r="AK7" s="20">
        <f>MAX(0,(SUMPRODUCT(Oxides_min!$C7:$BB7,Factors!$C$44:$BB$44)+SUMPRODUCT(Oxides_max!$C7:$BB7,Factors!$C$44:$BB$44))/2)</f>
        <v>6.3951236117818366</v>
      </c>
      <c r="AL7" s="20">
        <f>MAX(0,(SUMPRODUCT(Oxides_min!$C7:$BB7,Factors!$C$45:$BB$45)+SUMPRODUCT(Oxides_max!$C7:$BB7,Factors!$C$45:$BB$45))/2)</f>
        <v>10.672122207361323</v>
      </c>
      <c r="AM7" s="20">
        <f>MAX(0,(SUMPRODUCT(Oxides_min!$C7:$BB7,Factors!$C$46:$BB$46)+SUMPRODUCT(Oxides_max!$C7:$BB7,Factors!$C$46:$BB$46))/2)</f>
        <v>1.1962604914213029</v>
      </c>
      <c r="AN7" s="20">
        <f>MAX(0,(SUMPRODUCT(Oxides_min!$C7:$BB7,Factors!$C$47:$BB$47)+SUMPRODUCT(Oxides_max!$C7:$BB7,Factors!$C$47:$BB$47))/2)</f>
        <v>3.6437629464962358</v>
      </c>
      <c r="AO7" s="20">
        <f>MAX(0,(SUMPRODUCT(Oxides_min!$C7:$BB7,Factors!$C$48:$BB$48)+SUMPRODUCT(Oxides_max!$C7:$BB7,Factors!$C$48:$BB$48))/2)</f>
        <v>0.56053476027839189</v>
      </c>
      <c r="AP7" s="20">
        <f>MAX(0,(SUMPRODUCT(Oxides_min!$C7:$BB7,Factors!$C$49:$BB$49)+SUMPRODUCT(Oxides_max!$C7:$BB7,Factors!$C$49:$BB$49))/2)</f>
        <v>4.3180791361795839E-2</v>
      </c>
      <c r="AQ7" s="20">
        <f>MAX(0,(SUMPRODUCT(Oxides_min!$C7:$BB7,Factors!$C$50:$BB$50)+SUMPRODUCT(Oxides_max!$C7:$BB7,Factors!$C$50:$BB$50))/2)</f>
        <v>0.30365768544291399</v>
      </c>
      <c r="AR7" s="20">
        <f>MAX(0,(SUMPRODUCT(Oxides_min!$C7:$BB7,Factors!$C$51:$BB$51)+SUMPRODUCT(Oxides_max!$C7:$BB7,Factors!$C$51:$BB$51))/2)</f>
        <v>4.3440303164404205E-2</v>
      </c>
      <c r="AS7" s="20">
        <f>MAX(0,(SUMPRODUCT(Oxides_min!$C7:$BB7,Factors!$C$52:$BB$52)+SUMPRODUCT(Oxides_max!$C7:$BB7,Factors!$C$52:$BB$52))/2)</f>
        <v>0.26139620425901544</v>
      </c>
      <c r="AT7" s="20">
        <f>MAX(0,(SUMPRODUCT(Oxides_min!$C7:$BB7,Factors!$C$53:$BB$53)+SUMPRODUCT(Oxides_max!$C7:$BB7,Factors!$C$53:$BB$53))/2)</f>
        <v>5.2378558635016156E-2</v>
      </c>
      <c r="AU7" s="20">
        <f>MAX(0,(SUMPRODUCT(Oxides_min!$C7:$BB7,Factors!$C$54:$BB$54)+SUMPRODUCT(Oxides_max!$C7:$BB7,Factors!$C$54:$BB$54))/2)</f>
        <v>0.15304144935492725</v>
      </c>
      <c r="AV7" s="20">
        <f>MAX(0,(SUMPRODUCT(Oxides_min!$C7:$BB7,Factors!$C$55:$BB$55)+SUMPRODUCT(Oxides_max!$C7:$BB7,Factors!$C$55:$BB$55))/2)</f>
        <v>2.1890301966405699E-2</v>
      </c>
      <c r="AW7" s="20">
        <f>MAX(0,(SUMPRODUCT(Oxides_min!$C7:$BB7,Factors!$C$56:$BB$56)+SUMPRODUCT(Oxides_max!$C7:$BB7,Factors!$C$56:$BB$56))/2)</f>
        <v>0.13173106446038566</v>
      </c>
      <c r="AX7" s="20">
        <f>MAX(0,(SUMPRODUCT(Oxides_min!$C7:$BB7,Factors!$C$57:$BB$57)+SUMPRODUCT(Oxides_max!$C7:$BB7,Factors!$C$57:$BB$57))/2)</f>
        <v>2.1984587262200997E-2</v>
      </c>
      <c r="AY7" s="20">
        <f>MAX(0,(SUMPRODUCT(Oxides_min!$C7:$BB7,Factors!$C$58:$BB$58)+SUMPRODUCT(Oxides_max!$C7:$BB7,Factors!$C$58:$BB$58))/2)</f>
        <v>0</v>
      </c>
      <c r="AZ7" s="18">
        <f t="shared" si="0"/>
        <v>113.20473457411964</v>
      </c>
    </row>
    <row r="8" spans="1:52" x14ac:dyDescent="0.35">
      <c r="A8" s="13" t="s">
        <v>137</v>
      </c>
      <c r="B8" s="20">
        <f>MAX(0,(SUMPRODUCT(Oxides_min!$C8:$BB8,Factors!$C$9:$BB$9)+SUMPRODUCT(Oxides_max!$C8:$BB8,Factors!$C$9:$BB$9))/2)</f>
        <v>38.68754333130056</v>
      </c>
      <c r="C8" s="20">
        <f>MAX(0,(SUMPRODUCT(Oxides_min!$C8:$BB8,Factors!$C$10:$BB$10)+SUMPRODUCT(Oxides_max!$C8:$BB8,Factors!$C$10:$BB$10))/2)</f>
        <v>0.35057753441073186</v>
      </c>
      <c r="D8" s="20">
        <f>MAX(0,(SUMPRODUCT(Oxides_min!$C8:$BB8,Factors!$C$11:$BB$11)+SUMPRODUCT(Oxides_max!$C8:$BB8,Factors!$C$11:$BB$11))/2)</f>
        <v>0</v>
      </c>
      <c r="E8" s="20">
        <f>MAX(0,(SUMPRODUCT(Oxides_min!$C8:$BB8,Factors!$C$12:$BB$12)+SUMPRODUCT(Oxides_max!$C8:$BB8,Factors!$C$12:$BB$12))/2)</f>
        <v>0</v>
      </c>
      <c r="F8" s="20">
        <f>MAX(0,(SUMPRODUCT(Oxides_min!$C8:$BB8,Factors!$C$13:$BB$13)+SUMPRODUCT(Oxides_max!$C8:$BB8,Factors!$C$13:$BB$13))/2)</f>
        <v>0</v>
      </c>
      <c r="G8" s="20">
        <f>MAX(0,(SUMPRODUCT(Oxides_min!$C8:$BB8,Factors!$C$14:$BB$14)+SUMPRODUCT(Oxides_max!$C8:$BB8,Factors!$C$14:$BB$14))/2)</f>
        <v>0</v>
      </c>
      <c r="H8" s="20">
        <f>MAX(0,(SUMPRODUCT(Oxides_min!$C8:$BB8,Factors!$C$15:$BB$15)+SUMPRODUCT(Oxides_max!$C8:$BB8,Factors!$C$15:$BB$15))/2)</f>
        <v>0</v>
      </c>
      <c r="I8" s="20">
        <f>MAX(0,(SUMPRODUCT(Oxides_min!$C8:$BB8,Factors!$C$16:$BB$16)+SUMPRODUCT(Oxides_max!$C8:$BB8,Factors!$C$16:$BB$16))/2)</f>
        <v>0.23319275096041422</v>
      </c>
      <c r="J8" s="20">
        <f>MAX(0,(SUMPRODUCT(Oxides_min!$C8:$BB8,Factors!$C$17:$BB$17)+SUMPRODUCT(Oxides_max!$C8:$BB8,Factors!$C$17:$BB$17))/2)</f>
        <v>0.19361549658031987</v>
      </c>
      <c r="K8" s="20">
        <f>MAX(0,(SUMPRODUCT(Oxides_min!$C8:$BB8,Factors!$C$18:$BB$18)+SUMPRODUCT(Oxides_max!$C8:$BB8,Factors!$C$18:$BB$18))/2)</f>
        <v>0</v>
      </c>
      <c r="L8" s="20">
        <f>MAX(0,(SUMPRODUCT(Oxides_min!$C8:$BB8,Factors!$C$19:$BB$19)+SUMPRODUCT(Oxides_max!$C8:$BB8,Factors!$C$19:$BB$19))/2)</f>
        <v>0</v>
      </c>
      <c r="M8" s="20">
        <f>MAX(0,(SUMPRODUCT(Oxides_min!$C8:$BB8,Factors!$C$20:$BB$20)+SUMPRODUCT(Oxides_max!$C8:$BB8,Factors!$C$20:$BB$20))/2)</f>
        <v>0</v>
      </c>
      <c r="N8" s="20">
        <f>MAX(0,(SUMPRODUCT(Oxides_min!$C8:$BB8,Factors!$C$21:$BB$21)+SUMPRODUCT(Oxides_max!$C8:$BB8,Factors!$C$21:$BB$21))/2)</f>
        <v>38.236228756887847</v>
      </c>
      <c r="O8" s="20">
        <f>MAX(0,(SUMPRODUCT(Oxides_min!$C8:$BB8,Factors!$C$22:$BB$22)+SUMPRODUCT(Oxides_max!$C8:$BB8,Factors!$C$22:$BB$22))/2)</f>
        <v>1.268396722608788</v>
      </c>
      <c r="P8" s="20">
        <f>MAX(0,(SUMPRODUCT(Oxides_min!$C8:$BB8,Factors!$C$23:$BB$23)+SUMPRODUCT(Oxides_max!$C8:$BB8,Factors!$C$23:$BB$23))/2)</f>
        <v>0</v>
      </c>
      <c r="Q8" s="20">
        <f>MAX(0,(SUMPRODUCT(Oxides_min!$C8:$BB8,Factors!$C$24:$BB$24)+SUMPRODUCT(Oxides_max!$C8:$BB8,Factors!$C$24:$BB$24))/2)</f>
        <v>0</v>
      </c>
      <c r="R8" s="20">
        <f>MAX(0,(SUMPRODUCT(Oxides_min!$C8:$BB8,Factors!$C$25:$BB$25)+SUMPRODUCT(Oxides_max!$C8:$BB8,Factors!$C$25:$BB$25))/2)</f>
        <v>0.22255867738227608</v>
      </c>
      <c r="S8" s="20">
        <f>MAX(0,(SUMPRODUCT(Oxides_min!$C8:$BB8,Factors!$C$26:$BB$26)+SUMPRODUCT(Oxides_max!$C8:$BB8,Factors!$C$26:$BB$26))/2)</f>
        <v>0</v>
      </c>
      <c r="T8" s="20">
        <f>MAX(0,(SUMPRODUCT(Oxides_min!$C8:$BB8,Factors!$C$27:$BB$27)+SUMPRODUCT(Oxides_max!$C8:$BB8,Factors!$C$27:$BB$27))/2)</f>
        <v>0</v>
      </c>
      <c r="U8" s="20">
        <f>MAX(0,(SUMPRODUCT(Oxides_min!$C8:$BB8,Factors!$C$28:$BB$28)+SUMPRODUCT(Oxides_max!$C8:$BB8,Factors!$C$28:$BB$28))/2)</f>
        <v>0</v>
      </c>
      <c r="V8" s="20">
        <f>MAX(0,(SUMPRODUCT(Oxides_min!$C8:$BB8,Factors!$C$29:$BB$29)+SUMPRODUCT(Oxides_max!$C8:$BB8,Factors!$C$29:$BB$29))/2)</f>
        <v>0</v>
      </c>
      <c r="W8" s="20">
        <f>MAX(0,(SUMPRODUCT(Oxides_min!$C8:$BB8,Factors!$C$30:$BB$30)+SUMPRODUCT(Oxides_max!$C8:$BB8,Factors!$C$30:$BB$30))/2)</f>
        <v>0</v>
      </c>
      <c r="X8" s="20">
        <f>MAX(0,(SUMPRODUCT(Oxides_min!$C8:$BB8,Factors!$C$31:$BB$31)+SUMPRODUCT(Oxides_max!$C8:$BB8,Factors!$C$31:$BB$31))/2)</f>
        <v>0</v>
      </c>
      <c r="Y8" s="20">
        <f>MAX(0,(SUMPRODUCT(Oxides_min!$C8:$BB8,Factors!$C$32:$BB$32)+SUMPRODUCT(Oxides_max!$C8:$BB8,Factors!$C$32:$BB$32))/2)</f>
        <v>0</v>
      </c>
      <c r="Z8" s="20">
        <f>MAX(0,(SUMPRODUCT(Oxides_min!$C8:$BB8,Factors!$C$33:$BB$33)+SUMPRODUCT(Oxides_max!$C8:$BB8,Factors!$C$33:$BB$33))/2)</f>
        <v>17.566179398847837</v>
      </c>
      <c r="AA8" s="20">
        <f>MAX(0,(SUMPRODUCT(Oxides_min!$C8:$BB8,Factors!$C$34:$BB$34)+SUMPRODUCT(Oxides_max!$C8:$BB8,Factors!$C$34:$BB$34))/2)</f>
        <v>0</v>
      </c>
      <c r="AB8" s="20">
        <f>MAX(0,(SUMPRODUCT(Oxides_min!$C8:$BB8,Factors!$C$35:$BB$35)+SUMPRODUCT(Oxides_max!$C8:$BB8,Factors!$C$35:$BB$35))/2)</f>
        <v>0.16018586756935685</v>
      </c>
      <c r="AC8" s="20">
        <f>MAX(0,(SUMPRODUCT(Oxides_min!$C8:$BB8,Factors!$C$36:$BB$36)+SUMPRODUCT(Oxides_max!$C8:$BB8,Factors!$C$36:$BB$36))/2)</f>
        <v>0.20469108591424481</v>
      </c>
      <c r="AD8" s="20">
        <f>MAX(0,(SUMPRODUCT(Oxides_min!$C8:$BB8,Factors!$C$37:$BB$37)+SUMPRODUCT(Oxides_max!$C8:$BB8,Factors!$C$37:$BB$37))/2)</f>
        <v>2.7976686094920898E-2</v>
      </c>
      <c r="AE8" s="20">
        <f>MAX(0,(SUMPRODUCT(Oxides_min!$C8:$BB8,Factors!$C$38:$BB$38)+SUMPRODUCT(Oxides_max!$C8:$BB8,Factors!$C$38:$BB$38))/2)</f>
        <v>3.25</v>
      </c>
      <c r="AF8" s="20">
        <f>MAX(0,(SUMPRODUCT(Oxides_min!$C8:$BB8,Factors!$C$39:$BB$39)+SUMPRODUCT(Oxides_max!$C8:$BB8,Factors!$C$39:$BB$39))/2)</f>
        <v>0.5</v>
      </c>
      <c r="AG8" s="20">
        <f>MAX(0,(SUMPRODUCT(Oxides_min!$C8:$BB8,Factors!$C$40:$BB$40)+SUMPRODUCT(Oxides_max!$C8:$BB8,Factors!$C$40:$BB$40))/2)</f>
        <v>2.1970296062237039E-2</v>
      </c>
      <c r="AH8" s="20">
        <f>MAX(0,(SUMPRODUCT(Oxides_min!$C8:$BB8,Factors!$C$41:$BB$41)+SUMPRODUCT(Oxides_max!$C8:$BB8,Factors!$C$41:$BB$41))/2)</f>
        <v>8.8150069931919005E-3</v>
      </c>
      <c r="AI8" s="20">
        <f>MAX(0,(SUMPRODUCT(Oxides_min!$C8:$BB8,Factors!$C$42:$BB$42)+SUMPRODUCT(Oxides_max!$C8:$BB8,Factors!$C$42:$BB$42))/2)</f>
        <v>0</v>
      </c>
      <c r="AJ8" s="20">
        <f>MAX(0,(SUMPRODUCT(Oxides_min!$C8:$BB8,Factors!$C$43:$BB$43)+SUMPRODUCT(Oxides_max!$C8:$BB8,Factors!$C$43:$BB$43))/2)</f>
        <v>0.19686098869184304</v>
      </c>
      <c r="AK8" s="20">
        <f>MAX(0,(SUMPRODUCT(Oxides_min!$C8:$BB8,Factors!$C$44:$BB$44)+SUMPRODUCT(Oxides_max!$C8:$BB8,Factors!$C$44:$BB$44))/2)</f>
        <v>0.46897573153066802</v>
      </c>
      <c r="AL8" s="20">
        <f>MAX(0,(SUMPRODUCT(Oxides_min!$C8:$BB8,Factors!$C$45:$BB$45)+SUMPRODUCT(Oxides_max!$C8:$BB8,Factors!$C$45:$BB$45))/2)</f>
        <v>0.76839279893001522</v>
      </c>
      <c r="AM8" s="20">
        <f>MAX(0,(SUMPRODUCT(Oxides_min!$C8:$BB8,Factors!$C$46:$BB$46)+SUMPRODUCT(Oxides_max!$C8:$BB8,Factors!$C$46:$BB$46))/2)</f>
        <v>8.5447177958664494E-2</v>
      </c>
      <c r="AN8" s="20">
        <f>MAX(0,(SUMPRODUCT(Oxides_min!$C8:$BB8,Factors!$C$47:$BB$47)+SUMPRODUCT(Oxides_max!$C8:$BB8,Factors!$C$47:$BB$47))/2)</f>
        <v>0.38581019433489561</v>
      </c>
      <c r="AO8" s="20">
        <f>MAX(0,(SUMPRODUCT(Oxides_min!$C8:$BB8,Factors!$C$48:$BB$48)+SUMPRODUCT(Oxides_max!$C8:$BB8,Factors!$C$48:$BB$48))/2)</f>
        <v>6.467708772442983E-2</v>
      </c>
      <c r="AP8" s="20">
        <f>MAX(0,(SUMPRODUCT(Oxides_min!$C8:$BB8,Factors!$C$49:$BB$49)+SUMPRODUCT(Oxides_max!$C8:$BB8,Factors!$C$49:$BB$49))/2)</f>
        <v>1.295423740853875E-2</v>
      </c>
      <c r="AQ8" s="20">
        <f>MAX(0,(SUMPRODUCT(Oxides_min!$C8:$BB8,Factors!$C$50:$BB$50)+SUMPRODUCT(Oxides_max!$C8:$BB8,Factors!$C$50:$BB$50))/2)</f>
        <v>6.5069504023481564E-2</v>
      </c>
      <c r="AR8" s="20">
        <f>MAX(0,(SUMPRODUCT(Oxides_min!$C8:$BB8,Factors!$C$51:$BB$51)+SUMPRODUCT(Oxides_max!$C8:$BB8,Factors!$C$51:$BB$51))/2)</f>
        <v>0</v>
      </c>
      <c r="AS8" s="20">
        <f>MAX(0,(SUMPRODUCT(Oxides_min!$C8:$BB8,Factors!$C$52:$BB$52)+SUMPRODUCT(Oxides_max!$C8:$BB8,Factors!$C$52:$BB$52))/2)</f>
        <v>4.3566034043169249E-2</v>
      </c>
      <c r="AT8" s="20">
        <f>MAX(0,(SUMPRODUCT(Oxides_min!$C8:$BB8,Factors!$C$53:$BB$53)+SUMPRODUCT(Oxides_max!$C8:$BB8,Factors!$C$53:$BB$53))/2)</f>
        <v>0</v>
      </c>
      <c r="AU8" s="20">
        <f>MAX(0,(SUMPRODUCT(Oxides_min!$C8:$BB8,Factors!$C$54:$BB$54)+SUMPRODUCT(Oxides_max!$C8:$BB8,Factors!$C$54:$BB$54))/2)</f>
        <v>2.1863064193561037E-2</v>
      </c>
      <c r="AV8" s="20">
        <f>MAX(0,(SUMPRODUCT(Oxides_min!$C8:$BB8,Factors!$C$55:$BB$55)+SUMPRODUCT(Oxides_max!$C8:$BB8,Factors!$C$55:$BB$55))/2)</f>
        <v>0</v>
      </c>
      <c r="AW8" s="20">
        <f>MAX(0,(SUMPRODUCT(Oxides_min!$C8:$BB8,Factors!$C$56:$BB$56)+SUMPRODUCT(Oxides_max!$C8:$BB8,Factors!$C$56:$BB$56))/2)</f>
        <v>1.3173106446038564E-2</v>
      </c>
      <c r="AX8" s="20">
        <f>MAX(0,(SUMPRODUCT(Oxides_min!$C8:$BB8,Factors!$C$57:$BB$57)+SUMPRODUCT(Oxides_max!$C8:$BB8,Factors!$C$57:$BB$57))/2)</f>
        <v>0</v>
      </c>
      <c r="AY8" s="20">
        <f>MAX(0,(SUMPRODUCT(Oxides_min!$C8:$BB8,Factors!$C$58:$BB$58)+SUMPRODUCT(Oxides_max!$C8:$BB8,Factors!$C$58:$BB$58))/2)</f>
        <v>0</v>
      </c>
      <c r="AZ8" s="18">
        <f t="shared" si="0"/>
        <v>103.05872153689801</v>
      </c>
    </row>
    <row r="9" spans="1:52" x14ac:dyDescent="0.35">
      <c r="A9" s="13" t="s">
        <v>139</v>
      </c>
      <c r="B9" s="20">
        <f>MAX(0,(SUMPRODUCT(Oxides_min!$C9:$BB9,Factors!$C$9:$BB$9)+SUMPRODUCT(Oxides_max!$C9:$BB9,Factors!$C$9:$BB$9))/2)</f>
        <v>46.883529692398938</v>
      </c>
      <c r="C9" s="20">
        <f>MAX(0,(SUMPRODUCT(Oxides_min!$C9:$BB9,Factors!$C$10:$BB$10)+SUMPRODUCT(Oxides_max!$C9:$BB9,Factors!$C$10:$BB$10))/2)</f>
        <v>0.46743671254764246</v>
      </c>
      <c r="D9" s="20">
        <f>MAX(0,(SUMPRODUCT(Oxides_min!$C9:$BB9,Factors!$C$11:$BB$11)+SUMPRODUCT(Oxides_max!$C9:$BB9,Factors!$C$11:$BB$11))/2)</f>
        <v>0</v>
      </c>
      <c r="E9" s="20">
        <f>MAX(0,(SUMPRODUCT(Oxides_min!$C9:$BB9,Factors!$C$12:$BB$12)+SUMPRODUCT(Oxides_max!$C9:$BB9,Factors!$C$12:$BB$12))/2)</f>
        <v>0</v>
      </c>
      <c r="F9" s="20">
        <f>MAX(0,(SUMPRODUCT(Oxides_min!$C9:$BB9,Factors!$C$13:$BB$13)+SUMPRODUCT(Oxides_max!$C9:$BB9,Factors!$C$13:$BB$13))/2)</f>
        <v>0</v>
      </c>
      <c r="G9" s="20">
        <f>MAX(0,(SUMPRODUCT(Oxides_min!$C9:$BB9,Factors!$C$14:$BB$14)+SUMPRODUCT(Oxides_max!$C9:$BB9,Factors!$C$14:$BB$14))/2)</f>
        <v>0</v>
      </c>
      <c r="H9" s="20">
        <f>MAX(0,(SUMPRODUCT(Oxides_min!$C9:$BB9,Factors!$C$15:$BB$15)+SUMPRODUCT(Oxides_max!$C9:$BB9,Factors!$C$15:$BB$15))/2)</f>
        <v>15.877707801260293</v>
      </c>
      <c r="I9" s="20">
        <f>MAX(0,(SUMPRODUCT(Oxides_min!$C9:$BB9,Factors!$C$16:$BB$16)+SUMPRODUCT(Oxides_max!$C9:$BB9,Factors!$C$16:$BB$16))/2)</f>
        <v>1.3988615228540833</v>
      </c>
      <c r="J9" s="20">
        <f>MAX(0,(SUMPRODUCT(Oxides_min!$C9:$BB9,Factors!$C$17:$BB$17)+SUMPRODUCT(Oxides_max!$C9:$BB9,Factors!$C$17:$BB$17))/2)</f>
        <v>0</v>
      </c>
      <c r="K9" s="20">
        <f>MAX(0,(SUMPRODUCT(Oxides_min!$C9:$BB9,Factors!$C$18:$BB$18)+SUMPRODUCT(Oxides_max!$C9:$BB9,Factors!$C$18:$BB$18))/2)</f>
        <v>0</v>
      </c>
      <c r="L9" s="20">
        <f>MAX(0,(SUMPRODUCT(Oxides_min!$C9:$BB9,Factors!$C$19:$BB$19)+SUMPRODUCT(Oxides_max!$C9:$BB9,Factors!$C$19:$BB$19))/2)</f>
        <v>0</v>
      </c>
      <c r="M9" s="20">
        <f>MAX(0,(SUMPRODUCT(Oxides_min!$C9:$BB9,Factors!$C$20:$BB$20)+SUMPRODUCT(Oxides_max!$C9:$BB9,Factors!$C$20:$BB$20))/2)</f>
        <v>0</v>
      </c>
      <c r="N9" s="20">
        <f>MAX(0,(SUMPRODUCT(Oxides_min!$C9:$BB9,Factors!$C$21:$BB$21)+SUMPRODUCT(Oxides_max!$C9:$BB9,Factors!$C$21:$BB$21))/2)</f>
        <v>1.500861315690925</v>
      </c>
      <c r="O9" s="20">
        <f>MAX(0,(SUMPRODUCT(Oxides_min!$C9:$BB9,Factors!$C$22:$BB$22)+SUMPRODUCT(Oxides_max!$C9:$BB9,Factors!$C$22:$BB$22))/2)</f>
        <v>2.1139945376813136</v>
      </c>
      <c r="P9" s="20">
        <f>MAX(0,(SUMPRODUCT(Oxides_min!$C9:$BB9,Factors!$C$23:$BB$23)+SUMPRODUCT(Oxides_max!$C9:$BB9,Factors!$C$23:$BB$23))/2)</f>
        <v>0.89565370517720411</v>
      </c>
      <c r="Q9" s="20">
        <f>MAX(0,(SUMPRODUCT(Oxides_min!$C9:$BB9,Factors!$C$24:$BB$24)+SUMPRODUCT(Oxides_max!$C9:$BB9,Factors!$C$24:$BB$24))/2)</f>
        <v>0</v>
      </c>
      <c r="R9" s="20">
        <f>MAX(0,(SUMPRODUCT(Oxides_min!$C9:$BB9,Factors!$C$25:$BB$25)+SUMPRODUCT(Oxides_max!$C9:$BB9,Factors!$C$25:$BB$25))/2)</f>
        <v>0</v>
      </c>
      <c r="S9" s="20">
        <f>MAX(0,(SUMPRODUCT(Oxides_min!$C9:$BB9,Factors!$C$26:$BB$26)+SUMPRODUCT(Oxides_max!$C9:$BB9,Factors!$C$26:$BB$26))/2)</f>
        <v>0</v>
      </c>
      <c r="T9" s="20">
        <f>MAX(0,(SUMPRODUCT(Oxides_min!$C9:$BB9,Factors!$C$27:$BB$27)+SUMPRODUCT(Oxides_max!$C9:$BB9,Factors!$C$27:$BB$27))/2)</f>
        <v>0</v>
      </c>
      <c r="U9" s="20">
        <f>MAX(0,(SUMPRODUCT(Oxides_min!$C9:$BB9,Factors!$C$28:$BB$28)+SUMPRODUCT(Oxides_max!$C9:$BB9,Factors!$C$28:$BB$28))/2)</f>
        <v>0</v>
      </c>
      <c r="V9" s="20">
        <f>MAX(0,(SUMPRODUCT(Oxides_min!$C9:$BB9,Factors!$C$29:$BB$29)+SUMPRODUCT(Oxides_max!$C9:$BB9,Factors!$C$29:$BB$29))/2)</f>
        <v>0</v>
      </c>
      <c r="W9" s="20">
        <f>MAX(0,(SUMPRODUCT(Oxides_min!$C9:$BB9,Factors!$C$30:$BB$30)+SUMPRODUCT(Oxides_max!$C9:$BB9,Factors!$C$30:$BB$30))/2)</f>
        <v>0</v>
      </c>
      <c r="X9" s="20">
        <f>MAX(0,(SUMPRODUCT(Oxides_min!$C9:$BB9,Factors!$C$31:$BB$31)+SUMPRODUCT(Oxides_max!$C9:$BB9,Factors!$C$31:$BB$31))/2)</f>
        <v>0</v>
      </c>
      <c r="Y9" s="20">
        <f>MAX(0,(SUMPRODUCT(Oxides_min!$C9:$BB9,Factors!$C$32:$BB$32)+SUMPRODUCT(Oxides_max!$C9:$BB9,Factors!$C$32:$BB$32))/2)</f>
        <v>0</v>
      </c>
      <c r="Z9" s="20">
        <f>MAX(0,(SUMPRODUCT(Oxides_min!$C9:$BB9,Factors!$C$33:$BB$33)+SUMPRODUCT(Oxides_max!$C9:$BB9,Factors!$C$33:$BB$33))/2)</f>
        <v>11.565310660110999</v>
      </c>
      <c r="AA9" s="20">
        <f>MAX(0,(SUMPRODUCT(Oxides_min!$C9:$BB9,Factors!$C$34:$BB$34)+SUMPRODUCT(Oxides_max!$C9:$BB9,Factors!$C$34:$BB$34))/2)</f>
        <v>0</v>
      </c>
      <c r="AB9" s="20">
        <f>MAX(0,(SUMPRODUCT(Oxides_min!$C9:$BB9,Factors!$C$35:$BB$35)+SUMPRODUCT(Oxides_max!$C9:$BB9,Factors!$C$35:$BB$35))/2)</f>
        <v>0.60069700338508814</v>
      </c>
      <c r="AC9" s="20">
        <f>MAX(0,(SUMPRODUCT(Oxides_min!$C9:$BB9,Factors!$C$36:$BB$36)+SUMPRODUCT(Oxides_max!$C9:$BB9,Factors!$C$36:$BB$36))/2)</f>
        <v>0</v>
      </c>
      <c r="AD9" s="20">
        <f>MAX(0,(SUMPRODUCT(Oxides_min!$C9:$BB9,Factors!$C$37:$BB$37)+SUMPRODUCT(Oxides_max!$C9:$BB9,Factors!$C$37:$BB$37))/2)</f>
        <v>1.2869275603663612</v>
      </c>
      <c r="AE9" s="20">
        <f>MAX(0,(SUMPRODUCT(Oxides_min!$C9:$BB9,Factors!$C$38:$BB$38)+SUMPRODUCT(Oxides_max!$C9:$BB9,Factors!$C$38:$BB$38))/2)</f>
        <v>0.8</v>
      </c>
      <c r="AF9" s="20">
        <f>MAX(0,(SUMPRODUCT(Oxides_min!$C9:$BB9,Factors!$C$39:$BB$39)+SUMPRODUCT(Oxides_max!$C9:$BB9,Factors!$C$39:$BB$39))/2)</f>
        <v>0</v>
      </c>
      <c r="AG9" s="20">
        <f>MAX(0,(SUMPRODUCT(Oxides_min!$C9:$BB9,Factors!$C$40:$BB$40)+SUMPRODUCT(Oxides_max!$C9:$BB9,Factors!$C$40:$BB$40))/2)</f>
        <v>1.3182177637342223</v>
      </c>
      <c r="AH9" s="20">
        <f>MAX(0,(SUMPRODUCT(Oxides_min!$C9:$BB9,Factors!$C$41:$BB$41)+SUMPRODUCT(Oxides_max!$C9:$BB9,Factors!$C$41:$BB$41))/2)</f>
        <v>0</v>
      </c>
      <c r="AI9" s="20">
        <f>MAX(0,(SUMPRODUCT(Oxides_min!$C9:$BB9,Factors!$C$42:$BB$42)+SUMPRODUCT(Oxides_max!$C9:$BB9,Factors!$C$42:$BB$42))/2)</f>
        <v>0</v>
      </c>
      <c r="AJ9" s="20">
        <f>MAX(0,(SUMPRODUCT(Oxides_min!$C9:$BB9,Factors!$C$43:$BB$43)+SUMPRODUCT(Oxides_max!$C9:$BB9,Factors!$C$43:$BB$43))/2)</f>
        <v>1.1811659321510581</v>
      </c>
      <c r="AK9" s="20">
        <f>MAX(0,(SUMPRODUCT(Oxides_min!$C9:$BB9,Factors!$C$44:$BB$44)+SUMPRODUCT(Oxides_max!$C9:$BB9,Factors!$C$44:$BB$44))/2)</f>
        <v>6.3951236117818366</v>
      </c>
      <c r="AL9" s="20">
        <f>MAX(0,(SUMPRODUCT(Oxides_min!$C9:$BB9,Factors!$C$45:$BB$45)+SUMPRODUCT(Oxides_max!$C9:$BB9,Factors!$C$45:$BB$45))/2)</f>
        <v>11.952776872244682</v>
      </c>
      <c r="AM9" s="20">
        <f>MAX(0,(SUMPRODUCT(Oxides_min!$C9:$BB9,Factors!$C$46:$BB$46)+SUMPRODUCT(Oxides_max!$C9:$BB9,Factors!$C$46:$BB$46))/2)</f>
        <v>1.2817076693799674</v>
      </c>
      <c r="AN9" s="20">
        <f>MAX(0,(SUMPRODUCT(Oxides_min!$C9:$BB9,Factors!$C$47:$BB$47)+SUMPRODUCT(Oxides_max!$C9:$BB9,Factors!$C$47:$BB$47))/2)</f>
        <v>4.2867799370543951</v>
      </c>
      <c r="AO9" s="20">
        <f>MAX(0,(SUMPRODUCT(Oxides_min!$C9:$BB9,Factors!$C$48:$BB$48)+SUMPRODUCT(Oxides_max!$C9:$BB9,Factors!$C$48:$BB$48))/2)</f>
        <v>0.86236116965906451</v>
      </c>
      <c r="AP9" s="20">
        <f>MAX(0,(SUMPRODUCT(Oxides_min!$C9:$BB9,Factors!$C$49:$BB$49)+SUMPRODUCT(Oxides_max!$C9:$BB9,Factors!$C$49:$BB$49))/2)</f>
        <v>0.12954237408538749</v>
      </c>
      <c r="AQ9" s="20">
        <f>MAX(0,(SUMPRODUCT(Oxides_min!$C9:$BB9,Factors!$C$50:$BB$50)+SUMPRODUCT(Oxides_max!$C9:$BB9,Factors!$C$50:$BB$50))/2)</f>
        <v>0.43379669348987715</v>
      </c>
      <c r="AR9" s="20">
        <f>MAX(0,(SUMPRODUCT(Oxides_min!$C9:$BB9,Factors!$C$51:$BB$51)+SUMPRODUCT(Oxides_max!$C9:$BB9,Factors!$C$51:$BB$51))/2)</f>
        <v>0</v>
      </c>
      <c r="AS9" s="20">
        <f>MAX(0,(SUMPRODUCT(Oxides_min!$C9:$BB9,Factors!$C$52:$BB$52)+SUMPRODUCT(Oxides_max!$C9:$BB9,Factors!$C$52:$BB$52))/2)</f>
        <v>0.13069810212950772</v>
      </c>
      <c r="AT9" s="20">
        <f>MAX(0,(SUMPRODUCT(Oxides_min!$C9:$BB9,Factors!$C$53:$BB$53)+SUMPRODUCT(Oxides_max!$C9:$BB9,Factors!$C$53:$BB$53))/2)</f>
        <v>0</v>
      </c>
      <c r="AU9" s="20">
        <f>MAX(0,(SUMPRODUCT(Oxides_min!$C9:$BB9,Factors!$C$54:$BB$54)+SUMPRODUCT(Oxides_max!$C9:$BB9,Factors!$C$54:$BB$54))/2)</f>
        <v>0</v>
      </c>
      <c r="AV9" s="20">
        <f>MAX(0,(SUMPRODUCT(Oxides_min!$C9:$BB9,Factors!$C$55:$BB$55)+SUMPRODUCT(Oxides_max!$C9:$BB9,Factors!$C$55:$BB$55))/2)</f>
        <v>0</v>
      </c>
      <c r="AW9" s="20">
        <f>MAX(0,(SUMPRODUCT(Oxides_min!$C9:$BB9,Factors!$C$56:$BB$56)+SUMPRODUCT(Oxides_max!$C9:$BB9,Factors!$C$56:$BB$56))/2)</f>
        <v>0</v>
      </c>
      <c r="AX9" s="20">
        <f>MAX(0,(SUMPRODUCT(Oxides_min!$C9:$BB9,Factors!$C$57:$BB$57)+SUMPRODUCT(Oxides_max!$C9:$BB9,Factors!$C$57:$BB$57))/2)</f>
        <v>0</v>
      </c>
      <c r="AY9" s="20">
        <f>MAX(0,(SUMPRODUCT(Oxides_min!$C9:$BB9,Factors!$C$58:$BB$58)+SUMPRODUCT(Oxides_max!$C9:$BB9,Factors!$C$58:$BB$58))/2)</f>
        <v>0</v>
      </c>
      <c r="AZ9" s="18">
        <f t="shared" si="0"/>
        <v>111.36315063718287</v>
      </c>
    </row>
    <row r="10" spans="1:52" x14ac:dyDescent="0.35">
      <c r="A10" s="13" t="s">
        <v>141</v>
      </c>
      <c r="B10" s="20">
        <f>MAX(0,(SUMPRODUCT(Oxides_min!$C10:$BB10,Factors!$C$9:$BB$9)+SUMPRODUCT(Oxides_max!$C10:$BB10,Factors!$C$9:$BB$9))/2)</f>
        <v>21.230639848734512</v>
      </c>
      <c r="C10" s="20">
        <f>MAX(0,(SUMPRODUCT(Oxides_min!$C10:$BB10,Factors!$C$10:$BB$10)+SUMPRODUCT(Oxides_max!$C10:$BB10,Factors!$C$10:$BB$10))/2)</f>
        <v>0.46743671254764246</v>
      </c>
      <c r="D10" s="20">
        <f>MAX(0,(SUMPRODUCT(Oxides_min!$C10:$BB10,Factors!$C$11:$BB$11)+SUMPRODUCT(Oxides_max!$C10:$BB10,Factors!$C$11:$BB$11))/2)</f>
        <v>0</v>
      </c>
      <c r="E10" s="20">
        <f>MAX(0,(SUMPRODUCT(Oxides_min!$C10:$BB10,Factors!$C$12:$BB$12)+SUMPRODUCT(Oxides_max!$C10:$BB10,Factors!$C$12:$BB$12))/2)</f>
        <v>0.25911282076252617</v>
      </c>
      <c r="F10" s="20">
        <f>MAX(0,(SUMPRODUCT(Oxides_min!$C10:$BB10,Factors!$C$13:$BB$13)+SUMPRODUCT(Oxides_max!$C10:$BB10,Factors!$C$13:$BB$13))/2)</f>
        <v>0</v>
      </c>
      <c r="G10" s="20">
        <f>MAX(0,(SUMPRODUCT(Oxides_min!$C10:$BB10,Factors!$C$14:$BB$14)+SUMPRODUCT(Oxides_max!$C10:$BB10,Factors!$C$14:$BB$14))/2)</f>
        <v>0</v>
      </c>
      <c r="H10" s="20">
        <f>MAX(0,(SUMPRODUCT(Oxides_min!$C10:$BB10,Factors!$C$15:$BB$15)+SUMPRODUCT(Oxides_max!$C10:$BB10,Factors!$C$15:$BB$15))/2)</f>
        <v>0</v>
      </c>
      <c r="I10" s="20">
        <f>MAX(0,(SUMPRODUCT(Oxides_min!$C10:$BB10,Factors!$C$16:$BB$16)+SUMPRODUCT(Oxides_max!$C10:$BB10,Factors!$C$16:$BB$16))/2)</f>
        <v>1.1659637548020712</v>
      </c>
      <c r="J10" s="20">
        <f>MAX(0,(SUMPRODUCT(Oxides_min!$C10:$BB10,Factors!$C$17:$BB$17)+SUMPRODUCT(Oxides_max!$C10:$BB10,Factors!$C$17:$BB$17))/2)</f>
        <v>0</v>
      </c>
      <c r="K10" s="20">
        <f>MAX(0,(SUMPRODUCT(Oxides_min!$C10:$BB10,Factors!$C$18:$BB$18)+SUMPRODUCT(Oxides_max!$C10:$BB10,Factors!$C$18:$BB$18))/2)</f>
        <v>0</v>
      </c>
      <c r="L10" s="20">
        <f>MAX(0,(SUMPRODUCT(Oxides_min!$C10:$BB10,Factors!$C$19:$BB$19)+SUMPRODUCT(Oxides_max!$C10:$BB10,Factors!$C$19:$BB$19))/2)</f>
        <v>0</v>
      </c>
      <c r="M10" s="20">
        <f>MAX(0,(SUMPRODUCT(Oxides_min!$C10:$BB10,Factors!$C$20:$BB$20)+SUMPRODUCT(Oxides_max!$C10:$BB10,Factors!$C$20:$BB$20))/2)</f>
        <v>0</v>
      </c>
      <c r="N10" s="20">
        <f>MAX(0,(SUMPRODUCT(Oxides_min!$C10:$BB10,Factors!$C$21:$BB$21)+SUMPRODUCT(Oxides_max!$C10:$BB10,Factors!$C$21:$BB$21))/2)</f>
        <v>0.8933698307684077</v>
      </c>
      <c r="O10" s="20">
        <f>MAX(0,(SUMPRODUCT(Oxides_min!$C10:$BB10,Factors!$C$22:$BB$22)+SUMPRODUCT(Oxides_max!$C10:$BB10,Factors!$C$22:$BB$22))/2)</f>
        <v>0</v>
      </c>
      <c r="P10" s="20">
        <f>MAX(0,(SUMPRODUCT(Oxides_min!$C10:$BB10,Factors!$C$23:$BB$23)+SUMPRODUCT(Oxides_max!$C10:$BB10,Factors!$C$23:$BB$23))/2)</f>
        <v>0</v>
      </c>
      <c r="Q10" s="20">
        <f>MAX(0,(SUMPRODUCT(Oxides_min!$C10:$BB10,Factors!$C$24:$BB$24)+SUMPRODUCT(Oxides_max!$C10:$BB10,Factors!$C$24:$BB$24))/2)</f>
        <v>0</v>
      </c>
      <c r="R10" s="20">
        <f>MAX(0,(SUMPRODUCT(Oxides_min!$C10:$BB10,Factors!$C$25:$BB$25)+SUMPRODUCT(Oxides_max!$C10:$BB10,Factors!$C$25:$BB$25))/2)</f>
        <v>0</v>
      </c>
      <c r="S10" s="20">
        <f>MAX(0,(SUMPRODUCT(Oxides_min!$C10:$BB10,Factors!$C$26:$BB$26)+SUMPRODUCT(Oxides_max!$C10:$BB10,Factors!$C$26:$BB$26))/2)</f>
        <v>0</v>
      </c>
      <c r="T10" s="20">
        <f>MAX(0,(SUMPRODUCT(Oxides_min!$C10:$BB10,Factors!$C$27:$BB$27)+SUMPRODUCT(Oxides_max!$C10:$BB10,Factors!$C$27:$BB$27))/2)</f>
        <v>0</v>
      </c>
      <c r="U10" s="20">
        <f>MAX(0,(SUMPRODUCT(Oxides_min!$C10:$BB10,Factors!$C$28:$BB$28)+SUMPRODUCT(Oxides_max!$C10:$BB10,Factors!$C$28:$BB$28))/2)</f>
        <v>0</v>
      </c>
      <c r="V10" s="20">
        <f>MAX(0,(SUMPRODUCT(Oxides_min!$C10:$BB10,Factors!$C$29:$BB$29)+SUMPRODUCT(Oxides_max!$C10:$BB10,Factors!$C$29:$BB$29))/2)</f>
        <v>0</v>
      </c>
      <c r="W10" s="20">
        <f>MAX(0,(SUMPRODUCT(Oxides_min!$C10:$BB10,Factors!$C$30:$BB$30)+SUMPRODUCT(Oxides_max!$C10:$BB10,Factors!$C$30:$BB$30))/2)</f>
        <v>0.69904939562708002</v>
      </c>
      <c r="X10" s="20">
        <f>MAX(0,(SUMPRODUCT(Oxides_min!$C10:$BB10,Factors!$C$31:$BB$31)+SUMPRODUCT(Oxides_max!$C10:$BB10,Factors!$C$31:$BB$31))/2)</f>
        <v>0.28663988357665593</v>
      </c>
      <c r="Y10" s="20">
        <f>MAX(0,(SUMPRODUCT(Oxides_min!$C10:$BB10,Factors!$C$32:$BB$32)+SUMPRODUCT(Oxides_max!$C10:$BB10,Factors!$C$32:$BB$32))/2)</f>
        <v>0</v>
      </c>
      <c r="Z10" s="20">
        <f>MAX(0,(SUMPRODUCT(Oxides_min!$C10:$BB10,Factors!$C$33:$BB$33)+SUMPRODUCT(Oxides_max!$C10:$BB10,Factors!$C$33:$BB$33))/2)</f>
        <v>0.43642681736267919</v>
      </c>
      <c r="AA10" s="20">
        <f>MAX(0,(SUMPRODUCT(Oxides_min!$C10:$BB10,Factors!$C$34:$BB$34)+SUMPRODUCT(Oxides_max!$C10:$BB10,Factors!$C$34:$BB$34))/2)</f>
        <v>0</v>
      </c>
      <c r="AB10" s="20">
        <f>MAX(0,(SUMPRODUCT(Oxides_min!$C10:$BB10,Factors!$C$35:$BB$35)+SUMPRODUCT(Oxides_max!$C10:$BB10,Factors!$C$35:$BB$35))/2)</f>
        <v>0</v>
      </c>
      <c r="AC10" s="20">
        <f>MAX(0,(SUMPRODUCT(Oxides_min!$C10:$BB10,Factors!$C$36:$BB$36)+SUMPRODUCT(Oxides_max!$C10:$BB10,Factors!$C$36:$BB$36))/2)</f>
        <v>0</v>
      </c>
      <c r="AD10" s="20">
        <f>MAX(0,(SUMPRODUCT(Oxides_min!$C10:$BB10,Factors!$C$37:$BB$37)+SUMPRODUCT(Oxides_max!$C10:$BB10,Factors!$C$37:$BB$37))/2)</f>
        <v>0.16786011656952537</v>
      </c>
      <c r="AE10" s="20">
        <f>MAX(0,(SUMPRODUCT(Oxides_min!$C10:$BB10,Factors!$C$38:$BB$38)+SUMPRODUCT(Oxides_max!$C10:$BB10,Factors!$C$38:$BB$38))/2)</f>
        <v>0</v>
      </c>
      <c r="AF10" s="20">
        <f>MAX(0,(SUMPRODUCT(Oxides_min!$C10:$BB10,Factors!$C$39:$BB$39)+SUMPRODUCT(Oxides_max!$C10:$BB10,Factors!$C$39:$BB$39))/2)</f>
        <v>0</v>
      </c>
      <c r="AG10" s="20">
        <f>MAX(0,(SUMPRODUCT(Oxides_min!$C10:$BB10,Factors!$C$40:$BB$40)+SUMPRODUCT(Oxides_max!$C10:$BB10,Factors!$C$40:$BB$40))/2)</f>
        <v>3.5152473699579261</v>
      </c>
      <c r="AH10" s="20">
        <f>MAX(0,(SUMPRODUCT(Oxides_min!$C10:$BB10,Factors!$C$41:$BB$41)+SUMPRODUCT(Oxides_max!$C10:$BB10,Factors!$C$41:$BB$41))/2)</f>
        <v>0</v>
      </c>
      <c r="AI10" s="20">
        <f>MAX(0,(SUMPRODUCT(Oxides_min!$C10:$BB10,Factors!$C$42:$BB$42)+SUMPRODUCT(Oxides_max!$C10:$BB10,Factors!$C$42:$BB$42))/2)</f>
        <v>0</v>
      </c>
      <c r="AJ10" s="20">
        <f>MAX(0,(SUMPRODUCT(Oxides_min!$C10:$BB10,Factors!$C$43:$BB$43)+SUMPRODUCT(Oxides_max!$C10:$BB10,Factors!$C$43:$BB$43))/2)</f>
        <v>0.59058296607552907</v>
      </c>
      <c r="AK10" s="20">
        <f>MAX(0,(SUMPRODUCT(Oxides_min!$C10:$BB10,Factors!$C$44:$BB$44)+SUMPRODUCT(Oxides_max!$C10:$BB10,Factors!$C$44:$BB$44))/2)</f>
        <v>1.2790247223563673</v>
      </c>
      <c r="AL10" s="20">
        <f>MAX(0,(SUMPRODUCT(Oxides_min!$C10:$BB10,Factors!$C$45:$BB$45)+SUMPRODUCT(Oxides_max!$C10:$BB10,Factors!$C$45:$BB$45))/2)</f>
        <v>71.63977363840246</v>
      </c>
      <c r="AM10" s="20">
        <f>MAX(0,(SUMPRODUCT(Oxides_min!$C10:$BB10,Factors!$C$46:$BB$46)+SUMPRODUCT(Oxides_max!$C10:$BB10,Factors!$C$46:$BB$46))/2)</f>
        <v>0.42723588979332244</v>
      </c>
      <c r="AN10" s="20">
        <f>MAX(0,(SUMPRODUCT(Oxides_min!$C10:$BB10,Factors!$C$47:$BB$47)+SUMPRODUCT(Oxides_max!$C10:$BB10,Factors!$C$47:$BB$47))/2)</f>
        <v>1.7147119748217581</v>
      </c>
      <c r="AO10" s="20">
        <f>MAX(0,(SUMPRODUCT(Oxides_min!$C10:$BB10,Factors!$C$48:$BB$48)+SUMPRODUCT(Oxides_max!$C10:$BB10,Factors!$C$48:$BB$48))/2)</f>
        <v>0</v>
      </c>
      <c r="AP10" s="20">
        <f>MAX(0,(SUMPRODUCT(Oxides_min!$C10:$BB10,Factors!$C$49:$BB$49)+SUMPRODUCT(Oxides_max!$C10:$BB10,Factors!$C$49:$BB$49))/2)</f>
        <v>0</v>
      </c>
      <c r="AQ10" s="20">
        <f>MAX(0,(SUMPRODUCT(Oxides_min!$C10:$BB10,Factors!$C$50:$BB$50)+SUMPRODUCT(Oxides_max!$C10:$BB10,Factors!$C$50:$BB$50))/2)</f>
        <v>0</v>
      </c>
      <c r="AR10" s="20">
        <f>MAX(0,(SUMPRODUCT(Oxides_min!$C10:$BB10,Factors!$C$51:$BB$51)+SUMPRODUCT(Oxides_max!$C10:$BB10,Factors!$C$51:$BB$51))/2)</f>
        <v>0</v>
      </c>
      <c r="AS10" s="20">
        <f>MAX(0,(SUMPRODUCT(Oxides_min!$C10:$BB10,Factors!$C$52:$BB$52)+SUMPRODUCT(Oxides_max!$C10:$BB10,Factors!$C$52:$BB$52))/2)</f>
        <v>0</v>
      </c>
      <c r="AT10" s="20">
        <f>MAX(0,(SUMPRODUCT(Oxides_min!$C10:$BB10,Factors!$C$53:$BB$53)+SUMPRODUCT(Oxides_max!$C10:$BB10,Factors!$C$53:$BB$53))/2)</f>
        <v>0</v>
      </c>
      <c r="AU10" s="20">
        <f>MAX(0,(SUMPRODUCT(Oxides_min!$C10:$BB10,Factors!$C$54:$BB$54)+SUMPRODUCT(Oxides_max!$C10:$BB10,Factors!$C$54:$BB$54))/2)</f>
        <v>0</v>
      </c>
      <c r="AV10" s="20">
        <f>MAX(0,(SUMPRODUCT(Oxides_min!$C10:$BB10,Factors!$C$55:$BB$55)+SUMPRODUCT(Oxides_max!$C10:$BB10,Factors!$C$55:$BB$55))/2)</f>
        <v>0</v>
      </c>
      <c r="AW10" s="20">
        <f>MAX(0,(SUMPRODUCT(Oxides_min!$C10:$BB10,Factors!$C$56:$BB$56)+SUMPRODUCT(Oxides_max!$C10:$BB10,Factors!$C$56:$BB$56))/2)</f>
        <v>0.52692425784154262</v>
      </c>
      <c r="AX10" s="20">
        <f>MAX(0,(SUMPRODUCT(Oxides_min!$C10:$BB10,Factors!$C$57:$BB$57)+SUMPRODUCT(Oxides_max!$C10:$BB10,Factors!$C$57:$BB$57))/2)</f>
        <v>0</v>
      </c>
      <c r="AY10" s="20">
        <f>MAX(0,(SUMPRODUCT(Oxides_min!$C10:$BB10,Factors!$C$58:$BB$58)+SUMPRODUCT(Oxides_max!$C10:$BB10,Factors!$C$58:$BB$58))/2)</f>
        <v>0</v>
      </c>
      <c r="AZ10" s="18">
        <f t="shared" si="0"/>
        <v>105.3</v>
      </c>
    </row>
    <row r="11" spans="1:52" x14ac:dyDescent="0.35">
      <c r="A11" s="13" t="s">
        <v>143</v>
      </c>
      <c r="B11" s="20">
        <f>MAX(0,(SUMPRODUCT(Oxides_min!$C11:$BB11,Factors!$C$9:$BB$9)+SUMPRODUCT(Oxides_max!$C11:$BB11,Factors!$C$9:$BB$9))/2)</f>
        <v>29.373346805613224</v>
      </c>
      <c r="C11" s="20">
        <f>MAX(0,(SUMPRODUCT(Oxides_min!$C11:$BB11,Factors!$C$10:$BB$10)+SUMPRODUCT(Oxides_max!$C11:$BB11,Factors!$C$10:$BB$10))/2)</f>
        <v>0.67778323319408151</v>
      </c>
      <c r="D11" s="20">
        <f>MAX(0,(SUMPRODUCT(Oxides_min!$C11:$BB11,Factors!$C$11:$BB$11)+SUMPRODUCT(Oxides_max!$C11:$BB11,Factors!$C$11:$BB$11))/2)</f>
        <v>3.2964189569899207</v>
      </c>
      <c r="E11" s="20">
        <f>MAX(0,(SUMPRODUCT(Oxides_min!$C11:$BB11,Factors!$C$12:$BB$12)+SUMPRODUCT(Oxides_max!$C11:$BB11,Factors!$C$12:$BB$12))/2)</f>
        <v>2.3320153868627354</v>
      </c>
      <c r="F11" s="20">
        <f>MAX(0,(SUMPRODUCT(Oxides_min!$C11:$BB11,Factors!$C$13:$BB$13)+SUMPRODUCT(Oxides_max!$C11:$BB11,Factors!$C$13:$BB$13))/2)</f>
        <v>0</v>
      </c>
      <c r="G11" s="20">
        <f>MAX(0,(SUMPRODUCT(Oxides_min!$C11:$BB11,Factors!$C$14:$BB$14)+SUMPRODUCT(Oxides_max!$C11:$BB11,Factors!$C$14:$BB$14))/2)</f>
        <v>0</v>
      </c>
      <c r="H11" s="20">
        <f>MAX(0,(SUMPRODUCT(Oxides_min!$C11:$BB11,Factors!$C$15:$BB$15)+SUMPRODUCT(Oxides_max!$C11:$BB11,Factors!$C$15:$BB$15))/2)</f>
        <v>2.6462846335433821E-2</v>
      </c>
      <c r="I11" s="20">
        <f>MAX(0,(SUMPRODUCT(Oxides_min!$C11:$BB11,Factors!$C$16:$BB$16)+SUMPRODUCT(Oxides_max!$C11:$BB11,Factors!$C$16:$BB$16))/2)</f>
        <v>0.97163646233505929</v>
      </c>
      <c r="J11" s="20">
        <f>MAX(0,(SUMPRODUCT(Oxides_min!$C11:$BB11,Factors!$C$17:$BB$17)+SUMPRODUCT(Oxides_max!$C11:$BB11,Factors!$C$17:$BB$17))/2)</f>
        <v>0.38723099316063975</v>
      </c>
      <c r="K11" s="20">
        <f>MAX(0,(SUMPRODUCT(Oxides_min!$C11:$BB11,Factors!$C$18:$BB$18)+SUMPRODUCT(Oxides_max!$C11:$BB11,Factors!$C$18:$BB$18))/2)</f>
        <v>0</v>
      </c>
      <c r="L11" s="20">
        <f>MAX(0,(SUMPRODUCT(Oxides_min!$C11:$BB11,Factors!$C$19:$BB$19)+SUMPRODUCT(Oxides_max!$C11:$BB11,Factors!$C$19:$BB$19))/2)</f>
        <v>0</v>
      </c>
      <c r="M11" s="20">
        <f>MAX(0,(SUMPRODUCT(Oxides_min!$C11:$BB11,Factors!$C$20:$BB$20)+SUMPRODUCT(Oxides_max!$C11:$BB11,Factors!$C$20:$BB$20))/2)</f>
        <v>9.0456282254863032E-2</v>
      </c>
      <c r="N11" s="20">
        <f>MAX(0,(SUMPRODUCT(Oxides_min!$C11:$BB11,Factors!$C$21:$BB$21)+SUMPRODUCT(Oxides_max!$C11:$BB11,Factors!$C$21:$BB$21))/2)</f>
        <v>10.005742104606167</v>
      </c>
      <c r="O11" s="20">
        <f>MAX(0,(SUMPRODUCT(Oxides_min!$C11:$BB11,Factors!$C$22:$BB$22)+SUMPRODUCT(Oxides_max!$C11:$BB11,Factors!$C$22:$BB$22))/2)</f>
        <v>1.6911956301450508</v>
      </c>
      <c r="P11" s="20">
        <f>MAX(0,(SUMPRODUCT(Oxides_min!$C11:$BB11,Factors!$C$23:$BB$23)+SUMPRODUCT(Oxides_max!$C11:$BB11,Factors!$C$23:$BB$23))/2)</f>
        <v>1.0300017609537846</v>
      </c>
      <c r="Q11" s="20">
        <f>MAX(0,(SUMPRODUCT(Oxides_min!$C11:$BB11,Factors!$C$24:$BB$24)+SUMPRODUCT(Oxides_max!$C11:$BB11,Factors!$C$24:$BB$24))/2)</f>
        <v>0.23207989283106106</v>
      </c>
      <c r="R11" s="20">
        <f>MAX(0,(SUMPRODUCT(Oxides_min!$C11:$BB11,Factors!$C$25:$BB$25)+SUMPRODUCT(Oxides_max!$C11:$BB11,Factors!$C$25:$BB$25))/2)</f>
        <v>3.4125663865282334</v>
      </c>
      <c r="S11" s="20">
        <f>MAX(0,(SUMPRODUCT(Oxides_min!$C11:$BB11,Factors!$C$26:$BB$26)+SUMPRODUCT(Oxides_max!$C11:$BB11,Factors!$C$26:$BB$26))/2)</f>
        <v>4.1507565109198313E-2</v>
      </c>
      <c r="T11" s="20">
        <f>MAX(0,(SUMPRODUCT(Oxides_min!$C11:$BB11,Factors!$C$27:$BB$27)+SUMPRODUCT(Oxides_max!$C11:$BB11,Factors!$C$27:$BB$27))/2)</f>
        <v>0</v>
      </c>
      <c r="U11" s="20">
        <f>MAX(0,(SUMPRODUCT(Oxides_min!$C11:$BB11,Factors!$C$28:$BB$28)+SUMPRODUCT(Oxides_max!$C11:$BB11,Factors!$C$28:$BB$28))/2)</f>
        <v>0</v>
      </c>
      <c r="V11" s="20">
        <f>MAX(0,(SUMPRODUCT(Oxides_min!$C11:$BB11,Factors!$C$29:$BB$29)+SUMPRODUCT(Oxides_max!$C11:$BB11,Factors!$C$29:$BB$29))/2)</f>
        <v>0</v>
      </c>
      <c r="W11" s="20">
        <f>MAX(0,(SUMPRODUCT(Oxides_min!$C11:$BB11,Factors!$C$30:$BB$30)+SUMPRODUCT(Oxides_max!$C11:$BB11,Factors!$C$30:$BB$30))/2)</f>
        <v>39.845815550743559</v>
      </c>
      <c r="X11" s="20">
        <f>MAX(0,(SUMPRODUCT(Oxides_min!$C11:$BB11,Factors!$C$31:$BB$31)+SUMPRODUCT(Oxides_max!$C11:$BB11,Factors!$C$31:$BB$31))/2)</f>
        <v>2.6616560617832334</v>
      </c>
      <c r="Y11" s="20">
        <f>MAX(0,(SUMPRODUCT(Oxides_min!$C11:$BB11,Factors!$C$32:$BB$32)+SUMPRODUCT(Oxides_max!$C11:$BB11,Factors!$C$32:$BB$32))/2)</f>
        <v>0</v>
      </c>
      <c r="Z11" s="20">
        <f>MAX(0,(SUMPRODUCT(Oxides_min!$C11:$BB11,Factors!$C$33:$BB$33)+SUMPRODUCT(Oxides_max!$C11:$BB11,Factors!$C$33:$BB$33))/2)</f>
        <v>0</v>
      </c>
      <c r="AA11" s="20">
        <f>MAX(0,(SUMPRODUCT(Oxides_min!$C11:$BB11,Factors!$C$34:$BB$34)+SUMPRODUCT(Oxides_max!$C11:$BB11,Factors!$C$34:$BB$34))/2)</f>
        <v>0</v>
      </c>
      <c r="AB11" s="20">
        <f>MAX(0,(SUMPRODUCT(Oxides_min!$C11:$BB11,Factors!$C$35:$BB$35)+SUMPRODUCT(Oxides_max!$C11:$BB11,Factors!$C$35:$BB$35))/2)</f>
        <v>0</v>
      </c>
      <c r="AC11" s="20">
        <f>MAX(0,(SUMPRODUCT(Oxides_min!$C11:$BB11,Factors!$C$36:$BB$36)+SUMPRODUCT(Oxides_max!$C11:$BB11,Factors!$C$36:$BB$36))/2)</f>
        <v>0</v>
      </c>
      <c r="AD11" s="20">
        <f>MAX(0,(SUMPRODUCT(Oxides_min!$C11:$BB11,Factors!$C$37:$BB$37)+SUMPRODUCT(Oxides_max!$C11:$BB11,Factors!$C$37:$BB$37))/2)</f>
        <v>0.16786011656952537</v>
      </c>
      <c r="AE11" s="20">
        <f>MAX(0,(SUMPRODUCT(Oxides_min!$C11:$BB11,Factors!$C$38:$BB$38)+SUMPRODUCT(Oxides_max!$C11:$BB11,Factors!$C$38:$BB$38))/2)</f>
        <v>3.1</v>
      </c>
      <c r="AF11" s="20">
        <f>MAX(0,(SUMPRODUCT(Oxides_min!$C11:$BB11,Factors!$C$39:$BB$39)+SUMPRODUCT(Oxides_max!$C11:$BB11,Factors!$C$39:$BB$39))/2)</f>
        <v>0</v>
      </c>
      <c r="AG11" s="20">
        <f>MAX(0,(SUMPRODUCT(Oxides_min!$C11:$BB11,Factors!$C$40:$BB$40)+SUMPRODUCT(Oxides_max!$C11:$BB11,Factors!$C$40:$BB$40))/2)</f>
        <v>2.5046137510950226</v>
      </c>
      <c r="AH11" s="20">
        <f>MAX(0,(SUMPRODUCT(Oxides_min!$C11:$BB11,Factors!$C$41:$BB$41)+SUMPRODUCT(Oxides_max!$C11:$BB11,Factors!$C$41:$BB$41))/2)</f>
        <v>2.2037517482979752</v>
      </c>
      <c r="AI11" s="20">
        <f>MAX(0,(SUMPRODUCT(Oxides_min!$C11:$BB11,Factors!$C$42:$BB$42)+SUMPRODUCT(Oxides_max!$C11:$BB11,Factors!$C$42:$BB$42))/2)</f>
        <v>0</v>
      </c>
      <c r="AJ11" s="20">
        <f>MAX(0,(SUMPRODUCT(Oxides_min!$C11:$BB11,Factors!$C$43:$BB$43)+SUMPRODUCT(Oxides_max!$C11:$BB11,Factors!$C$43:$BB$43))/2)</f>
        <v>0.19686098869184304</v>
      </c>
      <c r="AK11" s="20">
        <f>MAX(0,(SUMPRODUCT(Oxides_min!$C11:$BB11,Factors!$C$44:$BB$44)+SUMPRODUCT(Oxides_max!$C11:$BB11,Factors!$C$44:$BB$44))/2)</f>
        <v>1.0658539352969727</v>
      </c>
      <c r="AL11" s="20">
        <f>MAX(0,(SUMPRODUCT(Oxides_min!$C11:$BB11,Factors!$C$45:$BB$45)+SUMPRODUCT(Oxides_max!$C11:$BB11,Factors!$C$45:$BB$45))/2)</f>
        <v>3.4150791063556234</v>
      </c>
      <c r="AM11" s="20">
        <f>MAX(0,(SUMPRODUCT(Oxides_min!$C11:$BB11,Factors!$C$46:$BB$46)+SUMPRODUCT(Oxides_max!$C11:$BB11,Factors!$C$46:$BB$46))/2)</f>
        <v>0.25634153387599345</v>
      </c>
      <c r="AN11" s="20">
        <f>MAX(0,(SUMPRODUCT(Oxides_min!$C11:$BB11,Factors!$C$47:$BB$47)+SUMPRODUCT(Oxides_max!$C11:$BB11,Factors!$C$47:$BB$47))/2)</f>
        <v>0.98595938552251083</v>
      </c>
      <c r="AO11" s="20">
        <f>MAX(0,(SUMPRODUCT(Oxides_min!$C11:$BB11,Factors!$C$48:$BB$48)+SUMPRODUCT(Oxides_max!$C11:$BB11,Factors!$C$48:$BB$48))/2)</f>
        <v>0.17247223393181291</v>
      </c>
      <c r="AP11" s="20">
        <f>MAX(0,(SUMPRODUCT(Oxides_min!$C11:$BB11,Factors!$C$49:$BB$49)+SUMPRODUCT(Oxides_max!$C11:$BB11,Factors!$C$49:$BB$49))/2)</f>
        <v>0</v>
      </c>
      <c r="AQ11" s="20">
        <f>MAX(0,(SUMPRODUCT(Oxides_min!$C11:$BB11,Factors!$C$50:$BB$50)+SUMPRODUCT(Oxides_max!$C11:$BB11,Factors!$C$50:$BB$50))/2)</f>
        <v>0</v>
      </c>
      <c r="AR11" s="20">
        <f>MAX(0,(SUMPRODUCT(Oxides_min!$C11:$BB11,Factors!$C$51:$BB$51)+SUMPRODUCT(Oxides_max!$C11:$BB11,Factors!$C$51:$BB$51))/2)</f>
        <v>0</v>
      </c>
      <c r="AS11" s="20">
        <f>MAX(0,(SUMPRODUCT(Oxides_min!$C11:$BB11,Factors!$C$52:$BB$52)+SUMPRODUCT(Oxides_max!$C11:$BB11,Factors!$C$52:$BB$52))/2)</f>
        <v>0</v>
      </c>
      <c r="AT11" s="20">
        <f>MAX(0,(SUMPRODUCT(Oxides_min!$C11:$BB11,Factors!$C$53:$BB$53)+SUMPRODUCT(Oxides_max!$C11:$BB11,Factors!$C$53:$BB$53))/2)</f>
        <v>0</v>
      </c>
      <c r="AU11" s="20">
        <f>MAX(0,(SUMPRODUCT(Oxides_min!$C11:$BB11,Factors!$C$54:$BB$54)+SUMPRODUCT(Oxides_max!$C11:$BB11,Factors!$C$54:$BB$54))/2)</f>
        <v>0</v>
      </c>
      <c r="AV11" s="20">
        <f>MAX(0,(SUMPRODUCT(Oxides_min!$C11:$BB11,Factors!$C$55:$BB$55)+SUMPRODUCT(Oxides_max!$C11:$BB11,Factors!$C$55:$BB$55))/2)</f>
        <v>0</v>
      </c>
      <c r="AW11" s="20">
        <f>MAX(0,(SUMPRODUCT(Oxides_min!$C11:$BB11,Factors!$C$56:$BB$56)+SUMPRODUCT(Oxides_max!$C11:$BB11,Factors!$C$56:$BB$56))/2)</f>
        <v>0</v>
      </c>
      <c r="AX11" s="20">
        <f>MAX(0,(SUMPRODUCT(Oxides_min!$C11:$BB11,Factors!$C$57:$BB$57)+SUMPRODUCT(Oxides_max!$C11:$BB11,Factors!$C$57:$BB$57))/2)</f>
        <v>0</v>
      </c>
      <c r="AY11" s="20">
        <f>MAX(0,(SUMPRODUCT(Oxides_min!$C11:$BB11,Factors!$C$58:$BB$58)+SUMPRODUCT(Oxides_max!$C11:$BB11,Factors!$C$58:$BB$58))/2)</f>
        <v>0</v>
      </c>
      <c r="AZ11" s="18">
        <f t="shared" si="0"/>
        <v>110.14470871908351</v>
      </c>
    </row>
    <row r="12" spans="1:52" x14ac:dyDescent="0.35">
      <c r="A12" s="13" t="s">
        <v>145</v>
      </c>
      <c r="B12" s="20">
        <f>MAX(0,(SUMPRODUCT(Oxides_min!$C12:$BB12,Factors!$C$9:$BB$9)+SUMPRODUCT(Oxides_max!$C12:$BB12,Factors!$C$9:$BB$9))/2)</f>
        <v>33.263730590274086</v>
      </c>
      <c r="C12" s="20">
        <f>MAX(0,(SUMPRODUCT(Oxides_min!$C12:$BB12,Factors!$C$10:$BB$10)+SUMPRODUCT(Oxides_max!$C12:$BB12,Factors!$C$10:$BB$10))/2)</f>
        <v>0</v>
      </c>
      <c r="D12" s="20">
        <f>MAX(0,(SUMPRODUCT(Oxides_min!$C12:$BB12,Factors!$C$11:$BB$11)+SUMPRODUCT(Oxides_max!$C12:$BB12,Factors!$C$11:$BB$11))/2)</f>
        <v>0</v>
      </c>
      <c r="E12" s="20">
        <f>MAX(0,(SUMPRODUCT(Oxides_min!$C12:$BB12,Factors!$C$12:$BB$12)+SUMPRODUCT(Oxides_max!$C12:$BB12,Factors!$C$12:$BB$12))/2)</f>
        <v>0</v>
      </c>
      <c r="F12" s="20">
        <f>MAX(0,(SUMPRODUCT(Oxides_min!$C12:$BB12,Factors!$C$13:$BB$13)+SUMPRODUCT(Oxides_max!$C12:$BB12,Factors!$C$13:$BB$13))/2)</f>
        <v>0</v>
      </c>
      <c r="G12" s="20">
        <f>MAX(0,(SUMPRODUCT(Oxides_min!$C12:$BB12,Factors!$C$14:$BB$14)+SUMPRODUCT(Oxides_max!$C12:$BB12,Factors!$C$14:$BB$14))/2)</f>
        <v>0</v>
      </c>
      <c r="H12" s="20">
        <f>MAX(0,(SUMPRODUCT(Oxides_min!$C12:$BB12,Factors!$C$15:$BB$15)+SUMPRODUCT(Oxides_max!$C12:$BB12,Factors!$C$15:$BB$15))/2)</f>
        <v>0</v>
      </c>
      <c r="I12" s="20">
        <f>MAX(0,(SUMPRODUCT(Oxides_min!$C12:$BB12,Factors!$C$16:$BB$16)+SUMPRODUCT(Oxides_max!$C12:$BB12,Factors!$C$16:$BB$16))/2)</f>
        <v>0.15546183397360949</v>
      </c>
      <c r="J12" s="20">
        <f>MAX(0,(SUMPRODUCT(Oxides_min!$C12:$BB12,Factors!$C$17:$BB$17)+SUMPRODUCT(Oxides_max!$C12:$BB12,Factors!$C$17:$BB$17))/2)</f>
        <v>0</v>
      </c>
      <c r="K12" s="20">
        <f>MAX(0,(SUMPRODUCT(Oxides_min!$C12:$BB12,Factors!$C$18:$BB$18)+SUMPRODUCT(Oxides_max!$C12:$BB12,Factors!$C$18:$BB$18))/2)</f>
        <v>0</v>
      </c>
      <c r="L12" s="20">
        <f>MAX(0,(SUMPRODUCT(Oxides_min!$C12:$BB12,Factors!$C$19:$BB$19)+SUMPRODUCT(Oxides_max!$C12:$BB12,Factors!$C$19:$BB$19))/2)</f>
        <v>0</v>
      </c>
      <c r="M12" s="20">
        <f>MAX(0,(SUMPRODUCT(Oxides_min!$C12:$BB12,Factors!$C$20:$BB$20)+SUMPRODUCT(Oxides_max!$C12:$BB12,Factors!$C$20:$BB$20))/2)</f>
        <v>0</v>
      </c>
      <c r="N12" s="20">
        <f>MAX(0,(SUMPRODUCT(Oxides_min!$C12:$BB12,Factors!$C$21:$BB$21)+SUMPRODUCT(Oxides_max!$C12:$BB12,Factors!$C$21:$BB$21))/2)</f>
        <v>1.7867396615368154</v>
      </c>
      <c r="O12" s="20">
        <f>MAX(0,(SUMPRODUCT(Oxides_min!$C12:$BB12,Factors!$C$22:$BB$22)+SUMPRODUCT(Oxides_max!$C12:$BB12,Factors!$C$22:$BB$22))/2)</f>
        <v>18.603151931595558</v>
      </c>
      <c r="P12" s="20">
        <f>MAX(0,(SUMPRODUCT(Oxides_min!$C12:$BB12,Factors!$C$23:$BB$23)+SUMPRODUCT(Oxides_max!$C12:$BB12,Factors!$C$23:$BB$23))/2)</f>
        <v>0.67174027888290311</v>
      </c>
      <c r="Q12" s="20">
        <f>MAX(0,(SUMPRODUCT(Oxides_min!$C12:$BB12,Factors!$C$24:$BB$24)+SUMPRODUCT(Oxides_max!$C12:$BB12,Factors!$C$24:$BB$24))/2)</f>
        <v>0</v>
      </c>
      <c r="R12" s="20">
        <f>MAX(0,(SUMPRODUCT(Oxides_min!$C12:$BB12,Factors!$C$25:$BB$25)+SUMPRODUCT(Oxides_max!$C12:$BB12,Factors!$C$25:$BB$25))/2)</f>
        <v>0</v>
      </c>
      <c r="S12" s="20">
        <f>MAX(0,(SUMPRODUCT(Oxides_min!$C12:$BB12,Factors!$C$26:$BB$26)+SUMPRODUCT(Oxides_max!$C12:$BB12,Factors!$C$26:$BB$26))/2)</f>
        <v>0</v>
      </c>
      <c r="T12" s="20">
        <f>MAX(0,(SUMPRODUCT(Oxides_min!$C12:$BB12,Factors!$C$27:$BB$27)+SUMPRODUCT(Oxides_max!$C12:$BB12,Factors!$C$27:$BB$27))/2)</f>
        <v>0</v>
      </c>
      <c r="U12" s="20">
        <f>MAX(0,(SUMPRODUCT(Oxides_min!$C12:$BB12,Factors!$C$28:$BB$28)+SUMPRODUCT(Oxides_max!$C12:$BB12,Factors!$C$28:$BB$28))/2)</f>
        <v>0</v>
      </c>
      <c r="V12" s="20">
        <f>MAX(0,(SUMPRODUCT(Oxides_min!$C12:$BB12,Factors!$C$29:$BB$29)+SUMPRODUCT(Oxides_max!$C12:$BB12,Factors!$C$29:$BB$29))/2)</f>
        <v>0</v>
      </c>
      <c r="W12" s="20">
        <f>MAX(0,(SUMPRODUCT(Oxides_min!$C12:$BB12,Factors!$C$30:$BB$30)+SUMPRODUCT(Oxides_max!$C12:$BB12,Factors!$C$30:$BB$30))/2)</f>
        <v>0</v>
      </c>
      <c r="X12" s="20">
        <f>MAX(0,(SUMPRODUCT(Oxides_min!$C12:$BB12,Factors!$C$31:$BB$31)+SUMPRODUCT(Oxides_max!$C12:$BB12,Factors!$C$31:$BB$31))/2)</f>
        <v>0</v>
      </c>
      <c r="Y12" s="20">
        <f>MAX(0,(SUMPRODUCT(Oxides_min!$C12:$BB12,Factors!$C$32:$BB$32)+SUMPRODUCT(Oxides_max!$C12:$BB12,Factors!$C$32:$BB$32))/2)</f>
        <v>0</v>
      </c>
      <c r="Z12" s="20">
        <f>MAX(0,(SUMPRODUCT(Oxides_min!$C12:$BB12,Factors!$C$33:$BB$33)+SUMPRODUCT(Oxides_max!$C12:$BB12,Factors!$C$33:$BB$33))/2)</f>
        <v>0</v>
      </c>
      <c r="AA12" s="20">
        <f>MAX(0,(SUMPRODUCT(Oxides_min!$C12:$BB12,Factors!$C$34:$BB$34)+SUMPRODUCT(Oxides_max!$C12:$BB12,Factors!$C$34:$BB$34))/2)</f>
        <v>0</v>
      </c>
      <c r="AB12" s="20">
        <f>MAX(0,(SUMPRODUCT(Oxides_min!$C12:$BB12,Factors!$C$35:$BB$35)+SUMPRODUCT(Oxides_max!$C12:$BB12,Factors!$C$35:$BB$35))/2)</f>
        <v>0</v>
      </c>
      <c r="AC12" s="20">
        <f>MAX(0,(SUMPRODUCT(Oxides_min!$C12:$BB12,Factors!$C$36:$BB$36)+SUMPRODUCT(Oxides_max!$C12:$BB12,Factors!$C$36:$BB$36))/2)</f>
        <v>6.345423663341589</v>
      </c>
      <c r="AD12" s="20">
        <f>MAX(0,(SUMPRODUCT(Oxides_min!$C12:$BB12,Factors!$C$37:$BB$37)+SUMPRODUCT(Oxides_max!$C12:$BB12,Factors!$C$37:$BB$37))/2)</f>
        <v>0.72739383846794337</v>
      </c>
      <c r="AE12" s="20">
        <f>MAX(0,(SUMPRODUCT(Oxides_min!$C12:$BB12,Factors!$C$38:$BB$38)+SUMPRODUCT(Oxides_max!$C12:$BB12,Factors!$C$38:$BB$38))/2)</f>
        <v>1.1000000000000001</v>
      </c>
      <c r="AF12" s="20">
        <f>MAX(0,(SUMPRODUCT(Oxides_min!$C12:$BB12,Factors!$C$39:$BB$39)+SUMPRODUCT(Oxides_max!$C12:$BB12,Factors!$C$39:$BB$39))/2)</f>
        <v>0</v>
      </c>
      <c r="AG12" s="20">
        <f>MAX(0,(SUMPRODUCT(Oxides_min!$C12:$BB12,Factors!$C$40:$BB$40)+SUMPRODUCT(Oxides_max!$C12:$BB12,Factors!$C$40:$BB$40))/2)</f>
        <v>0.65910888186711114</v>
      </c>
      <c r="AH12" s="20">
        <f>MAX(0,(SUMPRODUCT(Oxides_min!$C12:$BB12,Factors!$C$41:$BB$41)+SUMPRODUCT(Oxides_max!$C12:$BB12,Factors!$C$41:$BB$41))/2)</f>
        <v>0</v>
      </c>
      <c r="AI12" s="20">
        <f>MAX(0,(SUMPRODUCT(Oxides_min!$C12:$BB12,Factors!$C$42:$BB$42)+SUMPRODUCT(Oxides_max!$C12:$BB12,Factors!$C$42:$BB$42))/2)</f>
        <v>0</v>
      </c>
      <c r="AJ12" s="20">
        <f>MAX(0,(SUMPRODUCT(Oxides_min!$C12:$BB12,Factors!$C$43:$BB$43)+SUMPRODUCT(Oxides_max!$C12:$BB12,Factors!$C$43:$BB$43))/2)</f>
        <v>0.19686098869184304</v>
      </c>
      <c r="AK12" s="20">
        <f>MAX(0,(SUMPRODUCT(Oxides_min!$C12:$BB12,Factors!$C$44:$BB$44)+SUMPRODUCT(Oxides_max!$C12:$BB12,Factors!$C$44:$BB$44))/2)</f>
        <v>11.937564075326094</v>
      </c>
      <c r="AL12" s="20">
        <f>MAX(0,(SUMPRODUCT(Oxides_min!$C12:$BB12,Factors!$C$45:$BB$45)+SUMPRODUCT(Oxides_max!$C12:$BB12,Factors!$C$45:$BB$45))/2)</f>
        <v>19.209819973250383</v>
      </c>
      <c r="AM12" s="20">
        <f>MAX(0,(SUMPRODUCT(Oxides_min!$C12:$BB12,Factors!$C$46:$BB$46)+SUMPRODUCT(Oxides_max!$C12:$BB12,Factors!$C$46:$BB$46))/2)</f>
        <v>1.7089435591732898</v>
      </c>
      <c r="AN12" s="20">
        <f>MAX(0,(SUMPRODUCT(Oxides_min!$C12:$BB12,Factors!$C$47:$BB$47)+SUMPRODUCT(Oxides_max!$C12:$BB12,Factors!$C$47:$BB$47))/2)</f>
        <v>5.5728139181707137</v>
      </c>
      <c r="AO12" s="20">
        <f>MAX(0,(SUMPRODUCT(Oxides_min!$C12:$BB12,Factors!$C$48:$BB$48)+SUMPRODUCT(Oxides_max!$C12:$BB12,Factors!$C$48:$BB$48))/2)</f>
        <v>0.43118058482953225</v>
      </c>
      <c r="AP12" s="20">
        <f>MAX(0,(SUMPRODUCT(Oxides_min!$C12:$BB12,Factors!$C$49:$BB$49)+SUMPRODUCT(Oxides_max!$C12:$BB12,Factors!$C$49:$BB$49))/2)</f>
        <v>0</v>
      </c>
      <c r="AQ12" s="20">
        <f>MAX(0,(SUMPRODUCT(Oxides_min!$C12:$BB12,Factors!$C$50:$BB$50)+SUMPRODUCT(Oxides_max!$C12:$BB12,Factors!$C$50:$BB$50))/2)</f>
        <v>0.21689834674493857</v>
      </c>
      <c r="AR12" s="20">
        <f>MAX(0,(SUMPRODUCT(Oxides_min!$C12:$BB12,Factors!$C$51:$BB$51)+SUMPRODUCT(Oxides_max!$C12:$BB12,Factors!$C$51:$BB$51))/2)</f>
        <v>0</v>
      </c>
      <c r="AS12" s="20">
        <f>MAX(0,(SUMPRODUCT(Oxides_min!$C12:$BB12,Factors!$C$52:$BB$52)+SUMPRODUCT(Oxides_max!$C12:$BB12,Factors!$C$52:$BB$52))/2)</f>
        <v>0</v>
      </c>
      <c r="AT12" s="20">
        <f>MAX(0,(SUMPRODUCT(Oxides_min!$C12:$BB12,Factors!$C$53:$BB$53)+SUMPRODUCT(Oxides_max!$C12:$BB12,Factors!$C$53:$BB$53))/2)</f>
        <v>0</v>
      </c>
      <c r="AU12" s="20">
        <f>MAX(0,(SUMPRODUCT(Oxides_min!$C12:$BB12,Factors!$C$54:$BB$54)+SUMPRODUCT(Oxides_max!$C12:$BB12,Factors!$C$54:$BB$54))/2)</f>
        <v>0</v>
      </c>
      <c r="AV12" s="20">
        <f>MAX(0,(SUMPRODUCT(Oxides_min!$C12:$BB12,Factors!$C$55:$BB$55)+SUMPRODUCT(Oxides_max!$C12:$BB12,Factors!$C$55:$BB$55))/2)</f>
        <v>0</v>
      </c>
      <c r="AW12" s="20">
        <f>MAX(0,(SUMPRODUCT(Oxides_min!$C12:$BB12,Factors!$C$56:$BB$56)+SUMPRODUCT(Oxides_max!$C12:$BB12,Factors!$C$56:$BB$56))/2)</f>
        <v>0</v>
      </c>
      <c r="AX12" s="20">
        <f>MAX(0,(SUMPRODUCT(Oxides_min!$C12:$BB12,Factors!$C$57:$BB$57)+SUMPRODUCT(Oxides_max!$C12:$BB12,Factors!$C$57:$BB$57))/2)</f>
        <v>0</v>
      </c>
      <c r="AY12" s="20">
        <f>MAX(0,(SUMPRODUCT(Oxides_min!$C12:$BB12,Factors!$C$58:$BB$58)+SUMPRODUCT(Oxides_max!$C12:$BB12,Factors!$C$58:$BB$58))/2)</f>
        <v>0</v>
      </c>
      <c r="AZ12" s="18">
        <f t="shared" si="0"/>
        <v>102.58683212612641</v>
      </c>
    </row>
    <row r="13" spans="1:52" x14ac:dyDescent="0.35">
      <c r="A13" s="13" t="s">
        <v>147</v>
      </c>
      <c r="B13" s="20">
        <f>MAX(0,(SUMPRODUCT(Oxides_min!$C13:$BB13,Factors!$C$9:$BB$9)+SUMPRODUCT(Oxides_max!$C13:$BB13,Factors!$C$9:$BB$9))/2)</f>
        <v>52.753134588826342</v>
      </c>
      <c r="C13" s="20">
        <f>MAX(0,(SUMPRODUCT(Oxides_min!$C13:$BB13,Factors!$C$10:$BB$10)+SUMPRODUCT(Oxides_max!$C13:$BB13,Factors!$C$10:$BB$10))/2)</f>
        <v>28.046202752858548</v>
      </c>
      <c r="D13" s="20">
        <f>MAX(0,(SUMPRODUCT(Oxides_min!$C13:$BB13,Factors!$C$11:$BB$11)+SUMPRODUCT(Oxides_max!$C13:$BB13,Factors!$C$11:$BB$11))/2)</f>
        <v>0.24872979402742129</v>
      </c>
      <c r="E13" s="20">
        <f>MAX(0,(SUMPRODUCT(Oxides_min!$C13:$BB13,Factors!$C$12:$BB$12)+SUMPRODUCT(Oxides_max!$C13:$BB13,Factors!$C$12:$BB$12))/2)</f>
        <v>0</v>
      </c>
      <c r="F13" s="20">
        <f>MAX(0,(SUMPRODUCT(Oxides_min!$C13:$BB13,Factors!$C$13:$BB$13)+SUMPRODUCT(Oxides_max!$C13:$BB13,Factors!$C$13:$BB$13))/2)</f>
        <v>0</v>
      </c>
      <c r="G13" s="20">
        <f>MAX(0,(SUMPRODUCT(Oxides_min!$C13:$BB13,Factors!$C$14:$BB$14)+SUMPRODUCT(Oxides_max!$C13:$BB13,Factors!$C$14:$BB$14))/2)</f>
        <v>0</v>
      </c>
      <c r="H13" s="20">
        <f>MAX(0,(SUMPRODUCT(Oxides_min!$C13:$BB13,Factors!$C$15:$BB$15)+SUMPRODUCT(Oxides_max!$C13:$BB13,Factors!$C$15:$BB$15))/2)</f>
        <v>11.90828085094522</v>
      </c>
      <c r="I13" s="20">
        <f>MAX(0,(SUMPRODUCT(Oxides_min!$C13:$BB13,Factors!$C$16:$BB$16)+SUMPRODUCT(Oxides_max!$C13:$BB13,Factors!$C$16:$BB$16))/2)</f>
        <v>2.6228653553514061</v>
      </c>
      <c r="J13" s="20">
        <f>MAX(0,(SUMPRODUCT(Oxides_min!$C13:$BB13,Factors!$C$17:$BB$17)+SUMPRODUCT(Oxides_max!$C13:$BB13,Factors!$C$17:$BB$17))/2)</f>
        <v>0.1432754674694367</v>
      </c>
      <c r="K13" s="20">
        <f>MAX(0,(SUMPRODUCT(Oxides_min!$C13:$BB13,Factors!$C$18:$BB$18)+SUMPRODUCT(Oxides_max!$C13:$BB13,Factors!$C$18:$BB$18))/2)</f>
        <v>0</v>
      </c>
      <c r="L13" s="20">
        <f>MAX(0,(SUMPRODUCT(Oxides_min!$C13:$BB13,Factors!$C$19:$BB$19)+SUMPRODUCT(Oxides_max!$C13:$BB13,Factors!$C$19:$BB$19))/2)</f>
        <v>0</v>
      </c>
      <c r="M13" s="20">
        <f>MAX(0,(SUMPRODUCT(Oxides_min!$C13:$BB13,Factors!$C$20:$BB$20)+SUMPRODUCT(Oxides_max!$C13:$BB13,Factors!$C$20:$BB$20))/2)</f>
        <v>0.40102285132989285</v>
      </c>
      <c r="N13" s="20">
        <f>MAX(0,(SUMPRODUCT(Oxides_min!$C13:$BB13,Factors!$C$21:$BB$21)+SUMPRODUCT(Oxides_max!$C13:$BB13,Factors!$C$21:$BB$21))/2)</f>
        <v>0.18939440412290243</v>
      </c>
      <c r="O13" s="20">
        <f>MAX(0,(SUMPRODUCT(Oxides_min!$C13:$BB13,Factors!$C$22:$BB$22)+SUMPRODUCT(Oxides_max!$C13:$BB13,Factors!$C$22:$BB$22))/2)</f>
        <v>0</v>
      </c>
      <c r="P13" s="20">
        <f>MAX(0,(SUMPRODUCT(Oxides_min!$C13:$BB13,Factors!$C$23:$BB$23)+SUMPRODUCT(Oxides_max!$C13:$BB13,Factors!$C$23:$BB$23))/2)</f>
        <v>0</v>
      </c>
      <c r="Q13" s="20">
        <f>MAX(0,(SUMPRODUCT(Oxides_min!$C13:$BB13,Factors!$C$24:$BB$24)+SUMPRODUCT(Oxides_max!$C13:$BB13,Factors!$C$24:$BB$24))/2)</f>
        <v>0</v>
      </c>
      <c r="R13" s="20">
        <f>MAX(0,(SUMPRODUCT(Oxides_min!$C13:$BB13,Factors!$C$25:$BB$25)+SUMPRODUCT(Oxides_max!$C13:$BB13,Factors!$C$25:$BB$25))/2)</f>
        <v>0.93845575629526423</v>
      </c>
      <c r="S13" s="20">
        <f>MAX(0,(SUMPRODUCT(Oxides_min!$C13:$BB13,Factors!$C$26:$BB$26)+SUMPRODUCT(Oxides_max!$C13:$BB13,Factors!$C$26:$BB$26))/2)</f>
        <v>2.6979917320978899</v>
      </c>
      <c r="T13" s="20">
        <f>MAX(0,(SUMPRODUCT(Oxides_min!$C13:$BB13,Factors!$C$27:$BB$27)+SUMPRODUCT(Oxides_max!$C13:$BB13,Factors!$C$27:$BB$27))/2)</f>
        <v>0</v>
      </c>
      <c r="U13" s="20">
        <f>MAX(0,(SUMPRODUCT(Oxides_min!$C13:$BB13,Factors!$C$28:$BB$28)+SUMPRODUCT(Oxides_max!$C13:$BB13,Factors!$C$28:$BB$28))/2)</f>
        <v>0</v>
      </c>
      <c r="V13" s="20">
        <f>MAX(0,(SUMPRODUCT(Oxides_min!$C13:$BB13,Factors!$C$29:$BB$29)+SUMPRODUCT(Oxides_max!$C13:$BB13,Factors!$C$29:$BB$29))/2)</f>
        <v>0</v>
      </c>
      <c r="W13" s="20">
        <f>MAX(0,(SUMPRODUCT(Oxides_min!$C13:$BB13,Factors!$C$30:$BB$30)+SUMPRODUCT(Oxides_max!$C13:$BB13,Factors!$C$30:$BB$30))/2)</f>
        <v>0</v>
      </c>
      <c r="X13" s="20">
        <f>MAX(0,(SUMPRODUCT(Oxides_min!$C13:$BB13,Factors!$C$31:$BB$31)+SUMPRODUCT(Oxides_max!$C13:$BB13,Factors!$C$31:$BB$31))/2)</f>
        <v>0</v>
      </c>
      <c r="Y13" s="20">
        <f>MAX(0,(SUMPRODUCT(Oxides_min!$C13:$BB13,Factors!$C$32:$BB$32)+SUMPRODUCT(Oxides_max!$C13:$BB13,Factors!$C$32:$BB$32))/2)</f>
        <v>0</v>
      </c>
      <c r="Z13" s="20">
        <f>MAX(0,(SUMPRODUCT(Oxides_min!$C13:$BB13,Factors!$C$33:$BB$33)+SUMPRODUCT(Oxides_max!$C13:$BB13,Factors!$C$33:$BB$33))/2)</f>
        <v>1.9639206781320563E-2</v>
      </c>
      <c r="AA13" s="20">
        <f>MAX(0,(SUMPRODUCT(Oxides_min!$C13:$BB13,Factors!$C$34:$BB$34)+SUMPRODUCT(Oxides_max!$C13:$BB13,Factors!$C$34:$BB$34))/2)</f>
        <v>0</v>
      </c>
      <c r="AB13" s="20">
        <f>MAX(0,(SUMPRODUCT(Oxides_min!$C13:$BB13,Factors!$C$35:$BB$35)+SUMPRODUCT(Oxides_max!$C13:$BB13,Factors!$C$35:$BB$35))/2)</f>
        <v>0</v>
      </c>
      <c r="AC13" s="20">
        <f>MAX(0,(SUMPRODUCT(Oxides_min!$C13:$BB13,Factors!$C$36:$BB$36)+SUMPRODUCT(Oxides_max!$C13:$BB13,Factors!$C$36:$BB$36))/2)</f>
        <v>0</v>
      </c>
      <c r="AD13" s="20">
        <f>MAX(0,(SUMPRODUCT(Oxides_min!$C13:$BB13,Factors!$C$37:$BB$37)+SUMPRODUCT(Oxides_max!$C13:$BB13,Factors!$C$37:$BB$37))/2)</f>
        <v>0.9512073272273105</v>
      </c>
      <c r="AE13" s="20">
        <f>MAX(0,(SUMPRODUCT(Oxides_min!$C13:$BB13,Factors!$C$38:$BB$38)+SUMPRODUCT(Oxides_max!$C13:$BB13,Factors!$C$38:$BB$38))/2)</f>
        <v>0</v>
      </c>
      <c r="AF13" s="20">
        <f>MAX(0,(SUMPRODUCT(Oxides_min!$C13:$BB13,Factors!$C$39:$BB$39)+SUMPRODUCT(Oxides_max!$C13:$BB13,Factors!$C$39:$BB$39))/2)</f>
        <v>0</v>
      </c>
      <c r="AG13" s="20">
        <f>MAX(0,(SUMPRODUCT(Oxides_min!$C13:$BB13,Factors!$C$40:$BB$40)+SUMPRODUCT(Oxides_max!$C13:$BB13,Factors!$C$40:$BB$40))/2)</f>
        <v>0</v>
      </c>
      <c r="AH13" s="20">
        <f>MAX(0,(SUMPRODUCT(Oxides_min!$C13:$BB13,Factors!$C$41:$BB$41)+SUMPRODUCT(Oxides_max!$C13:$BB13,Factors!$C$41:$BB$41))/2)</f>
        <v>0</v>
      </c>
      <c r="AI13" s="20">
        <f>MAX(0,(SUMPRODUCT(Oxides_min!$C13:$BB13,Factors!$C$42:$BB$42)+SUMPRODUCT(Oxides_max!$C13:$BB13,Factors!$C$42:$BB$42))/2)</f>
        <v>0</v>
      </c>
      <c r="AJ13" s="20">
        <f>MAX(0,(SUMPRODUCT(Oxides_min!$C13:$BB13,Factors!$C$43:$BB$43)+SUMPRODUCT(Oxides_max!$C13:$BB13,Factors!$C$43:$BB$43))/2)</f>
        <v>0.13189686242353485</v>
      </c>
      <c r="AK13" s="20">
        <f>MAX(0,(SUMPRODUCT(Oxides_min!$C13:$BB13,Factors!$C$44:$BB$44)+SUMPRODUCT(Oxides_max!$C13:$BB13,Factors!$C$44:$BB$44))/2)</f>
        <v>9.4178853722840516E-2</v>
      </c>
      <c r="AL13" s="20">
        <f>MAX(0,(SUMPRODUCT(Oxides_min!$C13:$BB13,Factors!$C$45:$BB$45)+SUMPRODUCT(Oxides_max!$C13:$BB13,Factors!$C$45:$BB$45))/2)</f>
        <v>2.1429621392381536E-2</v>
      </c>
      <c r="AM13" s="20">
        <f>MAX(0,(SUMPRODUCT(Oxides_min!$C13:$BB13,Factors!$C$46:$BB$46)+SUMPRODUCT(Oxides_max!$C13:$BB13,Factors!$C$46:$BB$46))/2)</f>
        <v>1.9353785807637504E-2</v>
      </c>
      <c r="AN13" s="20">
        <f>MAX(0,(SUMPRODUCT(Oxides_min!$C13:$BB13,Factors!$C$47:$BB$47)+SUMPRODUCT(Oxides_max!$C13:$BB13,Factors!$C$47:$BB$47))/2)</f>
        <v>6.9231495983428482E-2</v>
      </c>
      <c r="AO13" s="20">
        <f>MAX(0,(SUMPRODUCT(Oxides_min!$C13:$BB13,Factors!$C$48:$BB$48)+SUMPRODUCT(Oxides_max!$C13:$BB13,Factors!$C$48:$BB$48))/2)</f>
        <v>9.0547922814201778E-3</v>
      </c>
      <c r="AP13" s="20">
        <f>MAX(0,(SUMPRODUCT(Oxides_min!$C13:$BB13,Factors!$C$49:$BB$49)+SUMPRODUCT(Oxides_max!$C13:$BB13,Factors!$C$49:$BB$49))/2)</f>
        <v>1.1011101797257937E-3</v>
      </c>
      <c r="AQ13" s="20">
        <f>MAX(0,(SUMPRODUCT(Oxides_min!$C13:$BB13,Factors!$C$50:$BB$50)+SUMPRODUCT(Oxides_max!$C13:$BB13,Factors!$C$50:$BB$50))/2)</f>
        <v>1.5833579312380518E-2</v>
      </c>
      <c r="AR13" s="20">
        <f>MAX(0,(SUMPRODUCT(Oxides_min!$C13:$BB13,Factors!$C$51:$BB$51)+SUMPRODUCT(Oxides_max!$C13:$BB13,Factors!$C$51:$BB$51))/2)</f>
        <v>2.8236197056862732E-3</v>
      </c>
      <c r="AS13" s="20">
        <f>MAX(0,(SUMPRODUCT(Oxides_min!$C13:$BB13,Factors!$C$52:$BB$52)+SUMPRODUCT(Oxides_max!$C13:$BB13,Factors!$C$52:$BB$52))/2)</f>
        <v>1.4812451574677544E-2</v>
      </c>
      <c r="AT13" s="20">
        <f>MAX(0,(SUMPRODUCT(Oxides_min!$C13:$BB13,Factors!$C$53:$BB$53)+SUMPRODUCT(Oxides_max!$C13:$BB13,Factors!$C$53:$BB$53))/2)</f>
        <v>3.4919039090010773E-3</v>
      </c>
      <c r="AU13" s="20">
        <f>MAX(0,(SUMPRODUCT(Oxides_min!$C13:$BB13,Factors!$C$54:$BB$54)+SUMPRODUCT(Oxides_max!$C13:$BB13,Factors!$C$54:$BB$54))/2)</f>
        <v>1.0931532096780518E-2</v>
      </c>
      <c r="AV13" s="20">
        <f>MAX(0,(SUMPRODUCT(Oxides_min!$C13:$BB13,Factors!$C$55:$BB$55)+SUMPRODUCT(Oxides_max!$C13:$BB13,Factors!$C$55:$BB$55))/2)</f>
        <v>1.5323211376483989E-3</v>
      </c>
      <c r="AW13" s="20">
        <f>MAX(0,(SUMPRODUCT(Oxides_min!$C13:$BB13,Factors!$C$56:$BB$56)+SUMPRODUCT(Oxides_max!$C13:$BB13,Factors!$C$56:$BB$56))/2)</f>
        <v>5.5766150621563261E-3</v>
      </c>
      <c r="AX13" s="20">
        <f>MAX(0,(SUMPRODUCT(Oxides_min!$C13:$BB13,Factors!$C$57:$BB$57)+SUMPRODUCT(Oxides_max!$C13:$BB13,Factors!$C$57:$BB$57))/2)</f>
        <v>9.0136807775024086E-4</v>
      </c>
      <c r="AY13" s="20">
        <f>MAX(0,(SUMPRODUCT(Oxides_min!$C13:$BB13,Factors!$C$58:$BB$58)+SUMPRODUCT(Oxides_max!$C13:$BB13,Factors!$C$58:$BB$58))/2)</f>
        <v>0</v>
      </c>
      <c r="AZ13" s="18">
        <f t="shared" si="0"/>
        <v>101.32235000000001</v>
      </c>
    </row>
    <row r="14" spans="1:52" x14ac:dyDescent="0.35">
      <c r="A14" s="13" t="s">
        <v>149</v>
      </c>
      <c r="B14" s="20">
        <f>MAX(0,(SUMPRODUCT(Oxides_min!$C14:$BB14,Factors!$C$9:$BB$9)+SUMPRODUCT(Oxides_max!$C14:$BB14,Factors!$C$9:$BB$9))/2)</f>
        <v>26.927874498762385</v>
      </c>
      <c r="C14" s="20">
        <f>MAX(0,(SUMPRODUCT(Oxides_min!$C14:$BB14,Factors!$C$10:$BB$10)+SUMPRODUCT(Oxides_max!$C14:$BB14,Factors!$C$10:$BB$10))/2)</f>
        <v>7.9464241133099218</v>
      </c>
      <c r="D14" s="20">
        <f>MAX(0,(SUMPRODUCT(Oxides_min!$C14:$BB14,Factors!$C$11:$BB$11)+SUMPRODUCT(Oxides_max!$C14:$BB14,Factors!$C$11:$BB$11))/2)</f>
        <v>0</v>
      </c>
      <c r="E14" s="20">
        <f>MAX(0,(SUMPRODUCT(Oxides_min!$C14:$BB14,Factors!$C$12:$BB$12)+SUMPRODUCT(Oxides_max!$C14:$BB14,Factors!$C$12:$BB$12))/2)</f>
        <v>0</v>
      </c>
      <c r="F14" s="20">
        <f>MAX(0,(SUMPRODUCT(Oxides_min!$C14:$BB14,Factors!$C$13:$BB$13)+SUMPRODUCT(Oxides_max!$C14:$BB14,Factors!$C$13:$BB$13))/2)</f>
        <v>0</v>
      </c>
      <c r="G14" s="20">
        <f>MAX(0,(SUMPRODUCT(Oxides_min!$C14:$BB14,Factors!$C$14:$BB$14)+SUMPRODUCT(Oxides_max!$C14:$BB14,Factors!$C$14:$BB$14))/2)</f>
        <v>0</v>
      </c>
      <c r="H14" s="20">
        <f>MAX(0,(SUMPRODUCT(Oxides_min!$C14:$BB14,Factors!$C$15:$BB$15)+SUMPRODUCT(Oxides_max!$C14:$BB14,Factors!$C$15:$BB$15))/2)</f>
        <v>0.1323142316771691</v>
      </c>
      <c r="I14" s="20">
        <f>MAX(0,(SUMPRODUCT(Oxides_min!$C14:$BB14,Factors!$C$16:$BB$16)+SUMPRODUCT(Oxides_max!$C14:$BB14,Factors!$C$16:$BB$16))/2)</f>
        <v>0.38865458493402372</v>
      </c>
      <c r="J14" s="20">
        <f>MAX(0,(SUMPRODUCT(Oxides_min!$C14:$BB14,Factors!$C$17:$BB$17)+SUMPRODUCT(Oxides_max!$C14:$BB14,Factors!$C$17:$BB$17))/2)</f>
        <v>0.19361549658031987</v>
      </c>
      <c r="K14" s="20">
        <f>MAX(0,(SUMPRODUCT(Oxides_min!$C14:$BB14,Factors!$C$18:$BB$18)+SUMPRODUCT(Oxides_max!$C14:$BB14,Factors!$C$18:$BB$18))/2)</f>
        <v>0</v>
      </c>
      <c r="L14" s="20">
        <f>MAX(0,(SUMPRODUCT(Oxides_min!$C14:$BB14,Factors!$C$19:$BB$19)+SUMPRODUCT(Oxides_max!$C14:$BB14,Factors!$C$19:$BB$19))/2)</f>
        <v>0</v>
      </c>
      <c r="M14" s="20">
        <f>MAX(0,(SUMPRODUCT(Oxides_min!$C14:$BB14,Factors!$C$20:$BB$20)+SUMPRODUCT(Oxides_max!$C14:$BB14,Factors!$C$20:$BB$20))/2)</f>
        <v>0</v>
      </c>
      <c r="N14" s="20">
        <f>MAX(0,(SUMPRODUCT(Oxides_min!$C14:$BB14,Factors!$C$21:$BB$21)+SUMPRODUCT(Oxides_max!$C14:$BB14,Factors!$C$21:$BB$21))/2)</f>
        <v>11.435133833835618</v>
      </c>
      <c r="O14" s="20">
        <f>MAX(0,(SUMPRODUCT(Oxides_min!$C14:$BB14,Factors!$C$22:$BB$22)+SUMPRODUCT(Oxides_max!$C14:$BB14,Factors!$C$22:$BB$22))/2)</f>
        <v>1.268396722608788</v>
      </c>
      <c r="P14" s="20">
        <f>MAX(0,(SUMPRODUCT(Oxides_min!$C14:$BB14,Factors!$C$23:$BB$23)+SUMPRODUCT(Oxides_max!$C14:$BB14,Factors!$C$23:$BB$23))/2)</f>
        <v>0</v>
      </c>
      <c r="Q14" s="20">
        <f>MAX(0,(SUMPRODUCT(Oxides_min!$C14:$BB14,Factors!$C$24:$BB$24)+SUMPRODUCT(Oxides_max!$C14:$BB14,Factors!$C$24:$BB$24))/2)</f>
        <v>0</v>
      </c>
      <c r="R14" s="20">
        <f>MAX(0,(SUMPRODUCT(Oxides_min!$C14:$BB14,Factors!$C$25:$BB$25)+SUMPRODUCT(Oxides_max!$C14:$BB14,Factors!$C$25:$BB$25))/2)</f>
        <v>0.74186225794092031</v>
      </c>
      <c r="S14" s="20">
        <f>MAX(0,(SUMPRODUCT(Oxides_min!$C14:$BB14,Factors!$C$26:$BB$26)+SUMPRODUCT(Oxides_max!$C14:$BB14,Factors!$C$26:$BB$26))/2)</f>
        <v>0</v>
      </c>
      <c r="T14" s="20">
        <f>MAX(0,(SUMPRODUCT(Oxides_min!$C14:$BB14,Factors!$C$27:$BB$27)+SUMPRODUCT(Oxides_max!$C14:$BB14,Factors!$C$27:$BB$27))/2)</f>
        <v>0</v>
      </c>
      <c r="U14" s="20">
        <f>MAX(0,(SUMPRODUCT(Oxides_min!$C14:$BB14,Factors!$C$28:$BB$28)+SUMPRODUCT(Oxides_max!$C14:$BB14,Factors!$C$28:$BB$28))/2)</f>
        <v>0</v>
      </c>
      <c r="V14" s="20">
        <f>MAX(0,(SUMPRODUCT(Oxides_min!$C14:$BB14,Factors!$C$29:$BB$29)+SUMPRODUCT(Oxides_max!$C14:$BB14,Factors!$C$29:$BB$29))/2)</f>
        <v>0</v>
      </c>
      <c r="W14" s="20">
        <f>MAX(0,(SUMPRODUCT(Oxides_min!$C14:$BB14,Factors!$C$30:$BB$30)+SUMPRODUCT(Oxides_max!$C14:$BB14,Factors!$C$30:$BB$30))/2)</f>
        <v>0</v>
      </c>
      <c r="X14" s="20">
        <f>MAX(0,(SUMPRODUCT(Oxides_min!$C14:$BB14,Factors!$C$31:$BB$31)+SUMPRODUCT(Oxides_max!$C14:$BB14,Factors!$C$31:$BB$31))/2)</f>
        <v>0</v>
      </c>
      <c r="Y14" s="20">
        <f>MAX(0,(SUMPRODUCT(Oxides_min!$C14:$BB14,Factors!$C$32:$BB$32)+SUMPRODUCT(Oxides_max!$C14:$BB14,Factors!$C$32:$BB$32))/2)</f>
        <v>0</v>
      </c>
      <c r="Z14" s="20">
        <f>MAX(0,(SUMPRODUCT(Oxides_min!$C14:$BB14,Factors!$C$33:$BB$33)+SUMPRODUCT(Oxides_max!$C14:$BB14,Factors!$C$33:$BB$33))/2)</f>
        <v>3.0549877215387542</v>
      </c>
      <c r="AA14" s="20">
        <f>MAX(0,(SUMPRODUCT(Oxides_min!$C14:$BB14,Factors!$C$34:$BB$34)+SUMPRODUCT(Oxides_max!$C14:$BB14,Factors!$C$34:$BB$34))/2)</f>
        <v>0</v>
      </c>
      <c r="AB14" s="20">
        <f>MAX(0,(SUMPRODUCT(Oxides_min!$C14:$BB14,Factors!$C$35:$BB$35)+SUMPRODUCT(Oxides_max!$C14:$BB14,Factors!$C$35:$BB$35))/2)</f>
        <v>0</v>
      </c>
      <c r="AC14" s="20">
        <f>MAX(0,(SUMPRODUCT(Oxides_min!$C14:$BB14,Factors!$C$36:$BB$36)+SUMPRODUCT(Oxides_max!$C14:$BB14,Factors!$C$36:$BB$36))/2)</f>
        <v>0</v>
      </c>
      <c r="AD14" s="20">
        <f>MAX(0,(SUMPRODUCT(Oxides_min!$C14:$BB14,Factors!$C$37:$BB$37)+SUMPRODUCT(Oxides_max!$C14:$BB14,Factors!$C$37:$BB$37))/2)</f>
        <v>8.3930058284762687E-2</v>
      </c>
      <c r="AE14" s="20">
        <f>MAX(0,(SUMPRODUCT(Oxides_min!$C14:$BB14,Factors!$C$38:$BB$38)+SUMPRODUCT(Oxides_max!$C14:$BB14,Factors!$C$38:$BB$38))/2)</f>
        <v>1.5</v>
      </c>
      <c r="AF14" s="20">
        <f>MAX(0,(SUMPRODUCT(Oxides_min!$C14:$BB14,Factors!$C$39:$BB$39)+SUMPRODUCT(Oxides_max!$C14:$BB14,Factors!$C$39:$BB$39))/2)</f>
        <v>0.15</v>
      </c>
      <c r="AG14" s="20">
        <f>MAX(0,(SUMPRODUCT(Oxides_min!$C14:$BB14,Factors!$C$40:$BB$40)+SUMPRODUCT(Oxides_max!$C14:$BB14,Factors!$C$40:$BB$40))/2)</f>
        <v>4.6137621730697784</v>
      </c>
      <c r="AH14" s="20">
        <f>MAX(0,(SUMPRODUCT(Oxides_min!$C14:$BB14,Factors!$C$41:$BB$41)+SUMPRODUCT(Oxides_max!$C14:$BB14,Factors!$C$41:$BB$41))/2)</f>
        <v>0.66112552448939255</v>
      </c>
      <c r="AI14" s="20">
        <f>MAX(0,(SUMPRODUCT(Oxides_min!$C14:$BB14,Factors!$C$42:$BB$42)+SUMPRODUCT(Oxides_max!$C14:$BB14,Factors!$C$42:$BB$42))/2)</f>
        <v>0</v>
      </c>
      <c r="AJ14" s="20">
        <f>MAX(0,(SUMPRODUCT(Oxides_min!$C14:$BB14,Factors!$C$43:$BB$43)+SUMPRODUCT(Oxides_max!$C14:$BB14,Factors!$C$43:$BB$43))/2)</f>
        <v>1.9686098869184305</v>
      </c>
      <c r="AK14" s="20">
        <f>MAX(0,(SUMPRODUCT(Oxides_min!$C14:$BB14,Factors!$C$44:$BB$44)+SUMPRODUCT(Oxides_max!$C14:$BB14,Factors!$C$44:$BB$44))/2)</f>
        <v>9.3795146306133592</v>
      </c>
      <c r="AL14" s="20">
        <f>MAX(0,(SUMPRODUCT(Oxides_min!$C14:$BB14,Factors!$C$45:$BB$45)+SUMPRODUCT(Oxides_max!$C14:$BB14,Factors!$C$45:$BB$45))/2)</f>
        <v>21.344244414722645</v>
      </c>
      <c r="AM14" s="20">
        <f>MAX(0,(SUMPRODUCT(Oxides_min!$C14:$BB14,Factors!$C$46:$BB$46)+SUMPRODUCT(Oxides_max!$C14:$BB14,Factors!$C$46:$BB$46))/2)</f>
        <v>2.1361794489666122</v>
      </c>
      <c r="AN14" s="20">
        <f>MAX(0,(SUMPRODUCT(Oxides_min!$C14:$BB14,Factors!$C$47:$BB$47)+SUMPRODUCT(Oxides_max!$C14:$BB14,Factors!$C$47:$BB$47))/2)</f>
        <v>7.2875258929924716</v>
      </c>
      <c r="AO14" s="20">
        <f>MAX(0,(SUMPRODUCT(Oxides_min!$C14:$BB14,Factors!$C$48:$BB$48)+SUMPRODUCT(Oxides_max!$C14:$BB14,Factors!$C$48:$BB$48))/2)</f>
        <v>1.2073056375226903</v>
      </c>
      <c r="AP14" s="20">
        <f>MAX(0,(SUMPRODUCT(Oxides_min!$C14:$BB14,Factors!$C$49:$BB$49)+SUMPRODUCT(Oxides_max!$C14:$BB14,Factors!$C$49:$BB$49))/2)</f>
        <v>0.17272316544718336</v>
      </c>
      <c r="AQ14" s="20">
        <f>MAX(0,(SUMPRODUCT(Oxides_min!$C14:$BB14,Factors!$C$50:$BB$50)+SUMPRODUCT(Oxides_max!$C14:$BB14,Factors!$C$50:$BB$50))/2)</f>
        <v>0.95435272567772977</v>
      </c>
      <c r="AR14" s="20">
        <f>MAX(0,(SUMPRODUCT(Oxides_min!$C14:$BB14,Factors!$C$51:$BB$51)+SUMPRODUCT(Oxides_max!$C14:$BB14,Factors!$C$51:$BB$51))/2)</f>
        <v>0</v>
      </c>
      <c r="AS14" s="20">
        <f>MAX(0,(SUMPRODUCT(Oxides_min!$C14:$BB14,Factors!$C$52:$BB$52)+SUMPRODUCT(Oxides_max!$C14:$BB14,Factors!$C$52:$BB$52))/2)</f>
        <v>0.43566034043169244</v>
      </c>
      <c r="AT14" s="20">
        <f>MAX(0,(SUMPRODUCT(Oxides_min!$C14:$BB14,Factors!$C$53:$BB$53)+SUMPRODUCT(Oxides_max!$C14:$BB14,Factors!$C$53:$BB$53))/2)</f>
        <v>0</v>
      </c>
      <c r="AU14" s="20">
        <f>MAX(0,(SUMPRODUCT(Oxides_min!$C14:$BB14,Factors!$C$54:$BB$54)+SUMPRODUCT(Oxides_max!$C14:$BB14,Factors!$C$54:$BB$54))/2)</f>
        <v>0.21863064193561035</v>
      </c>
      <c r="AV14" s="20">
        <f>MAX(0,(SUMPRODUCT(Oxides_min!$C14:$BB14,Factors!$C$55:$BB$55)+SUMPRODUCT(Oxides_max!$C14:$BB14,Factors!$C$55:$BB$55))/2)</f>
        <v>0</v>
      </c>
      <c r="AW14" s="20">
        <f>MAX(0,(SUMPRODUCT(Oxides_min!$C14:$BB14,Factors!$C$56:$BB$56)+SUMPRODUCT(Oxides_max!$C14:$BB14,Factors!$C$56:$BB$56))/2)</f>
        <v>0.13173106446038566</v>
      </c>
      <c r="AX14" s="20">
        <f>MAX(0,(SUMPRODUCT(Oxides_min!$C14:$BB14,Factors!$C$57:$BB$57)+SUMPRODUCT(Oxides_max!$C14:$BB14,Factors!$C$57:$BB$57))/2)</f>
        <v>0</v>
      </c>
      <c r="AY14" s="20">
        <f>MAX(0,(SUMPRODUCT(Oxides_min!$C14:$BB14,Factors!$C$58:$BB$58)+SUMPRODUCT(Oxides_max!$C14:$BB14,Factors!$C$58:$BB$58))/2)</f>
        <v>0</v>
      </c>
      <c r="AZ14" s="18">
        <f t="shared" si="0"/>
        <v>104.33455906672066</v>
      </c>
    </row>
    <row r="15" spans="1:52" x14ac:dyDescent="0.35">
      <c r="A15" s="13" t="s">
        <v>151</v>
      </c>
      <c r="B15" s="20">
        <f>MAX(0,(SUMPRODUCT(Oxides_min!$C15:$BB15,Factors!$C$9:$BB$9)+SUMPRODUCT(Oxides_max!$C15:$BB15,Factors!$C$9:$BB$9))/2)</f>
        <v>43.52275031171672</v>
      </c>
      <c r="C15" s="20">
        <f>MAX(0,(SUMPRODUCT(Oxides_min!$C15:$BB15,Factors!$C$10:$BB$10)+SUMPRODUCT(Oxides_max!$C15:$BB15,Factors!$C$10:$BB$10))/2)</f>
        <v>0.11685917813691062</v>
      </c>
      <c r="D15" s="20">
        <f>MAX(0,(SUMPRODUCT(Oxides_min!$C15:$BB15,Factors!$C$11:$BB$11)+SUMPRODUCT(Oxides_max!$C15:$BB15,Factors!$C$11:$BB$11))/2)</f>
        <v>0</v>
      </c>
      <c r="E15" s="20">
        <f>MAX(0,(SUMPRODUCT(Oxides_min!$C15:$BB15,Factors!$C$12:$BB$12)+SUMPRODUCT(Oxides_max!$C15:$BB15,Factors!$C$12:$BB$12))/2)</f>
        <v>0</v>
      </c>
      <c r="F15" s="20">
        <f>MAX(0,(SUMPRODUCT(Oxides_min!$C15:$BB15,Factors!$C$13:$BB$13)+SUMPRODUCT(Oxides_max!$C15:$BB15,Factors!$C$13:$BB$13))/2)</f>
        <v>0</v>
      </c>
      <c r="G15" s="20">
        <f>MAX(0,(SUMPRODUCT(Oxides_min!$C15:$BB15,Factors!$C$14:$BB$14)+SUMPRODUCT(Oxides_max!$C15:$BB15,Factors!$C$14:$BB$14))/2)</f>
        <v>0</v>
      </c>
      <c r="H15" s="20">
        <f>MAX(0,(SUMPRODUCT(Oxides_min!$C15:$BB15,Factors!$C$15:$BB$15)+SUMPRODUCT(Oxides_max!$C15:$BB15,Factors!$C$15:$BB$15))/2)</f>
        <v>0.26462846335433821</v>
      </c>
      <c r="I15" s="20">
        <f>MAX(0,(SUMPRODUCT(Oxides_min!$C15:$BB15,Factors!$C$16:$BB$16)+SUMPRODUCT(Oxides_max!$C15:$BB15,Factors!$C$16:$BB$16))/2)</f>
        <v>0.52457307107028117</v>
      </c>
      <c r="J15" s="20">
        <f>MAX(0,(SUMPRODUCT(Oxides_min!$C15:$BB15,Factors!$C$17:$BB$17)+SUMPRODUCT(Oxides_max!$C15:$BB15,Factors!$C$17:$BB$17))/2)</f>
        <v>0</v>
      </c>
      <c r="K15" s="20">
        <f>MAX(0,(SUMPRODUCT(Oxides_min!$C15:$BB15,Factors!$C$18:$BB$18)+SUMPRODUCT(Oxides_max!$C15:$BB15,Factors!$C$18:$BB$18))/2)</f>
        <v>0</v>
      </c>
      <c r="L15" s="20">
        <f>MAX(0,(SUMPRODUCT(Oxides_min!$C15:$BB15,Factors!$C$19:$BB$19)+SUMPRODUCT(Oxides_max!$C15:$BB15,Factors!$C$19:$BB$19))/2)</f>
        <v>0</v>
      </c>
      <c r="M15" s="20">
        <f>MAX(0,(SUMPRODUCT(Oxides_min!$C15:$BB15,Factors!$C$20:$BB$20)+SUMPRODUCT(Oxides_max!$C15:$BB15,Factors!$C$20:$BB$20))/2)</f>
        <v>0</v>
      </c>
      <c r="N15" s="20">
        <f>MAX(0,(SUMPRODUCT(Oxides_min!$C15:$BB15,Factors!$C$21:$BB$21)+SUMPRODUCT(Oxides_max!$C15:$BB15,Factors!$C$21:$BB$21))/2)</f>
        <v>0.71469586461472612</v>
      </c>
      <c r="O15" s="20">
        <f>MAX(0,(SUMPRODUCT(Oxides_min!$C15:$BB15,Factors!$C$22:$BB$22)+SUMPRODUCT(Oxides_max!$C15:$BB15,Factors!$C$22:$BB$22))/2)</f>
        <v>0</v>
      </c>
      <c r="P15" s="20">
        <f>MAX(0,(SUMPRODUCT(Oxides_min!$C15:$BB15,Factors!$C$23:$BB$23)+SUMPRODUCT(Oxides_max!$C15:$BB15,Factors!$C$23:$BB$23))/2)</f>
        <v>0</v>
      </c>
      <c r="Q15" s="20">
        <f>MAX(0,(SUMPRODUCT(Oxides_min!$C15:$BB15,Factors!$C$24:$BB$24)+SUMPRODUCT(Oxides_max!$C15:$BB15,Factors!$C$24:$BB$24))/2)</f>
        <v>0</v>
      </c>
      <c r="R15" s="20">
        <f>MAX(0,(SUMPRODUCT(Oxides_min!$C15:$BB15,Factors!$C$25:$BB$25)+SUMPRODUCT(Oxides_max!$C15:$BB15,Factors!$C$25:$BB$25))/2)</f>
        <v>0</v>
      </c>
      <c r="S15" s="20">
        <f>MAX(0,(SUMPRODUCT(Oxides_min!$C15:$BB15,Factors!$C$26:$BB$26)+SUMPRODUCT(Oxides_max!$C15:$BB15,Factors!$C$26:$BB$26))/2)</f>
        <v>0</v>
      </c>
      <c r="T15" s="20">
        <f>MAX(0,(SUMPRODUCT(Oxides_min!$C15:$BB15,Factors!$C$27:$BB$27)+SUMPRODUCT(Oxides_max!$C15:$BB15,Factors!$C$27:$BB$27))/2)</f>
        <v>0</v>
      </c>
      <c r="U15" s="20">
        <f>MAX(0,(SUMPRODUCT(Oxides_min!$C15:$BB15,Factors!$C$28:$BB$28)+SUMPRODUCT(Oxides_max!$C15:$BB15,Factors!$C$28:$BB$28))/2)</f>
        <v>0</v>
      </c>
      <c r="V15" s="20">
        <f>MAX(0,(SUMPRODUCT(Oxides_min!$C15:$BB15,Factors!$C$29:$BB$29)+SUMPRODUCT(Oxides_max!$C15:$BB15,Factors!$C$29:$BB$29))/2)</f>
        <v>0</v>
      </c>
      <c r="W15" s="20">
        <f>MAX(0,(SUMPRODUCT(Oxides_min!$C15:$BB15,Factors!$C$30:$BB$30)+SUMPRODUCT(Oxides_max!$C15:$BB15,Factors!$C$30:$BB$30))/2)</f>
        <v>0</v>
      </c>
      <c r="X15" s="20">
        <f>MAX(0,(SUMPRODUCT(Oxides_min!$C15:$BB15,Factors!$C$31:$BB$31)+SUMPRODUCT(Oxides_max!$C15:$BB15,Factors!$C$31:$BB$31))/2)</f>
        <v>0</v>
      </c>
      <c r="Y15" s="20">
        <f>MAX(0,(SUMPRODUCT(Oxides_min!$C15:$BB15,Factors!$C$32:$BB$32)+SUMPRODUCT(Oxides_max!$C15:$BB15,Factors!$C$32:$BB$32))/2)</f>
        <v>0</v>
      </c>
      <c r="Z15" s="20">
        <f>MAX(0,(SUMPRODUCT(Oxides_min!$C15:$BB15,Factors!$C$33:$BB$33)+SUMPRODUCT(Oxides_max!$C15:$BB15,Factors!$C$33:$BB$33))/2)</f>
        <v>13.529231338243054</v>
      </c>
      <c r="AA15" s="20">
        <f>MAX(0,(SUMPRODUCT(Oxides_min!$C15:$BB15,Factors!$C$34:$BB$34)+SUMPRODUCT(Oxides_max!$C15:$BB15,Factors!$C$34:$BB$34))/2)</f>
        <v>0</v>
      </c>
      <c r="AB15" s="20">
        <f>MAX(0,(SUMPRODUCT(Oxides_min!$C15:$BB15,Factors!$C$35:$BB$35)+SUMPRODUCT(Oxides_max!$C15:$BB15,Factors!$C$35:$BB$35))/2)</f>
        <v>0</v>
      </c>
      <c r="AC15" s="20">
        <f>MAX(0,(SUMPRODUCT(Oxides_min!$C15:$BB15,Factors!$C$36:$BB$36)+SUMPRODUCT(Oxides_max!$C15:$BB15,Factors!$C$36:$BB$36))/2)</f>
        <v>0</v>
      </c>
      <c r="AD15" s="20">
        <f>MAX(0,(SUMPRODUCT(Oxides_min!$C15:$BB15,Factors!$C$37:$BB$37)+SUMPRODUCT(Oxides_max!$C15:$BB15,Factors!$C$37:$BB$37))/2)</f>
        <v>1.7345545378850957</v>
      </c>
      <c r="AE15" s="20">
        <f>MAX(0,(SUMPRODUCT(Oxides_min!$C15:$BB15,Factors!$C$38:$BB$38)+SUMPRODUCT(Oxides_max!$C15:$BB15,Factors!$C$38:$BB$38))/2)</f>
        <v>0</v>
      </c>
      <c r="AF15" s="20">
        <f>MAX(0,(SUMPRODUCT(Oxides_min!$C15:$BB15,Factors!$C$39:$BB$39)+SUMPRODUCT(Oxides_max!$C15:$BB15,Factors!$C$39:$BB$39))/2)</f>
        <v>0</v>
      </c>
      <c r="AG15" s="20">
        <f>MAX(0,(SUMPRODUCT(Oxides_min!$C15:$BB15,Factors!$C$40:$BB$40)+SUMPRODUCT(Oxides_max!$C15:$BB15,Factors!$C$40:$BB$40))/2)</f>
        <v>0</v>
      </c>
      <c r="AH15" s="20">
        <f>MAX(0,(SUMPRODUCT(Oxides_min!$C15:$BB15,Factors!$C$41:$BB$41)+SUMPRODUCT(Oxides_max!$C15:$BB15,Factors!$C$41:$BB$41))/2)</f>
        <v>0</v>
      </c>
      <c r="AI15" s="20">
        <f>MAX(0,(SUMPRODUCT(Oxides_min!$C15:$BB15,Factors!$C$42:$BB$42)+SUMPRODUCT(Oxides_max!$C15:$BB15,Factors!$C$42:$BB$42))/2)</f>
        <v>0</v>
      </c>
      <c r="AJ15" s="20">
        <f>MAX(0,(SUMPRODUCT(Oxides_min!$C15:$BB15,Factors!$C$43:$BB$43)+SUMPRODUCT(Oxides_max!$C15:$BB15,Factors!$C$43:$BB$43))/2)</f>
        <v>33.466368077613318</v>
      </c>
      <c r="AK15" s="20">
        <f>MAX(0,(SUMPRODUCT(Oxides_min!$C15:$BB15,Factors!$C$44:$BB$44)+SUMPRODUCT(Oxides_max!$C15:$BB15,Factors!$C$44:$BB$44))/2)</f>
        <v>1.7053662964751564</v>
      </c>
      <c r="AL15" s="20">
        <f>MAX(0,(SUMPRODUCT(Oxides_min!$C15:$BB15,Factors!$C$45:$BB$45)+SUMPRODUCT(Oxides_max!$C15:$BB15,Factors!$C$45:$BB$45))/2)</f>
        <v>0.64032733244167939</v>
      </c>
      <c r="AM15" s="20">
        <f>MAX(0,(SUMPRODUCT(Oxides_min!$C15:$BB15,Factors!$C$46:$BB$46)+SUMPRODUCT(Oxides_max!$C15:$BB15,Factors!$C$46:$BB$46))/2)</f>
        <v>0.21361794489666122</v>
      </c>
      <c r="AN15" s="20">
        <f>MAX(0,(SUMPRODUCT(Oxides_min!$C15:$BB15,Factors!$C$47:$BB$47)+SUMPRODUCT(Oxides_max!$C15:$BB15,Factors!$C$47:$BB$47))/2)</f>
        <v>1.7147119748217581</v>
      </c>
      <c r="AO15" s="20">
        <f>MAX(0,(SUMPRODUCT(Oxides_min!$C15:$BB15,Factors!$C$48:$BB$48)+SUMPRODUCT(Oxides_max!$C15:$BB15,Factors!$C$48:$BB$48))/2)</f>
        <v>0.43118058482953225</v>
      </c>
      <c r="AP15" s="20">
        <f>MAX(0,(SUMPRODUCT(Oxides_min!$C15:$BB15,Factors!$C$49:$BB$49)+SUMPRODUCT(Oxides_max!$C15:$BB15,Factors!$C$49:$BB$49))/2)</f>
        <v>0.12954237408538749</v>
      </c>
      <c r="AQ15" s="20">
        <f>MAX(0,(SUMPRODUCT(Oxides_min!$C15:$BB15,Factors!$C$50:$BB$50)+SUMPRODUCT(Oxides_max!$C15:$BB15,Factors!$C$50:$BB$50))/2)</f>
        <v>2.1689834674493857</v>
      </c>
      <c r="AR15" s="20">
        <f>MAX(0,(SUMPRODUCT(Oxides_min!$C15:$BB15,Factors!$C$51:$BB$51)+SUMPRODUCT(Oxides_max!$C15:$BB15,Factors!$C$51:$BB$51))/2)</f>
        <v>0.39096272847963787</v>
      </c>
      <c r="AS15" s="20">
        <f>MAX(0,(SUMPRODUCT(Oxides_min!$C15:$BB15,Factors!$C$52:$BB$52)+SUMPRODUCT(Oxides_max!$C15:$BB15,Factors!$C$52:$BB$52))/2)</f>
        <v>2.8317922128060009</v>
      </c>
      <c r="AT15" s="20">
        <f>MAX(0,(SUMPRODUCT(Oxides_min!$C15:$BB15,Factors!$C$53:$BB$53)+SUMPRODUCT(Oxides_max!$C15:$BB15,Factors!$C$53:$BB$53))/2)</f>
        <v>0.61108318407518847</v>
      </c>
      <c r="AU15" s="20">
        <f>MAX(0,(SUMPRODUCT(Oxides_min!$C15:$BB15,Factors!$C$54:$BB$54)+SUMPRODUCT(Oxides_max!$C15:$BB15,Factors!$C$54:$BB$54))/2)</f>
        <v>2.1863064193561037</v>
      </c>
      <c r="AV15" s="20">
        <f>MAX(0,(SUMPRODUCT(Oxides_min!$C15:$BB15,Factors!$C$55:$BB$55)+SUMPRODUCT(Oxides_max!$C15:$BB15,Factors!$C$55:$BB$55))/2)</f>
        <v>0.26268362359686837</v>
      </c>
      <c r="AW15" s="20">
        <f>MAX(0,(SUMPRODUCT(Oxides_min!$C15:$BB15,Factors!$C$56:$BB$56)+SUMPRODUCT(Oxides_max!$C15:$BB15,Factors!$C$56:$BB$56))/2)</f>
        <v>1.9759659669057847</v>
      </c>
      <c r="AX15" s="20">
        <f>MAX(0,(SUMPRODUCT(Oxides_min!$C15:$BB15,Factors!$C$57:$BB$57)+SUMPRODUCT(Oxides_max!$C15:$BB15,Factors!$C$57:$BB$57))/2)</f>
        <v>0.26381504714641196</v>
      </c>
      <c r="AY15" s="20">
        <f>MAX(0,(SUMPRODUCT(Oxides_min!$C15:$BB15,Factors!$C$58:$BB$58)+SUMPRODUCT(Oxides_max!$C15:$BB15,Factors!$C$58:$BB$58))/2)</f>
        <v>0</v>
      </c>
      <c r="AZ15" s="18">
        <f t="shared" si="0"/>
        <v>109.4</v>
      </c>
    </row>
    <row r="16" spans="1:52" x14ac:dyDescent="0.35">
      <c r="A16" s="13" t="s">
        <v>153</v>
      </c>
      <c r="B16" s="20">
        <f>MAX(0,(SUMPRODUCT(Oxides_min!$C16:$BB16,Factors!$C$9:$BB$9)+SUMPRODUCT(Oxides_max!$C16:$BB16,Factors!$C$9:$BB$9))/2)</f>
        <v>34.165699442912299</v>
      </c>
      <c r="C16" s="20">
        <f>MAX(0,(SUMPRODUCT(Oxides_min!$C16:$BB16,Factors!$C$10:$BB$10)+SUMPRODUCT(Oxides_max!$C16:$BB16,Factors!$C$10:$BB$10))/2)</f>
        <v>0.93487342509528493</v>
      </c>
      <c r="D16" s="20">
        <f>MAX(0,(SUMPRODUCT(Oxides_min!$C16:$BB16,Factors!$C$11:$BB$11)+SUMPRODUCT(Oxides_max!$C16:$BB16,Factors!$C$11:$BB$11))/2)</f>
        <v>0</v>
      </c>
      <c r="E16" s="20">
        <f>MAX(0,(SUMPRODUCT(Oxides_min!$C16:$BB16,Factors!$C$12:$BB$12)+SUMPRODUCT(Oxides_max!$C16:$BB16,Factors!$C$12:$BB$12))/2)</f>
        <v>0</v>
      </c>
      <c r="F16" s="20">
        <f>MAX(0,(SUMPRODUCT(Oxides_min!$C16:$BB16,Factors!$C$13:$BB$13)+SUMPRODUCT(Oxides_max!$C16:$BB16,Factors!$C$13:$BB$13))/2)</f>
        <v>0</v>
      </c>
      <c r="G16" s="20">
        <f>MAX(0,(SUMPRODUCT(Oxides_min!$C16:$BB16,Factors!$C$14:$BB$14)+SUMPRODUCT(Oxides_max!$C16:$BB16,Factors!$C$14:$BB$14))/2)</f>
        <v>0</v>
      </c>
      <c r="H16" s="20">
        <f>MAX(0,(SUMPRODUCT(Oxides_min!$C16:$BB16,Factors!$C$15:$BB$15)+SUMPRODUCT(Oxides_max!$C16:$BB16,Factors!$C$15:$BB$15))/2)</f>
        <v>0.52925692670867641</v>
      </c>
      <c r="I16" s="20">
        <f>MAX(0,(SUMPRODUCT(Oxides_min!$C16:$BB16,Factors!$C$16:$BB$16)+SUMPRODUCT(Oxides_max!$C16:$BB16,Factors!$C$16:$BB$16))/2)</f>
        <v>0.52457307107028117</v>
      </c>
      <c r="J16" s="20">
        <f>MAX(0,(SUMPRODUCT(Oxides_min!$C16:$BB16,Factors!$C$17:$BB$17)+SUMPRODUCT(Oxides_max!$C16:$BB16,Factors!$C$17:$BB$17))/2)</f>
        <v>0</v>
      </c>
      <c r="K16" s="20">
        <f>MAX(0,(SUMPRODUCT(Oxides_min!$C16:$BB16,Factors!$C$18:$BB$18)+SUMPRODUCT(Oxides_max!$C16:$BB16,Factors!$C$18:$BB$18))/2)</f>
        <v>0</v>
      </c>
      <c r="L16" s="20">
        <f>MAX(0,(SUMPRODUCT(Oxides_min!$C16:$BB16,Factors!$C$19:$BB$19)+SUMPRODUCT(Oxides_max!$C16:$BB16,Factors!$C$19:$BB$19))/2)</f>
        <v>0</v>
      </c>
      <c r="M16" s="20">
        <f>MAX(0,(SUMPRODUCT(Oxides_min!$C16:$BB16,Factors!$C$20:$BB$20)+SUMPRODUCT(Oxides_max!$C16:$BB16,Factors!$C$20:$BB$20))/2)</f>
        <v>0</v>
      </c>
      <c r="N16" s="20">
        <f>MAX(0,(SUMPRODUCT(Oxides_min!$C16:$BB16,Factors!$C$21:$BB$21)+SUMPRODUCT(Oxides_max!$C16:$BB16,Factors!$C$21:$BB$21))/2)</f>
        <v>1.500861315690925</v>
      </c>
      <c r="O16" s="20">
        <f>MAX(0,(SUMPRODUCT(Oxides_min!$C16:$BB16,Factors!$C$22:$BB$22)+SUMPRODUCT(Oxides_max!$C16:$BB16,Factors!$C$22:$BB$22))/2)</f>
        <v>0.4227989075362627</v>
      </c>
      <c r="P16" s="20">
        <f>MAX(0,(SUMPRODUCT(Oxides_min!$C16:$BB16,Factors!$C$23:$BB$23)+SUMPRODUCT(Oxides_max!$C16:$BB16,Factors!$C$23:$BB$23))/2)</f>
        <v>0</v>
      </c>
      <c r="Q16" s="20">
        <f>MAX(0,(SUMPRODUCT(Oxides_min!$C16:$BB16,Factors!$C$24:$BB$24)+SUMPRODUCT(Oxides_max!$C16:$BB16,Factors!$C$24:$BB$24))/2)</f>
        <v>9.2831957132424425E-2</v>
      </c>
      <c r="R16" s="20">
        <f>MAX(0,(SUMPRODUCT(Oxides_min!$C16:$BB16,Factors!$C$25:$BB$25)+SUMPRODUCT(Oxides_max!$C16:$BB16,Factors!$C$25:$BB$25))/2)</f>
        <v>0</v>
      </c>
      <c r="S16" s="20">
        <f>MAX(0,(SUMPRODUCT(Oxides_min!$C16:$BB16,Factors!$C$26:$BB$26)+SUMPRODUCT(Oxides_max!$C16:$BB16,Factors!$C$26:$BB$26))/2)</f>
        <v>0</v>
      </c>
      <c r="T16" s="20">
        <f>MAX(0,(SUMPRODUCT(Oxides_min!$C16:$BB16,Factors!$C$27:$BB$27)+SUMPRODUCT(Oxides_max!$C16:$BB16,Factors!$C$27:$BB$27))/2)</f>
        <v>0</v>
      </c>
      <c r="U16" s="20">
        <f>MAX(0,(SUMPRODUCT(Oxides_min!$C16:$BB16,Factors!$C$28:$BB$28)+SUMPRODUCT(Oxides_max!$C16:$BB16,Factors!$C$28:$BB$28))/2)</f>
        <v>0</v>
      </c>
      <c r="V16" s="20">
        <f>MAX(0,(SUMPRODUCT(Oxides_min!$C16:$BB16,Factors!$C$29:$BB$29)+SUMPRODUCT(Oxides_max!$C16:$BB16,Factors!$C$29:$BB$29))/2)</f>
        <v>0</v>
      </c>
      <c r="W16" s="20">
        <f>MAX(0,(SUMPRODUCT(Oxides_min!$C16:$BB16,Factors!$C$30:$BB$30)+SUMPRODUCT(Oxides_max!$C16:$BB16,Factors!$C$30:$BB$30))/2)</f>
        <v>0</v>
      </c>
      <c r="X16" s="20">
        <f>MAX(0,(SUMPRODUCT(Oxides_min!$C16:$BB16,Factors!$C$31:$BB$31)+SUMPRODUCT(Oxides_max!$C16:$BB16,Factors!$C$31:$BB$31))/2)</f>
        <v>0</v>
      </c>
      <c r="Y16" s="20">
        <f>MAX(0,(SUMPRODUCT(Oxides_min!$C16:$BB16,Factors!$C$32:$BB$32)+SUMPRODUCT(Oxides_max!$C16:$BB16,Factors!$C$32:$BB$32))/2)</f>
        <v>0</v>
      </c>
      <c r="Z16" s="20">
        <f>MAX(0,(SUMPRODUCT(Oxides_min!$C16:$BB16,Factors!$C$33:$BB$33)+SUMPRODUCT(Oxides_max!$C16:$BB16,Factors!$C$33:$BB$33))/2)</f>
        <v>11.783524068792339</v>
      </c>
      <c r="AA16" s="20">
        <f>MAX(0,(SUMPRODUCT(Oxides_min!$C16:$BB16,Factors!$C$34:$BB$34)+SUMPRODUCT(Oxides_max!$C16:$BB16,Factors!$C$34:$BB$34))/2)</f>
        <v>0</v>
      </c>
      <c r="AB16" s="20">
        <f>MAX(0,(SUMPRODUCT(Oxides_min!$C16:$BB16,Factors!$C$35:$BB$35)+SUMPRODUCT(Oxides_max!$C16:$BB16,Factors!$C$35:$BB$35))/2)</f>
        <v>0</v>
      </c>
      <c r="AC16" s="20">
        <f>MAX(0,(SUMPRODUCT(Oxides_min!$C16:$BB16,Factors!$C$36:$BB$36)+SUMPRODUCT(Oxides_max!$C16:$BB16,Factors!$C$36:$BB$36))/2)</f>
        <v>0</v>
      </c>
      <c r="AD16" s="20">
        <f>MAX(0,(SUMPRODUCT(Oxides_min!$C16:$BB16,Factors!$C$37:$BB$37)+SUMPRODUCT(Oxides_max!$C16:$BB16,Factors!$C$37:$BB$37))/2)</f>
        <v>0.78334721065778512</v>
      </c>
      <c r="AE16" s="20">
        <f>MAX(0,(SUMPRODUCT(Oxides_min!$C16:$BB16,Factors!$C$38:$BB$38)+SUMPRODUCT(Oxides_max!$C16:$BB16,Factors!$C$38:$BB$38))/2)</f>
        <v>0</v>
      </c>
      <c r="AF16" s="20">
        <f>MAX(0,(SUMPRODUCT(Oxides_min!$C16:$BB16,Factors!$C$39:$BB$39)+SUMPRODUCT(Oxides_max!$C16:$BB16,Factors!$C$39:$BB$39))/2)</f>
        <v>0</v>
      </c>
      <c r="AG16" s="20">
        <f>MAX(0,(SUMPRODUCT(Oxides_min!$C16:$BB16,Factors!$C$40:$BB$40)+SUMPRODUCT(Oxides_max!$C16:$BB16,Factors!$C$40:$BB$40))/2)</f>
        <v>3.5152473699579261</v>
      </c>
      <c r="AH16" s="20">
        <f>MAX(0,(SUMPRODUCT(Oxides_min!$C16:$BB16,Factors!$C$41:$BB$41)+SUMPRODUCT(Oxides_max!$C16:$BB16,Factors!$C$41:$BB$41))/2)</f>
        <v>0.22037517482979752</v>
      </c>
      <c r="AI16" s="20">
        <f>MAX(0,(SUMPRODUCT(Oxides_min!$C16:$BB16,Factors!$C$42:$BB$42)+SUMPRODUCT(Oxides_max!$C16:$BB16,Factors!$C$42:$BB$42))/2)</f>
        <v>0</v>
      </c>
      <c r="AJ16" s="20">
        <f>MAX(0,(SUMPRODUCT(Oxides_min!$C16:$BB16,Factors!$C$43:$BB$43)+SUMPRODUCT(Oxides_max!$C16:$BB16,Factors!$C$43:$BB$43))/2)</f>
        <v>1.5748879095347443</v>
      </c>
      <c r="AK16" s="20">
        <f>MAX(0,(SUMPRODUCT(Oxides_min!$C16:$BB16,Factors!$C$44:$BB$44)+SUMPRODUCT(Oxides_max!$C16:$BB16,Factors!$C$44:$BB$44))/2)</f>
        <v>11.937564075326094</v>
      </c>
      <c r="AL16" s="20">
        <f>MAX(0,(SUMPRODUCT(Oxides_min!$C16:$BB16,Factors!$C$45:$BB$45)+SUMPRODUCT(Oxides_max!$C16:$BB16,Factors!$C$45:$BB$45))/2)</f>
        <v>23.478668856194911</v>
      </c>
      <c r="AM16" s="20">
        <f>MAX(0,(SUMPRODUCT(Oxides_min!$C16:$BB16,Factors!$C$46:$BB$46)+SUMPRODUCT(Oxides_max!$C16:$BB16,Factors!$C$46:$BB$46))/2)</f>
        <v>2.1361794489666122</v>
      </c>
      <c r="AN16" s="20">
        <f>MAX(0,(SUMPRODUCT(Oxides_min!$C16:$BB16,Factors!$C$47:$BB$47)+SUMPRODUCT(Oxides_max!$C16:$BB16,Factors!$C$47:$BB$47))/2)</f>
        <v>11.574305830046868</v>
      </c>
      <c r="AO16" s="20">
        <f>MAX(0,(SUMPRODUCT(Oxides_min!$C16:$BB16,Factors!$C$48:$BB$48)+SUMPRODUCT(Oxides_max!$C16:$BB16,Factors!$C$48:$BB$48))/2)</f>
        <v>1.9403126317328951</v>
      </c>
      <c r="AP16" s="20">
        <f>MAX(0,(SUMPRODUCT(Oxides_min!$C16:$BB16,Factors!$C$49:$BB$49)+SUMPRODUCT(Oxides_max!$C16:$BB16,Factors!$C$49:$BB$49))/2)</f>
        <v>0.77725424451232505</v>
      </c>
      <c r="AQ16" s="20">
        <f>MAX(0,(SUMPRODUCT(Oxides_min!$C16:$BB16,Factors!$C$50:$BB$50)+SUMPRODUCT(Oxides_max!$C16:$BB16,Factors!$C$50:$BB$50))/2)</f>
        <v>1.6050477659125455</v>
      </c>
      <c r="AR16" s="20">
        <f>MAX(0,(SUMPRODUCT(Oxides_min!$C16:$BB16,Factors!$C$51:$BB$51)+SUMPRODUCT(Oxides_max!$C16:$BB16,Factors!$C$51:$BB$51))/2)</f>
        <v>0.17376121265761682</v>
      </c>
      <c r="AS16" s="20">
        <f>MAX(0,(SUMPRODUCT(Oxides_min!$C16:$BB16,Factors!$C$52:$BB$52)+SUMPRODUCT(Oxides_max!$C16:$BB16,Factors!$C$52:$BB$52))/2)</f>
        <v>0.74062257873387716</v>
      </c>
      <c r="AT16" s="20">
        <f>MAX(0,(SUMPRODUCT(Oxides_min!$C16:$BB16,Factors!$C$53:$BB$53)+SUMPRODUCT(Oxides_max!$C16:$BB16,Factors!$C$53:$BB$53))/2)</f>
        <v>0.17459519545005386</v>
      </c>
      <c r="AU16" s="20">
        <f>MAX(0,(SUMPRODUCT(Oxides_min!$C16:$BB16,Factors!$C$54:$BB$54)+SUMPRODUCT(Oxides_max!$C16:$BB16,Factors!$C$54:$BB$54))/2)</f>
        <v>0.48098741225834279</v>
      </c>
      <c r="AV16" s="20">
        <f>MAX(0,(SUMPRODUCT(Oxides_min!$C16:$BB16,Factors!$C$55:$BB$55)+SUMPRODUCT(Oxides_max!$C16:$BB16,Factors!$C$55:$BB$55))/2)</f>
        <v>0.21890301966405698</v>
      </c>
      <c r="AW16" s="20">
        <f>MAX(0,(SUMPRODUCT(Oxides_min!$C16:$BB16,Factors!$C$56:$BB$56)+SUMPRODUCT(Oxides_max!$C16:$BB16,Factors!$C$56:$BB$56))/2)</f>
        <v>0.21955177410064275</v>
      </c>
      <c r="AX16" s="20">
        <f>MAX(0,(SUMPRODUCT(Oxides_min!$C16:$BB16,Factors!$C$57:$BB$57)+SUMPRODUCT(Oxides_max!$C16:$BB16,Factors!$C$57:$BB$57))/2)</f>
        <v>4.3969174524401994E-2</v>
      </c>
      <c r="AY16" s="20">
        <f>MAX(0,(SUMPRODUCT(Oxides_min!$C16:$BB16,Factors!$C$58:$BB$58)+SUMPRODUCT(Oxides_max!$C16:$BB16,Factors!$C$58:$BB$58))/2)</f>
        <v>0</v>
      </c>
      <c r="AZ16" s="18">
        <f t="shared" si="0"/>
        <v>111.55</v>
      </c>
    </row>
    <row r="17" spans="1:52" x14ac:dyDescent="0.35">
      <c r="A17" s="13" t="s">
        <v>155</v>
      </c>
      <c r="B17" s="20">
        <f>MAX(0,(SUMPRODUCT(Oxides_min!$C17:$BB17,Factors!$C$9:$BB$9)+SUMPRODUCT(Oxides_max!$C17:$BB17,Factors!$C$9:$BB$9))/2)</f>
        <v>1.4975557205055883</v>
      </c>
      <c r="C17" s="20">
        <f>MAX(0,(SUMPRODUCT(Oxides_min!$C17:$BB17,Factors!$C$10:$BB$10)+SUMPRODUCT(Oxides_max!$C17:$BB17,Factors!$C$10:$BB$10))/2)</f>
        <v>0.11685917813691062</v>
      </c>
      <c r="D17" s="20">
        <f>MAX(0,(SUMPRODUCT(Oxides_min!$C17:$BB17,Factors!$C$11:$BB$11)+SUMPRODUCT(Oxides_max!$C17:$BB17,Factors!$C$11:$BB$11))/2)</f>
        <v>0</v>
      </c>
      <c r="E17" s="20">
        <f>MAX(0,(SUMPRODUCT(Oxides_min!$C17:$BB17,Factors!$C$12:$BB$12)+SUMPRODUCT(Oxides_max!$C17:$BB17,Factors!$C$12:$BB$12))/2)</f>
        <v>0</v>
      </c>
      <c r="F17" s="20">
        <f>MAX(0,(SUMPRODUCT(Oxides_min!$C17:$BB17,Factors!$C$13:$BB$13)+SUMPRODUCT(Oxides_max!$C17:$BB17,Factors!$C$13:$BB$13))/2)</f>
        <v>0</v>
      </c>
      <c r="G17" s="20">
        <f>MAX(0,(SUMPRODUCT(Oxides_min!$C17:$BB17,Factors!$C$14:$BB$14)+SUMPRODUCT(Oxides_max!$C17:$BB17,Factors!$C$14:$BB$14))/2)</f>
        <v>0</v>
      </c>
      <c r="H17" s="20">
        <f>MAX(0,(SUMPRODUCT(Oxides_min!$C17:$BB17,Factors!$C$15:$BB$15)+SUMPRODUCT(Oxides_max!$C17:$BB17,Factors!$C$15:$BB$15))/2)</f>
        <v>0</v>
      </c>
      <c r="I17" s="20">
        <f>MAX(0,(SUMPRODUCT(Oxides_min!$C17:$BB17,Factors!$C$16:$BB$16)+SUMPRODUCT(Oxides_max!$C17:$BB17,Factors!$C$16:$BB$16))/2)</f>
        <v>0.10491461421405625</v>
      </c>
      <c r="J17" s="20">
        <f>MAX(0,(SUMPRODUCT(Oxides_min!$C17:$BB17,Factors!$C$17:$BB$17)+SUMPRODUCT(Oxides_max!$C17:$BB17,Factors!$C$17:$BB$17))/2)</f>
        <v>0</v>
      </c>
      <c r="K17" s="20">
        <f>MAX(0,(SUMPRODUCT(Oxides_min!$C17:$BB17,Factors!$C$18:$BB$18)+SUMPRODUCT(Oxides_max!$C17:$BB17,Factors!$C$18:$BB$18))/2)</f>
        <v>0</v>
      </c>
      <c r="L17" s="20">
        <f>MAX(0,(SUMPRODUCT(Oxides_min!$C17:$BB17,Factors!$C$19:$BB$19)+SUMPRODUCT(Oxides_max!$C17:$BB17,Factors!$C$19:$BB$19))/2)</f>
        <v>0</v>
      </c>
      <c r="M17" s="20">
        <f>MAX(0,(SUMPRODUCT(Oxides_min!$C17:$BB17,Factors!$C$20:$BB$20)+SUMPRODUCT(Oxides_max!$C17:$BB17,Factors!$C$20:$BB$20))/2)</f>
        <v>0</v>
      </c>
      <c r="N17" s="20">
        <f>MAX(0,(SUMPRODUCT(Oxides_min!$C17:$BB17,Factors!$C$21:$BB$21)+SUMPRODUCT(Oxides_max!$C17:$BB17,Factors!$C$21:$BB$21))/2)</f>
        <v>0.35734793230736306</v>
      </c>
      <c r="O17" s="20">
        <f>MAX(0,(SUMPRODUCT(Oxides_min!$C17:$BB17,Factors!$C$22:$BB$22)+SUMPRODUCT(Oxides_max!$C17:$BB17,Factors!$C$22:$BB$22))/2)</f>
        <v>0</v>
      </c>
      <c r="P17" s="20">
        <f>MAX(0,(SUMPRODUCT(Oxides_min!$C17:$BB17,Factors!$C$23:$BB$23)+SUMPRODUCT(Oxides_max!$C17:$BB17,Factors!$C$23:$BB$23))/2)</f>
        <v>0</v>
      </c>
      <c r="Q17" s="20">
        <f>MAX(0,(SUMPRODUCT(Oxides_min!$C17:$BB17,Factors!$C$24:$BB$24)+SUMPRODUCT(Oxides_max!$C17:$BB17,Factors!$C$24:$BB$24))/2)</f>
        <v>0</v>
      </c>
      <c r="R17" s="20">
        <f>MAX(0,(SUMPRODUCT(Oxides_min!$C17:$BB17,Factors!$C$25:$BB$25)+SUMPRODUCT(Oxides_max!$C17:$BB17,Factors!$C$25:$BB$25))/2)</f>
        <v>0</v>
      </c>
      <c r="S17" s="20">
        <f>MAX(0,(SUMPRODUCT(Oxides_min!$C17:$BB17,Factors!$C$26:$BB$26)+SUMPRODUCT(Oxides_max!$C17:$BB17,Factors!$C$26:$BB$26))/2)</f>
        <v>0</v>
      </c>
      <c r="T17" s="20">
        <f>MAX(0,(SUMPRODUCT(Oxides_min!$C17:$BB17,Factors!$C$27:$BB$27)+SUMPRODUCT(Oxides_max!$C17:$BB17,Factors!$C$27:$BB$27))/2)</f>
        <v>0</v>
      </c>
      <c r="U17" s="20">
        <f>MAX(0,(SUMPRODUCT(Oxides_min!$C17:$BB17,Factors!$C$28:$BB$28)+SUMPRODUCT(Oxides_max!$C17:$BB17,Factors!$C$28:$BB$28))/2)</f>
        <v>0</v>
      </c>
      <c r="V17" s="20">
        <f>MAX(0,(SUMPRODUCT(Oxides_min!$C17:$BB17,Factors!$C$29:$BB$29)+SUMPRODUCT(Oxides_max!$C17:$BB17,Factors!$C$29:$BB$29))/2)</f>
        <v>0</v>
      </c>
      <c r="W17" s="20">
        <f>MAX(0,(SUMPRODUCT(Oxides_min!$C17:$BB17,Factors!$C$30:$BB$30)+SUMPRODUCT(Oxides_max!$C17:$BB17,Factors!$C$30:$BB$30))/2)</f>
        <v>0</v>
      </c>
      <c r="X17" s="20">
        <f>MAX(0,(SUMPRODUCT(Oxides_min!$C17:$BB17,Factors!$C$31:$BB$31)+SUMPRODUCT(Oxides_max!$C17:$BB17,Factors!$C$31:$BB$31))/2)</f>
        <v>0</v>
      </c>
      <c r="Y17" s="20">
        <f>MAX(0,(SUMPRODUCT(Oxides_min!$C17:$BB17,Factors!$C$32:$BB$32)+SUMPRODUCT(Oxides_max!$C17:$BB17,Factors!$C$32:$BB$32))/2)</f>
        <v>0</v>
      </c>
      <c r="Z17" s="20">
        <f>MAX(0,(SUMPRODUCT(Oxides_min!$C17:$BB17,Factors!$C$33:$BB$33)+SUMPRODUCT(Oxides_max!$C17:$BB17,Factors!$C$33:$BB$33))/2)</f>
        <v>0</v>
      </c>
      <c r="AA17" s="20">
        <f>MAX(0,(SUMPRODUCT(Oxides_min!$C17:$BB17,Factors!$C$34:$BB$34)+SUMPRODUCT(Oxides_max!$C17:$BB17,Factors!$C$34:$BB$34))/2)</f>
        <v>0</v>
      </c>
      <c r="AB17" s="20">
        <f>MAX(0,(SUMPRODUCT(Oxides_min!$C17:$BB17,Factors!$C$35:$BB$35)+SUMPRODUCT(Oxides_max!$C17:$BB17,Factors!$C$35:$BB$35))/2)</f>
        <v>0</v>
      </c>
      <c r="AC17" s="20">
        <f>MAX(0,(SUMPRODUCT(Oxides_min!$C17:$BB17,Factors!$C$36:$BB$36)+SUMPRODUCT(Oxides_max!$C17:$BB17,Factors!$C$36:$BB$36))/2)</f>
        <v>0</v>
      </c>
      <c r="AD17" s="20">
        <f>MAX(0,(SUMPRODUCT(Oxides_min!$C17:$BB17,Factors!$C$37:$BB$37)+SUMPRODUCT(Oxides_max!$C17:$BB17,Factors!$C$37:$BB$37))/2)</f>
        <v>0</v>
      </c>
      <c r="AE17" s="20">
        <f>MAX(0,(SUMPRODUCT(Oxides_min!$C17:$BB17,Factors!$C$38:$BB$38)+SUMPRODUCT(Oxides_max!$C17:$BB17,Factors!$C$38:$BB$38))/2)</f>
        <v>27</v>
      </c>
      <c r="AF17" s="20">
        <f>MAX(0,(SUMPRODUCT(Oxides_min!$C17:$BB17,Factors!$C$39:$BB$39)+SUMPRODUCT(Oxides_max!$C17:$BB17,Factors!$C$39:$BB$39))/2)</f>
        <v>0</v>
      </c>
      <c r="AG17" s="20">
        <f>MAX(0,(SUMPRODUCT(Oxides_min!$C17:$BB17,Factors!$C$40:$BB$40)+SUMPRODUCT(Oxides_max!$C17:$BB17,Factors!$C$40:$BB$40))/2)</f>
        <v>0.87881184248948152</v>
      </c>
      <c r="AH17" s="20">
        <f>MAX(0,(SUMPRODUCT(Oxides_min!$C17:$BB17,Factors!$C$41:$BB$41)+SUMPRODUCT(Oxides_max!$C17:$BB17,Factors!$C$41:$BB$41))/2)</f>
        <v>0</v>
      </c>
      <c r="AI17" s="20">
        <f>MAX(0,(SUMPRODUCT(Oxides_min!$C17:$BB17,Factors!$C$42:$BB$42)+SUMPRODUCT(Oxides_max!$C17:$BB17,Factors!$C$42:$BB$42))/2)</f>
        <v>0</v>
      </c>
      <c r="AJ17" s="20">
        <f>MAX(0,(SUMPRODUCT(Oxides_min!$C17:$BB17,Factors!$C$43:$BB$43)+SUMPRODUCT(Oxides_max!$C17:$BB17,Factors!$C$43:$BB$43))/2)</f>
        <v>0.39372197738368608</v>
      </c>
      <c r="AK17" s="20">
        <f>MAX(0,(SUMPRODUCT(Oxides_min!$C17:$BB17,Factors!$C$44:$BB$44)+SUMPRODUCT(Oxides_max!$C17:$BB17,Factors!$C$44:$BB$44))/2)</f>
        <v>20.464395557701877</v>
      </c>
      <c r="AL17" s="20">
        <f>MAX(0,(SUMPRODUCT(Oxides_min!$C17:$BB17,Factors!$C$45:$BB$45)+SUMPRODUCT(Oxides_max!$C17:$BB17,Factors!$C$45:$BB$45))/2)</f>
        <v>39.700294611384123</v>
      </c>
      <c r="AM17" s="20">
        <f>MAX(0,(SUMPRODUCT(Oxides_min!$C17:$BB17,Factors!$C$46:$BB$46)+SUMPRODUCT(Oxides_max!$C17:$BB17,Factors!$C$46:$BB$46))/2)</f>
        <v>3.204269173449918</v>
      </c>
      <c r="AN17" s="20">
        <f>MAX(0,(SUMPRODUCT(Oxides_min!$C17:$BB17,Factors!$C$47:$BB$47)+SUMPRODUCT(Oxides_max!$C17:$BB17,Factors!$C$47:$BB$47))/2)</f>
        <v>7.2875258929924716</v>
      </c>
      <c r="AO17" s="20">
        <f>MAX(0,(SUMPRODUCT(Oxides_min!$C17:$BB17,Factors!$C$48:$BB$48)+SUMPRODUCT(Oxides_max!$C17:$BB17,Factors!$C$48:$BB$48))/2)</f>
        <v>0.90547922814201776</v>
      </c>
      <c r="AP17" s="20">
        <f>MAX(0,(SUMPRODUCT(Oxides_min!$C17:$BB17,Factors!$C$49:$BB$49)+SUMPRODUCT(Oxides_max!$C17:$BB17,Factors!$C$49:$BB$49))/2)</f>
        <v>8.6361582723591679E-2</v>
      </c>
      <c r="AQ17" s="20">
        <f>MAX(0,(SUMPRODUCT(Oxides_min!$C17:$BB17,Factors!$C$50:$BB$50)+SUMPRODUCT(Oxides_max!$C17:$BB17,Factors!$C$50:$BB$50))/2)</f>
        <v>0.43379669348987715</v>
      </c>
      <c r="AR17" s="20">
        <f>MAX(0,(SUMPRODUCT(Oxides_min!$C17:$BB17,Factors!$C$51:$BB$51)+SUMPRODUCT(Oxides_max!$C17:$BB17,Factors!$C$51:$BB$51))/2)</f>
        <v>0</v>
      </c>
      <c r="AS17" s="20">
        <f>MAX(0,(SUMPRODUCT(Oxides_min!$C17:$BB17,Factors!$C$52:$BB$52)+SUMPRODUCT(Oxides_max!$C17:$BB17,Factors!$C$52:$BB$52))/2)</f>
        <v>0</v>
      </c>
      <c r="AT17" s="20">
        <f>MAX(0,(SUMPRODUCT(Oxides_min!$C17:$BB17,Factors!$C$53:$BB$53)+SUMPRODUCT(Oxides_max!$C17:$BB17,Factors!$C$53:$BB$53))/2)</f>
        <v>0</v>
      </c>
      <c r="AU17" s="20">
        <f>MAX(0,(SUMPRODUCT(Oxides_min!$C17:$BB17,Factors!$C$54:$BB$54)+SUMPRODUCT(Oxides_max!$C17:$BB17,Factors!$C$54:$BB$54))/2)</f>
        <v>0</v>
      </c>
      <c r="AV17" s="20">
        <f>MAX(0,(SUMPRODUCT(Oxides_min!$C17:$BB17,Factors!$C$55:$BB$55)+SUMPRODUCT(Oxides_max!$C17:$BB17,Factors!$C$55:$BB$55))/2)</f>
        <v>0</v>
      </c>
      <c r="AW17" s="20">
        <f>MAX(0,(SUMPRODUCT(Oxides_min!$C17:$BB17,Factors!$C$56:$BB$56)+SUMPRODUCT(Oxides_max!$C17:$BB17,Factors!$C$56:$BB$56))/2)</f>
        <v>0</v>
      </c>
      <c r="AX17" s="20">
        <f>MAX(0,(SUMPRODUCT(Oxides_min!$C17:$BB17,Factors!$C$57:$BB$57)+SUMPRODUCT(Oxides_max!$C17:$BB17,Factors!$C$57:$BB$57))/2)</f>
        <v>0</v>
      </c>
      <c r="AY17" s="20">
        <f>MAX(0,(SUMPRODUCT(Oxides_min!$C17:$BB17,Factors!$C$58:$BB$58)+SUMPRODUCT(Oxides_max!$C17:$BB17,Factors!$C$58:$BB$58))/2)</f>
        <v>0</v>
      </c>
      <c r="AZ17" s="18">
        <f t="shared" si="0"/>
        <v>102.43133400492097</v>
      </c>
    </row>
    <row r="18" spans="1:52" x14ac:dyDescent="0.35">
      <c r="A18" s="13" t="s">
        <v>157</v>
      </c>
      <c r="B18" s="20">
        <f>MAX(0,(SUMPRODUCT(Oxides_min!$C18:$BB18,Factors!$C$9:$BB$9)+SUMPRODUCT(Oxides_max!$C18:$BB18,Factors!$C$9:$BB$9))/2)</f>
        <v>27.371230073805474</v>
      </c>
      <c r="C18" s="20">
        <f>MAX(0,(SUMPRODUCT(Oxides_min!$C18:$BB18,Factors!$C$10:$BB$10)+SUMPRODUCT(Oxides_max!$C18:$BB18,Factors!$C$10:$BB$10))/2)</f>
        <v>10.283607676048135</v>
      </c>
      <c r="D18" s="20">
        <f>MAX(0,(SUMPRODUCT(Oxides_min!$C18:$BB18,Factors!$C$11:$BB$11)+SUMPRODUCT(Oxides_max!$C18:$BB18,Factors!$C$11:$BB$11))/2)</f>
        <v>2.9967445063544734E-2</v>
      </c>
      <c r="E18" s="20">
        <f>MAX(0,(SUMPRODUCT(Oxides_min!$C18:$BB18,Factors!$C$12:$BB$12)+SUMPRODUCT(Oxides_max!$C18:$BB18,Factors!$C$12:$BB$12))/2)</f>
        <v>0</v>
      </c>
      <c r="F18" s="20">
        <f>MAX(0,(SUMPRODUCT(Oxides_min!$C18:$BB18,Factors!$C$13:$BB$13)+SUMPRODUCT(Oxides_max!$C18:$BB18,Factors!$C$13:$BB$13))/2)</f>
        <v>0</v>
      </c>
      <c r="G18" s="20">
        <f>MAX(0,(SUMPRODUCT(Oxides_min!$C18:$BB18,Factors!$C$14:$BB$14)+SUMPRODUCT(Oxides_max!$C18:$BB18,Factors!$C$14:$BB$14))/2)</f>
        <v>0</v>
      </c>
      <c r="H18" s="20">
        <f>MAX(0,(SUMPRODUCT(Oxides_min!$C18:$BB18,Factors!$C$15:$BB$15)+SUMPRODUCT(Oxides_max!$C18:$BB18,Factors!$C$15:$BB$15))/2)</f>
        <v>0.39694269503150731</v>
      </c>
      <c r="I18" s="20">
        <f>MAX(0,(SUMPRODUCT(Oxides_min!$C18:$BB18,Factors!$C$16:$BB$16)+SUMPRODUCT(Oxides_max!$C18:$BB18,Factors!$C$16:$BB$16))/2)</f>
        <v>1.5737192132108437</v>
      </c>
      <c r="J18" s="20">
        <f>MAX(0,(SUMPRODUCT(Oxides_min!$C18:$BB18,Factors!$C$17:$BB$17)+SUMPRODUCT(Oxides_max!$C18:$BB18,Factors!$C$17:$BB$17))/2)</f>
        <v>0.11616929794819192</v>
      </c>
      <c r="K18" s="20">
        <f>MAX(0,(SUMPRODUCT(Oxides_min!$C18:$BB18,Factors!$C$18:$BB$18)+SUMPRODUCT(Oxides_max!$C18:$BB18,Factors!$C$18:$BB$18))/2)</f>
        <v>0</v>
      </c>
      <c r="L18" s="20">
        <f>MAX(0,(SUMPRODUCT(Oxides_min!$C18:$BB18,Factors!$C$19:$BB$19)+SUMPRODUCT(Oxides_max!$C18:$BB18,Factors!$C$19:$BB$19))/2)</f>
        <v>0</v>
      </c>
      <c r="M18" s="20">
        <f>MAX(0,(SUMPRODUCT(Oxides_min!$C18:$BB18,Factors!$C$20:$BB$20)+SUMPRODUCT(Oxides_max!$C18:$BB18,Factors!$C$20:$BB$20))/2)</f>
        <v>0.84425863437872162</v>
      </c>
      <c r="N18" s="20">
        <f>MAX(0,(SUMPRODUCT(Oxides_min!$C18:$BB18,Factors!$C$21:$BB$21)+SUMPRODUCT(Oxides_max!$C18:$BB18,Factors!$C$21:$BB$21))/2)</f>
        <v>2.6801094923052227</v>
      </c>
      <c r="O18" s="20">
        <f>MAX(0,(SUMPRODUCT(Oxides_min!$C18:$BB18,Factors!$C$22:$BB$22)+SUMPRODUCT(Oxides_max!$C18:$BB18,Factors!$C$22:$BB$22))/2)</f>
        <v>0.84559781507252541</v>
      </c>
      <c r="P18" s="20">
        <f>MAX(0,(SUMPRODUCT(Oxides_min!$C18:$BB18,Factors!$C$23:$BB$23)+SUMPRODUCT(Oxides_max!$C18:$BB18,Factors!$C$23:$BB$23))/2)</f>
        <v>0.22391342629430103</v>
      </c>
      <c r="Q18" s="20">
        <f>MAX(0,(SUMPRODUCT(Oxides_min!$C18:$BB18,Factors!$C$24:$BB$24)+SUMPRODUCT(Oxides_max!$C18:$BB18,Factors!$C$24:$BB$24))/2)</f>
        <v>0</v>
      </c>
      <c r="R18" s="20">
        <f>MAX(0,(SUMPRODUCT(Oxides_min!$C18:$BB18,Factors!$C$25:$BB$25)+SUMPRODUCT(Oxides_max!$C18:$BB18,Factors!$C$25:$BB$25))/2)</f>
        <v>0.11127933869113804</v>
      </c>
      <c r="S18" s="20">
        <f>MAX(0,(SUMPRODUCT(Oxides_min!$C18:$BB18,Factors!$C$26:$BB$26)+SUMPRODUCT(Oxides_max!$C18:$BB18,Factors!$C$26:$BB$26))/2)</f>
        <v>8.3015130218396627E-2</v>
      </c>
      <c r="T18" s="20">
        <f>MAX(0,(SUMPRODUCT(Oxides_min!$C18:$BB18,Factors!$C$27:$BB$27)+SUMPRODUCT(Oxides_max!$C18:$BB18,Factors!$C$27:$BB$27))/2)</f>
        <v>0</v>
      </c>
      <c r="U18" s="20">
        <f>MAX(0,(SUMPRODUCT(Oxides_min!$C18:$BB18,Factors!$C$28:$BB$28)+SUMPRODUCT(Oxides_max!$C18:$BB18,Factors!$C$28:$BB$28))/2)</f>
        <v>0</v>
      </c>
      <c r="V18" s="20">
        <f>MAX(0,(SUMPRODUCT(Oxides_min!$C18:$BB18,Factors!$C$29:$BB$29)+SUMPRODUCT(Oxides_max!$C18:$BB18,Factors!$C$29:$BB$29))/2)</f>
        <v>0</v>
      </c>
      <c r="W18" s="20">
        <f>MAX(0,(SUMPRODUCT(Oxides_min!$C18:$BB18,Factors!$C$30:$BB$30)+SUMPRODUCT(Oxides_max!$C18:$BB18,Factors!$C$30:$BB$30))/2)</f>
        <v>0</v>
      </c>
      <c r="X18" s="20">
        <f>MAX(0,(SUMPRODUCT(Oxides_min!$C18:$BB18,Factors!$C$31:$BB$31)+SUMPRODUCT(Oxides_max!$C18:$BB18,Factors!$C$31:$BB$31))/2)</f>
        <v>0</v>
      </c>
      <c r="Y18" s="20">
        <f>MAX(0,(SUMPRODUCT(Oxides_min!$C18:$BB18,Factors!$C$32:$BB$32)+SUMPRODUCT(Oxides_max!$C18:$BB18,Factors!$C$32:$BB$32))/2)</f>
        <v>0</v>
      </c>
      <c r="Z18" s="20">
        <f>MAX(0,(SUMPRODUCT(Oxides_min!$C18:$BB18,Factors!$C$33:$BB$33)+SUMPRODUCT(Oxides_max!$C18:$BB18,Factors!$C$33:$BB$33))/2)</f>
        <v>0.21821340868133959</v>
      </c>
      <c r="AA18" s="20">
        <f>MAX(0,(SUMPRODUCT(Oxides_min!$C18:$BB18,Factors!$C$34:$BB$34)+SUMPRODUCT(Oxides_max!$C18:$BB18,Factors!$C$34:$BB$34))/2)</f>
        <v>0</v>
      </c>
      <c r="AB18" s="20">
        <f>MAX(0,(SUMPRODUCT(Oxides_min!$C18:$BB18,Factors!$C$35:$BB$35)+SUMPRODUCT(Oxides_max!$C18:$BB18,Factors!$C$35:$BB$35))/2)</f>
        <v>4.0046466892339212E-2</v>
      </c>
      <c r="AC18" s="20">
        <f>MAX(0,(SUMPRODUCT(Oxides_min!$C18:$BB18,Factors!$C$36:$BB$36)+SUMPRODUCT(Oxides_max!$C18:$BB18,Factors!$C$36:$BB$36))/2)</f>
        <v>0</v>
      </c>
      <c r="AD18" s="20">
        <f>MAX(0,(SUMPRODUCT(Oxides_min!$C18:$BB18,Factors!$C$37:$BB$37)+SUMPRODUCT(Oxides_max!$C18:$BB18,Factors!$C$37:$BB$37))/2)</f>
        <v>0.33572023313905075</v>
      </c>
      <c r="AE18" s="20">
        <f>MAX(0,(SUMPRODUCT(Oxides_min!$C18:$BB18,Factors!$C$38:$BB$38)+SUMPRODUCT(Oxides_max!$C18:$BB18,Factors!$C$38:$BB$38))/2)</f>
        <v>0.4</v>
      </c>
      <c r="AF18" s="20">
        <f>MAX(0,(SUMPRODUCT(Oxides_min!$C18:$BB18,Factors!$C$39:$BB$39)+SUMPRODUCT(Oxides_max!$C18:$BB18,Factors!$C$39:$BB$39))/2)</f>
        <v>0</v>
      </c>
      <c r="AG18" s="20">
        <f>MAX(0,(SUMPRODUCT(Oxides_min!$C18:$BB18,Factors!$C$40:$BB$40)+SUMPRODUCT(Oxides_max!$C18:$BB18,Factors!$C$40:$BB$40))/2)</f>
        <v>0.43940592124474076</v>
      </c>
      <c r="AH18" s="20">
        <f>MAX(0,(SUMPRODUCT(Oxides_min!$C18:$BB18,Factors!$C$41:$BB$41)+SUMPRODUCT(Oxides_max!$C18:$BB18,Factors!$C$41:$BB$41))/2)</f>
        <v>0</v>
      </c>
      <c r="AI18" s="20">
        <f>MAX(0,(SUMPRODUCT(Oxides_min!$C18:$BB18,Factors!$C$42:$BB$42)+SUMPRODUCT(Oxides_max!$C18:$BB18,Factors!$C$42:$BB$42))/2)</f>
        <v>0</v>
      </c>
      <c r="AJ18" s="20">
        <f>MAX(0,(SUMPRODUCT(Oxides_min!$C18:$BB18,Factors!$C$43:$BB$43)+SUMPRODUCT(Oxides_max!$C18:$BB18,Factors!$C$43:$BB$43))/2)</f>
        <v>0.59058296607552907</v>
      </c>
      <c r="AK18" s="20">
        <f>MAX(0,(SUMPRODUCT(Oxides_min!$C18:$BB18,Factors!$C$44:$BB$44)+SUMPRODUCT(Oxides_max!$C18:$BB18,Factors!$C$44:$BB$44))/2)</f>
        <v>20.464395557701877</v>
      </c>
      <c r="AL18" s="20">
        <f>MAX(0,(SUMPRODUCT(Oxides_min!$C18:$BB18,Factors!$C$45:$BB$45)+SUMPRODUCT(Oxides_max!$C18:$BB18,Factors!$C$45:$BB$45))/2)</f>
        <v>26.03997818596163</v>
      </c>
      <c r="AM18" s="20">
        <f>MAX(0,(SUMPRODUCT(Oxides_min!$C18:$BB18,Factors!$C$46:$BB$46)+SUMPRODUCT(Oxides_max!$C18:$BB18,Factors!$C$46:$BB$46))/2)</f>
        <v>1.9225615040699511</v>
      </c>
      <c r="AN18" s="20">
        <f>MAX(0,(SUMPRODUCT(Oxides_min!$C18:$BB18,Factors!$C$47:$BB$47)+SUMPRODUCT(Oxides_max!$C18:$BB18,Factors!$C$47:$BB$47))/2)</f>
        <v>6.215830908728873</v>
      </c>
      <c r="AO18" s="20">
        <f>MAX(0,(SUMPRODUCT(Oxides_min!$C18:$BB18,Factors!$C$48:$BB$48)+SUMPRODUCT(Oxides_max!$C18:$BB18,Factors!$C$48:$BB$48))/2)</f>
        <v>0.90547922814201776</v>
      </c>
      <c r="AP18" s="20">
        <f>MAX(0,(SUMPRODUCT(Oxides_min!$C18:$BB18,Factors!$C$49:$BB$49)+SUMPRODUCT(Oxides_max!$C18:$BB18,Factors!$C$49:$BB$49))/2)</f>
        <v>8.6361582723591679E-2</v>
      </c>
      <c r="AQ18" s="20">
        <f>MAX(0,(SUMPRODUCT(Oxides_min!$C18:$BB18,Factors!$C$50:$BB$50)+SUMPRODUCT(Oxides_max!$C18:$BB18,Factors!$C$50:$BB$50))/2)</f>
        <v>0.52055603218785251</v>
      </c>
      <c r="AR18" s="20">
        <f>MAX(0,(SUMPRODUCT(Oxides_min!$C18:$BB18,Factors!$C$51:$BB$51)+SUMPRODUCT(Oxides_max!$C18:$BB18,Factors!$C$51:$BB$51))/2)</f>
        <v>4.3440303164404205E-2</v>
      </c>
      <c r="AS18" s="20">
        <f>MAX(0,(SUMPRODUCT(Oxides_min!$C18:$BB18,Factors!$C$52:$BB$52)+SUMPRODUCT(Oxides_max!$C18:$BB18,Factors!$C$52:$BB$52))/2)</f>
        <v>0.21783017021584622</v>
      </c>
      <c r="AT18" s="20">
        <f>MAX(0,(SUMPRODUCT(Oxides_min!$C18:$BB18,Factors!$C$53:$BB$53)+SUMPRODUCT(Oxides_max!$C18:$BB18,Factors!$C$53:$BB$53))/2)</f>
        <v>0</v>
      </c>
      <c r="AU18" s="20">
        <f>MAX(0,(SUMPRODUCT(Oxides_min!$C18:$BB18,Factors!$C$54:$BB$54)+SUMPRODUCT(Oxides_max!$C18:$BB18,Factors!$C$54:$BB$54))/2)</f>
        <v>8.7452256774244147E-2</v>
      </c>
      <c r="AV18" s="20">
        <f>MAX(0,(SUMPRODUCT(Oxides_min!$C18:$BB18,Factors!$C$55:$BB$55)+SUMPRODUCT(Oxides_max!$C18:$BB18,Factors!$C$55:$BB$55))/2)</f>
        <v>0</v>
      </c>
      <c r="AW18" s="20">
        <f>MAX(0,(SUMPRODUCT(Oxides_min!$C18:$BB18,Factors!$C$56:$BB$56)+SUMPRODUCT(Oxides_max!$C18:$BB18,Factors!$C$56:$BB$56))/2)</f>
        <v>4.3910354820128554E-2</v>
      </c>
      <c r="AX18" s="20">
        <f>MAX(0,(SUMPRODUCT(Oxides_min!$C18:$BB18,Factors!$C$57:$BB$57)+SUMPRODUCT(Oxides_max!$C18:$BB18,Factors!$C$57:$BB$57))/2)</f>
        <v>0</v>
      </c>
      <c r="AY18" s="20">
        <f>MAX(0,(SUMPRODUCT(Oxides_min!$C18:$BB18,Factors!$C$58:$BB$58)+SUMPRODUCT(Oxides_max!$C18:$BB18,Factors!$C$58:$BB$58))/2)</f>
        <v>0</v>
      </c>
      <c r="AZ18" s="18">
        <f t="shared" si="0"/>
        <v>103.13157531859142</v>
      </c>
    </row>
    <row r="19" spans="1:52" x14ac:dyDescent="0.35">
      <c r="A19" s="13" t="s">
        <v>159</v>
      </c>
      <c r="B19" s="20">
        <f>MAX(0,(SUMPRODUCT(Oxides_min!$C19:$BB19,Factors!$C$9:$BB$9)+SUMPRODUCT(Oxides_max!$C19:$BB19,Factors!$C$9:$BB$9))/2)</f>
        <v>40.744532181009227</v>
      </c>
      <c r="C19" s="20">
        <f>MAX(0,(SUMPRODUCT(Oxides_min!$C19:$BB19,Factors!$C$10:$BB$10)+SUMPRODUCT(Oxides_max!$C19:$BB19,Factors!$C$10:$BB$10))/2)</f>
        <v>22.904398914834481</v>
      </c>
      <c r="D19" s="20">
        <f>MAX(0,(SUMPRODUCT(Oxides_min!$C19:$BB19,Factors!$C$11:$BB$11)+SUMPRODUCT(Oxides_max!$C19:$BB19,Factors!$C$11:$BB$11))/2)</f>
        <v>0.47947912101671575</v>
      </c>
      <c r="E19" s="20">
        <f>MAX(0,(SUMPRODUCT(Oxides_min!$C19:$BB19,Factors!$C$12:$BB$12)+SUMPRODUCT(Oxides_max!$C19:$BB19,Factors!$C$12:$BB$12))/2)</f>
        <v>9.2540293129473632</v>
      </c>
      <c r="F19" s="20">
        <f>MAX(0,(SUMPRODUCT(Oxides_min!$C19:$BB19,Factors!$C$13:$BB$13)+SUMPRODUCT(Oxides_max!$C19:$BB19,Factors!$C$13:$BB$13))/2)</f>
        <v>0.21199545817338758</v>
      </c>
      <c r="G19" s="20">
        <f>MAX(0,(SUMPRODUCT(Oxides_min!$C19:$BB19,Factors!$C$14:$BB$14)+SUMPRODUCT(Oxides_max!$C19:$BB19,Factors!$C$14:$BB$14))/2)</f>
        <v>0</v>
      </c>
      <c r="H19" s="20">
        <f>MAX(0,(SUMPRODUCT(Oxides_min!$C19:$BB19,Factors!$C$15:$BB$15)+SUMPRODUCT(Oxides_max!$C19:$BB19,Factors!$C$15:$BB$15))/2)</f>
        <v>0.1323142316771691</v>
      </c>
      <c r="I19" s="20">
        <f>MAX(0,(SUMPRODUCT(Oxides_min!$C19:$BB19,Factors!$C$16:$BB$16)+SUMPRODUCT(Oxides_max!$C19:$BB19,Factors!$C$16:$BB$16))/2)</f>
        <v>3.3812211431989061</v>
      </c>
      <c r="J19" s="20">
        <f>MAX(0,(SUMPRODUCT(Oxides_min!$C19:$BB19,Factors!$C$17:$BB$17)+SUMPRODUCT(Oxides_max!$C19:$BB19,Factors!$C$17:$BB$17))/2)</f>
        <v>2.1297704623835187</v>
      </c>
      <c r="K19" s="20">
        <f>MAX(0,(SUMPRODUCT(Oxides_min!$C19:$BB19,Factors!$C$18:$BB$18)+SUMPRODUCT(Oxides_max!$C19:$BB19,Factors!$C$18:$BB$18))/2)</f>
        <v>0</v>
      </c>
      <c r="L19" s="20">
        <f>MAX(0,(SUMPRODUCT(Oxides_min!$C19:$BB19,Factors!$C$19:$BB$19)+SUMPRODUCT(Oxides_max!$C19:$BB19,Factors!$C$19:$BB$19))/2)</f>
        <v>0</v>
      </c>
      <c r="M19" s="20">
        <f>MAX(0,(SUMPRODUCT(Oxides_min!$C19:$BB19,Factors!$C$20:$BB$20)+SUMPRODUCT(Oxides_max!$C19:$BB19,Factors!$C$20:$BB$20))/2)</f>
        <v>9.0456282254863032E-2</v>
      </c>
      <c r="N19" s="20">
        <f>MAX(0,(SUMPRODUCT(Oxides_min!$C19:$BB19,Factors!$C$21:$BB$21)+SUMPRODUCT(Oxides_max!$C19:$BB19,Factors!$C$21:$BB$21))/2)</f>
        <v>5.8962408830714903</v>
      </c>
      <c r="O19" s="20">
        <f>MAX(0,(SUMPRODUCT(Oxides_min!$C19:$BB19,Factors!$C$22:$BB$22)+SUMPRODUCT(Oxides_max!$C19:$BB19,Factors!$C$22:$BB$22))/2)</f>
        <v>1.5220760671305458</v>
      </c>
      <c r="P19" s="20">
        <f>MAX(0,(SUMPRODUCT(Oxides_min!$C19:$BB19,Factors!$C$23:$BB$23)+SUMPRODUCT(Oxides_max!$C19:$BB19,Factors!$C$23:$BB$23))/2)</f>
        <v>0.3134787968120214</v>
      </c>
      <c r="Q19" s="20">
        <f>MAX(0,(SUMPRODUCT(Oxides_min!$C19:$BB19,Factors!$C$24:$BB$24)+SUMPRODUCT(Oxides_max!$C19:$BB19,Factors!$C$24:$BB$24))/2)</f>
        <v>0</v>
      </c>
      <c r="R19" s="20">
        <f>MAX(0,(SUMPRODUCT(Oxides_min!$C19:$BB19,Factors!$C$25:$BB$25)+SUMPRODUCT(Oxides_max!$C19:$BB19,Factors!$C$25:$BB$25))/2)</f>
        <v>10.571537175658115</v>
      </c>
      <c r="S19" s="20">
        <f>MAX(0,(SUMPRODUCT(Oxides_min!$C19:$BB19,Factors!$C$26:$BB$26)+SUMPRODUCT(Oxides_max!$C19:$BB19,Factors!$C$26:$BB$26))/2)</f>
        <v>0.66412104174717279</v>
      </c>
      <c r="T19" s="20">
        <f>MAX(0,(SUMPRODUCT(Oxides_min!$C19:$BB19,Factors!$C$27:$BB$27)+SUMPRODUCT(Oxides_max!$C19:$BB19,Factors!$C$27:$BB$27))/2)</f>
        <v>0</v>
      </c>
      <c r="U19" s="20">
        <f>MAX(0,(SUMPRODUCT(Oxides_min!$C19:$BB19,Factors!$C$28:$BB$28)+SUMPRODUCT(Oxides_max!$C19:$BB19,Factors!$C$28:$BB$28))/2)</f>
        <v>0</v>
      </c>
      <c r="V19" s="20">
        <f>MAX(0,(SUMPRODUCT(Oxides_min!$C19:$BB19,Factors!$C$29:$BB$29)+SUMPRODUCT(Oxides_max!$C19:$BB19,Factors!$C$29:$BB$29))/2)</f>
        <v>0</v>
      </c>
      <c r="W19" s="20">
        <f>MAX(0,(SUMPRODUCT(Oxides_min!$C19:$BB19,Factors!$C$30:$BB$30)+SUMPRODUCT(Oxides_max!$C19:$BB19,Factors!$C$30:$BB$30))/2)</f>
        <v>1.0835265632219739</v>
      </c>
      <c r="X19" s="20">
        <f>MAX(0,(SUMPRODUCT(Oxides_min!$C19:$BB19,Factors!$C$31:$BB$31)+SUMPRODUCT(Oxides_max!$C19:$BB19,Factors!$C$31:$BB$31))/2)</f>
        <v>0</v>
      </c>
      <c r="Y19" s="20">
        <f>MAX(0,(SUMPRODUCT(Oxides_min!$C19:$BB19,Factors!$C$32:$BB$32)+SUMPRODUCT(Oxides_max!$C19:$BB19,Factors!$C$32:$BB$32))/2)</f>
        <v>0</v>
      </c>
      <c r="Z19" s="20">
        <f>MAX(0,(SUMPRODUCT(Oxides_min!$C19:$BB19,Factors!$C$33:$BB$33)+SUMPRODUCT(Oxides_max!$C19:$BB19,Factors!$C$33:$BB$33))/2)</f>
        <v>0</v>
      </c>
      <c r="AA19" s="20">
        <f>MAX(0,(SUMPRODUCT(Oxides_min!$C19:$BB19,Factors!$C$34:$BB$34)+SUMPRODUCT(Oxides_max!$C19:$BB19,Factors!$C$34:$BB$34))/2)</f>
        <v>0</v>
      </c>
      <c r="AB19" s="20">
        <f>MAX(0,(SUMPRODUCT(Oxides_min!$C19:$BB19,Factors!$C$35:$BB$35)+SUMPRODUCT(Oxides_max!$C19:$BB19,Factors!$C$35:$BB$35))/2)</f>
        <v>0.12013940067701763</v>
      </c>
      <c r="AC19" s="20">
        <f>MAX(0,(SUMPRODUCT(Oxides_min!$C19:$BB19,Factors!$C$36:$BB$36)+SUMPRODUCT(Oxides_max!$C19:$BB19,Factors!$C$36:$BB$36))/2)</f>
        <v>0</v>
      </c>
      <c r="AD19" s="20">
        <f>MAX(0,(SUMPRODUCT(Oxides_min!$C19:$BB19,Factors!$C$37:$BB$37)+SUMPRODUCT(Oxides_max!$C19:$BB19,Factors!$C$37:$BB$37))/2)</f>
        <v>0.15666944213155704</v>
      </c>
      <c r="AE19" s="20">
        <f>MAX(0,(SUMPRODUCT(Oxides_min!$C19:$BB19,Factors!$C$38:$BB$38)+SUMPRODUCT(Oxides_max!$C19:$BB19,Factors!$C$38:$BB$38))/2)</f>
        <v>0.15</v>
      </c>
      <c r="AF19" s="20">
        <f>MAX(0,(SUMPRODUCT(Oxides_min!$C19:$BB19,Factors!$C$39:$BB$39)+SUMPRODUCT(Oxides_max!$C19:$BB19,Factors!$C$39:$BB$39))/2)</f>
        <v>1.05</v>
      </c>
      <c r="AG19" s="20">
        <f>MAX(0,(SUMPRODUCT(Oxides_min!$C19:$BB19,Factors!$C$40:$BB$40)+SUMPRODUCT(Oxides_max!$C19:$BB19,Factors!$C$40:$BB$40))/2)</f>
        <v>4.3940592124474077E-2</v>
      </c>
      <c r="AH19" s="20">
        <f>MAX(0,(SUMPRODUCT(Oxides_min!$C19:$BB19,Factors!$C$41:$BB$41)+SUMPRODUCT(Oxides_max!$C19:$BB19,Factors!$C$41:$BB$41))/2)</f>
        <v>7.0520055945535204E-2</v>
      </c>
      <c r="AI19" s="20">
        <f>MAX(0,(SUMPRODUCT(Oxides_min!$C19:$BB19,Factors!$C$42:$BB$42)+SUMPRODUCT(Oxides_max!$C19:$BB19,Factors!$C$42:$BB$42))/2)</f>
        <v>0</v>
      </c>
      <c r="AJ19" s="20">
        <f>MAX(0,(SUMPRODUCT(Oxides_min!$C19:$BB19,Factors!$C$43:$BB$43)+SUMPRODUCT(Oxides_max!$C19:$BB19,Factors!$C$43:$BB$43))/2)</f>
        <v>1.4567713163196385</v>
      </c>
      <c r="AK19" s="20">
        <f>MAX(0,(SUMPRODUCT(Oxides_min!$C19:$BB19,Factors!$C$44:$BB$44)+SUMPRODUCT(Oxides_max!$C19:$BB19,Factors!$C$44:$BB$44))/2)</f>
        <v>1.1084880927088516</v>
      </c>
      <c r="AL19" s="20">
        <f>MAX(0,(SUMPRODUCT(Oxides_min!$C19:$BB19,Factors!$C$45:$BB$45)+SUMPRODUCT(Oxides_max!$C19:$BB19,Factors!$C$45:$BB$45))/2)</f>
        <v>1.6221625755189211</v>
      </c>
      <c r="AM19" s="20">
        <f>MAX(0,(SUMPRODUCT(Oxides_min!$C19:$BB19,Factors!$C$46:$BB$46)+SUMPRODUCT(Oxides_max!$C19:$BB19,Factors!$C$46:$BB$46))/2)</f>
        <v>0.21361794489666122</v>
      </c>
      <c r="AN19" s="20">
        <f>MAX(0,(SUMPRODUCT(Oxides_min!$C19:$BB19,Factors!$C$47:$BB$47)+SUMPRODUCT(Oxides_max!$C19:$BB19,Factors!$C$47:$BB$47))/2)</f>
        <v>0.72875258929924724</v>
      </c>
      <c r="AO19" s="20">
        <f>MAX(0,(SUMPRODUCT(Oxides_min!$C19:$BB19,Factors!$C$48:$BB$48)+SUMPRODUCT(Oxides_max!$C19:$BB19,Factors!$C$48:$BB$48))/2)</f>
        <v>0.12935417544885966</v>
      </c>
      <c r="AP19" s="20">
        <f>MAX(0,(SUMPRODUCT(Oxides_min!$C19:$BB19,Factors!$C$49:$BB$49)+SUMPRODUCT(Oxides_max!$C19:$BB19,Factors!$C$49:$BB$49))/2)</f>
        <v>4.3180791361795839E-2</v>
      </c>
      <c r="AQ19" s="20">
        <f>MAX(0,(SUMPRODUCT(Oxides_min!$C19:$BB19,Factors!$C$50:$BB$50)+SUMPRODUCT(Oxides_max!$C19:$BB19,Factors!$C$50:$BB$50))/2)</f>
        <v>0.151828842721457</v>
      </c>
      <c r="AR19" s="20">
        <f>MAX(0,(SUMPRODUCT(Oxides_min!$C19:$BB19,Factors!$C$51:$BB$51)+SUMPRODUCT(Oxides_max!$C19:$BB19,Factors!$C$51:$BB$51))/2)</f>
        <v>2.1720151582202103E-2</v>
      </c>
      <c r="AS19" s="20">
        <f>MAX(0,(SUMPRODUCT(Oxides_min!$C19:$BB19,Factors!$C$52:$BB$52)+SUMPRODUCT(Oxides_max!$C19:$BB19,Factors!$C$52:$BB$52))/2)</f>
        <v>0.15248111915109233</v>
      </c>
      <c r="AT19" s="20">
        <f>MAX(0,(SUMPRODUCT(Oxides_min!$C19:$BB19,Factors!$C$53:$BB$53)+SUMPRODUCT(Oxides_max!$C19:$BB19,Factors!$C$53:$BB$53))/2)</f>
        <v>3.055415920375943E-2</v>
      </c>
      <c r="AU19" s="20">
        <f>MAX(0,(SUMPRODUCT(Oxides_min!$C19:$BB19,Factors!$C$54:$BB$54)+SUMPRODUCT(Oxides_max!$C19:$BB19,Factors!$C$54:$BB$54))/2)</f>
        <v>0.10931532096780518</v>
      </c>
      <c r="AV19" s="20">
        <f>MAX(0,(SUMPRODUCT(Oxides_min!$C19:$BB19,Factors!$C$55:$BB$55)+SUMPRODUCT(Oxides_max!$C19:$BB19,Factors!$C$55:$BB$55))/2)</f>
        <v>1.751224157312456E-2</v>
      </c>
      <c r="AW19" s="20">
        <f>MAX(0,(SUMPRODUCT(Oxides_min!$C19:$BB19,Factors!$C$56:$BB$56)+SUMPRODUCT(Oxides_max!$C19:$BB19,Factors!$C$56:$BB$56))/2)</f>
        <v>0.13173106446038566</v>
      </c>
      <c r="AX19" s="20">
        <f>MAX(0,(SUMPRODUCT(Oxides_min!$C19:$BB19,Factors!$C$57:$BB$57)+SUMPRODUCT(Oxides_max!$C19:$BB19,Factors!$C$57:$BB$57))/2)</f>
        <v>2.1984587262200997E-2</v>
      </c>
      <c r="AY19" s="20">
        <f>MAX(0,(SUMPRODUCT(Oxides_min!$C19:$BB19,Factors!$C$58:$BB$58)+SUMPRODUCT(Oxides_max!$C19:$BB19,Factors!$C$58:$BB$58))/2)</f>
        <v>0</v>
      </c>
      <c r="AZ19" s="18">
        <f t="shared" si="0"/>
        <v>106.90990209849153</v>
      </c>
    </row>
    <row r="20" spans="1:52" x14ac:dyDescent="0.35">
      <c r="A20" s="13" t="s">
        <v>161</v>
      </c>
      <c r="B20" s="20">
        <f>MAX(0,(SUMPRODUCT(Oxides_min!$C20:$BB20,Factors!$C$9:$BB$9)+SUMPRODUCT(Oxides_max!$C20:$BB20,Factors!$C$9:$BB$9))/2)</f>
        <v>33.595751816554326</v>
      </c>
      <c r="C20" s="20">
        <f>MAX(0,(SUMPRODUCT(Oxides_min!$C20:$BB20,Factors!$C$10:$BB$10)+SUMPRODUCT(Oxides_max!$C20:$BB20,Factors!$C$10:$BB$10))/2)</f>
        <v>10.984762744869599</v>
      </c>
      <c r="D20" s="20">
        <f>MAX(0,(SUMPRODUCT(Oxides_min!$C20:$BB20,Factors!$C$11:$BB$11)+SUMPRODUCT(Oxides_max!$C20:$BB20,Factors!$C$11:$BB$11))/2)</f>
        <v>0</v>
      </c>
      <c r="E20" s="20">
        <f>MAX(0,(SUMPRODUCT(Oxides_min!$C20:$BB20,Factors!$C$12:$BB$12)+SUMPRODUCT(Oxides_max!$C20:$BB20,Factors!$C$12:$BB$12))/2)</f>
        <v>0</v>
      </c>
      <c r="F20" s="20">
        <f>MAX(0,(SUMPRODUCT(Oxides_min!$C20:$BB20,Factors!$C$13:$BB$13)+SUMPRODUCT(Oxides_max!$C20:$BB20,Factors!$C$13:$BB$13))/2)</f>
        <v>0</v>
      </c>
      <c r="G20" s="20">
        <f>MAX(0,(SUMPRODUCT(Oxides_min!$C20:$BB20,Factors!$C$14:$BB$14)+SUMPRODUCT(Oxides_max!$C20:$BB20,Factors!$C$14:$BB$14))/2)</f>
        <v>0</v>
      </c>
      <c r="H20" s="20">
        <f>MAX(0,(SUMPRODUCT(Oxides_min!$C20:$BB20,Factors!$C$15:$BB$15)+SUMPRODUCT(Oxides_max!$C20:$BB20,Factors!$C$15:$BB$15))/2)</f>
        <v>0</v>
      </c>
      <c r="I20" s="20">
        <f>MAX(0,(SUMPRODUCT(Oxides_min!$C20:$BB20,Factors!$C$16:$BB$16)+SUMPRODUCT(Oxides_max!$C20:$BB20,Factors!$C$16:$BB$16))/2)</f>
        <v>9.3857501161118204</v>
      </c>
      <c r="J20" s="20">
        <f>MAX(0,(SUMPRODUCT(Oxides_min!$C20:$BB20,Factors!$C$17:$BB$17)+SUMPRODUCT(Oxides_max!$C20:$BB20,Factors!$C$17:$BB$17))/2)</f>
        <v>0.27106169521244783</v>
      </c>
      <c r="K20" s="20">
        <f>MAX(0,(SUMPRODUCT(Oxides_min!$C20:$BB20,Factors!$C$18:$BB$18)+SUMPRODUCT(Oxides_max!$C20:$BB20,Factors!$C$18:$BB$18))/2)</f>
        <v>0</v>
      </c>
      <c r="L20" s="20">
        <f>MAX(0,(SUMPRODUCT(Oxides_min!$C20:$BB20,Factors!$C$19:$BB$19)+SUMPRODUCT(Oxides_max!$C20:$BB20,Factors!$C$19:$BB$19))/2)</f>
        <v>0</v>
      </c>
      <c r="M20" s="20">
        <f>MAX(0,(SUMPRODUCT(Oxides_min!$C20:$BB20,Factors!$C$20:$BB$20)+SUMPRODUCT(Oxides_max!$C20:$BB20,Factors!$C$20:$BB$20))/2)</f>
        <v>0.15076047042477173</v>
      </c>
      <c r="N20" s="20">
        <f>MAX(0,(SUMPRODUCT(Oxides_min!$C20:$BB20,Factors!$C$21:$BB$21)+SUMPRODUCT(Oxides_max!$C20:$BB20,Factors!$C$21:$BB$21))/2)</f>
        <v>1.0720437969220891</v>
      </c>
      <c r="O20" s="20">
        <f>MAX(0,(SUMPRODUCT(Oxides_min!$C20:$BB20,Factors!$C$22:$BB$22)+SUMPRODUCT(Oxides_max!$C20:$BB20,Factors!$C$22:$BB$22))/2)</f>
        <v>0</v>
      </c>
      <c r="P20" s="20">
        <f>MAX(0,(SUMPRODUCT(Oxides_min!$C20:$BB20,Factors!$C$23:$BB$23)+SUMPRODUCT(Oxides_max!$C20:$BB20,Factors!$C$23:$BB$23))/2)</f>
        <v>0</v>
      </c>
      <c r="Q20" s="20">
        <f>MAX(0,(SUMPRODUCT(Oxides_min!$C20:$BB20,Factors!$C$24:$BB$24)+SUMPRODUCT(Oxides_max!$C20:$BB20,Factors!$C$24:$BB$24))/2)</f>
        <v>0</v>
      </c>
      <c r="R20" s="20">
        <f>MAX(0,(SUMPRODUCT(Oxides_min!$C20:$BB20,Factors!$C$25:$BB$25)+SUMPRODUCT(Oxides_max!$C20:$BB20,Factors!$C$25:$BB$25))/2)</f>
        <v>0.18546556448523008</v>
      </c>
      <c r="S20" s="20">
        <f>MAX(0,(SUMPRODUCT(Oxides_min!$C20:$BB20,Factors!$C$26:$BB$26)+SUMPRODUCT(Oxides_max!$C20:$BB20,Factors!$C$26:$BB$26))/2)</f>
        <v>0</v>
      </c>
      <c r="T20" s="20">
        <f>MAX(0,(SUMPRODUCT(Oxides_min!$C20:$BB20,Factors!$C$27:$BB$27)+SUMPRODUCT(Oxides_max!$C20:$BB20,Factors!$C$27:$BB$27))/2)</f>
        <v>0</v>
      </c>
      <c r="U20" s="20">
        <f>MAX(0,(SUMPRODUCT(Oxides_min!$C20:$BB20,Factors!$C$28:$BB$28)+SUMPRODUCT(Oxides_max!$C20:$BB20,Factors!$C$28:$BB$28))/2)</f>
        <v>0</v>
      </c>
      <c r="V20" s="20">
        <f>MAX(0,(SUMPRODUCT(Oxides_min!$C20:$BB20,Factors!$C$29:$BB$29)+SUMPRODUCT(Oxides_max!$C20:$BB20,Factors!$C$29:$BB$29))/2)</f>
        <v>3.152853737854568</v>
      </c>
      <c r="W20" s="20">
        <f>MAX(0,(SUMPRODUCT(Oxides_min!$C20:$BB20,Factors!$C$30:$BB$30)+SUMPRODUCT(Oxides_max!$C20:$BB20,Factors!$C$30:$BB$30))/2)</f>
        <v>0</v>
      </c>
      <c r="X20" s="20">
        <f>MAX(0,(SUMPRODUCT(Oxides_min!$C20:$BB20,Factors!$C$31:$BB$31)+SUMPRODUCT(Oxides_max!$C20:$BB20,Factors!$C$31:$BB$31))/2)</f>
        <v>0</v>
      </c>
      <c r="Y20" s="20">
        <f>MAX(0,(SUMPRODUCT(Oxides_min!$C20:$BB20,Factors!$C$32:$BB$32)+SUMPRODUCT(Oxides_max!$C20:$BB20,Factors!$C$32:$BB$32))/2)</f>
        <v>0</v>
      </c>
      <c r="Z20" s="20">
        <f>MAX(0,(SUMPRODUCT(Oxides_min!$C20:$BB20,Factors!$C$33:$BB$33)+SUMPRODUCT(Oxides_max!$C20:$BB20,Factors!$C$33:$BB$33))/2)</f>
        <v>0</v>
      </c>
      <c r="AA20" s="20">
        <f>MAX(0,(SUMPRODUCT(Oxides_min!$C20:$BB20,Factors!$C$34:$BB$34)+SUMPRODUCT(Oxides_max!$C20:$BB20,Factors!$C$34:$BB$34))/2)</f>
        <v>0</v>
      </c>
      <c r="AB20" s="20">
        <f>MAX(0,(SUMPRODUCT(Oxides_min!$C20:$BB20,Factors!$C$35:$BB$35)+SUMPRODUCT(Oxides_max!$C20:$BB20,Factors!$C$35:$BB$35))/2)</f>
        <v>0</v>
      </c>
      <c r="AC20" s="20">
        <f>MAX(0,(SUMPRODUCT(Oxides_min!$C20:$BB20,Factors!$C$36:$BB$36)+SUMPRODUCT(Oxides_max!$C20:$BB20,Factors!$C$36:$BB$36))/2)</f>
        <v>0</v>
      </c>
      <c r="AD20" s="20">
        <f>MAX(0,(SUMPRODUCT(Oxides_min!$C20:$BB20,Factors!$C$37:$BB$37)+SUMPRODUCT(Oxides_max!$C20:$BB20,Factors!$C$37:$BB$37))/2)</f>
        <v>0.12869275603663613</v>
      </c>
      <c r="AE20" s="20">
        <f>MAX(0,(SUMPRODUCT(Oxides_min!$C20:$BB20,Factors!$C$38:$BB$38)+SUMPRODUCT(Oxides_max!$C20:$BB20,Factors!$C$38:$BB$38))/2)</f>
        <v>0</v>
      </c>
      <c r="AF20" s="20">
        <f>MAX(0,(SUMPRODUCT(Oxides_min!$C20:$BB20,Factors!$C$39:$BB$39)+SUMPRODUCT(Oxides_max!$C20:$BB20,Factors!$C$39:$BB$39))/2)</f>
        <v>0</v>
      </c>
      <c r="AG20" s="20">
        <f>MAX(0,(SUMPRODUCT(Oxides_min!$C20:$BB20,Factors!$C$40:$BB$40)+SUMPRODUCT(Oxides_max!$C20:$BB20,Factors!$C$40:$BB$40))/2)</f>
        <v>0.65910888186711114</v>
      </c>
      <c r="AH20" s="20">
        <f>MAX(0,(SUMPRODUCT(Oxides_min!$C20:$BB20,Factors!$C$41:$BB$41)+SUMPRODUCT(Oxides_max!$C20:$BB20,Factors!$C$41:$BB$41))/2)</f>
        <v>0.22037517482979752</v>
      </c>
      <c r="AI20" s="20">
        <f>MAX(0,(SUMPRODUCT(Oxides_min!$C20:$BB20,Factors!$C$42:$BB$42)+SUMPRODUCT(Oxides_max!$C20:$BB20,Factors!$C$42:$BB$42))/2)</f>
        <v>0</v>
      </c>
      <c r="AJ20" s="20">
        <f>MAX(0,(SUMPRODUCT(Oxides_min!$C20:$BB20,Factors!$C$43:$BB$43)+SUMPRODUCT(Oxides_max!$C20:$BB20,Factors!$C$43:$BB$43))/2)</f>
        <v>25.985650507323285</v>
      </c>
      <c r="AK20" s="20">
        <f>MAX(0,(SUMPRODUCT(Oxides_min!$C20:$BB20,Factors!$C$44:$BB$44)+SUMPRODUCT(Oxides_max!$C20:$BB20,Factors!$C$44:$BB$44))/2)</f>
        <v>2.1317078705939454</v>
      </c>
      <c r="AL20" s="20">
        <f>MAX(0,(SUMPRODUCT(Oxides_min!$C20:$BB20,Factors!$C$45:$BB$45)+SUMPRODUCT(Oxides_max!$C20:$BB20,Factors!$C$45:$BB$45))/2)</f>
        <v>4.9518647042156534</v>
      </c>
      <c r="AM20" s="20">
        <f>MAX(0,(SUMPRODUCT(Oxides_min!$C20:$BB20,Factors!$C$46:$BB$46)+SUMPRODUCT(Oxides_max!$C20:$BB20,Factors!$C$46:$BB$46))/2)</f>
        <v>0.68357742366931595</v>
      </c>
      <c r="AN20" s="20">
        <f>MAX(0,(SUMPRODUCT(Oxides_min!$C20:$BB20,Factors!$C$47:$BB$47)+SUMPRODUCT(Oxides_max!$C20:$BB20,Factors!$C$47:$BB$47))/2)</f>
        <v>2.7864069590853568</v>
      </c>
      <c r="AO20" s="20">
        <f>MAX(0,(SUMPRODUCT(Oxides_min!$C20:$BB20,Factors!$C$48:$BB$48)+SUMPRODUCT(Oxides_max!$C20:$BB20,Factors!$C$48:$BB$48))/2)</f>
        <v>1.4228959299374564</v>
      </c>
      <c r="AP20" s="20">
        <f>MAX(0,(SUMPRODUCT(Oxides_min!$C20:$BB20,Factors!$C$49:$BB$49)+SUMPRODUCT(Oxides_max!$C20:$BB20,Factors!$C$49:$BB$49))/2)</f>
        <v>0.25908474817077498</v>
      </c>
      <c r="AQ20" s="20">
        <f>MAX(0,(SUMPRODUCT(Oxides_min!$C20:$BB20,Factors!$C$50:$BB$50)+SUMPRODUCT(Oxides_max!$C20:$BB20,Factors!$C$50:$BB$50))/2)</f>
        <v>2.0822241287514105</v>
      </c>
      <c r="AR20" s="20">
        <f>MAX(0,(SUMPRODUCT(Oxides_min!$C20:$BB20,Factors!$C$51:$BB$51)+SUMPRODUCT(Oxides_max!$C20:$BB20,Factors!$C$51:$BB$51))/2)</f>
        <v>0.52128363797285049</v>
      </c>
      <c r="AS20" s="20">
        <f>MAX(0,(SUMPRODUCT(Oxides_min!$C20:$BB20,Factors!$C$52:$BB$52)+SUMPRODUCT(Oxides_max!$C20:$BB20,Factors!$C$52:$BB$52))/2)</f>
        <v>3.049622383021847</v>
      </c>
      <c r="AT20" s="20">
        <f>MAX(0,(SUMPRODUCT(Oxides_min!$C20:$BB20,Factors!$C$53:$BB$53)+SUMPRODUCT(Oxides_max!$C20:$BB20,Factors!$C$53:$BB$53))/2)</f>
        <v>0.9602735749752962</v>
      </c>
      <c r="AU20" s="20">
        <f>MAX(0,(SUMPRODUCT(Oxides_min!$C20:$BB20,Factors!$C$54:$BB$54)+SUMPRODUCT(Oxides_max!$C20:$BB20,Factors!$C$54:$BB$54))/2)</f>
        <v>2.3174848045174699</v>
      </c>
      <c r="AV20" s="20">
        <f>MAX(0,(SUMPRODUCT(Oxides_min!$C20:$BB20,Factors!$C$55:$BB$55)+SUMPRODUCT(Oxides_max!$C20:$BB20,Factors!$C$55:$BB$55))/2)</f>
        <v>0.3940254353953026</v>
      </c>
      <c r="AW20" s="20">
        <f>MAX(0,(SUMPRODUCT(Oxides_min!$C20:$BB20,Factors!$C$56:$BB$56)+SUMPRODUCT(Oxides_max!$C20:$BB20,Factors!$C$56:$BB$56))/2)</f>
        <v>2.1955177410064275</v>
      </c>
      <c r="AX20" s="20">
        <f>MAX(0,(SUMPRODUCT(Oxides_min!$C20:$BB20,Factors!$C$57:$BB$57)+SUMPRODUCT(Oxides_max!$C20:$BB20,Factors!$C$57:$BB$57))/2)</f>
        <v>0.35175339619521595</v>
      </c>
      <c r="AY20" s="20">
        <f>MAX(0,(SUMPRODUCT(Oxides_min!$C20:$BB20,Factors!$C$58:$BB$58)+SUMPRODUCT(Oxides_max!$C20:$BB20,Factors!$C$58:$BB$58))/2)</f>
        <v>0</v>
      </c>
      <c r="AZ20" s="18">
        <f t="shared" si="0"/>
        <v>109.89999999999999</v>
      </c>
    </row>
    <row r="21" spans="1:52" x14ac:dyDescent="0.35">
      <c r="A21" s="13" t="s">
        <v>163</v>
      </c>
      <c r="B21" s="20">
        <f>MAX(0,(SUMPRODUCT(Oxides_min!$C21:$BB21,Factors!$C$9:$BB$9)+SUMPRODUCT(Oxides_max!$C21:$BB21,Factors!$C$9:$BB$9))/2)</f>
        <v>35.720090916306866</v>
      </c>
      <c r="C21" s="20">
        <f>MAX(0,(SUMPRODUCT(Oxides_min!$C21:$BB21,Factors!$C$10:$BB$10)+SUMPRODUCT(Oxides_max!$C21:$BB21,Factors!$C$10:$BB$10))/2)</f>
        <v>12.971368773197078</v>
      </c>
      <c r="D21" s="20">
        <f>MAX(0,(SUMPRODUCT(Oxides_min!$C21:$BB21,Factors!$C$11:$BB$11)+SUMPRODUCT(Oxides_max!$C21:$BB21,Factors!$C$11:$BB$11))/2)</f>
        <v>0</v>
      </c>
      <c r="E21" s="20">
        <f>MAX(0,(SUMPRODUCT(Oxides_min!$C21:$BB21,Factors!$C$12:$BB$12)+SUMPRODUCT(Oxides_max!$C21:$BB21,Factors!$C$12:$BB$12))/2)</f>
        <v>40.162487218191558</v>
      </c>
      <c r="F21" s="20">
        <f>MAX(0,(SUMPRODUCT(Oxides_min!$C21:$BB21,Factors!$C$13:$BB$13)+SUMPRODUCT(Oxides_max!$C21:$BB21,Factors!$C$13:$BB$13))/2)</f>
        <v>2.7559409562540385</v>
      </c>
      <c r="G21" s="20">
        <f>MAX(0,(SUMPRODUCT(Oxides_min!$C21:$BB21,Factors!$C$14:$BB$14)+SUMPRODUCT(Oxides_max!$C21:$BB21,Factors!$C$14:$BB$14))/2)</f>
        <v>0</v>
      </c>
      <c r="H21" s="20">
        <f>MAX(0,(SUMPRODUCT(Oxides_min!$C21:$BB21,Factors!$C$15:$BB$15)+SUMPRODUCT(Oxides_max!$C21:$BB21,Factors!$C$15:$BB$15))/2)</f>
        <v>0.26462846335433821</v>
      </c>
      <c r="I21" s="20">
        <f>MAX(0,(SUMPRODUCT(Oxides_min!$C21:$BB21,Factors!$C$16:$BB$16)+SUMPRODUCT(Oxides_max!$C21:$BB21,Factors!$C$16:$BB$16))/2)</f>
        <v>0.77730916986804743</v>
      </c>
      <c r="J21" s="20">
        <f>MAX(0,(SUMPRODUCT(Oxides_min!$C21:$BB21,Factors!$C$17:$BB$17)+SUMPRODUCT(Oxides_max!$C21:$BB21,Factors!$C$17:$BB$17))/2)</f>
        <v>3.8723099316063977E-2</v>
      </c>
      <c r="K21" s="20">
        <f>MAX(0,(SUMPRODUCT(Oxides_min!$C21:$BB21,Factors!$C$18:$BB$18)+SUMPRODUCT(Oxides_max!$C21:$BB21,Factors!$C$18:$BB$18))/2)</f>
        <v>0</v>
      </c>
      <c r="L21" s="20">
        <f>MAX(0,(SUMPRODUCT(Oxides_min!$C21:$BB21,Factors!$C$19:$BB$19)+SUMPRODUCT(Oxides_max!$C21:$BB21,Factors!$C$19:$BB$19))/2)</f>
        <v>0</v>
      </c>
      <c r="M21" s="20">
        <f>MAX(0,(SUMPRODUCT(Oxides_min!$C21:$BB21,Factors!$C$20:$BB$20)+SUMPRODUCT(Oxides_max!$C21:$BB21,Factors!$C$20:$BB$20))/2)</f>
        <v>0</v>
      </c>
      <c r="N21" s="20">
        <f>MAX(0,(SUMPRODUCT(Oxides_min!$C21:$BB21,Factors!$C$21:$BB$21)+SUMPRODUCT(Oxides_max!$C21:$BB21,Factors!$C$21:$BB$21))/2)</f>
        <v>0.8933698307684077</v>
      </c>
      <c r="O21" s="20">
        <f>MAX(0,(SUMPRODUCT(Oxides_min!$C21:$BB21,Factors!$C$22:$BB$22)+SUMPRODUCT(Oxides_max!$C21:$BB21,Factors!$C$22:$BB$22))/2)</f>
        <v>0</v>
      </c>
      <c r="P21" s="20">
        <f>MAX(0,(SUMPRODUCT(Oxides_min!$C21:$BB21,Factors!$C$23:$BB$23)+SUMPRODUCT(Oxides_max!$C21:$BB21,Factors!$C$23:$BB$23))/2)</f>
        <v>0</v>
      </c>
      <c r="Q21" s="20">
        <f>MAX(0,(SUMPRODUCT(Oxides_min!$C21:$BB21,Factors!$C$24:$BB$24)+SUMPRODUCT(Oxides_max!$C21:$BB21,Factors!$C$24:$BB$24))/2)</f>
        <v>0.41774380709590991</v>
      </c>
      <c r="R21" s="20">
        <f>MAX(0,(SUMPRODUCT(Oxides_min!$C21:$BB21,Factors!$C$25:$BB$25)+SUMPRODUCT(Oxides_max!$C21:$BB21,Factors!$C$25:$BB$25))/2)</f>
        <v>0.11127933869113804</v>
      </c>
      <c r="S21" s="20">
        <f>MAX(0,(SUMPRODUCT(Oxides_min!$C21:$BB21,Factors!$C$26:$BB$26)+SUMPRODUCT(Oxides_max!$C21:$BB21,Factors!$C$26:$BB$26))/2)</f>
        <v>0</v>
      </c>
      <c r="T21" s="20">
        <f>MAX(0,(SUMPRODUCT(Oxides_min!$C21:$BB21,Factors!$C$27:$BB$27)+SUMPRODUCT(Oxides_max!$C21:$BB21,Factors!$C$27:$BB$27))/2)</f>
        <v>0</v>
      </c>
      <c r="U21" s="20">
        <f>MAX(0,(SUMPRODUCT(Oxides_min!$C21:$BB21,Factors!$C$28:$BB$28)+SUMPRODUCT(Oxides_max!$C21:$BB21,Factors!$C$28:$BB$28))/2)</f>
        <v>0</v>
      </c>
      <c r="V21" s="20">
        <f>MAX(0,(SUMPRODUCT(Oxides_min!$C21:$BB21,Factors!$C$29:$BB$29)+SUMPRODUCT(Oxides_max!$C21:$BB21,Factors!$C$29:$BB$29))/2)</f>
        <v>0</v>
      </c>
      <c r="W21" s="20">
        <f>MAX(0,(SUMPRODUCT(Oxides_min!$C21:$BB21,Factors!$C$30:$BB$30)+SUMPRODUCT(Oxides_max!$C21:$BB21,Factors!$C$30:$BB$30))/2)</f>
        <v>0.17476234890677</v>
      </c>
      <c r="X21" s="20">
        <f>MAX(0,(SUMPRODUCT(Oxides_min!$C21:$BB21,Factors!$C$31:$BB$31)+SUMPRODUCT(Oxides_max!$C21:$BB21,Factors!$C$31:$BB$31))/2)</f>
        <v>0</v>
      </c>
      <c r="Y21" s="20">
        <f>MAX(0,(SUMPRODUCT(Oxides_min!$C21:$BB21,Factors!$C$32:$BB$32)+SUMPRODUCT(Oxides_max!$C21:$BB21,Factors!$C$32:$BB$32))/2)</f>
        <v>0</v>
      </c>
      <c r="Z21" s="20">
        <f>MAX(0,(SUMPRODUCT(Oxides_min!$C21:$BB21,Factors!$C$33:$BB$33)+SUMPRODUCT(Oxides_max!$C21:$BB21,Factors!$C$33:$BB$33))/2)</f>
        <v>1.3092804520880374</v>
      </c>
      <c r="AA21" s="20">
        <f>MAX(0,(SUMPRODUCT(Oxides_min!$C21:$BB21,Factors!$C$34:$BB$34)+SUMPRODUCT(Oxides_max!$C21:$BB21,Factors!$C$34:$BB$34))/2)</f>
        <v>9.7792618798468595E-2</v>
      </c>
      <c r="AB21" s="20">
        <f>MAX(0,(SUMPRODUCT(Oxides_min!$C21:$BB21,Factors!$C$35:$BB$35)+SUMPRODUCT(Oxides_max!$C21:$BB21,Factors!$C$35:$BB$35))/2)</f>
        <v>0</v>
      </c>
      <c r="AC21" s="20">
        <f>MAX(0,(SUMPRODUCT(Oxides_min!$C21:$BB21,Factors!$C$36:$BB$36)+SUMPRODUCT(Oxides_max!$C21:$BB21,Factors!$C$36:$BB$36))/2)</f>
        <v>0</v>
      </c>
      <c r="AD21" s="20">
        <f>MAX(0,(SUMPRODUCT(Oxides_min!$C21:$BB21,Factors!$C$37:$BB$37)+SUMPRODUCT(Oxides_max!$C21:$BB21,Factors!$C$37:$BB$37))/2)</f>
        <v>0.279766860949209</v>
      </c>
      <c r="AE21" s="20">
        <f>MAX(0,(SUMPRODUCT(Oxides_min!$C21:$BB21,Factors!$C$38:$BB$38)+SUMPRODUCT(Oxides_max!$C21:$BB21,Factors!$C$38:$BB$38))/2)</f>
        <v>0.6</v>
      </c>
      <c r="AF21" s="20">
        <f>MAX(0,(SUMPRODUCT(Oxides_min!$C21:$BB21,Factors!$C$39:$BB$39)+SUMPRODUCT(Oxides_max!$C21:$BB21,Factors!$C$39:$BB$39))/2)</f>
        <v>0</v>
      </c>
      <c r="AG21" s="20">
        <f>MAX(0,(SUMPRODUCT(Oxides_min!$C21:$BB21,Factors!$C$40:$BB$40)+SUMPRODUCT(Oxides_max!$C21:$BB21,Factors!$C$40:$BB$40))/2)</f>
        <v>0.65910888186711114</v>
      </c>
      <c r="AH21" s="20">
        <f>MAX(0,(SUMPRODUCT(Oxides_min!$C21:$BB21,Factors!$C$41:$BB$41)+SUMPRODUCT(Oxides_max!$C21:$BB21,Factors!$C$41:$BB$41))/2)</f>
        <v>1.5426262238085826</v>
      </c>
      <c r="AI21" s="20">
        <f>MAX(0,(SUMPRODUCT(Oxides_min!$C21:$BB21,Factors!$C$42:$BB$42)+SUMPRODUCT(Oxides_max!$C21:$BB21,Factors!$C$42:$BB$42))/2)</f>
        <v>0.16299142181019088</v>
      </c>
      <c r="AJ21" s="20">
        <f>MAX(0,(SUMPRODUCT(Oxides_min!$C21:$BB21,Factors!$C$43:$BB$43)+SUMPRODUCT(Oxides_max!$C21:$BB21,Factors!$C$43:$BB$43))/2)</f>
        <v>3.1497758190694887</v>
      </c>
      <c r="AK21" s="20">
        <f>MAX(0,(SUMPRODUCT(Oxides_min!$C21:$BB21,Factors!$C$44:$BB$44)+SUMPRODUCT(Oxides_max!$C21:$BB21,Factors!$C$44:$BB$44))/2)</f>
        <v>2.1317078705939456E-2</v>
      </c>
      <c r="AL21" s="20">
        <f>MAX(0,(SUMPRODUCT(Oxides_min!$C21:$BB21,Factors!$C$45:$BB$45)+SUMPRODUCT(Oxides_max!$C21:$BB21,Factors!$C$45:$BB$45))/2)</f>
        <v>0.21344244414722646</v>
      </c>
      <c r="AM21" s="20">
        <f>MAX(0,(SUMPRODUCT(Oxides_min!$C21:$BB21,Factors!$C$46:$BB$46)+SUMPRODUCT(Oxides_max!$C21:$BB21,Factors!$C$46:$BB$46))/2)</f>
        <v>2.5634153387599345E-2</v>
      </c>
      <c r="AN21" s="20">
        <f>MAX(0,(SUMPRODUCT(Oxides_min!$C21:$BB21,Factors!$C$47:$BB$47)+SUMPRODUCT(Oxides_max!$C21:$BB21,Factors!$C$47:$BB$47))/2)</f>
        <v>6.4301699055815925E-2</v>
      </c>
      <c r="AO21" s="20">
        <f>MAX(0,(SUMPRODUCT(Oxides_min!$C21:$BB21,Factors!$C$48:$BB$48)+SUMPRODUCT(Oxides_max!$C21:$BB21,Factors!$C$48:$BB$48))/2)</f>
        <v>6.467708772442983E-2</v>
      </c>
      <c r="AP21" s="20">
        <f>MAX(0,(SUMPRODUCT(Oxides_min!$C21:$BB21,Factors!$C$49:$BB$49)+SUMPRODUCT(Oxides_max!$C21:$BB21,Factors!$C$49:$BB$49))/2)</f>
        <v>1.295423740853875E-2</v>
      </c>
      <c r="AQ21" s="20">
        <f>MAX(0,(SUMPRODUCT(Oxides_min!$C21:$BB21,Factors!$C$50:$BB$50)+SUMPRODUCT(Oxides_max!$C21:$BB21,Factors!$C$50:$BB$50))/2)</f>
        <v>0.21689834674493857</v>
      </c>
      <c r="AR21" s="20">
        <f>MAX(0,(SUMPRODUCT(Oxides_min!$C21:$BB21,Factors!$C$51:$BB$51)+SUMPRODUCT(Oxides_max!$C21:$BB21,Factors!$C$51:$BB$51))/2)</f>
        <v>6.5160454746606297E-2</v>
      </c>
      <c r="AS21" s="20">
        <f>MAX(0,(SUMPRODUCT(Oxides_min!$C21:$BB21,Factors!$C$52:$BB$52)+SUMPRODUCT(Oxides_max!$C21:$BB21,Factors!$C$52:$BB$52))/2)</f>
        <v>0.52279240851803088</v>
      </c>
      <c r="AT21" s="20">
        <f>MAX(0,(SUMPRODUCT(Oxides_min!$C21:$BB21,Factors!$C$53:$BB$53)+SUMPRODUCT(Oxides_max!$C21:$BB21,Factors!$C$53:$BB$53))/2)</f>
        <v>0.10912199715628366</v>
      </c>
      <c r="AU21" s="20">
        <f>MAX(0,(SUMPRODUCT(Oxides_min!$C21:$BB21,Factors!$C$54:$BB$54)+SUMPRODUCT(Oxides_max!$C21:$BB21,Factors!$C$54:$BB$54))/2)</f>
        <v>0.43726128387122071</v>
      </c>
      <c r="AV21" s="20">
        <f>MAX(0,(SUMPRODUCT(Oxides_min!$C21:$BB21,Factors!$C$55:$BB$55)+SUMPRODUCT(Oxides_max!$C21:$BB21,Factors!$C$55:$BB$55))/2)</f>
        <v>8.7561207865622798E-2</v>
      </c>
      <c r="AW21" s="20">
        <f>MAX(0,(SUMPRODUCT(Oxides_min!$C21:$BB21,Factors!$C$56:$BB$56)+SUMPRODUCT(Oxides_max!$C21:$BB21,Factors!$C$56:$BB$56))/2)</f>
        <v>0.96602780604282823</v>
      </c>
      <c r="AX21" s="20">
        <f>MAX(0,(SUMPRODUCT(Oxides_min!$C21:$BB21,Factors!$C$57:$BB$57)+SUMPRODUCT(Oxides_max!$C21:$BB21,Factors!$C$57:$BB$57))/2)</f>
        <v>0.15389211083540696</v>
      </c>
      <c r="AY21" s="20">
        <f>MAX(0,(SUMPRODUCT(Oxides_min!$C21:$BB21,Factors!$C$58:$BB$58)+SUMPRODUCT(Oxides_max!$C21:$BB21,Factors!$C$58:$BB$58))/2)</f>
        <v>6.7274461335339805E-2</v>
      </c>
      <c r="AZ21" s="18">
        <f t="shared" si="0"/>
        <v>105.11736297788711</v>
      </c>
    </row>
    <row r="22" spans="1:52" x14ac:dyDescent="0.35">
      <c r="A22" s="13" t="s">
        <v>165</v>
      </c>
      <c r="B22" s="20">
        <f>MAX(0,(SUMPRODUCT(Oxides_min!$C22:$BB22,Factors!$C$9:$BB$9)+SUMPRODUCT(Oxides_max!$C22:$BB22,Factors!$C$9:$BB$9))/2)</f>
        <v>29.572515316736649</v>
      </c>
      <c r="C22" s="20">
        <f>MAX(0,(SUMPRODUCT(Oxides_min!$C22:$BB22,Factors!$C$10:$BB$10)+SUMPRODUCT(Oxides_max!$C22:$BB22,Factors!$C$10:$BB$10))/2)</f>
        <v>0.18697468501905701</v>
      </c>
      <c r="D22" s="20">
        <f>MAX(0,(SUMPRODUCT(Oxides_min!$C22:$BB22,Factors!$C$11:$BB$11)+SUMPRODUCT(Oxides_max!$C22:$BB22,Factors!$C$11:$BB$11))/2)</f>
        <v>18.879490390033183</v>
      </c>
      <c r="E22" s="20">
        <f>MAX(0,(SUMPRODUCT(Oxides_min!$C22:$BB22,Factors!$C$12:$BB$12)+SUMPRODUCT(Oxides_max!$C22:$BB22,Factors!$C$12:$BB$12))/2)</f>
        <v>0.96241904854652582</v>
      </c>
      <c r="F22" s="20">
        <f>MAX(0,(SUMPRODUCT(Oxides_min!$C22:$BB22,Factors!$C$13:$BB$13)+SUMPRODUCT(Oxides_max!$C22:$BB22,Factors!$C$13:$BB$13))/2)</f>
        <v>0</v>
      </c>
      <c r="G22" s="20">
        <f>MAX(0,(SUMPRODUCT(Oxides_min!$C22:$BB22,Factors!$C$14:$BB$14)+SUMPRODUCT(Oxides_max!$C22:$BB22,Factors!$C$14:$BB$14))/2)</f>
        <v>7.8768214029779446E-2</v>
      </c>
      <c r="H22" s="20">
        <f>MAX(0,(SUMPRODUCT(Oxides_min!$C22:$BB22,Factors!$C$15:$BB$15)+SUMPRODUCT(Oxides_max!$C22:$BB22,Factors!$C$15:$BB$15))/2)</f>
        <v>0</v>
      </c>
      <c r="I22" s="20">
        <f>MAX(0,(SUMPRODUCT(Oxides_min!$C22:$BB22,Factors!$C$16:$BB$16)+SUMPRODUCT(Oxides_max!$C22:$BB22,Factors!$C$16:$BB$16))/2)</f>
        <v>4.1891654563536518</v>
      </c>
      <c r="J22" s="20">
        <f>MAX(0,(SUMPRODUCT(Oxides_min!$C22:$BB22,Factors!$C$17:$BB$17)+SUMPRODUCT(Oxides_max!$C22:$BB22,Factors!$C$17:$BB$17))/2)</f>
        <v>0.48403874145079967</v>
      </c>
      <c r="K22" s="20">
        <f>MAX(0,(SUMPRODUCT(Oxides_min!$C22:$BB22,Factors!$C$18:$BB$18)+SUMPRODUCT(Oxides_max!$C22:$BB22,Factors!$C$18:$BB$18))/2)</f>
        <v>0</v>
      </c>
      <c r="L22" s="20">
        <f>MAX(0,(SUMPRODUCT(Oxides_min!$C22:$BB22,Factors!$C$19:$BB$19)+SUMPRODUCT(Oxides_max!$C22:$BB22,Factors!$C$19:$BB$19))/2)</f>
        <v>0</v>
      </c>
      <c r="M22" s="20">
        <f>MAX(0,(SUMPRODUCT(Oxides_min!$C22:$BB22,Factors!$C$20:$BB$20)+SUMPRODUCT(Oxides_max!$C22:$BB22,Factors!$C$20:$BB$20))/2)</f>
        <v>0</v>
      </c>
      <c r="N22" s="20">
        <f>MAX(0,(SUMPRODUCT(Oxides_min!$C22:$BB22,Factors!$C$21:$BB$21)+SUMPRODUCT(Oxides_max!$C22:$BB22,Factors!$C$21:$BB$21))/2)</f>
        <v>1.3221873495372432</v>
      </c>
      <c r="O22" s="20">
        <f>MAX(0,(SUMPRODUCT(Oxides_min!$C22:$BB22,Factors!$C$22:$BB$22)+SUMPRODUCT(Oxides_max!$C22:$BB22,Factors!$C$22:$BB$22))/2)</f>
        <v>0</v>
      </c>
      <c r="P22" s="20">
        <f>MAX(0,(SUMPRODUCT(Oxides_min!$C22:$BB22,Factors!$C$23:$BB$23)+SUMPRODUCT(Oxides_max!$C22:$BB22,Factors!$C$23:$BB$23))/2)</f>
        <v>0</v>
      </c>
      <c r="Q22" s="20">
        <f>MAX(0,(SUMPRODUCT(Oxides_min!$C22:$BB22,Factors!$C$24:$BB$24)+SUMPRODUCT(Oxides_max!$C22:$BB22,Factors!$C$24:$BB$24))/2)</f>
        <v>0</v>
      </c>
      <c r="R22" s="20">
        <f>MAX(0,(SUMPRODUCT(Oxides_min!$C22:$BB22,Factors!$C$25:$BB$25)+SUMPRODUCT(Oxides_max!$C22:$BB22,Factors!$C$25:$BB$25))/2)</f>
        <v>0</v>
      </c>
      <c r="S22" s="20">
        <f>MAX(0,(SUMPRODUCT(Oxides_min!$C22:$BB22,Factors!$C$26:$BB$26)+SUMPRODUCT(Oxides_max!$C22:$BB22,Factors!$C$26:$BB$26))/2)</f>
        <v>0</v>
      </c>
      <c r="T22" s="20">
        <f>MAX(0,(SUMPRODUCT(Oxides_min!$C22:$BB22,Factors!$C$27:$BB$27)+SUMPRODUCT(Oxides_max!$C22:$BB22,Factors!$C$27:$BB$27))/2)</f>
        <v>0</v>
      </c>
      <c r="U22" s="20">
        <f>MAX(0,(SUMPRODUCT(Oxides_min!$C22:$BB22,Factors!$C$28:$BB$28)+SUMPRODUCT(Oxides_max!$C22:$BB22,Factors!$C$28:$BB$28))/2)</f>
        <v>0</v>
      </c>
      <c r="V22" s="20">
        <f>MAX(0,(SUMPRODUCT(Oxides_min!$C22:$BB22,Factors!$C$29:$BB$29)+SUMPRODUCT(Oxides_max!$C22:$BB22,Factors!$C$29:$BB$29))/2)</f>
        <v>0</v>
      </c>
      <c r="W22" s="20">
        <f>MAX(0,(SUMPRODUCT(Oxides_min!$C22:$BB22,Factors!$C$30:$BB$30)+SUMPRODUCT(Oxides_max!$C22:$BB22,Factors!$C$30:$BB$30))/2)</f>
        <v>10.590598343750262</v>
      </c>
      <c r="X22" s="20">
        <f>MAX(0,(SUMPRODUCT(Oxides_min!$C22:$BB22,Factors!$C$31:$BB$31)+SUMPRODUCT(Oxides_max!$C22:$BB22,Factors!$C$31:$BB$31))/2)</f>
        <v>2.8663988357665593</v>
      </c>
      <c r="Y22" s="20">
        <f>MAX(0,(SUMPRODUCT(Oxides_min!$C22:$BB22,Factors!$C$32:$BB$32)+SUMPRODUCT(Oxides_max!$C22:$BB22,Factors!$C$32:$BB$32))/2)</f>
        <v>0</v>
      </c>
      <c r="Z22" s="20">
        <f>MAX(0,(SUMPRODUCT(Oxides_min!$C22:$BB22,Factors!$C$33:$BB$33)+SUMPRODUCT(Oxides_max!$C22:$BB22,Factors!$C$33:$BB$33))/2)</f>
        <v>0</v>
      </c>
      <c r="AA22" s="20">
        <f>MAX(0,(SUMPRODUCT(Oxides_min!$C22:$BB22,Factors!$C$34:$BB$34)+SUMPRODUCT(Oxides_max!$C22:$BB22,Factors!$C$34:$BB$34))/2)</f>
        <v>0</v>
      </c>
      <c r="AB22" s="20">
        <f>MAX(0,(SUMPRODUCT(Oxides_min!$C22:$BB22,Factors!$C$35:$BB$35)+SUMPRODUCT(Oxides_max!$C22:$BB22,Factors!$C$35:$BB$35))/2)</f>
        <v>0</v>
      </c>
      <c r="AC22" s="20">
        <f>MAX(0,(SUMPRODUCT(Oxides_min!$C22:$BB22,Factors!$C$36:$BB$36)+SUMPRODUCT(Oxides_max!$C22:$BB22,Factors!$C$36:$BB$36))/2)</f>
        <v>0</v>
      </c>
      <c r="AD22" s="20">
        <f>MAX(0,(SUMPRODUCT(Oxides_min!$C22:$BB22,Factors!$C$37:$BB$37)+SUMPRODUCT(Oxides_max!$C22:$BB22,Factors!$C$37:$BB$37))/2)</f>
        <v>0.17905079100749377</v>
      </c>
      <c r="AE22" s="20">
        <f>MAX(0,(SUMPRODUCT(Oxides_min!$C22:$BB22,Factors!$C$38:$BB$38)+SUMPRODUCT(Oxides_max!$C22:$BB22,Factors!$C$38:$BB$38))/2)</f>
        <v>0.25</v>
      </c>
      <c r="AF22" s="20">
        <f>MAX(0,(SUMPRODUCT(Oxides_min!$C22:$BB22,Factors!$C$39:$BB$39)+SUMPRODUCT(Oxides_max!$C22:$BB22,Factors!$C$39:$BB$39))/2)</f>
        <v>0</v>
      </c>
      <c r="AG22" s="20">
        <f>MAX(0,(SUMPRODUCT(Oxides_min!$C22:$BB22,Factors!$C$40:$BB$40)+SUMPRODUCT(Oxides_max!$C22:$BB22,Factors!$C$40:$BB$40))/2)</f>
        <v>7.0304947399158522</v>
      </c>
      <c r="AH22" s="20">
        <f>MAX(0,(SUMPRODUCT(Oxides_min!$C22:$BB22,Factors!$C$41:$BB$41)+SUMPRODUCT(Oxides_max!$C22:$BB22,Factors!$C$41:$BB$41))/2)</f>
        <v>0.44075034965959503</v>
      </c>
      <c r="AI22" s="20">
        <f>MAX(0,(SUMPRODUCT(Oxides_min!$C22:$BB22,Factors!$C$42:$BB$42)+SUMPRODUCT(Oxides_max!$C22:$BB22,Factors!$C$42:$BB$42))/2)</f>
        <v>0</v>
      </c>
      <c r="AJ22" s="20">
        <f>MAX(0,(SUMPRODUCT(Oxides_min!$C22:$BB22,Factors!$C$43:$BB$43)+SUMPRODUCT(Oxides_max!$C22:$BB22,Factors!$C$43:$BB$43))/2)</f>
        <v>2.4804484575172223</v>
      </c>
      <c r="AK22" s="20">
        <f>MAX(0,(SUMPRODUCT(Oxides_min!$C22:$BB22,Factors!$C$44:$BB$44)+SUMPRODUCT(Oxides_max!$C22:$BB22,Factors!$C$44:$BB$44))/2)</f>
        <v>7.162538445195656</v>
      </c>
      <c r="AL22" s="20">
        <f>MAX(0,(SUMPRODUCT(Oxides_min!$C22:$BB22,Factors!$C$45:$BB$45)+SUMPRODUCT(Oxides_max!$C22:$BB22,Factors!$C$45:$BB$45))/2)</f>
        <v>12.721169671174698</v>
      </c>
      <c r="AM22" s="20">
        <f>MAX(0,(SUMPRODUCT(Oxides_min!$C22:$BB22,Factors!$C$46:$BB$46)+SUMPRODUCT(Oxides_max!$C22:$BB22,Factors!$C$46:$BB$46))/2)</f>
        <v>1.6662199701939575</v>
      </c>
      <c r="AN22" s="20">
        <f>MAX(0,(SUMPRODUCT(Oxides_min!$C22:$BB22,Factors!$C$47:$BB$47)+SUMPRODUCT(Oxides_max!$C22:$BB22,Factors!$C$47:$BB$47))/2)</f>
        <v>9.3023124634080379</v>
      </c>
      <c r="AO22" s="20">
        <f>MAX(0,(SUMPRODUCT(Oxides_min!$C22:$BB22,Factors!$C$48:$BB$48)+SUMPRODUCT(Oxides_max!$C22:$BB22,Factors!$C$48:$BB$48))/2)</f>
        <v>1.5522501053863162</v>
      </c>
      <c r="AP22" s="20">
        <f>MAX(0,(SUMPRODUCT(Oxides_min!$C22:$BB22,Factors!$C$49:$BB$49)+SUMPRODUCT(Oxides_max!$C22:$BB22,Factors!$C$49:$BB$49))/2)</f>
        <v>0.64771187042693756</v>
      </c>
      <c r="AQ22" s="20">
        <f>MAX(0,(SUMPRODUCT(Oxides_min!$C22:$BB22,Factors!$C$50:$BB$50)+SUMPRODUCT(Oxides_max!$C22:$BB22,Factors!$C$50:$BB$50))/2)</f>
        <v>1.3447697498186193</v>
      </c>
      <c r="AR22" s="20">
        <f>MAX(0,(SUMPRODUCT(Oxides_min!$C22:$BB22,Factors!$C$51:$BB$51)+SUMPRODUCT(Oxides_max!$C22:$BB22,Factors!$C$51:$BB$51))/2)</f>
        <v>0</v>
      </c>
      <c r="AS22" s="20">
        <f>MAX(0,(SUMPRODUCT(Oxides_min!$C22:$BB22,Factors!$C$52:$BB$52)+SUMPRODUCT(Oxides_max!$C22:$BB22,Factors!$C$52:$BB$52))/2)</f>
        <v>0.78418861277704643</v>
      </c>
      <c r="AT22" s="20">
        <f>MAX(0,(SUMPRODUCT(Oxides_min!$C22:$BB22,Factors!$C$53:$BB$53)+SUMPRODUCT(Oxides_max!$C22:$BB22,Factors!$C$53:$BB$53))/2)</f>
        <v>0</v>
      </c>
      <c r="AU22" s="20">
        <f>MAX(0,(SUMPRODUCT(Oxides_min!$C22:$BB22,Factors!$C$54:$BB$54)+SUMPRODUCT(Oxides_max!$C22:$BB22,Factors!$C$54:$BB$54))/2)</f>
        <v>8.7452256774244147E-2</v>
      </c>
      <c r="AV22" s="20">
        <f>MAX(0,(SUMPRODUCT(Oxides_min!$C22:$BB22,Factors!$C$55:$BB$55)+SUMPRODUCT(Oxides_max!$C22:$BB22,Factors!$C$55:$BB$55))/2)</f>
        <v>0</v>
      </c>
      <c r="AW22" s="20">
        <f>MAX(0,(SUMPRODUCT(Oxides_min!$C22:$BB22,Factors!$C$56:$BB$56)+SUMPRODUCT(Oxides_max!$C22:$BB22,Factors!$C$56:$BB$56))/2)</f>
        <v>8.7820709640257108E-2</v>
      </c>
      <c r="AX22" s="20">
        <f>MAX(0,(SUMPRODUCT(Oxides_min!$C22:$BB22,Factors!$C$57:$BB$57)+SUMPRODUCT(Oxides_max!$C22:$BB22,Factors!$C$57:$BB$57))/2)</f>
        <v>0</v>
      </c>
      <c r="AY22" s="20">
        <f>MAX(0,(SUMPRODUCT(Oxides_min!$C22:$BB22,Factors!$C$58:$BB$58)+SUMPRODUCT(Oxides_max!$C22:$BB22,Factors!$C$58:$BB$58))/2)</f>
        <v>0</v>
      </c>
      <c r="AZ22" s="18">
        <f t="shared" si="0"/>
        <v>114.86973457411966</v>
      </c>
    </row>
    <row r="23" spans="1:52" x14ac:dyDescent="0.35">
      <c r="A23" s="13" t="s">
        <v>167</v>
      </c>
      <c r="B23" s="20">
        <f>MAX(0,(SUMPRODUCT(Oxides_min!$C23:$BB23,Factors!$C$9:$BB$9)+SUMPRODUCT(Oxides_max!$C23:$BB23,Factors!$C$9:$BB$9))/2)</f>
        <v>27.802523396559131</v>
      </c>
      <c r="C23" s="20">
        <f>MAX(0,(SUMPRODUCT(Oxides_min!$C23:$BB23,Factors!$C$10:$BB$10)+SUMPRODUCT(Oxides_max!$C23:$BB23,Factors!$C$10:$BB$10))/2)</f>
        <v>0.18697468501905701</v>
      </c>
      <c r="D23" s="20">
        <f>MAX(0,(SUMPRODUCT(Oxides_min!$C23:$BB23,Factors!$C$11:$BB$11)+SUMPRODUCT(Oxides_max!$C23:$BB23,Factors!$C$11:$BB$11))/2)</f>
        <v>11.986978025417894</v>
      </c>
      <c r="E23" s="20">
        <f>MAX(0,(SUMPRODUCT(Oxides_min!$C23:$BB23,Factors!$C$12:$BB$12)+SUMPRODUCT(Oxides_max!$C23:$BB23,Factors!$C$12:$BB$12))/2)</f>
        <v>3.7016117251789458E-2</v>
      </c>
      <c r="F23" s="20">
        <f>MAX(0,(SUMPRODUCT(Oxides_min!$C23:$BB23,Factors!$C$13:$BB$13)+SUMPRODUCT(Oxides_max!$C23:$BB23,Factors!$C$13:$BB$13))/2)</f>
        <v>0</v>
      </c>
      <c r="G23" s="20">
        <f>MAX(0,(SUMPRODUCT(Oxides_min!$C23:$BB23,Factors!$C$14:$BB$14)+SUMPRODUCT(Oxides_max!$C23:$BB23,Factors!$C$14:$BB$14))/2)</f>
        <v>0.15753642805955889</v>
      </c>
      <c r="H23" s="20">
        <f>MAX(0,(SUMPRODUCT(Oxides_min!$C23:$BB23,Factors!$C$15:$BB$15)+SUMPRODUCT(Oxides_max!$C23:$BB23,Factors!$C$15:$BB$15))/2)</f>
        <v>3.9694269503150727E-2</v>
      </c>
      <c r="I23" s="20">
        <f>MAX(0,(SUMPRODUCT(Oxides_min!$C23:$BB23,Factors!$C$16:$BB$16)+SUMPRODUCT(Oxides_max!$C23:$BB23,Factors!$C$16:$BB$16))/2)</f>
        <v>0.87825611793295288</v>
      </c>
      <c r="J23" s="20">
        <f>MAX(0,(SUMPRODUCT(Oxides_min!$C23:$BB23,Factors!$C$17:$BB$17)+SUMPRODUCT(Oxides_max!$C23:$BB23,Factors!$C$17:$BB$17))/2)</f>
        <v>0.23233859589638384</v>
      </c>
      <c r="K23" s="20">
        <f>MAX(0,(SUMPRODUCT(Oxides_min!$C23:$BB23,Factors!$C$18:$BB$18)+SUMPRODUCT(Oxides_max!$C23:$BB23,Factors!$C$18:$BB$18))/2)</f>
        <v>0</v>
      </c>
      <c r="L23" s="20">
        <f>MAX(0,(SUMPRODUCT(Oxides_min!$C23:$BB23,Factors!$C$19:$BB$19)+SUMPRODUCT(Oxides_max!$C23:$BB23,Factors!$C$19:$BB$19))/2)</f>
        <v>0</v>
      </c>
      <c r="M23" s="20">
        <f>MAX(0,(SUMPRODUCT(Oxides_min!$C23:$BB23,Factors!$C$20:$BB$20)+SUMPRODUCT(Oxides_max!$C23:$BB23,Factors!$C$20:$BB$20))/2)</f>
        <v>4.5228141127431516E-2</v>
      </c>
      <c r="N23" s="20">
        <f>MAX(0,(SUMPRODUCT(Oxides_min!$C23:$BB23,Factors!$C$21:$BB$21)+SUMPRODUCT(Oxides_max!$C23:$BB23,Factors!$C$21:$BB$21))/2)</f>
        <v>1.8224744547675518</v>
      </c>
      <c r="O23" s="20">
        <f>MAX(0,(SUMPRODUCT(Oxides_min!$C23:$BB23,Factors!$C$22:$BB$22)+SUMPRODUCT(Oxides_max!$C23:$BB23,Factors!$C$22:$BB$22))/2)</f>
        <v>0</v>
      </c>
      <c r="P23" s="20">
        <f>MAX(0,(SUMPRODUCT(Oxides_min!$C23:$BB23,Factors!$C$23:$BB$23)+SUMPRODUCT(Oxides_max!$C23:$BB23,Factors!$C$23:$BB$23))/2)</f>
        <v>0</v>
      </c>
      <c r="Q23" s="20">
        <f>MAX(0,(SUMPRODUCT(Oxides_min!$C23:$BB23,Factors!$C$24:$BB$24)+SUMPRODUCT(Oxides_max!$C23:$BB23,Factors!$C$24:$BB$24))/2)</f>
        <v>0.27849587139727328</v>
      </c>
      <c r="R23" s="20">
        <f>MAX(0,(SUMPRODUCT(Oxides_min!$C23:$BB23,Factors!$C$25:$BB$25)+SUMPRODUCT(Oxides_max!$C23:$BB23,Factors!$C$25:$BB$25))/2)</f>
        <v>7.4186225794092037E-2</v>
      </c>
      <c r="S23" s="20">
        <f>MAX(0,(SUMPRODUCT(Oxides_min!$C23:$BB23,Factors!$C$26:$BB$26)+SUMPRODUCT(Oxides_max!$C23:$BB23,Factors!$C$26:$BB$26))/2)</f>
        <v>4.1507565109198313E-2</v>
      </c>
      <c r="T23" s="20">
        <f>MAX(0,(SUMPRODUCT(Oxides_min!$C23:$BB23,Factors!$C$27:$BB$27)+SUMPRODUCT(Oxides_max!$C23:$BB23,Factors!$C$27:$BB$27))/2)</f>
        <v>0</v>
      </c>
      <c r="U23" s="20">
        <f>MAX(0,(SUMPRODUCT(Oxides_min!$C23:$BB23,Factors!$C$28:$BB$28)+SUMPRODUCT(Oxides_max!$C23:$BB23,Factors!$C$28:$BB$28))/2)</f>
        <v>0</v>
      </c>
      <c r="V23" s="20">
        <f>MAX(0,(SUMPRODUCT(Oxides_min!$C23:$BB23,Factors!$C$29:$BB$29)+SUMPRODUCT(Oxides_max!$C23:$BB23,Factors!$C$29:$BB$29))/2)</f>
        <v>0</v>
      </c>
      <c r="W23" s="20">
        <f>MAX(0,(SUMPRODUCT(Oxides_min!$C23:$BB23,Factors!$C$30:$BB$30)+SUMPRODUCT(Oxides_max!$C23:$BB23,Factors!$C$30:$BB$30))/2)</f>
        <v>22.369580660066561</v>
      </c>
      <c r="X23" s="20">
        <f>MAX(0,(SUMPRODUCT(Oxides_min!$C23:$BB23,Factors!$C$31:$BB$31)+SUMPRODUCT(Oxides_max!$C23:$BB23,Factors!$C$31:$BB$31))/2)</f>
        <v>6.3470259934830953</v>
      </c>
      <c r="Y23" s="20">
        <f>MAX(0,(SUMPRODUCT(Oxides_min!$C23:$BB23,Factors!$C$32:$BB$32)+SUMPRODUCT(Oxides_max!$C23:$BB23,Factors!$C$32:$BB$32))/2)</f>
        <v>0.11894563853051929</v>
      </c>
      <c r="Z23" s="20">
        <f>MAX(0,(SUMPRODUCT(Oxides_min!$C23:$BB23,Factors!$C$33:$BB$33)+SUMPRODUCT(Oxides_max!$C23:$BB23,Factors!$C$33:$BB$33))/2)</f>
        <v>0</v>
      </c>
      <c r="AA23" s="20">
        <f>MAX(0,(SUMPRODUCT(Oxides_min!$C23:$BB23,Factors!$C$34:$BB$34)+SUMPRODUCT(Oxides_max!$C23:$BB23,Factors!$C$34:$BB$34))/2)</f>
        <v>0</v>
      </c>
      <c r="AB23" s="20">
        <f>MAX(0,(SUMPRODUCT(Oxides_min!$C23:$BB23,Factors!$C$35:$BB$35)+SUMPRODUCT(Oxides_max!$C23:$BB23,Factors!$C$35:$BB$35))/2)</f>
        <v>0</v>
      </c>
      <c r="AC23" s="20">
        <f>MAX(0,(SUMPRODUCT(Oxides_min!$C23:$BB23,Factors!$C$36:$BB$36)+SUMPRODUCT(Oxides_max!$C23:$BB23,Factors!$C$36:$BB$36))/2)</f>
        <v>0</v>
      </c>
      <c r="AD23" s="20">
        <f>MAX(0,(SUMPRODUCT(Oxides_min!$C23:$BB23,Factors!$C$37:$BB$37)+SUMPRODUCT(Oxides_max!$C23:$BB23,Factors!$C$37:$BB$37))/2)</f>
        <v>0.16786011656952537</v>
      </c>
      <c r="AE23" s="20">
        <f>MAX(0,(SUMPRODUCT(Oxides_min!$C23:$BB23,Factors!$C$38:$BB$38)+SUMPRODUCT(Oxides_max!$C23:$BB23,Factors!$C$38:$BB$38))/2)</f>
        <v>0</v>
      </c>
      <c r="AF23" s="20">
        <f>MAX(0,(SUMPRODUCT(Oxides_min!$C23:$BB23,Factors!$C$39:$BB$39)+SUMPRODUCT(Oxides_max!$C23:$BB23,Factors!$C$39:$BB$39))/2)</f>
        <v>0</v>
      </c>
      <c r="AG23" s="20">
        <f>MAX(0,(SUMPRODUCT(Oxides_min!$C23:$BB23,Factors!$C$40:$BB$40)+SUMPRODUCT(Oxides_max!$C23:$BB23,Factors!$C$40:$BB$40))/2)</f>
        <v>2.4167325668460742</v>
      </c>
      <c r="AH23" s="20">
        <f>MAX(0,(SUMPRODUCT(Oxides_min!$C23:$BB23,Factors!$C$41:$BB$41)+SUMPRODUCT(Oxides_max!$C23:$BB23,Factors!$C$41:$BB$41))/2)</f>
        <v>5.5975294406768565</v>
      </c>
      <c r="AI23" s="20">
        <f>MAX(0,(SUMPRODUCT(Oxides_min!$C23:$BB23,Factors!$C$42:$BB$42)+SUMPRODUCT(Oxides_max!$C23:$BB23,Factors!$C$42:$BB$42))/2)</f>
        <v>3.2598284362038175E-2</v>
      </c>
      <c r="AJ23" s="20">
        <f>MAX(0,(SUMPRODUCT(Oxides_min!$C23:$BB23,Factors!$C$43:$BB$43)+SUMPRODUCT(Oxides_max!$C23:$BB23,Factors!$C$43:$BB$43))/2)</f>
        <v>12.1660091011559</v>
      </c>
      <c r="AK23" s="20">
        <f>MAX(0,(SUMPRODUCT(Oxides_min!$C23:$BB23,Factors!$C$44:$BB$44)+SUMPRODUCT(Oxides_max!$C23:$BB23,Factors!$C$44:$BB$44))/2)</f>
        <v>8.5268314823757824E-2</v>
      </c>
      <c r="AL23" s="20">
        <f>MAX(0,(SUMPRODUCT(Oxides_min!$C23:$BB23,Factors!$C$45:$BB$45)+SUMPRODUCT(Oxides_max!$C23:$BB23,Factors!$C$45:$BB$45))/2)</f>
        <v>0.6830158212711247</v>
      </c>
      <c r="AM23" s="20">
        <f>MAX(0,(SUMPRODUCT(Oxides_min!$C23:$BB23,Factors!$C$46:$BB$46)+SUMPRODUCT(Oxides_max!$C23:$BB23,Factors!$C$46:$BB$46))/2)</f>
        <v>0.12817076693799673</v>
      </c>
      <c r="AN23" s="20">
        <f>MAX(0,(SUMPRODUCT(Oxides_min!$C23:$BB23,Factors!$C$47:$BB$47)+SUMPRODUCT(Oxides_max!$C23:$BB23,Factors!$C$47:$BB$47))/2)</f>
        <v>0.77162038866979121</v>
      </c>
      <c r="AO23" s="20">
        <f>MAX(0,(SUMPRODUCT(Oxides_min!$C23:$BB23,Factors!$C$48:$BB$48)+SUMPRODUCT(Oxides_max!$C23:$BB23,Factors!$C$48:$BB$48))/2)</f>
        <v>1.0348334035908775</v>
      </c>
      <c r="AP23" s="20">
        <f>MAX(0,(SUMPRODUCT(Oxides_min!$C23:$BB23,Factors!$C$49:$BB$49)+SUMPRODUCT(Oxides_max!$C23:$BB23,Factors!$C$49:$BB$49))/2)</f>
        <v>0.38862712225616247</v>
      </c>
      <c r="AQ23" s="20">
        <f>MAX(0,(SUMPRODUCT(Oxides_min!$C23:$BB23,Factors!$C$50:$BB$50)+SUMPRODUCT(Oxides_max!$C23:$BB23,Factors!$C$50:$BB$50))/2)</f>
        <v>1.51828842721457</v>
      </c>
      <c r="AR23" s="20">
        <f>MAX(0,(SUMPRODUCT(Oxides_min!$C23:$BB23,Factors!$C$51:$BB$51)+SUMPRODUCT(Oxides_max!$C23:$BB23,Factors!$C$51:$BB$51))/2)</f>
        <v>0.3258022737330315</v>
      </c>
      <c r="AS23" s="20">
        <f>MAX(0,(SUMPRODUCT(Oxides_min!$C23:$BB23,Factors!$C$52:$BB$52)+SUMPRODUCT(Oxides_max!$C23:$BB23,Factors!$C$52:$BB$52))/2)</f>
        <v>1.8733394638562773</v>
      </c>
      <c r="AT23" s="20">
        <f>MAX(0,(SUMPRODUCT(Oxides_min!$C23:$BB23,Factors!$C$53:$BB$53)+SUMPRODUCT(Oxides_max!$C23:$BB23,Factors!$C$53:$BB$53))/2)</f>
        <v>0.34919039090010773</v>
      </c>
      <c r="AU23" s="20">
        <f>MAX(0,(SUMPRODUCT(Oxides_min!$C23:$BB23,Factors!$C$54:$BB$54)+SUMPRODUCT(Oxides_max!$C23:$BB23,Factors!$C$54:$BB$54))/2)</f>
        <v>1.0931532096780519</v>
      </c>
      <c r="AV23" s="20">
        <f>MAX(0,(SUMPRODUCT(Oxides_min!$C23:$BB23,Factors!$C$55:$BB$55)+SUMPRODUCT(Oxides_max!$C23:$BB23,Factors!$C$55:$BB$55))/2)</f>
        <v>0.26268362359686837</v>
      </c>
      <c r="AW23" s="20">
        <f>MAX(0,(SUMPRODUCT(Oxides_min!$C23:$BB23,Factors!$C$56:$BB$56)+SUMPRODUCT(Oxides_max!$C23:$BB23,Factors!$C$56:$BB$56))/2)</f>
        <v>1.1416692253233425</v>
      </c>
      <c r="AX23" s="20">
        <f>MAX(0,(SUMPRODUCT(Oxides_min!$C23:$BB23,Factors!$C$57:$BB$57)+SUMPRODUCT(Oxides_max!$C23:$BB23,Factors!$C$57:$BB$57))/2)</f>
        <v>0.21984587262200997</v>
      </c>
      <c r="AY23" s="20">
        <f>MAX(0,(SUMPRODUCT(Oxides_min!$C23:$BB23,Factors!$C$58:$BB$58)+SUMPRODUCT(Oxides_max!$C23:$BB23,Factors!$C$58:$BB$58))/2)</f>
        <v>0</v>
      </c>
      <c r="AZ23" s="18">
        <f t="shared" si="0"/>
        <v>102.67500000000005</v>
      </c>
    </row>
    <row r="24" spans="1:52" x14ac:dyDescent="0.35">
      <c r="A24" s="13" t="s">
        <v>169</v>
      </c>
      <c r="B24" s="20">
        <f>MAX(0,(SUMPRODUCT(Oxides_min!$C24:$BB24,Factors!$C$9:$BB$9)+SUMPRODUCT(Oxides_max!$C24:$BB24,Factors!$C$9:$BB$9))/2)</f>
        <v>25.724764127443915</v>
      </c>
      <c r="C24" s="20">
        <f>MAX(0,(SUMPRODUCT(Oxides_min!$C24:$BB24,Factors!$C$10:$BB$10)+SUMPRODUCT(Oxides_max!$C24:$BB24,Factors!$C$10:$BB$10))/2)</f>
        <v>0.23371835627382123</v>
      </c>
      <c r="D24" s="20">
        <f>MAX(0,(SUMPRODUCT(Oxides_min!$C24:$BB24,Factors!$C$11:$BB$11)+SUMPRODUCT(Oxides_max!$C24:$BB24,Factors!$C$11:$BB$11))/2)</f>
        <v>1.5583071433043261</v>
      </c>
      <c r="E24" s="20">
        <f>MAX(0,(SUMPRODUCT(Oxides_min!$C24:$BB24,Factors!$C$12:$BB$12)+SUMPRODUCT(Oxides_max!$C24:$BB24,Factors!$C$12:$BB$12))/2)</f>
        <v>0</v>
      </c>
      <c r="F24" s="20">
        <f>MAX(0,(SUMPRODUCT(Oxides_min!$C24:$BB24,Factors!$C$13:$BB$13)+SUMPRODUCT(Oxides_max!$C24:$BB24,Factors!$C$13:$BB$13))/2)</f>
        <v>0</v>
      </c>
      <c r="G24" s="20">
        <f>MAX(0,(SUMPRODUCT(Oxides_min!$C24:$BB24,Factors!$C$14:$BB$14)+SUMPRODUCT(Oxides_max!$C24:$BB24,Factors!$C$14:$BB$14))/2)</f>
        <v>0.19692053507444859</v>
      </c>
      <c r="H24" s="20">
        <f>MAX(0,(SUMPRODUCT(Oxides_min!$C24:$BB24,Factors!$C$15:$BB$15)+SUMPRODUCT(Oxides_max!$C24:$BB24,Factors!$C$15:$BB$15))/2)</f>
        <v>0</v>
      </c>
      <c r="I24" s="20">
        <f>MAX(0,(SUMPRODUCT(Oxides_min!$C24:$BB24,Factors!$C$16:$BB$16)+SUMPRODUCT(Oxides_max!$C24:$BB24,Factors!$C$16:$BB$16))/2)</f>
        <v>1.7489456322031067</v>
      </c>
      <c r="J24" s="20">
        <f>MAX(0,(SUMPRODUCT(Oxides_min!$C24:$BB24,Factors!$C$17:$BB$17)+SUMPRODUCT(Oxides_max!$C24:$BB24,Factors!$C$17:$BB$17))/2)</f>
        <v>0</v>
      </c>
      <c r="K24" s="20">
        <f>MAX(0,(SUMPRODUCT(Oxides_min!$C24:$BB24,Factors!$C$18:$BB$18)+SUMPRODUCT(Oxides_max!$C24:$BB24,Factors!$C$18:$BB$18))/2)</f>
        <v>0</v>
      </c>
      <c r="L24" s="20">
        <f>MAX(0,(SUMPRODUCT(Oxides_min!$C24:$BB24,Factors!$C$19:$BB$19)+SUMPRODUCT(Oxides_max!$C24:$BB24,Factors!$C$19:$BB$19))/2)</f>
        <v>0</v>
      </c>
      <c r="M24" s="20">
        <f>MAX(0,(SUMPRODUCT(Oxides_min!$C24:$BB24,Factors!$C$20:$BB$20)+SUMPRODUCT(Oxides_max!$C24:$BB24,Factors!$C$20:$BB$20))/2)</f>
        <v>0</v>
      </c>
      <c r="N24" s="20">
        <f>MAX(0,(SUMPRODUCT(Oxides_min!$C24:$BB24,Factors!$C$21:$BB$21)+SUMPRODUCT(Oxides_max!$C24:$BB24,Factors!$C$21:$BB$21))/2)</f>
        <v>0.82190024430693498</v>
      </c>
      <c r="O24" s="20">
        <f>MAX(0,(SUMPRODUCT(Oxides_min!$C24:$BB24,Factors!$C$22:$BB$22)+SUMPRODUCT(Oxides_max!$C24:$BB24,Factors!$C$22:$BB$22))/2)</f>
        <v>0</v>
      </c>
      <c r="P24" s="20">
        <f>MAX(0,(SUMPRODUCT(Oxides_min!$C24:$BB24,Factors!$C$23:$BB$23)+SUMPRODUCT(Oxides_max!$C24:$BB24,Factors!$C$23:$BB$23))/2)</f>
        <v>0</v>
      </c>
      <c r="Q24" s="20">
        <f>MAX(0,(SUMPRODUCT(Oxides_min!$C24:$BB24,Factors!$C$24:$BB$24)+SUMPRODUCT(Oxides_max!$C24:$BB24,Factors!$C$24:$BB$24))/2)</f>
        <v>0</v>
      </c>
      <c r="R24" s="20">
        <f>MAX(0,(SUMPRODUCT(Oxides_min!$C24:$BB24,Factors!$C$25:$BB$25)+SUMPRODUCT(Oxides_max!$C24:$BB24,Factors!$C$25:$BB$25))/2)</f>
        <v>0</v>
      </c>
      <c r="S24" s="20">
        <f>MAX(0,(SUMPRODUCT(Oxides_min!$C24:$BB24,Factors!$C$26:$BB$26)+SUMPRODUCT(Oxides_max!$C24:$BB24,Factors!$C$26:$BB$26))/2)</f>
        <v>0</v>
      </c>
      <c r="T24" s="20">
        <f>MAX(0,(SUMPRODUCT(Oxides_min!$C24:$BB24,Factors!$C$27:$BB$27)+SUMPRODUCT(Oxides_max!$C24:$BB24,Factors!$C$27:$BB$27))/2)</f>
        <v>0</v>
      </c>
      <c r="U24" s="20">
        <f>MAX(0,(SUMPRODUCT(Oxides_min!$C24:$BB24,Factors!$C$28:$BB$28)+SUMPRODUCT(Oxides_max!$C24:$BB24,Factors!$C$28:$BB$28))/2)</f>
        <v>0</v>
      </c>
      <c r="V24" s="20">
        <f>MAX(0,(SUMPRODUCT(Oxides_min!$C24:$BB24,Factors!$C$29:$BB$29)+SUMPRODUCT(Oxides_max!$C24:$BB24,Factors!$C$29:$BB$29))/2)</f>
        <v>0</v>
      </c>
      <c r="W24" s="20">
        <f>MAX(0,(SUMPRODUCT(Oxides_min!$C24:$BB24,Factors!$C$30:$BB$30)+SUMPRODUCT(Oxides_max!$C24:$BB24,Factors!$C$30:$BB$30))/2)</f>
        <v>30.583411058684753</v>
      </c>
      <c r="X24" s="20">
        <f>MAX(0,(SUMPRODUCT(Oxides_min!$C24:$BB24,Factors!$C$31:$BB$31)+SUMPRODUCT(Oxides_max!$C24:$BB24,Factors!$C$31:$BB$31))/2)</f>
        <v>2.5797589521899034</v>
      </c>
      <c r="Y24" s="20">
        <f>MAX(0,(SUMPRODUCT(Oxides_min!$C24:$BB24,Factors!$C$32:$BB$32)+SUMPRODUCT(Oxides_max!$C24:$BB24,Factors!$C$32:$BB$32))/2)</f>
        <v>7.9297092353679544E-2</v>
      </c>
      <c r="Z24" s="20">
        <f>MAX(0,(SUMPRODUCT(Oxides_min!$C24:$BB24,Factors!$C$33:$BB$33)+SUMPRODUCT(Oxides_max!$C24:$BB24,Factors!$C$33:$BB$33))/2)</f>
        <v>0</v>
      </c>
      <c r="AA24" s="20">
        <f>MAX(0,(SUMPRODUCT(Oxides_min!$C24:$BB24,Factors!$C$34:$BB$34)+SUMPRODUCT(Oxides_max!$C24:$BB24,Factors!$C$34:$BB$34))/2)</f>
        <v>0</v>
      </c>
      <c r="AB24" s="20">
        <f>MAX(0,(SUMPRODUCT(Oxides_min!$C24:$BB24,Factors!$C$35:$BB$35)+SUMPRODUCT(Oxides_max!$C24:$BB24,Factors!$C$35:$BB$35))/2)</f>
        <v>0</v>
      </c>
      <c r="AC24" s="20">
        <f>MAX(0,(SUMPRODUCT(Oxides_min!$C24:$BB24,Factors!$C$36:$BB$36)+SUMPRODUCT(Oxides_max!$C24:$BB24,Factors!$C$36:$BB$36))/2)</f>
        <v>0</v>
      </c>
      <c r="AD24" s="20">
        <f>MAX(0,(SUMPRODUCT(Oxides_min!$C24:$BB24,Factors!$C$37:$BB$37)+SUMPRODUCT(Oxides_max!$C24:$BB24,Factors!$C$37:$BB$37))/2)</f>
        <v>0.11190674437968359</v>
      </c>
      <c r="AE24" s="20">
        <f>MAX(0,(SUMPRODUCT(Oxides_min!$C24:$BB24,Factors!$C$38:$BB$38)+SUMPRODUCT(Oxides_max!$C24:$BB24,Factors!$C$38:$BB$38))/2)</f>
        <v>0</v>
      </c>
      <c r="AF24" s="20">
        <f>MAX(0,(SUMPRODUCT(Oxides_min!$C24:$BB24,Factors!$C$39:$BB$39)+SUMPRODUCT(Oxides_max!$C24:$BB24,Factors!$C$39:$BB$39))/2)</f>
        <v>0</v>
      </c>
      <c r="AG24" s="20">
        <f>MAX(0,(SUMPRODUCT(Oxides_min!$C24:$BB24,Factors!$C$40:$BB$40)+SUMPRODUCT(Oxides_max!$C24:$BB24,Factors!$C$40:$BB$40))/2)</f>
        <v>2.7243167117173925</v>
      </c>
      <c r="AH24" s="20">
        <f>MAX(0,(SUMPRODUCT(Oxides_min!$C24:$BB24,Factors!$C$41:$BB$41)+SUMPRODUCT(Oxides_max!$C24:$BB24,Factors!$C$41:$BB$41))/2)</f>
        <v>2.0979716643796724</v>
      </c>
      <c r="AI24" s="20">
        <f>MAX(0,(SUMPRODUCT(Oxides_min!$C24:$BB24,Factors!$C$42:$BB$42)+SUMPRODUCT(Oxides_max!$C24:$BB24,Factors!$C$42:$BB$42))/2)</f>
        <v>0</v>
      </c>
      <c r="AJ24" s="20">
        <f>MAX(0,(SUMPRODUCT(Oxides_min!$C24:$BB24,Factors!$C$43:$BB$43)+SUMPRODUCT(Oxides_max!$C24:$BB24,Factors!$C$43:$BB$43))/2)</f>
        <v>20.079820846567991</v>
      </c>
      <c r="AK24" s="20">
        <f>MAX(0,(SUMPRODUCT(Oxides_min!$C24:$BB24,Factors!$C$44:$BB$44)+SUMPRODUCT(Oxides_max!$C24:$BB24,Factors!$C$44:$BB$44))/2)</f>
        <v>8.5268314823757824E-2</v>
      </c>
      <c r="AL24" s="20">
        <f>MAX(0,(SUMPRODUCT(Oxides_min!$C24:$BB24,Factors!$C$45:$BB$45)+SUMPRODUCT(Oxides_max!$C24:$BB24,Factors!$C$45:$BB$45))/2)</f>
        <v>1.0672122207361323</v>
      </c>
      <c r="AM24" s="20">
        <f>MAX(0,(SUMPRODUCT(Oxides_min!$C24:$BB24,Factors!$C$46:$BB$46)+SUMPRODUCT(Oxides_max!$C24:$BB24,Factors!$C$46:$BB$46))/2)</f>
        <v>0.19652850930492832</v>
      </c>
      <c r="AN24" s="20">
        <f>MAX(0,(SUMPRODUCT(Oxides_min!$C24:$BB24,Factors!$C$47:$BB$47)+SUMPRODUCT(Oxides_max!$C24:$BB24,Factors!$C$47:$BB$47))/2)</f>
        <v>1.9290509716744779</v>
      </c>
      <c r="AO24" s="20">
        <f>MAX(0,(SUMPRODUCT(Oxides_min!$C24:$BB24,Factors!$C$48:$BB$48)+SUMPRODUCT(Oxides_max!$C24:$BB24,Factors!$C$48:$BB$48))/2)</f>
        <v>1.0779514620738306</v>
      </c>
      <c r="AP24" s="20">
        <f>MAX(0,(SUMPRODUCT(Oxides_min!$C24:$BB24,Factors!$C$49:$BB$49)+SUMPRODUCT(Oxides_max!$C24:$BB24,Factors!$C$49:$BB$49))/2)</f>
        <v>6.4771187042693745E-2</v>
      </c>
      <c r="AQ24" s="20">
        <f>MAX(0,(SUMPRODUCT(Oxides_min!$C24:$BB24,Factors!$C$50:$BB$50)+SUMPRODUCT(Oxides_max!$C24:$BB24,Factors!$C$50:$BB$50))/2)</f>
        <v>1.8653257820064719</v>
      </c>
      <c r="AR24" s="20">
        <f>MAX(0,(SUMPRODUCT(Oxides_min!$C24:$BB24,Factors!$C$51:$BB$51)+SUMPRODUCT(Oxides_max!$C24:$BB24,Factors!$C$51:$BB$51))/2)</f>
        <v>0.47784333480844621</v>
      </c>
      <c r="AS24" s="20">
        <f>MAX(0,(SUMPRODUCT(Oxides_min!$C24:$BB24,Factors!$C$52:$BB$52)+SUMPRODUCT(Oxides_max!$C24:$BB24,Factors!$C$52:$BB$52))/2)</f>
        <v>4.0952072000579092</v>
      </c>
      <c r="AT24" s="20">
        <f>MAX(0,(SUMPRODUCT(Oxides_min!$C24:$BB24,Factors!$C$53:$BB$53)+SUMPRODUCT(Oxides_max!$C24:$BB24,Factors!$C$53:$BB$53))/2)</f>
        <v>0.9384491755440395</v>
      </c>
      <c r="AU24" s="20">
        <f>MAX(0,(SUMPRODUCT(Oxides_min!$C24:$BB24,Factors!$C$54:$BB$54)+SUMPRODUCT(Oxides_max!$C24:$BB24,Factors!$C$54:$BB$54))/2)</f>
        <v>2.7984722167758127</v>
      </c>
      <c r="AV24" s="20">
        <f>MAX(0,(SUMPRODUCT(Oxides_min!$C24:$BB24,Factors!$C$55:$BB$55)+SUMPRODUCT(Oxides_max!$C24:$BB24,Factors!$C$55:$BB$55))/2)</f>
        <v>0.48158664326092537</v>
      </c>
      <c r="AW24" s="20">
        <f>MAX(0,(SUMPRODUCT(Oxides_min!$C24:$BB24,Factors!$C$56:$BB$56)+SUMPRODUCT(Oxides_max!$C24:$BB24,Factors!$C$56:$BB$56))/2)</f>
        <v>3.3810973211498982</v>
      </c>
      <c r="AX24" s="20">
        <f>MAX(0,(SUMPRODUCT(Oxides_min!$C24:$BB24,Factors!$C$57:$BB$57)+SUMPRODUCT(Oxides_max!$C24:$BB24,Factors!$C$57:$BB$57))/2)</f>
        <v>0.2901965518610532</v>
      </c>
      <c r="AY24" s="20">
        <f>MAX(0,(SUMPRODUCT(Oxides_min!$C24:$BB24,Factors!$C$58:$BB$58)+SUMPRODUCT(Oxides_max!$C24:$BB24,Factors!$C$58:$BB$58))/2)</f>
        <v>0</v>
      </c>
      <c r="AZ24" s="18">
        <f t="shared" si="0"/>
        <v>107.29</v>
      </c>
    </row>
    <row r="25" spans="1:52" x14ac:dyDescent="0.35">
      <c r="A25" s="13" t="s">
        <v>171</v>
      </c>
      <c r="B25" s="20">
        <f>MAX(0,(SUMPRODUCT(Oxides_min!$C25:$BB25,Factors!$C$9:$BB$9)+SUMPRODUCT(Oxides_max!$C25:$BB25,Factors!$C$9:$BB$9))/2)</f>
        <v>28.641402049273466</v>
      </c>
      <c r="C25" s="20">
        <f>MAX(0,(SUMPRODUCT(Oxides_min!$C25:$BB25,Factors!$C$10:$BB$10)+SUMPRODUCT(Oxides_max!$C25:$BB25,Factors!$C$10:$BB$10))/2)</f>
        <v>9.3487342509528504E-2</v>
      </c>
      <c r="D25" s="20">
        <f>MAX(0,(SUMPRODUCT(Oxides_min!$C25:$BB25,Factors!$C$11:$BB$11)+SUMPRODUCT(Oxides_max!$C25:$BB25,Factors!$C$11:$BB$11))/2)</f>
        <v>23.374607149564895</v>
      </c>
      <c r="E25" s="20">
        <f>MAX(0,(SUMPRODUCT(Oxides_min!$C25:$BB25,Factors!$C$12:$BB$12)+SUMPRODUCT(Oxides_max!$C25:$BB25,Factors!$C$12:$BB$12))/2)</f>
        <v>7.4032234503578917E-2</v>
      </c>
      <c r="F25" s="20">
        <f>MAX(0,(SUMPRODUCT(Oxides_min!$C25:$BB25,Factors!$C$13:$BB$13)+SUMPRODUCT(Oxides_max!$C25:$BB25,Factors!$C$13:$BB$13))/2)</f>
        <v>0</v>
      </c>
      <c r="G25" s="20">
        <f>MAX(0,(SUMPRODUCT(Oxides_min!$C25:$BB25,Factors!$C$14:$BB$14)+SUMPRODUCT(Oxides_max!$C25:$BB25,Factors!$C$14:$BB$14))/2)</f>
        <v>0</v>
      </c>
      <c r="H25" s="20">
        <f>MAX(0,(SUMPRODUCT(Oxides_min!$C25:$BB25,Factors!$C$15:$BB$15)+SUMPRODUCT(Oxides_max!$C25:$BB25,Factors!$C$15:$BB$15))/2)</f>
        <v>5.2925692670867643E-2</v>
      </c>
      <c r="I25" s="20">
        <f>MAX(0,(SUMPRODUCT(Oxides_min!$C25:$BB25,Factors!$C$16:$BB$16)+SUMPRODUCT(Oxides_max!$C25:$BB25,Factors!$C$16:$BB$16))/2)</f>
        <v>0.5596183548687339</v>
      </c>
      <c r="J25" s="20">
        <f>MAX(0,(SUMPRODUCT(Oxides_min!$C25:$BB25,Factors!$C$17:$BB$17)+SUMPRODUCT(Oxides_max!$C25:$BB25,Factors!$C$17:$BB$17))/2)</f>
        <v>0</v>
      </c>
      <c r="K25" s="20">
        <f>MAX(0,(SUMPRODUCT(Oxides_min!$C25:$BB25,Factors!$C$18:$BB$18)+SUMPRODUCT(Oxides_max!$C25:$BB25,Factors!$C$18:$BB$18))/2)</f>
        <v>0</v>
      </c>
      <c r="L25" s="20">
        <f>MAX(0,(SUMPRODUCT(Oxides_min!$C25:$BB25,Factors!$C$19:$BB$19)+SUMPRODUCT(Oxides_max!$C25:$BB25,Factors!$C$19:$BB$19))/2)</f>
        <v>0</v>
      </c>
      <c r="M25" s="20">
        <f>MAX(0,(SUMPRODUCT(Oxides_min!$C25:$BB25,Factors!$C$20:$BB$20)+SUMPRODUCT(Oxides_max!$C25:$BB25,Factors!$C$20:$BB$20))/2)</f>
        <v>0</v>
      </c>
      <c r="N25" s="20">
        <f>MAX(0,(SUMPRODUCT(Oxides_min!$C25:$BB25,Factors!$C$21:$BB$21)+SUMPRODUCT(Oxides_max!$C25:$BB25,Factors!$C$21:$BB$21))/2)</f>
        <v>2.1798223870749145</v>
      </c>
      <c r="O25" s="20">
        <f>MAX(0,(SUMPRODUCT(Oxides_min!$C25:$BB25,Factors!$C$22:$BB$22)+SUMPRODUCT(Oxides_max!$C25:$BB25,Factors!$C$22:$BB$22))/2)</f>
        <v>3.3823912602901016</v>
      </c>
      <c r="P25" s="20">
        <f>MAX(0,(SUMPRODUCT(Oxides_min!$C25:$BB25,Factors!$C$23:$BB$23)+SUMPRODUCT(Oxides_max!$C25:$BB25,Factors!$C$23:$BB$23))/2)</f>
        <v>0</v>
      </c>
      <c r="Q25" s="20">
        <f>MAX(0,(SUMPRODUCT(Oxides_min!$C25:$BB25,Factors!$C$24:$BB$24)+SUMPRODUCT(Oxides_max!$C25:$BB25,Factors!$C$24:$BB$24))/2)</f>
        <v>0</v>
      </c>
      <c r="R25" s="20">
        <f>MAX(0,(SUMPRODUCT(Oxides_min!$C25:$BB25,Factors!$C$25:$BB$25)+SUMPRODUCT(Oxides_max!$C25:$BB25,Factors!$C$25:$BB$25))/2)</f>
        <v>6.6767603214682829</v>
      </c>
      <c r="S25" s="20">
        <f>MAX(0,(SUMPRODUCT(Oxides_min!$C25:$BB25,Factors!$C$26:$BB$26)+SUMPRODUCT(Oxides_max!$C25:$BB25,Factors!$C$26:$BB$26))/2)</f>
        <v>6.2261347663797456E-2</v>
      </c>
      <c r="T25" s="20">
        <f>MAX(0,(SUMPRODUCT(Oxides_min!$C25:$BB25,Factors!$C$27:$BB$27)+SUMPRODUCT(Oxides_max!$C25:$BB25,Factors!$C$27:$BB$27))/2)</f>
        <v>0</v>
      </c>
      <c r="U25" s="20">
        <f>MAX(0,(SUMPRODUCT(Oxides_min!$C25:$BB25,Factors!$C$28:$BB$28)+SUMPRODUCT(Oxides_max!$C25:$BB25,Factors!$C$28:$BB$28))/2)</f>
        <v>0</v>
      </c>
      <c r="V25" s="20">
        <f>MAX(0,(SUMPRODUCT(Oxides_min!$C25:$BB25,Factors!$C$29:$BB$29)+SUMPRODUCT(Oxides_max!$C25:$BB25,Factors!$C$29:$BB$29))/2)</f>
        <v>0</v>
      </c>
      <c r="W25" s="20">
        <f>MAX(0,(SUMPRODUCT(Oxides_min!$C25:$BB25,Factors!$C$30:$BB$30)+SUMPRODUCT(Oxides_max!$C25:$BB25,Factors!$C$30:$BB$30))/2)</f>
        <v>7.3050661843029863</v>
      </c>
      <c r="X25" s="20">
        <f>MAX(0,(SUMPRODUCT(Oxides_min!$C25:$BB25,Factors!$C$31:$BB$31)+SUMPRODUCT(Oxides_max!$C25:$BB25,Factors!$C$31:$BB$31))/2)</f>
        <v>0.49138265755998156</v>
      </c>
      <c r="Y25" s="20">
        <f>MAX(0,(SUMPRODUCT(Oxides_min!$C25:$BB25,Factors!$C$32:$BB$32)+SUMPRODUCT(Oxides_max!$C25:$BB25,Factors!$C$32:$BB$32))/2)</f>
        <v>0</v>
      </c>
      <c r="Z25" s="20">
        <f>MAX(0,(SUMPRODUCT(Oxides_min!$C25:$BB25,Factors!$C$33:$BB$33)+SUMPRODUCT(Oxides_max!$C25:$BB25,Factors!$C$33:$BB$33))/2)</f>
        <v>0</v>
      </c>
      <c r="AA25" s="20">
        <f>MAX(0,(SUMPRODUCT(Oxides_min!$C25:$BB25,Factors!$C$34:$BB$34)+SUMPRODUCT(Oxides_max!$C25:$BB25,Factors!$C$34:$BB$34))/2)</f>
        <v>0</v>
      </c>
      <c r="AB25" s="20">
        <f>MAX(0,(SUMPRODUCT(Oxides_min!$C25:$BB25,Factors!$C$35:$BB$35)+SUMPRODUCT(Oxides_max!$C25:$BB25,Factors!$C$35:$BB$35))/2)</f>
        <v>0</v>
      </c>
      <c r="AC25" s="20">
        <f>MAX(0,(SUMPRODUCT(Oxides_min!$C25:$BB25,Factors!$C$36:$BB$36)+SUMPRODUCT(Oxides_max!$C25:$BB25,Factors!$C$36:$BB$36))/2)</f>
        <v>0</v>
      </c>
      <c r="AD25" s="20">
        <f>MAX(0,(SUMPRODUCT(Oxides_min!$C25:$BB25,Factors!$C$37:$BB$37)+SUMPRODUCT(Oxides_max!$C25:$BB25,Factors!$C$37:$BB$37))/2)</f>
        <v>0</v>
      </c>
      <c r="AE25" s="20">
        <f>MAX(0,(SUMPRODUCT(Oxides_min!$C25:$BB25,Factors!$C$38:$BB$38)+SUMPRODUCT(Oxides_max!$C25:$BB25,Factors!$C$38:$BB$38))/2)</f>
        <v>0.05</v>
      </c>
      <c r="AF25" s="20">
        <f>MAX(0,(SUMPRODUCT(Oxides_min!$C25:$BB25,Factors!$C$39:$BB$39)+SUMPRODUCT(Oxides_max!$C25:$BB25,Factors!$C$39:$BB$39))/2)</f>
        <v>0</v>
      </c>
      <c r="AG25" s="20">
        <f>MAX(0,(SUMPRODUCT(Oxides_min!$C25:$BB25,Factors!$C$40:$BB$40)+SUMPRODUCT(Oxides_max!$C25:$BB25,Factors!$C$40:$BB$40))/2)</f>
        <v>2.3288513825971262</v>
      </c>
      <c r="AH25" s="20">
        <f>MAX(0,(SUMPRODUCT(Oxides_min!$C25:$BB25,Factors!$C$41:$BB$41)+SUMPRODUCT(Oxides_max!$C25:$BB25,Factors!$C$41:$BB$41))/2)</f>
        <v>0.14985511888426231</v>
      </c>
      <c r="AI25" s="20">
        <f>MAX(0,(SUMPRODUCT(Oxides_min!$C25:$BB25,Factors!$C$42:$BB$42)+SUMPRODUCT(Oxides_max!$C25:$BB25,Factors!$C$42:$BB$42))/2)</f>
        <v>0</v>
      </c>
      <c r="AJ25" s="20">
        <f>MAX(0,(SUMPRODUCT(Oxides_min!$C25:$BB25,Factors!$C$43:$BB$43)+SUMPRODUCT(Oxides_max!$C25:$BB25,Factors!$C$43:$BB$43))/2)</f>
        <v>0</v>
      </c>
      <c r="AK25" s="20">
        <f>MAX(0,(SUMPRODUCT(Oxides_min!$C25:$BB25,Factors!$C$44:$BB$44)+SUMPRODUCT(Oxides_max!$C25:$BB25,Factors!$C$44:$BB$44))/2)</f>
        <v>9.0384413713183296</v>
      </c>
      <c r="AL25" s="20">
        <f>MAX(0,(SUMPRODUCT(Oxides_min!$C25:$BB25,Factors!$C$45:$BB$45)+SUMPRODUCT(Oxides_max!$C25:$BB25,Factors!$C$45:$BB$45))/2)</f>
        <v>15.880117844553649</v>
      </c>
      <c r="AM25" s="20">
        <f>MAX(0,(SUMPRODUCT(Oxides_min!$C25:$BB25,Factors!$C$46:$BB$46)+SUMPRODUCT(Oxides_max!$C25:$BB25,Factors!$C$46:$BB$46))/2)</f>
        <v>1.6234963812146253</v>
      </c>
      <c r="AN25" s="20">
        <f>MAX(0,(SUMPRODUCT(Oxides_min!$C25:$BB25,Factors!$C$47:$BB$47)+SUMPRODUCT(Oxides_max!$C25:$BB25,Factors!$C$47:$BB$47))/2)</f>
        <v>3.9438375420900433</v>
      </c>
      <c r="AO25" s="20">
        <f>MAX(0,(SUMPRODUCT(Oxides_min!$C25:$BB25,Factors!$C$48:$BB$48)+SUMPRODUCT(Oxides_max!$C25:$BB25,Factors!$C$48:$BB$48))/2)</f>
        <v>0.21559029241476613</v>
      </c>
      <c r="AP25" s="20">
        <f>MAX(0,(SUMPRODUCT(Oxides_min!$C25:$BB25,Factors!$C$49:$BB$49)+SUMPRODUCT(Oxides_max!$C25:$BB25,Factors!$C$49:$BB$49))/2)</f>
        <v>0</v>
      </c>
      <c r="AQ25" s="20">
        <f>MAX(0,(SUMPRODUCT(Oxides_min!$C25:$BB25,Factors!$C$50:$BB$50)+SUMPRODUCT(Oxides_max!$C25:$BB25,Factors!$C$50:$BB$50))/2)</f>
        <v>0</v>
      </c>
      <c r="AR25" s="20">
        <f>MAX(0,(SUMPRODUCT(Oxides_min!$C25:$BB25,Factors!$C$51:$BB$51)+SUMPRODUCT(Oxides_max!$C25:$BB25,Factors!$C$51:$BB$51))/2)</f>
        <v>0</v>
      </c>
      <c r="AS25" s="20">
        <f>MAX(0,(SUMPRODUCT(Oxides_min!$C25:$BB25,Factors!$C$52:$BB$52)+SUMPRODUCT(Oxides_max!$C25:$BB25,Factors!$C$52:$BB$52))/2)</f>
        <v>0</v>
      </c>
      <c r="AT25" s="20">
        <f>MAX(0,(SUMPRODUCT(Oxides_min!$C25:$BB25,Factors!$C$53:$BB$53)+SUMPRODUCT(Oxides_max!$C25:$BB25,Factors!$C$53:$BB$53))/2)</f>
        <v>0</v>
      </c>
      <c r="AU25" s="20">
        <f>MAX(0,(SUMPRODUCT(Oxides_min!$C25:$BB25,Factors!$C$54:$BB$54)+SUMPRODUCT(Oxides_max!$C25:$BB25,Factors!$C$54:$BB$54))/2)</f>
        <v>0</v>
      </c>
      <c r="AV25" s="20">
        <f>MAX(0,(SUMPRODUCT(Oxides_min!$C25:$BB25,Factors!$C$55:$BB$55)+SUMPRODUCT(Oxides_max!$C25:$BB25,Factors!$C$55:$BB$55))/2)</f>
        <v>0</v>
      </c>
      <c r="AW25" s="20">
        <f>MAX(0,(SUMPRODUCT(Oxides_min!$C25:$BB25,Factors!$C$56:$BB$56)+SUMPRODUCT(Oxides_max!$C25:$BB25,Factors!$C$56:$BB$56))/2)</f>
        <v>0</v>
      </c>
      <c r="AX25" s="20">
        <f>MAX(0,(SUMPRODUCT(Oxides_min!$C25:$BB25,Factors!$C$57:$BB$57)+SUMPRODUCT(Oxides_max!$C25:$BB25,Factors!$C$57:$BB$57))/2)</f>
        <v>0</v>
      </c>
      <c r="AY25" s="20">
        <f>MAX(0,(SUMPRODUCT(Oxides_min!$C25:$BB25,Factors!$C$58:$BB$58)+SUMPRODUCT(Oxides_max!$C25:$BB25,Factors!$C$58:$BB$58))/2)</f>
        <v>0</v>
      </c>
      <c r="AZ25" s="18">
        <f t="shared" si="0"/>
        <v>106.1239469148239</v>
      </c>
    </row>
    <row r="26" spans="1:52" x14ac:dyDescent="0.35">
      <c r="A26" s="13" t="s">
        <v>173</v>
      </c>
      <c r="B26" s="20">
        <f>MAX(0,(SUMPRODUCT(Oxides_min!$C26:$BB26,Factors!$C$9:$BB$9)+SUMPRODUCT(Oxides_max!$C26:$BB26,Factors!$C$9:$BB$9))/2)</f>
        <v>23.986770700123632</v>
      </c>
      <c r="C26" s="20">
        <f>MAX(0,(SUMPRODUCT(Oxides_min!$C26:$BB26,Factors!$C$10:$BB$10)+SUMPRODUCT(Oxides_max!$C26:$BB26,Factors!$C$10:$BB$10))/2)</f>
        <v>0.11685917813691062</v>
      </c>
      <c r="D26" s="20">
        <f>MAX(0,(SUMPRODUCT(Oxides_min!$C26:$BB26,Factors!$C$11:$BB$11)+SUMPRODUCT(Oxides_max!$C26:$BB26,Factors!$C$11:$BB$11))/2)</f>
        <v>2.0078188192574973</v>
      </c>
      <c r="E26" s="20">
        <f>MAX(0,(SUMPRODUCT(Oxides_min!$C26:$BB26,Factors!$C$12:$BB$12)+SUMPRODUCT(Oxides_max!$C26:$BB26,Factors!$C$12:$BB$12))/2)</f>
        <v>0.40717728976968404</v>
      </c>
      <c r="F26" s="20">
        <f>MAX(0,(SUMPRODUCT(Oxides_min!$C26:$BB26,Factors!$C$13:$BB$13)+SUMPRODUCT(Oxides_max!$C26:$BB26,Factors!$C$13:$BB$13))/2)</f>
        <v>0</v>
      </c>
      <c r="G26" s="20">
        <f>MAX(0,(SUMPRODUCT(Oxides_min!$C26:$BB26,Factors!$C$14:$BB$14)+SUMPRODUCT(Oxides_max!$C26:$BB26,Factors!$C$14:$BB$14))/2)</f>
        <v>0.78768214029779438</v>
      </c>
      <c r="H26" s="20">
        <f>MAX(0,(SUMPRODUCT(Oxides_min!$C26:$BB26,Factors!$C$15:$BB$15)+SUMPRODUCT(Oxides_max!$C26:$BB26,Factors!$C$15:$BB$15))/2)</f>
        <v>7.9388539006301453E-2</v>
      </c>
      <c r="I26" s="20">
        <f>MAX(0,(SUMPRODUCT(Oxides_min!$C26:$BB26,Factors!$C$16:$BB$16)+SUMPRODUCT(Oxides_max!$C26:$BB26,Factors!$C$16:$BB$16))/2)</f>
        <v>7.6521589284156128</v>
      </c>
      <c r="J26" s="20">
        <f>MAX(0,(SUMPRODUCT(Oxides_min!$C26:$BB26,Factors!$C$17:$BB$17)+SUMPRODUCT(Oxides_max!$C26:$BB26,Factors!$C$17:$BB$17))/2)</f>
        <v>0.77446198632127961</v>
      </c>
      <c r="K26" s="20">
        <f>MAX(0,(SUMPRODUCT(Oxides_min!$C26:$BB26,Factors!$C$18:$BB$18)+SUMPRODUCT(Oxides_max!$C26:$BB26,Factors!$C$18:$BB$18))/2)</f>
        <v>0</v>
      </c>
      <c r="L26" s="20">
        <f>MAX(0,(SUMPRODUCT(Oxides_min!$C26:$BB26,Factors!$C$19:$BB$19)+SUMPRODUCT(Oxides_max!$C26:$BB26,Factors!$C$19:$BB$19))/2)</f>
        <v>0</v>
      </c>
      <c r="M26" s="20">
        <f>MAX(0,(SUMPRODUCT(Oxides_min!$C26:$BB26,Factors!$C$20:$BB$20)+SUMPRODUCT(Oxides_max!$C26:$BB26,Factors!$C$20:$BB$20))/2)</f>
        <v>0.12060837633981739</v>
      </c>
      <c r="N26" s="20">
        <f>MAX(0,(SUMPRODUCT(Oxides_min!$C26:$BB26,Factors!$C$21:$BB$21)+SUMPRODUCT(Oxides_max!$C26:$BB26,Factors!$C$21:$BB$21))/2)</f>
        <v>0.45383187403035108</v>
      </c>
      <c r="O26" s="20">
        <f>MAX(0,(SUMPRODUCT(Oxides_min!$C26:$BB26,Factors!$C$22:$BB$22)+SUMPRODUCT(Oxides_max!$C26:$BB26,Factors!$C$22:$BB$22))/2)</f>
        <v>0</v>
      </c>
      <c r="P26" s="20">
        <f>MAX(0,(SUMPRODUCT(Oxides_min!$C26:$BB26,Factors!$C$23:$BB$23)+SUMPRODUCT(Oxides_max!$C26:$BB26,Factors!$C$23:$BB$23))/2)</f>
        <v>0</v>
      </c>
      <c r="Q26" s="20">
        <f>MAX(0,(SUMPRODUCT(Oxides_min!$C26:$BB26,Factors!$C$24:$BB$24)+SUMPRODUCT(Oxides_max!$C26:$BB26,Factors!$C$24:$BB$24))/2)</f>
        <v>9.2831957132424425E-2</v>
      </c>
      <c r="R26" s="20">
        <f>MAX(0,(SUMPRODUCT(Oxides_min!$C26:$BB26,Factors!$C$25:$BB$25)+SUMPRODUCT(Oxides_max!$C26:$BB26,Factors!$C$25:$BB$25))/2)</f>
        <v>0.11127933869113804</v>
      </c>
      <c r="S26" s="20">
        <f>MAX(0,(SUMPRODUCT(Oxides_min!$C26:$BB26,Factors!$C$26:$BB$26)+SUMPRODUCT(Oxides_max!$C26:$BB26,Factors!$C$26:$BB$26))/2)</f>
        <v>8.3015130218396627E-2</v>
      </c>
      <c r="T26" s="20">
        <f>MAX(0,(SUMPRODUCT(Oxides_min!$C26:$BB26,Factors!$C$27:$BB$27)+SUMPRODUCT(Oxides_max!$C26:$BB26,Factors!$C$27:$BB$27))/2)</f>
        <v>0</v>
      </c>
      <c r="U26" s="20">
        <f>MAX(0,(SUMPRODUCT(Oxides_min!$C26:$BB26,Factors!$C$28:$BB$28)+SUMPRODUCT(Oxides_max!$C26:$BB26,Factors!$C$28:$BB$28))/2)</f>
        <v>0</v>
      </c>
      <c r="V26" s="20">
        <f>MAX(0,(SUMPRODUCT(Oxides_min!$C26:$BB26,Factors!$C$29:$BB$29)+SUMPRODUCT(Oxides_max!$C26:$BB26,Factors!$C$29:$BB$29))/2)</f>
        <v>0</v>
      </c>
      <c r="W26" s="20">
        <f>MAX(0,(SUMPRODUCT(Oxides_min!$C26:$BB26,Factors!$C$30:$BB$30)+SUMPRODUCT(Oxides_max!$C26:$BB26,Factors!$C$30:$BB$30))/2)</f>
        <v>22.369580660066561</v>
      </c>
      <c r="X26" s="20">
        <f>MAX(0,(SUMPRODUCT(Oxides_min!$C26:$BB26,Factors!$C$31:$BB$31)+SUMPRODUCT(Oxides_max!$C26:$BB26,Factors!$C$31:$BB$31))/2)</f>
        <v>13.513023082899494</v>
      </c>
      <c r="Y26" s="20">
        <f>MAX(0,(SUMPRODUCT(Oxides_min!$C26:$BB26,Factors!$C$32:$BB$32)+SUMPRODUCT(Oxides_max!$C26:$BB26,Factors!$C$32:$BB$32))/2)</f>
        <v>1.6652389394272702</v>
      </c>
      <c r="Z26" s="20">
        <f>MAX(0,(SUMPRODUCT(Oxides_min!$C26:$BB26,Factors!$C$33:$BB$33)+SUMPRODUCT(Oxides_max!$C26:$BB26,Factors!$C$33:$BB$33))/2)</f>
        <v>0</v>
      </c>
      <c r="AA26" s="20">
        <f>MAX(0,(SUMPRODUCT(Oxides_min!$C26:$BB26,Factors!$C$34:$BB$34)+SUMPRODUCT(Oxides_max!$C26:$BB26,Factors!$C$34:$BB$34))/2)</f>
        <v>0</v>
      </c>
      <c r="AB26" s="20">
        <f>MAX(0,(SUMPRODUCT(Oxides_min!$C26:$BB26,Factors!$C$35:$BB$35)+SUMPRODUCT(Oxides_max!$C26:$BB26,Factors!$C$35:$BB$35))/2)</f>
        <v>0</v>
      </c>
      <c r="AC26" s="20">
        <f>MAX(0,(SUMPRODUCT(Oxides_min!$C26:$BB26,Factors!$C$36:$BB$36)+SUMPRODUCT(Oxides_max!$C26:$BB26,Factors!$C$36:$BB$36))/2)</f>
        <v>0</v>
      </c>
      <c r="AD26" s="20">
        <f>MAX(0,(SUMPRODUCT(Oxides_min!$C26:$BB26,Factors!$C$37:$BB$37)+SUMPRODUCT(Oxides_max!$C26:$BB26,Factors!$C$37:$BB$37))/2)</f>
        <v>0.16786011656952537</v>
      </c>
      <c r="AE26" s="20">
        <f>MAX(0,(SUMPRODUCT(Oxides_min!$C26:$BB26,Factors!$C$38:$BB$38)+SUMPRODUCT(Oxides_max!$C26:$BB26,Factors!$C$38:$BB$38))/2)</f>
        <v>0</v>
      </c>
      <c r="AF26" s="20">
        <f>MAX(0,(SUMPRODUCT(Oxides_min!$C26:$BB26,Factors!$C$39:$BB$39)+SUMPRODUCT(Oxides_max!$C26:$BB26,Factors!$C$39:$BB$39))/2)</f>
        <v>0</v>
      </c>
      <c r="AG26" s="20">
        <f>MAX(0,(SUMPRODUCT(Oxides_min!$C26:$BB26,Factors!$C$40:$BB$40)+SUMPRODUCT(Oxides_max!$C26:$BB26,Factors!$C$40:$BB$40))/2)</f>
        <v>1.9773266456013334</v>
      </c>
      <c r="AH26" s="20">
        <f>MAX(0,(SUMPRODUCT(Oxides_min!$C26:$BB26,Factors!$C$41:$BB$41)+SUMPRODUCT(Oxides_max!$C26:$BB26,Factors!$C$41:$BB$41))/2)</f>
        <v>10.357633217000483</v>
      </c>
      <c r="AI26" s="20">
        <f>MAX(0,(SUMPRODUCT(Oxides_min!$C26:$BB26,Factors!$C$42:$BB$42)+SUMPRODUCT(Oxides_max!$C26:$BB26,Factors!$C$42:$BB$42))/2)</f>
        <v>0.32598284362038177</v>
      </c>
      <c r="AJ26" s="20">
        <f>MAX(0,(SUMPRODUCT(Oxides_min!$C26:$BB26,Factors!$C$43:$BB$43)+SUMPRODUCT(Oxides_max!$C26:$BB26,Factors!$C$43:$BB$43))/2)</f>
        <v>6.6145292200459265</v>
      </c>
      <c r="AK26" s="20">
        <f>MAX(0,(SUMPRODUCT(Oxides_min!$C26:$BB26,Factors!$C$44:$BB$44)+SUMPRODUCT(Oxides_max!$C26:$BB26,Factors!$C$44:$BB$44))/2)</f>
        <v>0.17053662964751565</v>
      </c>
      <c r="AL26" s="20">
        <f>MAX(0,(SUMPRODUCT(Oxides_min!$C26:$BB26,Factors!$C$45:$BB$45)+SUMPRODUCT(Oxides_max!$C26:$BB26,Factors!$C$45:$BB$45))/2)</f>
        <v>0.21344244414722646</v>
      </c>
      <c r="AM26" s="20">
        <f>MAX(0,(SUMPRODUCT(Oxides_min!$C26:$BB26,Factors!$C$46:$BB$46)+SUMPRODUCT(Oxides_max!$C26:$BB26,Factors!$C$46:$BB$46))/2)</f>
        <v>0.12817076693799673</v>
      </c>
      <c r="AN26" s="20">
        <f>MAX(0,(SUMPRODUCT(Oxides_min!$C26:$BB26,Factors!$C$47:$BB$47)+SUMPRODUCT(Oxides_max!$C26:$BB26,Factors!$C$47:$BB$47))/2)</f>
        <v>0.62586987080994172</v>
      </c>
      <c r="AO26" s="20">
        <f>MAX(0,(SUMPRODUCT(Oxides_min!$C26:$BB26,Factors!$C$48:$BB$48)+SUMPRODUCT(Oxides_max!$C26:$BB26,Factors!$C$48:$BB$48))/2)</f>
        <v>1.0348334035908775</v>
      </c>
      <c r="AP26" s="20">
        <f>MAX(0,(SUMPRODUCT(Oxides_min!$C26:$BB26,Factors!$C$49:$BB$49)+SUMPRODUCT(Oxides_max!$C26:$BB26,Factors!$C$49:$BB$49))/2)</f>
        <v>8.6361582723591679E-2</v>
      </c>
      <c r="AQ26" s="20">
        <f>MAX(0,(SUMPRODUCT(Oxides_min!$C26:$BB26,Factors!$C$50:$BB$50)+SUMPRODUCT(Oxides_max!$C26:$BB26,Factors!$C$50:$BB$50))/2)</f>
        <v>1.2580104111206438</v>
      </c>
      <c r="AR26" s="20">
        <f>MAX(0,(SUMPRODUCT(Oxides_min!$C26:$BB26,Factors!$C$51:$BB$51)+SUMPRODUCT(Oxides_max!$C26:$BB26,Factors!$C$51:$BB$51))/2)</f>
        <v>0.19548136423981893</v>
      </c>
      <c r="AS26" s="20">
        <f>MAX(0,(SUMPRODUCT(Oxides_min!$C26:$BB26,Factors!$C$52:$BB$52)+SUMPRODUCT(Oxides_max!$C26:$BB26,Factors!$C$52:$BB$52))/2)</f>
        <v>1.0891508510792312</v>
      </c>
      <c r="AT26" s="20">
        <f>MAX(0,(SUMPRODUCT(Oxides_min!$C26:$BB26,Factors!$C$53:$BB$53)+SUMPRODUCT(Oxides_max!$C26:$BB26,Factors!$C$53:$BB$53))/2)</f>
        <v>0.15277079601879712</v>
      </c>
      <c r="AU26" s="20">
        <f>MAX(0,(SUMPRODUCT(Oxides_min!$C26:$BB26,Factors!$C$54:$BB$54)+SUMPRODUCT(Oxides_max!$C26:$BB26,Factors!$C$54:$BB$54))/2)</f>
        <v>0.43726128387122071</v>
      </c>
      <c r="AV26" s="20">
        <f>MAX(0,(SUMPRODUCT(Oxides_min!$C26:$BB26,Factors!$C$55:$BB$55)+SUMPRODUCT(Oxides_max!$C26:$BB26,Factors!$C$55:$BB$55))/2)</f>
        <v>0.13134181179843418</v>
      </c>
      <c r="AW26" s="20">
        <f>MAX(0,(SUMPRODUCT(Oxides_min!$C26:$BB26,Factors!$C$56:$BB$56)+SUMPRODUCT(Oxides_max!$C26:$BB26,Factors!$C$56:$BB$56))/2)</f>
        <v>1.053848515683085</v>
      </c>
      <c r="AX26" s="20">
        <f>MAX(0,(SUMPRODUCT(Oxides_min!$C26:$BB26,Factors!$C$57:$BB$57)+SUMPRODUCT(Oxides_max!$C26:$BB26,Factors!$C$57:$BB$57))/2)</f>
        <v>0.19786128535980899</v>
      </c>
      <c r="AY26" s="20">
        <f>MAX(0,(SUMPRODUCT(Oxides_min!$C26:$BB26,Factors!$C$58:$BB$58)+SUMPRODUCT(Oxides_max!$C26:$BB26,Factors!$C$58:$BB$58))/2)</f>
        <v>0</v>
      </c>
      <c r="AZ26" s="18">
        <f t="shared" si="0"/>
        <v>100.44000000000001</v>
      </c>
    </row>
    <row r="27" spans="1:52" x14ac:dyDescent="0.35">
      <c r="A27" s="13" t="s">
        <v>322</v>
      </c>
      <c r="B27" s="20">
        <f>MAX(0,(SUMPRODUCT(Oxides_min!$C27:$BB27,Factors!$C$9:$BB$9)+SUMPRODUCT(Oxides_max!$C27:$BB27,Factors!$C$9:$BB$9))/2)</f>
        <v>48.705224583883535</v>
      </c>
      <c r="C27" s="20">
        <f>MAX(0,(SUMPRODUCT(Oxides_min!$C27:$BB27,Factors!$C$10:$BB$10)+SUMPRODUCT(Oxides_max!$C27:$BB27,Factors!$C$10:$BB$10))/2)</f>
        <v>31.500560058585624</v>
      </c>
      <c r="D27" s="20">
        <f>MAX(0,(SUMPRODUCT(Oxides_min!$C27:$BB27,Factors!$C$11:$BB$11)+SUMPRODUCT(Oxides_max!$C27:$BB27,Factors!$C$11:$BB$11))/2)</f>
        <v>0</v>
      </c>
      <c r="E27" s="20">
        <f>MAX(0,(SUMPRODUCT(Oxides_min!$C27:$BB27,Factors!$C$12:$BB$12)+SUMPRODUCT(Oxides_max!$C27:$BB27,Factors!$C$12:$BB$12))/2)</f>
        <v>0</v>
      </c>
      <c r="F27" s="20">
        <f>MAX(0,(SUMPRODUCT(Oxides_min!$C27:$BB27,Factors!$C$13:$BB$13)+SUMPRODUCT(Oxides_max!$C27:$BB27,Factors!$C$13:$BB$13))/2)</f>
        <v>0</v>
      </c>
      <c r="G27" s="20">
        <f>MAX(0,(SUMPRODUCT(Oxides_min!$C27:$BB27,Factors!$C$14:$BB$14)+SUMPRODUCT(Oxides_max!$C27:$BB27,Factors!$C$14:$BB$14))/2)</f>
        <v>0</v>
      </c>
      <c r="H27" s="20">
        <f>MAX(0,(SUMPRODUCT(Oxides_min!$C27:$BB27,Factors!$C$15:$BB$15)+SUMPRODUCT(Oxides_max!$C27:$BB27,Factors!$C$15:$BB$15))/2)</f>
        <v>10.770378458521567</v>
      </c>
      <c r="I27" s="20">
        <f>MAX(0,(SUMPRODUCT(Oxides_min!$C27:$BB27,Factors!$C$16:$BB$16)+SUMPRODUCT(Oxides_max!$C27:$BB27,Factors!$C$16:$BB$16))/2)</f>
        <v>0</v>
      </c>
      <c r="J27" s="20">
        <f>MAX(0,(SUMPRODUCT(Oxides_min!$C27:$BB27,Factors!$C$17:$BB$17)+SUMPRODUCT(Oxides_max!$C27:$BB27,Factors!$C$17:$BB$17))/2)</f>
        <v>0</v>
      </c>
      <c r="K27" s="20">
        <f>MAX(0,(SUMPRODUCT(Oxides_min!$C27:$BB27,Factors!$C$18:$BB$18)+SUMPRODUCT(Oxides_max!$C27:$BB27,Factors!$C$18:$BB$18))/2)</f>
        <v>0</v>
      </c>
      <c r="L27" s="20">
        <f>MAX(0,(SUMPRODUCT(Oxides_min!$C27:$BB27,Factors!$C$19:$BB$19)+SUMPRODUCT(Oxides_max!$C27:$BB27,Factors!$C$19:$BB$19))/2)</f>
        <v>0</v>
      </c>
      <c r="M27" s="20">
        <f>MAX(0,(SUMPRODUCT(Oxides_min!$C27:$BB27,Factors!$C$20:$BB$20)+SUMPRODUCT(Oxides_max!$C27:$BB27,Factors!$C$20:$BB$20))/2)</f>
        <v>0</v>
      </c>
      <c r="N27" s="20">
        <f>MAX(0,(SUMPRODUCT(Oxides_min!$C27:$BB27,Factors!$C$21:$BB$21)+SUMPRODUCT(Oxides_max!$C27:$BB27,Factors!$C$21:$BB$21))/2)</f>
        <v>0.76115109581468332</v>
      </c>
      <c r="O27" s="20">
        <f>MAX(0,(SUMPRODUCT(Oxides_min!$C27:$BB27,Factors!$C$22:$BB$22)+SUMPRODUCT(Oxides_max!$C27:$BB27,Factors!$C$22:$BB$22))/2)</f>
        <v>0</v>
      </c>
      <c r="P27" s="20">
        <f>MAX(0,(SUMPRODUCT(Oxides_min!$C27:$BB27,Factors!$C$23:$BB$23)+SUMPRODUCT(Oxides_max!$C27:$BB27,Factors!$C$23:$BB$23))/2)</f>
        <v>0</v>
      </c>
      <c r="Q27" s="20">
        <f>MAX(0,(SUMPRODUCT(Oxides_min!$C27:$BB27,Factors!$C$24:$BB$24)+SUMPRODUCT(Oxides_max!$C27:$BB27,Factors!$C$24:$BB$24))/2)</f>
        <v>0</v>
      </c>
      <c r="R27" s="20">
        <f>MAX(0,(SUMPRODUCT(Oxides_min!$C27:$BB27,Factors!$C$25:$BB$25)+SUMPRODUCT(Oxides_max!$C27:$BB27,Factors!$C$25:$BB$25))/2)</f>
        <v>8.3051479776486037</v>
      </c>
      <c r="S27" s="20">
        <f>MAX(0,(SUMPRODUCT(Oxides_min!$C27:$BB27,Factors!$C$26:$BB$26)+SUMPRODUCT(Oxides_max!$C27:$BB27,Factors!$C$26:$BB$26))/2)</f>
        <v>0.20753782554599154</v>
      </c>
      <c r="T27" s="20">
        <f>MAX(0,(SUMPRODUCT(Oxides_min!$C27:$BB27,Factors!$C$27:$BB$27)+SUMPRODUCT(Oxides_max!$C27:$BB27,Factors!$C$27:$BB$27))/2)</f>
        <v>0</v>
      </c>
      <c r="U27" s="20">
        <f>MAX(0,(SUMPRODUCT(Oxides_min!$C27:$BB27,Factors!$C$28:$BB$28)+SUMPRODUCT(Oxides_max!$C27:$BB27,Factors!$C$28:$BB$28))/2)</f>
        <v>0</v>
      </c>
      <c r="V27" s="20">
        <f>MAX(0,(SUMPRODUCT(Oxides_min!$C27:$BB27,Factors!$C$29:$BB$29)+SUMPRODUCT(Oxides_max!$C27:$BB27,Factors!$C$29:$BB$29))/2)</f>
        <v>0</v>
      </c>
      <c r="W27" s="20">
        <f>MAX(0,(SUMPRODUCT(Oxides_min!$C27:$BB27,Factors!$C$30:$BB$30)+SUMPRODUCT(Oxides_max!$C27:$BB27,Factors!$C$30:$BB$30))/2)</f>
        <v>0</v>
      </c>
      <c r="X27" s="20">
        <f>MAX(0,(SUMPRODUCT(Oxides_min!$C27:$BB27,Factors!$C$31:$BB$31)+SUMPRODUCT(Oxides_max!$C27:$BB27,Factors!$C$31:$BB$31))/2)</f>
        <v>0</v>
      </c>
      <c r="Y27" s="20">
        <f>MAX(0,(SUMPRODUCT(Oxides_min!$C27:$BB27,Factors!$C$32:$BB$32)+SUMPRODUCT(Oxides_max!$C27:$BB27,Factors!$C$32:$BB$32))/2)</f>
        <v>0</v>
      </c>
      <c r="Z27" s="20">
        <f>MAX(0,(SUMPRODUCT(Oxides_min!$C27:$BB27,Factors!$C$33:$BB$33)+SUMPRODUCT(Oxides_max!$C27:$BB27,Factors!$C$33:$BB$33))/2)</f>
        <v>0</v>
      </c>
      <c r="AA27" s="20">
        <f>MAX(0,(SUMPRODUCT(Oxides_min!$C27:$BB27,Factors!$C$34:$BB$34)+SUMPRODUCT(Oxides_max!$C27:$BB27,Factors!$C$34:$BB$34))/2)</f>
        <v>0</v>
      </c>
      <c r="AB27" s="20">
        <f>MAX(0,(SUMPRODUCT(Oxides_min!$C27:$BB27,Factors!$C$35:$BB$35)+SUMPRODUCT(Oxides_max!$C27:$BB27,Factors!$C$35:$BB$35))/2)</f>
        <v>0</v>
      </c>
      <c r="AC27" s="20">
        <f>MAX(0,(SUMPRODUCT(Oxides_min!$C27:$BB27,Factors!$C$36:$BB$36)+SUMPRODUCT(Oxides_max!$C27:$BB27,Factors!$C$36:$BB$36))/2)</f>
        <v>0</v>
      </c>
      <c r="AD27" s="20">
        <f>MAX(0,(SUMPRODUCT(Oxides_min!$C27:$BB27,Factors!$C$37:$BB$37)+SUMPRODUCT(Oxides_max!$C27:$BB27,Factors!$C$37:$BB$37))/2)</f>
        <v>0</v>
      </c>
      <c r="AE27" s="20">
        <f>MAX(0,(SUMPRODUCT(Oxides_min!$C27:$BB27,Factors!$C$38:$BB$38)+SUMPRODUCT(Oxides_max!$C27:$BB27,Factors!$C$38:$BB$38))/2)</f>
        <v>0</v>
      </c>
      <c r="AF27" s="20">
        <f>MAX(0,(SUMPRODUCT(Oxides_min!$C27:$BB27,Factors!$C$39:$BB$39)+SUMPRODUCT(Oxides_max!$C27:$BB27,Factors!$C$39:$BB$39))/2)</f>
        <v>0</v>
      </c>
      <c r="AG27" s="20">
        <f>MAX(0,(SUMPRODUCT(Oxides_min!$C27:$BB27,Factors!$C$40:$BB$40)+SUMPRODUCT(Oxides_max!$C27:$BB27,Factors!$C$40:$BB$40))/2)</f>
        <v>0</v>
      </c>
      <c r="AH27" s="20">
        <f>MAX(0,(SUMPRODUCT(Oxides_min!$C27:$BB27,Factors!$C$41:$BB$41)+SUMPRODUCT(Oxides_max!$C27:$BB27,Factors!$C$41:$BB$41))/2)</f>
        <v>0</v>
      </c>
      <c r="AI27" s="20">
        <f>MAX(0,(SUMPRODUCT(Oxides_min!$C27:$BB27,Factors!$C$42:$BB$42)+SUMPRODUCT(Oxides_max!$C27:$BB27,Factors!$C$42:$BB$42))/2)</f>
        <v>0</v>
      </c>
      <c r="AJ27" s="20">
        <f>MAX(0,(SUMPRODUCT(Oxides_min!$C27:$BB27,Factors!$C$43:$BB$43)+SUMPRODUCT(Oxides_max!$C27:$BB27,Factors!$C$43:$BB$43))/2)</f>
        <v>0</v>
      </c>
      <c r="AK27" s="20">
        <f>MAX(0,(SUMPRODUCT(Oxides_min!$C27:$BB27,Factors!$C$44:$BB$44)+SUMPRODUCT(Oxides_max!$C27:$BB27,Factors!$C$44:$BB$44))/2)</f>
        <v>0</v>
      </c>
      <c r="AL27" s="20">
        <f>MAX(0,(SUMPRODUCT(Oxides_min!$C27:$BB27,Factors!$C$45:$BB$45)+SUMPRODUCT(Oxides_max!$C27:$BB27,Factors!$C$45:$BB$45))/2)</f>
        <v>0</v>
      </c>
      <c r="AM27" s="20">
        <f>MAX(0,(SUMPRODUCT(Oxides_min!$C27:$BB27,Factors!$C$46:$BB$46)+SUMPRODUCT(Oxides_max!$C27:$BB27,Factors!$C$46:$BB$46))/2)</f>
        <v>0</v>
      </c>
      <c r="AN27" s="20">
        <f>MAX(0,(SUMPRODUCT(Oxides_min!$C27:$BB27,Factors!$C$47:$BB$47)+SUMPRODUCT(Oxides_max!$C27:$BB27,Factors!$C$47:$BB$47))/2)</f>
        <v>0</v>
      </c>
      <c r="AO27" s="20">
        <f>MAX(0,(SUMPRODUCT(Oxides_min!$C27:$BB27,Factors!$C$48:$BB$48)+SUMPRODUCT(Oxides_max!$C27:$BB27,Factors!$C$48:$BB$48))/2)</f>
        <v>0</v>
      </c>
      <c r="AP27" s="20">
        <f>MAX(0,(SUMPRODUCT(Oxides_min!$C27:$BB27,Factors!$C$49:$BB$49)+SUMPRODUCT(Oxides_max!$C27:$BB27,Factors!$C$49:$BB$49))/2)</f>
        <v>0</v>
      </c>
      <c r="AQ27" s="20">
        <f>MAX(0,(SUMPRODUCT(Oxides_min!$C27:$BB27,Factors!$C$50:$BB$50)+SUMPRODUCT(Oxides_max!$C27:$BB27,Factors!$C$50:$BB$50))/2)</f>
        <v>0</v>
      </c>
      <c r="AR27" s="20">
        <f>MAX(0,(SUMPRODUCT(Oxides_min!$C27:$BB27,Factors!$C$51:$BB$51)+SUMPRODUCT(Oxides_max!$C27:$BB27,Factors!$C$51:$BB$51))/2)</f>
        <v>0</v>
      </c>
      <c r="AS27" s="20">
        <f>MAX(0,(SUMPRODUCT(Oxides_min!$C27:$BB27,Factors!$C$52:$BB$52)+SUMPRODUCT(Oxides_max!$C27:$BB27,Factors!$C$52:$BB$52))/2)</f>
        <v>0</v>
      </c>
      <c r="AT27" s="20">
        <f>MAX(0,(SUMPRODUCT(Oxides_min!$C27:$BB27,Factors!$C$53:$BB$53)+SUMPRODUCT(Oxides_max!$C27:$BB27,Factors!$C$53:$BB$53))/2)</f>
        <v>0</v>
      </c>
      <c r="AU27" s="20">
        <f>MAX(0,(SUMPRODUCT(Oxides_min!$C27:$BB27,Factors!$C$54:$BB$54)+SUMPRODUCT(Oxides_max!$C27:$BB27,Factors!$C$54:$BB$54))/2)</f>
        <v>0</v>
      </c>
      <c r="AV27" s="20">
        <f>MAX(0,(SUMPRODUCT(Oxides_min!$C27:$BB27,Factors!$C$55:$BB$55)+SUMPRODUCT(Oxides_max!$C27:$BB27,Factors!$C$55:$BB$55))/2)</f>
        <v>0</v>
      </c>
      <c r="AW27" s="20">
        <f>MAX(0,(SUMPRODUCT(Oxides_min!$C27:$BB27,Factors!$C$56:$BB$56)+SUMPRODUCT(Oxides_max!$C27:$BB27,Factors!$C$56:$BB$56))/2)</f>
        <v>0</v>
      </c>
      <c r="AX27" s="20">
        <f>MAX(0,(SUMPRODUCT(Oxides_min!$C27:$BB27,Factors!$C$57:$BB$57)+SUMPRODUCT(Oxides_max!$C27:$BB27,Factors!$C$57:$BB$57))/2)</f>
        <v>0</v>
      </c>
      <c r="AY27" s="20">
        <f>MAX(0,(SUMPRODUCT(Oxides_min!$C27:$BB27,Factors!$C$58:$BB$58)+SUMPRODUCT(Oxides_max!$C27:$BB27,Factors!$C$58:$BB$58))/2)</f>
        <v>0</v>
      </c>
      <c r="AZ27" s="18">
        <f t="shared" ref="AZ27" si="1">SUM(B27:AY27)</f>
        <v>100.25</v>
      </c>
    </row>
    <row r="28" spans="1:52" x14ac:dyDescent="0.35">
      <c r="A28" s="13" t="s">
        <v>331</v>
      </c>
      <c r="B28" s="20">
        <f>MAX(0,(SUMPRODUCT(Oxides_min!$C28:$BB28,Factors!$C$9:$BB$9)+SUMPRODUCT(Oxides_max!$C28:$BB28,Factors!$C$9:$BB$9))/2)</f>
        <v>34.959133523638556</v>
      </c>
      <c r="C28" s="20">
        <f>MAX(0,(SUMPRODUCT(Oxides_min!$C28:$BB28,Factors!$C$10:$BB$10)+SUMPRODUCT(Oxides_max!$C28:$BB28,Factors!$C$10:$BB$10))/2)</f>
        <v>15.341272905813625</v>
      </c>
      <c r="D28" s="20">
        <f>MAX(0,(SUMPRODUCT(Oxides_min!$C28:$BB28,Factors!$C$11:$BB$11)+SUMPRODUCT(Oxides_max!$C28:$BB28,Factors!$C$11:$BB$11))/2)</f>
        <v>0</v>
      </c>
      <c r="E28" s="20">
        <f>MAX(0,(SUMPRODUCT(Oxides_min!$C28:$BB28,Factors!$C$12:$BB$12)+SUMPRODUCT(Oxides_max!$C28:$BB28,Factors!$C$12:$BB$12))/2)</f>
        <v>49.579387447046798</v>
      </c>
      <c r="F28" s="20">
        <f>MAX(0,(SUMPRODUCT(Oxides_min!$C28:$BB28,Factors!$C$13:$BB$13)+SUMPRODUCT(Oxides_max!$C28:$BB28,Factors!$C$13:$BB$13))/2)</f>
        <v>0.48758955379879138</v>
      </c>
      <c r="G28" s="20">
        <f>MAX(0,(SUMPRODUCT(Oxides_min!$C28:$BB28,Factors!$C$14:$BB$14)+SUMPRODUCT(Oxides_max!$C28:$BB28,Factors!$C$14:$BB$14))/2)</f>
        <v>0</v>
      </c>
      <c r="H28" s="20">
        <f>MAX(0,(SUMPRODUCT(Oxides_min!$C28:$BB28,Factors!$C$15:$BB$15)+SUMPRODUCT(Oxides_max!$C28:$BB28,Factors!$C$15:$BB$15))/2)</f>
        <v>0</v>
      </c>
      <c r="I28" s="20">
        <f>MAX(0,(SUMPRODUCT(Oxides_min!$C28:$BB28,Factors!$C$16:$BB$16)+SUMPRODUCT(Oxides_max!$C28:$BB28,Factors!$C$16:$BB$16))/2)</f>
        <v>0</v>
      </c>
      <c r="J28" s="20">
        <f>MAX(0,(SUMPRODUCT(Oxides_min!$C28:$BB28,Factors!$C$17:$BB$17)+SUMPRODUCT(Oxides_max!$C28:$BB28,Factors!$C$17:$BB$17))/2)</f>
        <v>0</v>
      </c>
      <c r="K28" s="20">
        <f>MAX(0,(SUMPRODUCT(Oxides_min!$C28:$BB28,Factors!$C$18:$BB$18)+SUMPRODUCT(Oxides_max!$C28:$BB28,Factors!$C$18:$BB$18))/2)</f>
        <v>0</v>
      </c>
      <c r="L28" s="20">
        <f>MAX(0,(SUMPRODUCT(Oxides_min!$C28:$BB28,Factors!$C$19:$BB$19)+SUMPRODUCT(Oxides_max!$C28:$BB28,Factors!$C$19:$BB$19))/2)</f>
        <v>0</v>
      </c>
      <c r="M28" s="20">
        <f>MAX(0,(SUMPRODUCT(Oxides_min!$C28:$BB28,Factors!$C$20:$BB$20)+SUMPRODUCT(Oxides_max!$C28:$BB28,Factors!$C$20:$BB$20))/2)</f>
        <v>0</v>
      </c>
      <c r="N28" s="20">
        <f>MAX(0,(SUMPRODUCT(Oxides_min!$C28:$BB28,Factors!$C$21:$BB$21)+SUMPRODUCT(Oxides_max!$C28:$BB28,Factors!$C$21:$BB$21))/2)</f>
        <v>0</v>
      </c>
      <c r="O28" s="20">
        <f>MAX(0,(SUMPRODUCT(Oxides_min!$C28:$BB28,Factors!$C$22:$BB$22)+SUMPRODUCT(Oxides_max!$C28:$BB28,Factors!$C$22:$BB$22))/2)</f>
        <v>0</v>
      </c>
      <c r="P28" s="20">
        <f>MAX(0,(SUMPRODUCT(Oxides_min!$C28:$BB28,Factors!$C$23:$BB$23)+SUMPRODUCT(Oxides_max!$C28:$BB28,Factors!$C$23:$BB$23))/2)</f>
        <v>0</v>
      </c>
      <c r="Q28" s="20">
        <f>MAX(0,(SUMPRODUCT(Oxides_min!$C28:$BB28,Factors!$C$24:$BB$24)+SUMPRODUCT(Oxides_max!$C28:$BB28,Factors!$C$24:$BB$24))/2)</f>
        <v>0</v>
      </c>
      <c r="R28" s="20">
        <f>MAX(0,(SUMPRODUCT(Oxides_min!$C28:$BB28,Factors!$C$25:$BB$25)+SUMPRODUCT(Oxides_max!$C28:$BB28,Factors!$C$25:$BB$25))/2)</f>
        <v>0</v>
      </c>
      <c r="S28" s="20">
        <f>MAX(0,(SUMPRODUCT(Oxides_min!$C28:$BB28,Factors!$C$26:$BB$26)+SUMPRODUCT(Oxides_max!$C28:$BB28,Factors!$C$26:$BB$26))/2)</f>
        <v>0</v>
      </c>
      <c r="T28" s="20">
        <f>MAX(0,(SUMPRODUCT(Oxides_min!$C28:$BB28,Factors!$C$27:$BB$27)+SUMPRODUCT(Oxides_max!$C28:$BB28,Factors!$C$27:$BB$27))/2)</f>
        <v>0</v>
      </c>
      <c r="U28" s="20">
        <f>MAX(0,(SUMPRODUCT(Oxides_min!$C28:$BB28,Factors!$C$28:$BB$28)+SUMPRODUCT(Oxides_max!$C28:$BB28,Factors!$C$28:$BB$28))/2)</f>
        <v>0</v>
      </c>
      <c r="V28" s="20">
        <f>MAX(0,(SUMPRODUCT(Oxides_min!$C28:$BB28,Factors!$C$29:$BB$29)+SUMPRODUCT(Oxides_max!$C28:$BB28,Factors!$C$29:$BB$29))/2)</f>
        <v>0</v>
      </c>
      <c r="W28" s="20">
        <f>MAX(0,(SUMPRODUCT(Oxides_min!$C28:$BB28,Factors!$C$30:$BB$30)+SUMPRODUCT(Oxides_max!$C28:$BB28,Factors!$C$30:$BB$30))/2)</f>
        <v>0</v>
      </c>
      <c r="X28" s="20">
        <f>MAX(0,(SUMPRODUCT(Oxides_min!$C28:$BB28,Factors!$C$31:$BB$31)+SUMPRODUCT(Oxides_max!$C28:$BB28,Factors!$C$31:$BB$31))/2)</f>
        <v>0</v>
      </c>
      <c r="Y28" s="20">
        <f>MAX(0,(SUMPRODUCT(Oxides_min!$C28:$BB28,Factors!$C$32:$BB$32)+SUMPRODUCT(Oxides_max!$C28:$BB28,Factors!$C$32:$BB$32))/2)</f>
        <v>0</v>
      </c>
      <c r="Z28" s="20">
        <f>MAX(0,(SUMPRODUCT(Oxides_min!$C28:$BB28,Factors!$C$33:$BB$33)+SUMPRODUCT(Oxides_max!$C28:$BB28,Factors!$C$33:$BB$33))/2)</f>
        <v>0</v>
      </c>
      <c r="AA28" s="20">
        <f>MAX(0,(SUMPRODUCT(Oxides_min!$C28:$BB28,Factors!$C$34:$BB$34)+SUMPRODUCT(Oxides_max!$C28:$BB28,Factors!$C$34:$BB$34))/2)</f>
        <v>0</v>
      </c>
      <c r="AB28" s="20">
        <f>MAX(0,(SUMPRODUCT(Oxides_min!$C28:$BB28,Factors!$C$35:$BB$35)+SUMPRODUCT(Oxides_max!$C28:$BB28,Factors!$C$35:$BB$35))/2)</f>
        <v>0</v>
      </c>
      <c r="AC28" s="20">
        <f>MAX(0,(SUMPRODUCT(Oxides_min!$C28:$BB28,Factors!$C$36:$BB$36)+SUMPRODUCT(Oxides_max!$C28:$BB28,Factors!$C$36:$BB$36))/2)</f>
        <v>0</v>
      </c>
      <c r="AD28" s="20">
        <f>MAX(0,(SUMPRODUCT(Oxides_min!$C28:$BB28,Factors!$C$37:$BB$37)+SUMPRODUCT(Oxides_max!$C28:$BB28,Factors!$C$37:$BB$37))/2)</f>
        <v>0</v>
      </c>
      <c r="AE28" s="20">
        <f>MAX(0,(SUMPRODUCT(Oxides_min!$C28:$BB28,Factors!$C$38:$BB$38)+SUMPRODUCT(Oxides_max!$C28:$BB28,Factors!$C$38:$BB$38))/2)</f>
        <v>0</v>
      </c>
      <c r="AF28" s="20">
        <f>MAX(0,(SUMPRODUCT(Oxides_min!$C28:$BB28,Factors!$C$39:$BB$39)+SUMPRODUCT(Oxides_max!$C28:$BB28,Factors!$C$39:$BB$39))/2)</f>
        <v>0</v>
      </c>
      <c r="AG28" s="20">
        <f>MAX(0,(SUMPRODUCT(Oxides_min!$C28:$BB28,Factors!$C$40:$BB$40)+SUMPRODUCT(Oxides_max!$C28:$BB28,Factors!$C$40:$BB$40))/2)</f>
        <v>4.3940592124474074E-3</v>
      </c>
      <c r="AH28" s="20">
        <f>MAX(0,(SUMPRODUCT(Oxides_min!$C28:$BB28,Factors!$C$41:$BB$41)+SUMPRODUCT(Oxides_max!$C28:$BB28,Factors!$C$41:$BB$41))/2)</f>
        <v>1.3222510489787851E-2</v>
      </c>
      <c r="AI28" s="20">
        <f>MAX(0,(SUMPRODUCT(Oxides_min!$C28:$BB28,Factors!$C$42:$BB$42)+SUMPRODUCT(Oxides_max!$C28:$BB28,Factors!$C$42:$BB$42))/2)</f>
        <v>0</v>
      </c>
      <c r="AJ28" s="20">
        <f>MAX(0,(SUMPRODUCT(Oxides_min!$C28:$BB28,Factors!$C$43:$BB$43)+SUMPRODUCT(Oxides_max!$C28:$BB28,Factors!$C$43:$BB$43))/2)</f>
        <v>0</v>
      </c>
      <c r="AK28" s="20">
        <f>MAX(0,(SUMPRODUCT(Oxides_min!$C28:$BB28,Factors!$C$44:$BB$44)+SUMPRODUCT(Oxides_max!$C28:$BB28,Factors!$C$44:$BB$44))/2)</f>
        <v>0</v>
      </c>
      <c r="AL28" s="20">
        <f>MAX(0,(SUMPRODUCT(Oxides_min!$C28:$BB28,Factors!$C$45:$BB$45)+SUMPRODUCT(Oxides_max!$C28:$BB28,Factors!$C$45:$BB$45))/2)</f>
        <v>0</v>
      </c>
      <c r="AM28" s="20">
        <f>MAX(0,(SUMPRODUCT(Oxides_min!$C28:$BB28,Factors!$C$46:$BB$46)+SUMPRODUCT(Oxides_max!$C28:$BB28,Factors!$C$46:$BB$46))/2)</f>
        <v>0</v>
      </c>
      <c r="AN28" s="20">
        <f>MAX(0,(SUMPRODUCT(Oxides_min!$C28:$BB28,Factors!$C$47:$BB$47)+SUMPRODUCT(Oxides_max!$C28:$BB28,Factors!$C$47:$BB$47))/2)</f>
        <v>0</v>
      </c>
      <c r="AO28" s="20">
        <f>MAX(0,(SUMPRODUCT(Oxides_min!$C28:$BB28,Factors!$C$48:$BB$48)+SUMPRODUCT(Oxides_max!$C28:$BB28,Factors!$C$48:$BB$48))/2)</f>
        <v>0</v>
      </c>
      <c r="AP28" s="20">
        <f>MAX(0,(SUMPRODUCT(Oxides_min!$C28:$BB28,Factors!$C$49:$BB$49)+SUMPRODUCT(Oxides_max!$C28:$BB28,Factors!$C$49:$BB$49))/2)</f>
        <v>0</v>
      </c>
      <c r="AQ28" s="20">
        <f>MAX(0,(SUMPRODUCT(Oxides_min!$C28:$BB28,Factors!$C$50:$BB$50)+SUMPRODUCT(Oxides_max!$C28:$BB28,Factors!$C$50:$BB$50))/2)</f>
        <v>0</v>
      </c>
      <c r="AR28" s="20">
        <f>MAX(0,(SUMPRODUCT(Oxides_min!$C28:$BB28,Factors!$C$51:$BB$51)+SUMPRODUCT(Oxides_max!$C28:$BB28,Factors!$C$51:$BB$51))/2)</f>
        <v>0</v>
      </c>
      <c r="AS28" s="20">
        <f>MAX(0,(SUMPRODUCT(Oxides_min!$C28:$BB28,Factors!$C$52:$BB$52)+SUMPRODUCT(Oxides_max!$C28:$BB28,Factors!$C$52:$BB$52))/2)</f>
        <v>0</v>
      </c>
      <c r="AT28" s="20">
        <f>MAX(0,(SUMPRODUCT(Oxides_min!$C28:$BB28,Factors!$C$53:$BB$53)+SUMPRODUCT(Oxides_max!$C28:$BB28,Factors!$C$53:$BB$53))/2)</f>
        <v>0</v>
      </c>
      <c r="AU28" s="20">
        <f>MAX(0,(SUMPRODUCT(Oxides_min!$C28:$BB28,Factors!$C$54:$BB$54)+SUMPRODUCT(Oxides_max!$C28:$BB28,Factors!$C$54:$BB$54))/2)</f>
        <v>0</v>
      </c>
      <c r="AV28" s="20">
        <f>MAX(0,(SUMPRODUCT(Oxides_min!$C28:$BB28,Factors!$C$55:$BB$55)+SUMPRODUCT(Oxides_max!$C28:$BB28,Factors!$C$55:$BB$55))/2)</f>
        <v>0</v>
      </c>
      <c r="AW28" s="20">
        <f>MAX(0,(SUMPRODUCT(Oxides_min!$C28:$BB28,Factors!$C$56:$BB$56)+SUMPRODUCT(Oxides_max!$C28:$BB28,Factors!$C$56:$BB$56))/2)</f>
        <v>0</v>
      </c>
      <c r="AX28" s="20">
        <f>MAX(0,(SUMPRODUCT(Oxides_min!$C28:$BB28,Factors!$C$57:$BB$57)+SUMPRODUCT(Oxides_max!$C28:$BB28,Factors!$C$57:$BB$57))/2)</f>
        <v>0</v>
      </c>
      <c r="AY28" s="20">
        <f>MAX(0,(SUMPRODUCT(Oxides_min!$C28:$BB28,Factors!$C$58:$BB$58)+SUMPRODUCT(Oxides_max!$C28:$BB28,Factors!$C$58:$BB$58))/2)</f>
        <v>0</v>
      </c>
      <c r="AZ28" s="18">
        <f t="shared" ref="AZ28:AZ44" si="2">SUM(B28:AY28)</f>
        <v>100.38499999999999</v>
      </c>
    </row>
    <row r="29" spans="1:52" x14ac:dyDescent="0.35">
      <c r="A29" s="13" t="s">
        <v>333</v>
      </c>
      <c r="B29" s="20">
        <f>MAX(0,(SUMPRODUCT(Oxides_min!$C29:$BB29,Factors!$C$9:$BB$9)+SUMPRODUCT(Oxides_max!$C29:$BB29,Factors!$C$9:$BB$9))/2)</f>
        <v>48.454121686815611</v>
      </c>
      <c r="C29" s="20">
        <f>MAX(0,(SUMPRODUCT(Oxides_min!$C29:$BB29,Factors!$C$10:$BB$10)+SUMPRODUCT(Oxides_max!$C29:$BB29,Factors!$C$10:$BB$10))/2)</f>
        <v>21.298753807233329</v>
      </c>
      <c r="D29" s="20">
        <f>MAX(0,(SUMPRODUCT(Oxides_min!$C29:$BB29,Factors!$C$11:$BB$11)+SUMPRODUCT(Oxides_max!$C29:$BB29,Factors!$C$11:$BB$11))/2)</f>
        <v>0</v>
      </c>
      <c r="E29" s="20">
        <f>MAX(0,(SUMPRODUCT(Oxides_min!$C29:$BB29,Factors!$C$12:$BB$12)+SUMPRODUCT(Oxides_max!$C29:$BB29,Factors!$C$12:$BB$12))/2)</f>
        <v>0</v>
      </c>
      <c r="F29" s="20">
        <f>MAX(0,(SUMPRODUCT(Oxides_min!$C29:$BB29,Factors!$C$13:$BB$13)+SUMPRODUCT(Oxides_max!$C29:$BB29,Factors!$C$13:$BB$13))/2)</f>
        <v>0</v>
      </c>
      <c r="G29" s="20">
        <f>MAX(0,(SUMPRODUCT(Oxides_min!$C29:$BB29,Factors!$C$14:$BB$14)+SUMPRODUCT(Oxides_max!$C29:$BB29,Factors!$C$14:$BB$14))/2)</f>
        <v>0</v>
      </c>
      <c r="H29" s="20">
        <f>MAX(0,(SUMPRODUCT(Oxides_min!$C29:$BB29,Factors!$C$15:$BB$15)+SUMPRODUCT(Oxides_max!$C29:$BB29,Factors!$C$15:$BB$15))/2)</f>
        <v>20.400208239985929</v>
      </c>
      <c r="I29" s="20">
        <f>MAX(0,(SUMPRODUCT(Oxides_min!$C29:$BB29,Factors!$C$16:$BB$16)+SUMPRODUCT(Oxides_max!$C29:$BB29,Factors!$C$16:$BB$16))/2)</f>
        <v>0</v>
      </c>
      <c r="J29" s="20">
        <f>MAX(0,(SUMPRODUCT(Oxides_min!$C29:$BB29,Factors!$C$17:$BB$17)+SUMPRODUCT(Oxides_max!$C29:$BB29,Factors!$C$17:$BB$17))/2)</f>
        <v>0</v>
      </c>
      <c r="K29" s="20">
        <f>MAX(0,(SUMPRODUCT(Oxides_min!$C29:$BB29,Factors!$C$18:$BB$18)+SUMPRODUCT(Oxides_max!$C29:$BB29,Factors!$C$18:$BB$18))/2)</f>
        <v>0</v>
      </c>
      <c r="L29" s="20">
        <f>MAX(0,(SUMPRODUCT(Oxides_min!$C29:$BB29,Factors!$C$19:$BB$19)+SUMPRODUCT(Oxides_max!$C29:$BB29,Factors!$C$19:$BB$19))/2)</f>
        <v>0</v>
      </c>
      <c r="M29" s="20">
        <f>MAX(0,(SUMPRODUCT(Oxides_min!$C29:$BB29,Factors!$C$20:$BB$20)+SUMPRODUCT(Oxides_max!$C29:$BB29,Factors!$C$20:$BB$20))/2)</f>
        <v>3.0152094084954346E-2</v>
      </c>
      <c r="N29" s="20">
        <f>MAX(0,(SUMPRODUCT(Oxides_min!$C29:$BB29,Factors!$C$21:$BB$21)+SUMPRODUCT(Oxides_max!$C29:$BB29,Factors!$C$21:$BB$21))/2)</f>
        <v>0</v>
      </c>
      <c r="O29" s="20">
        <f>MAX(0,(SUMPRODUCT(Oxides_min!$C29:$BB29,Factors!$C$22:$BB$22)+SUMPRODUCT(Oxides_max!$C29:$BB29,Factors!$C$22:$BB$22))/2)</f>
        <v>0</v>
      </c>
      <c r="P29" s="20">
        <f>MAX(0,(SUMPRODUCT(Oxides_min!$C29:$BB29,Factors!$C$23:$BB$23)+SUMPRODUCT(Oxides_max!$C29:$BB29,Factors!$C$23:$BB$23))/2)</f>
        <v>0</v>
      </c>
      <c r="Q29" s="20">
        <f>MAX(0,(SUMPRODUCT(Oxides_min!$C29:$BB29,Factors!$C$24:$BB$24)+SUMPRODUCT(Oxides_max!$C29:$BB29,Factors!$C$24:$BB$24))/2)</f>
        <v>0</v>
      </c>
      <c r="R29" s="20">
        <f>MAX(0,(SUMPRODUCT(Oxides_min!$C29:$BB29,Factors!$C$25:$BB$25)+SUMPRODUCT(Oxides_max!$C29:$BB29,Factors!$C$25:$BB$25))/2)</f>
        <v>0.23739592254109451</v>
      </c>
      <c r="S29" s="20">
        <f>MAX(0,(SUMPRODUCT(Oxides_min!$C29:$BB29,Factors!$C$26:$BB$26)+SUMPRODUCT(Oxides_max!$C29:$BB29,Factors!$C$26:$BB$26))/2)</f>
        <v>9.0901567589144285</v>
      </c>
      <c r="T29" s="20">
        <v>0.1</v>
      </c>
      <c r="U29" s="20">
        <f>MAX(0,(SUMPRODUCT(Oxides_min!$C29:$BB29,Factors!$C$28:$BB$28)+SUMPRODUCT(Oxides_max!$C29:$BB29,Factors!$C$28:$BB$28))/2)</f>
        <v>0</v>
      </c>
      <c r="V29" s="20">
        <f>MAX(0,(SUMPRODUCT(Oxides_min!$C29:$BB29,Factors!$C$29:$BB$29)+SUMPRODUCT(Oxides_max!$C29:$BB29,Factors!$C$29:$BB$29))/2)</f>
        <v>0</v>
      </c>
      <c r="W29" s="20">
        <f>MAX(0,(SUMPRODUCT(Oxides_min!$C29:$BB29,Factors!$C$30:$BB$30)+SUMPRODUCT(Oxides_max!$C29:$BB29,Factors!$C$30:$BB$30))/2)</f>
        <v>0</v>
      </c>
      <c r="X29" s="20">
        <f>MAX(0,(SUMPRODUCT(Oxides_min!$C29:$BB29,Factors!$C$31:$BB$31)+SUMPRODUCT(Oxides_max!$C29:$BB29,Factors!$C$31:$BB$31))/2)</f>
        <v>0</v>
      </c>
      <c r="Y29" s="20">
        <f>MAX(0,(SUMPRODUCT(Oxides_min!$C29:$BB29,Factors!$C$32:$BB$32)+SUMPRODUCT(Oxides_max!$C29:$BB29,Factors!$C$32:$BB$32))/2)</f>
        <v>0</v>
      </c>
      <c r="Z29" s="20">
        <f>MAX(0,(SUMPRODUCT(Oxides_min!$C29:$BB29,Factors!$C$33:$BB$33)+SUMPRODUCT(Oxides_max!$C29:$BB29,Factors!$C$33:$BB$33))/2)</f>
        <v>0</v>
      </c>
      <c r="AA29" s="20">
        <f>MAX(0,(SUMPRODUCT(Oxides_min!$C29:$BB29,Factors!$C$34:$BB$34)+SUMPRODUCT(Oxides_max!$C29:$BB29,Factors!$C$34:$BB$34))/2)</f>
        <v>0</v>
      </c>
      <c r="AB29" s="20">
        <f>MAX(0,(SUMPRODUCT(Oxides_min!$C29:$BB29,Factors!$C$35:$BB$35)+SUMPRODUCT(Oxides_max!$C29:$BB29,Factors!$C$35:$BB$35))/2)</f>
        <v>0</v>
      </c>
      <c r="AC29" s="20">
        <f>MAX(0,(SUMPRODUCT(Oxides_min!$C29:$BB29,Factors!$C$36:$BB$36)+SUMPRODUCT(Oxides_max!$C29:$BB29,Factors!$C$36:$BB$36))/2)</f>
        <v>0</v>
      </c>
      <c r="AD29" s="20">
        <f>MAX(0,(SUMPRODUCT(Oxides_min!$C29:$BB29,Factors!$C$37:$BB$37)+SUMPRODUCT(Oxides_max!$C29:$BB29,Factors!$C$37:$BB$37))/2)</f>
        <v>0.51421149042464598</v>
      </c>
      <c r="AE29" s="20">
        <f>MAX(0,(SUMPRODUCT(Oxides_min!$C29:$BB29,Factors!$C$38:$BB$38)+SUMPRODUCT(Oxides_max!$C29:$BB29,Factors!$C$38:$BB$38))/2)</f>
        <v>0</v>
      </c>
      <c r="AF29" s="20">
        <f>MAX(0,(SUMPRODUCT(Oxides_min!$C29:$BB29,Factors!$C$39:$BB$39)+SUMPRODUCT(Oxides_max!$C29:$BB29,Factors!$C$39:$BB$39))/2)</f>
        <v>0</v>
      </c>
      <c r="AG29" s="20">
        <f>MAX(0,(SUMPRODUCT(Oxides_min!$C29:$BB29,Factors!$C$40:$BB$40)+SUMPRODUCT(Oxides_max!$C29:$BB29,Factors!$C$40:$BB$40))/2)</f>
        <v>0</v>
      </c>
      <c r="AH29" s="20">
        <f>MAX(0,(SUMPRODUCT(Oxides_min!$C29:$BB29,Factors!$C$41:$BB$41)+SUMPRODUCT(Oxides_max!$C29:$BB29,Factors!$C$41:$BB$41))/2)</f>
        <v>0</v>
      </c>
      <c r="AI29" s="20">
        <f>MAX(0,(SUMPRODUCT(Oxides_min!$C29:$BB29,Factors!$C$42:$BB$42)+SUMPRODUCT(Oxides_max!$C29:$BB29,Factors!$C$42:$BB$42))/2)</f>
        <v>0</v>
      </c>
      <c r="AJ29" s="20">
        <f>MAX(0,(SUMPRODUCT(Oxides_min!$C29:$BB29,Factors!$C$43:$BB$43)+SUMPRODUCT(Oxides_max!$C29:$BB29,Factors!$C$43:$BB$43))/2)</f>
        <v>0</v>
      </c>
      <c r="AK29" s="20">
        <f>MAX(0,(SUMPRODUCT(Oxides_min!$C29:$BB29,Factors!$C$44:$BB$44)+SUMPRODUCT(Oxides_max!$C29:$BB29,Factors!$C$44:$BB$44))/2)</f>
        <v>0</v>
      </c>
      <c r="AL29" s="20">
        <f>MAX(0,(SUMPRODUCT(Oxides_min!$C29:$BB29,Factors!$C$45:$BB$45)+SUMPRODUCT(Oxides_max!$C29:$BB29,Factors!$C$45:$BB$45))/2)</f>
        <v>0</v>
      </c>
      <c r="AM29" s="20">
        <f>MAX(0,(SUMPRODUCT(Oxides_min!$C29:$BB29,Factors!$C$46:$BB$46)+SUMPRODUCT(Oxides_max!$C29:$BB29,Factors!$C$46:$BB$46))/2)</f>
        <v>0</v>
      </c>
      <c r="AN29" s="20">
        <f>MAX(0,(SUMPRODUCT(Oxides_min!$C29:$BB29,Factors!$C$47:$BB$47)+SUMPRODUCT(Oxides_max!$C29:$BB29,Factors!$C$47:$BB$47))/2)</f>
        <v>0</v>
      </c>
      <c r="AO29" s="20">
        <f>MAX(0,(SUMPRODUCT(Oxides_min!$C29:$BB29,Factors!$C$48:$BB$48)+SUMPRODUCT(Oxides_max!$C29:$BB29,Factors!$C$48:$BB$48))/2)</f>
        <v>0</v>
      </c>
      <c r="AP29" s="20">
        <f>MAX(0,(SUMPRODUCT(Oxides_min!$C29:$BB29,Factors!$C$49:$BB$49)+SUMPRODUCT(Oxides_max!$C29:$BB29,Factors!$C$49:$BB$49))/2)</f>
        <v>0</v>
      </c>
      <c r="AQ29" s="20">
        <f>MAX(0,(SUMPRODUCT(Oxides_min!$C29:$BB29,Factors!$C$50:$BB$50)+SUMPRODUCT(Oxides_max!$C29:$BB29,Factors!$C$50:$BB$50))/2)</f>
        <v>0</v>
      </c>
      <c r="AR29" s="20">
        <f>MAX(0,(SUMPRODUCT(Oxides_min!$C29:$BB29,Factors!$C$51:$BB$51)+SUMPRODUCT(Oxides_max!$C29:$BB29,Factors!$C$51:$BB$51))/2)</f>
        <v>0</v>
      </c>
      <c r="AS29" s="20">
        <f>MAX(0,(SUMPRODUCT(Oxides_min!$C29:$BB29,Factors!$C$52:$BB$52)+SUMPRODUCT(Oxides_max!$C29:$BB29,Factors!$C$52:$BB$52))/2)</f>
        <v>0</v>
      </c>
      <c r="AT29" s="20">
        <f>MAX(0,(SUMPRODUCT(Oxides_min!$C29:$BB29,Factors!$C$53:$BB$53)+SUMPRODUCT(Oxides_max!$C29:$BB29,Factors!$C$53:$BB$53))/2)</f>
        <v>0</v>
      </c>
      <c r="AU29" s="20">
        <f>MAX(0,(SUMPRODUCT(Oxides_min!$C29:$BB29,Factors!$C$54:$BB$54)+SUMPRODUCT(Oxides_max!$C29:$BB29,Factors!$C$54:$BB$54))/2)</f>
        <v>0</v>
      </c>
      <c r="AV29" s="20">
        <f>MAX(0,(SUMPRODUCT(Oxides_min!$C29:$BB29,Factors!$C$55:$BB$55)+SUMPRODUCT(Oxides_max!$C29:$BB29,Factors!$C$55:$BB$55))/2)</f>
        <v>0</v>
      </c>
      <c r="AW29" s="20">
        <f>MAX(0,(SUMPRODUCT(Oxides_min!$C29:$BB29,Factors!$C$56:$BB$56)+SUMPRODUCT(Oxides_max!$C29:$BB29,Factors!$C$56:$BB$56))/2)</f>
        <v>0</v>
      </c>
      <c r="AX29" s="20">
        <f>MAX(0,(SUMPRODUCT(Oxides_min!$C29:$BB29,Factors!$C$57:$BB$57)+SUMPRODUCT(Oxides_max!$C29:$BB29,Factors!$C$57:$BB$57))/2)</f>
        <v>0</v>
      </c>
      <c r="AY29" s="20">
        <f>MAX(0,(SUMPRODUCT(Oxides_min!$C29:$BB29,Factors!$C$58:$BB$58)+SUMPRODUCT(Oxides_max!$C29:$BB29,Factors!$C$58:$BB$58))/2)</f>
        <v>0</v>
      </c>
      <c r="AZ29" s="18">
        <f t="shared" si="2"/>
        <v>100.125</v>
      </c>
    </row>
    <row r="30" spans="1:52" x14ac:dyDescent="0.35">
      <c r="A30" s="13" t="s">
        <v>335</v>
      </c>
      <c r="B30" s="20">
        <f>MAX(0,(SUMPRODUCT(Oxides_min!$C30:$BB30,Factors!$C$9:$BB$9)+SUMPRODUCT(Oxides_max!$C30:$BB30,Factors!$C$9:$BB$9))/2)</f>
        <v>53.256328745235763</v>
      </c>
      <c r="C30" s="20">
        <f>MAX(0,(SUMPRODUCT(Oxides_min!$C30:$BB30,Factors!$C$10:$BB$10)+SUMPRODUCT(Oxides_max!$C30:$BB30,Factors!$C$10:$BB$10))/2)</f>
        <v>46.743671254764244</v>
      </c>
      <c r="D30" s="20">
        <f>MAX(0,(SUMPRODUCT(Oxides_min!$C30:$BB30,Factors!$C$11:$BB$11)+SUMPRODUCT(Oxides_max!$C30:$BB30,Factors!$C$11:$BB$11))/2)</f>
        <v>0</v>
      </c>
      <c r="E30" s="20">
        <f>MAX(0,(SUMPRODUCT(Oxides_min!$C30:$BB30,Factors!$C$12:$BB$12)+SUMPRODUCT(Oxides_max!$C30:$BB30,Factors!$C$12:$BB$12))/2)</f>
        <v>0</v>
      </c>
      <c r="F30" s="20">
        <f>MAX(0,(SUMPRODUCT(Oxides_min!$C30:$BB30,Factors!$C$13:$BB$13)+SUMPRODUCT(Oxides_max!$C30:$BB30,Factors!$C$13:$BB$13))/2)</f>
        <v>0</v>
      </c>
      <c r="G30" s="20">
        <f>MAX(0,(SUMPRODUCT(Oxides_min!$C30:$BB30,Factors!$C$14:$BB$14)+SUMPRODUCT(Oxides_max!$C30:$BB30,Factors!$C$14:$BB$14))/2)</f>
        <v>0</v>
      </c>
      <c r="H30" s="20">
        <f>MAX(0,(SUMPRODUCT(Oxides_min!$C30:$BB30,Factors!$C$15:$BB$15)+SUMPRODUCT(Oxides_max!$C30:$BB30,Factors!$C$15:$BB$15))/2)</f>
        <v>0</v>
      </c>
      <c r="I30" s="20">
        <f>MAX(0,(SUMPRODUCT(Oxides_min!$C30:$BB30,Factors!$C$16:$BB$16)+SUMPRODUCT(Oxides_max!$C30:$BB30,Factors!$C$16:$BB$16))/2)</f>
        <v>0</v>
      </c>
      <c r="J30" s="20">
        <f>MAX(0,(SUMPRODUCT(Oxides_min!$C30:$BB30,Factors!$C$17:$BB$17)+SUMPRODUCT(Oxides_max!$C30:$BB30,Factors!$C$17:$BB$17))/2)</f>
        <v>0</v>
      </c>
      <c r="K30" s="20">
        <f>MAX(0,(SUMPRODUCT(Oxides_min!$C30:$BB30,Factors!$C$18:$BB$18)+SUMPRODUCT(Oxides_max!$C30:$BB30,Factors!$C$18:$BB$18))/2)</f>
        <v>0</v>
      </c>
      <c r="L30" s="20">
        <f>MAX(0,(SUMPRODUCT(Oxides_min!$C30:$BB30,Factors!$C$19:$BB$19)+SUMPRODUCT(Oxides_max!$C30:$BB30,Factors!$C$19:$BB$19))/2)</f>
        <v>0</v>
      </c>
      <c r="M30" s="20">
        <f>MAX(0,(SUMPRODUCT(Oxides_min!$C30:$BB30,Factors!$C$20:$BB$20)+SUMPRODUCT(Oxides_max!$C30:$BB30,Factors!$C$20:$BB$20))/2)</f>
        <v>0</v>
      </c>
      <c r="N30" s="20">
        <f>MAX(0,(SUMPRODUCT(Oxides_min!$C30:$BB30,Factors!$C$21:$BB$21)+SUMPRODUCT(Oxides_max!$C30:$BB30,Factors!$C$21:$BB$21))/2)</f>
        <v>0</v>
      </c>
      <c r="O30" s="20">
        <f>MAX(0,(SUMPRODUCT(Oxides_min!$C30:$BB30,Factors!$C$22:$BB$22)+SUMPRODUCT(Oxides_max!$C30:$BB30,Factors!$C$22:$BB$22))/2)</f>
        <v>0</v>
      </c>
      <c r="P30" s="20">
        <f>MAX(0,(SUMPRODUCT(Oxides_min!$C30:$BB30,Factors!$C$23:$BB$23)+SUMPRODUCT(Oxides_max!$C30:$BB30,Factors!$C$23:$BB$23))/2)</f>
        <v>0</v>
      </c>
      <c r="Q30" s="20">
        <f>MAX(0,(SUMPRODUCT(Oxides_min!$C30:$BB30,Factors!$C$24:$BB$24)+SUMPRODUCT(Oxides_max!$C30:$BB30,Factors!$C$24:$BB$24))/2)</f>
        <v>0</v>
      </c>
      <c r="R30" s="20">
        <f>MAX(0,(SUMPRODUCT(Oxides_min!$C30:$BB30,Factors!$C$25:$BB$25)+SUMPRODUCT(Oxides_max!$C30:$BB30,Factors!$C$25:$BB$25))/2)</f>
        <v>0</v>
      </c>
      <c r="S30" s="20">
        <f>MAX(0,(SUMPRODUCT(Oxides_min!$C30:$BB30,Factors!$C$26:$BB$26)+SUMPRODUCT(Oxides_max!$C30:$BB30,Factors!$C$26:$BB$26))/2)</f>
        <v>0</v>
      </c>
      <c r="T30" s="20">
        <f>MAX(0,(SUMPRODUCT(Oxides_min!$C30:$BB30,Factors!$C$27:$BB$27)+SUMPRODUCT(Oxides_max!$C30:$BB30,Factors!$C$27:$BB$27))/2)</f>
        <v>0</v>
      </c>
      <c r="U30" s="20">
        <f>MAX(0,(SUMPRODUCT(Oxides_min!$C30:$BB30,Factors!$C$28:$BB$28)+SUMPRODUCT(Oxides_max!$C30:$BB30,Factors!$C$28:$BB$28))/2)</f>
        <v>0</v>
      </c>
      <c r="V30" s="20">
        <f>MAX(0,(SUMPRODUCT(Oxides_min!$C30:$BB30,Factors!$C$29:$BB$29)+SUMPRODUCT(Oxides_max!$C30:$BB30,Factors!$C$29:$BB$29))/2)</f>
        <v>0</v>
      </c>
      <c r="W30" s="20">
        <f>MAX(0,(SUMPRODUCT(Oxides_min!$C30:$BB30,Factors!$C$30:$BB$30)+SUMPRODUCT(Oxides_max!$C30:$BB30,Factors!$C$30:$BB$30))/2)</f>
        <v>0</v>
      </c>
      <c r="X30" s="20">
        <f>MAX(0,(SUMPRODUCT(Oxides_min!$C30:$BB30,Factors!$C$31:$BB$31)+SUMPRODUCT(Oxides_max!$C30:$BB30,Factors!$C$31:$BB$31))/2)</f>
        <v>0</v>
      </c>
      <c r="Y30" s="20">
        <f>MAX(0,(SUMPRODUCT(Oxides_min!$C30:$BB30,Factors!$C$32:$BB$32)+SUMPRODUCT(Oxides_max!$C30:$BB30,Factors!$C$32:$BB$32))/2)</f>
        <v>0</v>
      </c>
      <c r="Z30" s="20">
        <f>MAX(0,(SUMPRODUCT(Oxides_min!$C30:$BB30,Factors!$C$33:$BB$33)+SUMPRODUCT(Oxides_max!$C30:$BB30,Factors!$C$33:$BB$33))/2)</f>
        <v>0</v>
      </c>
      <c r="AA30" s="20">
        <f>MAX(0,(SUMPRODUCT(Oxides_min!$C30:$BB30,Factors!$C$34:$BB$34)+SUMPRODUCT(Oxides_max!$C30:$BB30,Factors!$C$34:$BB$34))/2)</f>
        <v>0</v>
      </c>
      <c r="AB30" s="20">
        <f>MAX(0,(SUMPRODUCT(Oxides_min!$C30:$BB30,Factors!$C$35:$BB$35)+SUMPRODUCT(Oxides_max!$C30:$BB30,Factors!$C$35:$BB$35))/2)</f>
        <v>0</v>
      </c>
      <c r="AC30" s="20">
        <f>MAX(0,(SUMPRODUCT(Oxides_min!$C30:$BB30,Factors!$C$36:$BB$36)+SUMPRODUCT(Oxides_max!$C30:$BB30,Factors!$C$36:$BB$36))/2)</f>
        <v>0</v>
      </c>
      <c r="AD30" s="20">
        <f>MAX(0,(SUMPRODUCT(Oxides_min!$C30:$BB30,Factors!$C$37:$BB$37)+SUMPRODUCT(Oxides_max!$C30:$BB30,Factors!$C$37:$BB$37))/2)</f>
        <v>0</v>
      </c>
      <c r="AE30" s="20">
        <f>MAX(0,(SUMPRODUCT(Oxides_min!$C30:$BB30,Factors!$C$38:$BB$38)+SUMPRODUCT(Oxides_max!$C30:$BB30,Factors!$C$38:$BB$38))/2)</f>
        <v>0</v>
      </c>
      <c r="AF30" s="20">
        <f>MAX(0,(SUMPRODUCT(Oxides_min!$C30:$BB30,Factors!$C$39:$BB$39)+SUMPRODUCT(Oxides_max!$C30:$BB30,Factors!$C$39:$BB$39))/2)</f>
        <v>0</v>
      </c>
      <c r="AG30" s="20">
        <f>MAX(0,(SUMPRODUCT(Oxides_min!$C30:$BB30,Factors!$C$40:$BB$40)+SUMPRODUCT(Oxides_max!$C30:$BB30,Factors!$C$40:$BB$40))/2)</f>
        <v>0</v>
      </c>
      <c r="AH30" s="20">
        <f>MAX(0,(SUMPRODUCT(Oxides_min!$C30:$BB30,Factors!$C$41:$BB$41)+SUMPRODUCT(Oxides_max!$C30:$BB30,Factors!$C$41:$BB$41))/2)</f>
        <v>0</v>
      </c>
      <c r="AI30" s="20">
        <f>MAX(0,(SUMPRODUCT(Oxides_min!$C30:$BB30,Factors!$C$42:$BB$42)+SUMPRODUCT(Oxides_max!$C30:$BB30,Factors!$C$42:$BB$42))/2)</f>
        <v>0</v>
      </c>
      <c r="AJ30" s="20">
        <f>MAX(0,(SUMPRODUCT(Oxides_min!$C30:$BB30,Factors!$C$43:$BB$43)+SUMPRODUCT(Oxides_max!$C30:$BB30,Factors!$C$43:$BB$43))/2)</f>
        <v>0</v>
      </c>
      <c r="AK30" s="20">
        <f>MAX(0,(SUMPRODUCT(Oxides_min!$C30:$BB30,Factors!$C$44:$BB$44)+SUMPRODUCT(Oxides_max!$C30:$BB30,Factors!$C$44:$BB$44))/2)</f>
        <v>0</v>
      </c>
      <c r="AL30" s="20">
        <f>MAX(0,(SUMPRODUCT(Oxides_min!$C30:$BB30,Factors!$C$45:$BB$45)+SUMPRODUCT(Oxides_max!$C30:$BB30,Factors!$C$45:$BB$45))/2)</f>
        <v>0</v>
      </c>
      <c r="AM30" s="20">
        <f>MAX(0,(SUMPRODUCT(Oxides_min!$C30:$BB30,Factors!$C$46:$BB$46)+SUMPRODUCT(Oxides_max!$C30:$BB30,Factors!$C$46:$BB$46))/2)</f>
        <v>0</v>
      </c>
      <c r="AN30" s="20">
        <f>MAX(0,(SUMPRODUCT(Oxides_min!$C30:$BB30,Factors!$C$47:$BB$47)+SUMPRODUCT(Oxides_max!$C30:$BB30,Factors!$C$47:$BB$47))/2)</f>
        <v>0</v>
      </c>
      <c r="AO30" s="20">
        <f>MAX(0,(SUMPRODUCT(Oxides_min!$C30:$BB30,Factors!$C$48:$BB$48)+SUMPRODUCT(Oxides_max!$C30:$BB30,Factors!$C$48:$BB$48))/2)</f>
        <v>0</v>
      </c>
      <c r="AP30" s="20">
        <f>MAX(0,(SUMPRODUCT(Oxides_min!$C30:$BB30,Factors!$C$49:$BB$49)+SUMPRODUCT(Oxides_max!$C30:$BB30,Factors!$C$49:$BB$49))/2)</f>
        <v>0</v>
      </c>
      <c r="AQ30" s="20">
        <f>MAX(0,(SUMPRODUCT(Oxides_min!$C30:$BB30,Factors!$C$50:$BB$50)+SUMPRODUCT(Oxides_max!$C30:$BB30,Factors!$C$50:$BB$50))/2)</f>
        <v>0</v>
      </c>
      <c r="AR30" s="20">
        <f>MAX(0,(SUMPRODUCT(Oxides_min!$C30:$BB30,Factors!$C$51:$BB$51)+SUMPRODUCT(Oxides_max!$C30:$BB30,Factors!$C$51:$BB$51))/2)</f>
        <v>0</v>
      </c>
      <c r="AS30" s="20">
        <f>MAX(0,(SUMPRODUCT(Oxides_min!$C30:$BB30,Factors!$C$52:$BB$52)+SUMPRODUCT(Oxides_max!$C30:$BB30,Factors!$C$52:$BB$52))/2)</f>
        <v>0</v>
      </c>
      <c r="AT30" s="20">
        <f>MAX(0,(SUMPRODUCT(Oxides_min!$C30:$BB30,Factors!$C$53:$BB$53)+SUMPRODUCT(Oxides_max!$C30:$BB30,Factors!$C$53:$BB$53))/2)</f>
        <v>0</v>
      </c>
      <c r="AU30" s="20">
        <f>MAX(0,(SUMPRODUCT(Oxides_min!$C30:$BB30,Factors!$C$54:$BB$54)+SUMPRODUCT(Oxides_max!$C30:$BB30,Factors!$C$54:$BB$54))/2)</f>
        <v>0</v>
      </c>
      <c r="AV30" s="20">
        <f>MAX(0,(SUMPRODUCT(Oxides_min!$C30:$BB30,Factors!$C$55:$BB$55)+SUMPRODUCT(Oxides_max!$C30:$BB30,Factors!$C$55:$BB$55))/2)</f>
        <v>0</v>
      </c>
      <c r="AW30" s="20">
        <f>MAX(0,(SUMPRODUCT(Oxides_min!$C30:$BB30,Factors!$C$56:$BB$56)+SUMPRODUCT(Oxides_max!$C30:$BB30,Factors!$C$56:$BB$56))/2)</f>
        <v>0</v>
      </c>
      <c r="AX30" s="20">
        <f>MAX(0,(SUMPRODUCT(Oxides_min!$C30:$BB30,Factors!$C$57:$BB$57)+SUMPRODUCT(Oxides_max!$C30:$BB30,Factors!$C$57:$BB$57))/2)</f>
        <v>0</v>
      </c>
      <c r="AY30" s="20">
        <f>MAX(0,(SUMPRODUCT(Oxides_min!$C30:$BB30,Factors!$C$58:$BB$58)+SUMPRODUCT(Oxides_max!$C30:$BB30,Factors!$C$58:$BB$58))/2)</f>
        <v>0</v>
      </c>
      <c r="AZ30" s="18">
        <f t="shared" si="2"/>
        <v>100</v>
      </c>
    </row>
    <row r="31" spans="1:52" x14ac:dyDescent="0.35">
      <c r="A31" s="13" t="s">
        <v>336</v>
      </c>
      <c r="B31" s="20">
        <f>MAX(0,(SUMPRODUCT(Oxides_min!$C31:$BB31,Factors!$C$9:$BB$9)+SUMPRODUCT(Oxides_max!$C31:$BB31,Factors!$C$9:$BB$9))/2)</f>
        <v>41.708351259968239</v>
      </c>
      <c r="C31" s="20">
        <f>MAX(0,(SUMPRODUCT(Oxides_min!$C31:$BB31,Factors!$C$10:$BB$10)+SUMPRODUCT(Oxides_max!$C31:$BB31,Factors!$C$10:$BB$10))/2)</f>
        <v>24.159466488024901</v>
      </c>
      <c r="D31" s="20">
        <f>MAX(0,(SUMPRODUCT(Oxides_min!$C31:$BB31,Factors!$C$11:$BB$11)+SUMPRODUCT(Oxides_max!$C31:$BB31,Factors!$C$11:$BB$11))/2)</f>
        <v>0.3296418956989921</v>
      </c>
      <c r="E31" s="20">
        <f>MAX(0,(SUMPRODUCT(Oxides_min!$C31:$BB31,Factors!$C$12:$BB$12)+SUMPRODUCT(Oxides_max!$C31:$BB31,Factors!$C$12:$BB$12))/2)</f>
        <v>0</v>
      </c>
      <c r="F31" s="20">
        <f>MAX(0,(SUMPRODUCT(Oxides_min!$C31:$BB31,Factors!$C$13:$BB$13)+SUMPRODUCT(Oxides_max!$C31:$BB31,Factors!$C$13:$BB$13))/2)</f>
        <v>0</v>
      </c>
      <c r="G31" s="20">
        <f>MAX(0,(SUMPRODUCT(Oxides_min!$C31:$BB31,Factors!$C$14:$BB$14)+SUMPRODUCT(Oxides_max!$C31:$BB31,Factors!$C$14:$BB$14))/2)</f>
        <v>0</v>
      </c>
      <c r="H31" s="20">
        <f>MAX(0,(SUMPRODUCT(Oxides_min!$C31:$BB31,Factors!$C$15:$BB$15)+SUMPRODUCT(Oxides_max!$C31:$BB31,Factors!$C$15:$BB$15))/2)</f>
        <v>0.5689511962118271</v>
      </c>
      <c r="I31" s="20">
        <f>MAX(0,(SUMPRODUCT(Oxides_min!$C31:$BB31,Factors!$C$16:$BB$16)+SUMPRODUCT(Oxides_max!$C31:$BB31,Factors!$C$16:$BB$16))/2)</f>
        <v>22.983089792768133</v>
      </c>
      <c r="J31" s="20">
        <f>MAX(0,(SUMPRODUCT(Oxides_min!$C31:$BB31,Factors!$C$17:$BB$17)+SUMPRODUCT(Oxides_max!$C31:$BB31,Factors!$C$17:$BB$17))/2)</f>
        <v>0</v>
      </c>
      <c r="K31" s="20">
        <f>MAX(0,(SUMPRODUCT(Oxides_min!$C31:$BB31,Factors!$C$18:$BB$18)+SUMPRODUCT(Oxides_max!$C31:$BB31,Factors!$C$18:$BB$18))/2)</f>
        <v>0</v>
      </c>
      <c r="L31" s="20">
        <f>MAX(0,(SUMPRODUCT(Oxides_min!$C31:$BB31,Factors!$C$19:$BB$19)+SUMPRODUCT(Oxides_max!$C31:$BB31,Factors!$C$19:$BB$19))/2)</f>
        <v>0</v>
      </c>
      <c r="M31" s="20">
        <f>MAX(0,(SUMPRODUCT(Oxides_min!$C31:$BB31,Factors!$C$20:$BB$20)+SUMPRODUCT(Oxides_max!$C31:$BB31,Factors!$C$20:$BB$20))/2)</f>
        <v>3.0152094084954346E-2</v>
      </c>
      <c r="N31" s="20">
        <f>MAX(0,(SUMPRODUCT(Oxides_min!$C31:$BB31,Factors!$C$21:$BB$21)+SUMPRODUCT(Oxides_max!$C31:$BB31,Factors!$C$21:$BB$21))/2)</f>
        <v>0.44668491538420385</v>
      </c>
      <c r="O31" s="20">
        <f>MAX(0,(SUMPRODUCT(Oxides_min!$C31:$BB31,Factors!$C$22:$BB$22)+SUMPRODUCT(Oxides_max!$C31:$BB31,Factors!$C$22:$BB$22))/2)</f>
        <v>0</v>
      </c>
      <c r="P31" s="20">
        <f>MAX(0,(SUMPRODUCT(Oxides_min!$C31:$BB31,Factors!$C$23:$BB$23)+SUMPRODUCT(Oxides_max!$C31:$BB31,Factors!$C$23:$BB$23))/2)</f>
        <v>0</v>
      </c>
      <c r="Q31" s="20">
        <f>MAX(0,(SUMPRODUCT(Oxides_min!$C31:$BB31,Factors!$C$24:$BB$24)+SUMPRODUCT(Oxides_max!$C31:$BB31,Factors!$C$24:$BB$24))/2)</f>
        <v>0</v>
      </c>
      <c r="R31" s="20">
        <f>MAX(0,(SUMPRODUCT(Oxides_min!$C31:$BB31,Factors!$C$25:$BB$25)+SUMPRODUCT(Oxides_max!$C31:$BB31,Factors!$C$25:$BB$25))/2)</f>
        <v>9.670174532259896</v>
      </c>
      <c r="S31" s="20">
        <f>MAX(0,(SUMPRODUCT(Oxides_min!$C31:$BB31,Factors!$C$26:$BB$26)+SUMPRODUCT(Oxides_max!$C31:$BB31,Factors!$C$26:$BB$26))/2)</f>
        <v>6.2261347663797456E-2</v>
      </c>
      <c r="T31" s="20">
        <f>MAX(0,(SUMPRODUCT(Oxides_min!$C31:$BB31,Factors!$C$27:$BB$27)+SUMPRODUCT(Oxides_max!$C31:$BB31,Factors!$C$27:$BB$27))/2)</f>
        <v>0</v>
      </c>
      <c r="U31" s="20">
        <f>MAX(0,(SUMPRODUCT(Oxides_min!$C31:$BB31,Factors!$C$28:$BB$28)+SUMPRODUCT(Oxides_max!$C31:$BB31,Factors!$C$28:$BB$28))/2)</f>
        <v>0</v>
      </c>
      <c r="V31" s="20">
        <f>MAX(0,(SUMPRODUCT(Oxides_min!$C31:$BB31,Factors!$C$29:$BB$29)+SUMPRODUCT(Oxides_max!$C31:$BB31,Factors!$C$29:$BB$29))/2)</f>
        <v>0</v>
      </c>
      <c r="W31" s="20">
        <f>MAX(0,(SUMPRODUCT(Oxides_min!$C31:$BB31,Factors!$C$30:$BB$30)+SUMPRODUCT(Oxides_max!$C31:$BB31,Factors!$C$30:$BB$30))/2)</f>
        <v>0</v>
      </c>
      <c r="X31" s="20">
        <f>MAX(0,(SUMPRODUCT(Oxides_min!$C31:$BB31,Factors!$C$31:$BB$31)+SUMPRODUCT(Oxides_max!$C31:$BB31,Factors!$C$31:$BB$31))/2)</f>
        <v>0</v>
      </c>
      <c r="Y31" s="20">
        <f>MAX(0,(SUMPRODUCT(Oxides_min!$C31:$BB31,Factors!$C$32:$BB$32)+SUMPRODUCT(Oxides_max!$C31:$BB31,Factors!$C$32:$BB$32))/2)</f>
        <v>0</v>
      </c>
      <c r="Z31" s="20">
        <f>MAX(0,(SUMPRODUCT(Oxides_min!$C31:$BB31,Factors!$C$33:$BB$33)+SUMPRODUCT(Oxides_max!$C31:$BB31,Factors!$C$33:$BB$33))/2)</f>
        <v>0</v>
      </c>
      <c r="AA31" s="20">
        <f>MAX(0,(SUMPRODUCT(Oxides_min!$C31:$BB31,Factors!$C$34:$BB$34)+SUMPRODUCT(Oxides_max!$C31:$BB31,Factors!$C$34:$BB$34))/2)</f>
        <v>0</v>
      </c>
      <c r="AB31" s="20">
        <f>MAX(0,(SUMPRODUCT(Oxides_min!$C31:$BB31,Factors!$C$35:$BB$35)+SUMPRODUCT(Oxides_max!$C31:$BB31,Factors!$C$35:$BB$35))/2)</f>
        <v>0</v>
      </c>
      <c r="AC31" s="20">
        <f>MAX(0,(SUMPRODUCT(Oxides_min!$C31:$BB31,Factors!$C$36:$BB$36)+SUMPRODUCT(Oxides_max!$C31:$BB31,Factors!$C$36:$BB$36))/2)</f>
        <v>0</v>
      </c>
      <c r="AD31" s="20">
        <f>MAX(0,(SUMPRODUCT(Oxides_min!$C31:$BB31,Factors!$C$37:$BB$37)+SUMPRODUCT(Oxides_max!$C31:$BB31,Factors!$C$37:$BB$37))/2)</f>
        <v>1.6226477935054121E-2</v>
      </c>
      <c r="AE31" s="20">
        <f>MAX(0,(SUMPRODUCT(Oxides_min!$C31:$BB31,Factors!$C$38:$BB$38)+SUMPRODUCT(Oxides_max!$C31:$BB31,Factors!$C$38:$BB$38))/2)</f>
        <v>0</v>
      </c>
      <c r="AF31" s="20">
        <f>MAX(0,(SUMPRODUCT(Oxides_min!$C31:$BB31,Factors!$C$39:$BB$39)+SUMPRODUCT(Oxides_max!$C31:$BB31,Factors!$C$39:$BB$39))/2)</f>
        <v>0</v>
      </c>
      <c r="AG31" s="20">
        <f>MAX(0,(SUMPRODUCT(Oxides_min!$C31:$BB31,Factors!$C$40:$BB$40)+SUMPRODUCT(Oxides_max!$C31:$BB31,Factors!$C$40:$BB$40))/2)</f>
        <v>0</v>
      </c>
      <c r="AH31" s="20">
        <f>MAX(0,(SUMPRODUCT(Oxides_min!$C31:$BB31,Factors!$C$41:$BB$41)+SUMPRODUCT(Oxides_max!$C31:$BB31,Factors!$C$41:$BB$41))/2)</f>
        <v>0</v>
      </c>
      <c r="AI31" s="20">
        <f>MAX(0,(SUMPRODUCT(Oxides_min!$C31:$BB31,Factors!$C$42:$BB$42)+SUMPRODUCT(Oxides_max!$C31:$BB31,Factors!$C$42:$BB$42))/2)</f>
        <v>0</v>
      </c>
      <c r="AJ31" s="20">
        <f>MAX(0,(SUMPRODUCT(Oxides_min!$C31:$BB31,Factors!$C$43:$BB$43)+SUMPRODUCT(Oxides_max!$C31:$BB31,Factors!$C$43:$BB$43))/2)</f>
        <v>0</v>
      </c>
      <c r="AK31" s="20">
        <f>MAX(0,(SUMPRODUCT(Oxides_min!$C31:$BB31,Factors!$C$44:$BB$44)+SUMPRODUCT(Oxides_max!$C31:$BB31,Factors!$C$44:$BB$44))/2)</f>
        <v>0</v>
      </c>
      <c r="AL31" s="20">
        <f>MAX(0,(SUMPRODUCT(Oxides_min!$C31:$BB31,Factors!$C$45:$BB$45)+SUMPRODUCT(Oxides_max!$C31:$BB31,Factors!$C$45:$BB$45))/2)</f>
        <v>0</v>
      </c>
      <c r="AM31" s="20">
        <f>MAX(0,(SUMPRODUCT(Oxides_min!$C31:$BB31,Factors!$C$46:$BB$46)+SUMPRODUCT(Oxides_max!$C31:$BB31,Factors!$C$46:$BB$46))/2)</f>
        <v>0</v>
      </c>
      <c r="AN31" s="20">
        <f>MAX(0,(SUMPRODUCT(Oxides_min!$C31:$BB31,Factors!$C$47:$BB$47)+SUMPRODUCT(Oxides_max!$C31:$BB31,Factors!$C$47:$BB$47))/2)</f>
        <v>0</v>
      </c>
      <c r="AO31" s="20">
        <f>MAX(0,(SUMPRODUCT(Oxides_min!$C31:$BB31,Factors!$C$48:$BB$48)+SUMPRODUCT(Oxides_max!$C31:$BB31,Factors!$C$48:$BB$48))/2)</f>
        <v>0</v>
      </c>
      <c r="AP31" s="20">
        <f>MAX(0,(SUMPRODUCT(Oxides_min!$C31:$BB31,Factors!$C$49:$BB$49)+SUMPRODUCT(Oxides_max!$C31:$BB31,Factors!$C$49:$BB$49))/2)</f>
        <v>0</v>
      </c>
      <c r="AQ31" s="20">
        <f>MAX(0,(SUMPRODUCT(Oxides_min!$C31:$BB31,Factors!$C$50:$BB$50)+SUMPRODUCT(Oxides_max!$C31:$BB31,Factors!$C$50:$BB$50))/2)</f>
        <v>0</v>
      </c>
      <c r="AR31" s="20">
        <f>MAX(0,(SUMPRODUCT(Oxides_min!$C31:$BB31,Factors!$C$51:$BB$51)+SUMPRODUCT(Oxides_max!$C31:$BB31,Factors!$C$51:$BB$51))/2)</f>
        <v>0</v>
      </c>
      <c r="AS31" s="20">
        <f>MAX(0,(SUMPRODUCT(Oxides_min!$C31:$BB31,Factors!$C$52:$BB$52)+SUMPRODUCT(Oxides_max!$C31:$BB31,Factors!$C$52:$BB$52))/2)</f>
        <v>0</v>
      </c>
      <c r="AT31" s="20">
        <f>MAX(0,(SUMPRODUCT(Oxides_min!$C31:$BB31,Factors!$C$53:$BB$53)+SUMPRODUCT(Oxides_max!$C31:$BB31,Factors!$C$53:$BB$53))/2)</f>
        <v>0</v>
      </c>
      <c r="AU31" s="20">
        <f>MAX(0,(SUMPRODUCT(Oxides_min!$C31:$BB31,Factors!$C$54:$BB$54)+SUMPRODUCT(Oxides_max!$C31:$BB31,Factors!$C$54:$BB$54))/2)</f>
        <v>0</v>
      </c>
      <c r="AV31" s="20">
        <f>MAX(0,(SUMPRODUCT(Oxides_min!$C31:$BB31,Factors!$C$55:$BB$55)+SUMPRODUCT(Oxides_max!$C31:$BB31,Factors!$C$55:$BB$55))/2)</f>
        <v>0</v>
      </c>
      <c r="AW31" s="20">
        <f>MAX(0,(SUMPRODUCT(Oxides_min!$C31:$BB31,Factors!$C$56:$BB$56)+SUMPRODUCT(Oxides_max!$C31:$BB31,Factors!$C$56:$BB$56))/2)</f>
        <v>0</v>
      </c>
      <c r="AX31" s="20">
        <f>MAX(0,(SUMPRODUCT(Oxides_min!$C31:$BB31,Factors!$C$57:$BB$57)+SUMPRODUCT(Oxides_max!$C31:$BB31,Factors!$C$57:$BB$57))/2)</f>
        <v>0</v>
      </c>
      <c r="AY31" s="20">
        <f>MAX(0,(SUMPRODUCT(Oxides_min!$C31:$BB31,Factors!$C$58:$BB$58)+SUMPRODUCT(Oxides_max!$C31:$BB31,Factors!$C$58:$BB$58))/2)</f>
        <v>0</v>
      </c>
      <c r="AZ31" s="18">
        <f t="shared" si="2"/>
        <v>99.974999999999994</v>
      </c>
    </row>
    <row r="32" spans="1:52" x14ac:dyDescent="0.35">
      <c r="A32" s="13" t="s">
        <v>338</v>
      </c>
      <c r="B32" s="20">
        <f>MAX(0,(SUMPRODUCT(Oxides_min!$C32:$BB32,Factors!$C$9:$BB$9)+SUMPRODUCT(Oxides_max!$C32:$BB32,Factors!$C$9:$BB$9))/2)</f>
        <v>7.8317565132234908</v>
      </c>
      <c r="C32" s="20">
        <f>MAX(0,(SUMPRODUCT(Oxides_min!$C32:$BB32,Factors!$C$10:$BB$10)+SUMPRODUCT(Oxides_max!$C32:$BB32,Factors!$C$10:$BB$10))/2)</f>
        <v>0</v>
      </c>
      <c r="D32" s="20">
        <f>MAX(0,(SUMPRODUCT(Oxides_min!$C32:$BB32,Factors!$C$11:$BB$11)+SUMPRODUCT(Oxides_max!$C32:$BB32,Factors!$C$11:$BB$11))/2)</f>
        <v>0</v>
      </c>
      <c r="E32" s="20">
        <f>MAX(0,(SUMPRODUCT(Oxides_min!$C32:$BB32,Factors!$C$12:$BB$12)+SUMPRODUCT(Oxides_max!$C32:$BB32,Factors!$C$12:$BB$12))/2)</f>
        <v>0</v>
      </c>
      <c r="F32" s="20">
        <f>MAX(0,(SUMPRODUCT(Oxides_min!$C32:$BB32,Factors!$C$13:$BB$13)+SUMPRODUCT(Oxides_max!$C32:$BB32,Factors!$C$13:$BB$13))/2)</f>
        <v>0</v>
      </c>
      <c r="G32" s="20">
        <f>MAX(0,(SUMPRODUCT(Oxides_min!$C32:$BB32,Factors!$C$14:$BB$14)+SUMPRODUCT(Oxides_max!$C32:$BB32,Factors!$C$14:$BB$14))/2)</f>
        <v>0</v>
      </c>
      <c r="H32" s="20">
        <f>MAX(0,(SUMPRODUCT(Oxides_min!$C32:$BB32,Factors!$C$15:$BB$15)+SUMPRODUCT(Oxides_max!$C32:$BB32,Factors!$C$15:$BB$15))/2)</f>
        <v>12.704812525641778</v>
      </c>
      <c r="I32" s="20">
        <f>MAX(0,(SUMPRODUCT(Oxides_min!$C32:$BB32,Factors!$C$16:$BB$16)+SUMPRODUCT(Oxides_max!$C32:$BB32,Factors!$C$16:$BB$16))/2)</f>
        <v>0</v>
      </c>
      <c r="J32" s="20">
        <f>MAX(0,(SUMPRODUCT(Oxides_min!$C32:$BB32,Factors!$C$17:$BB$17)+SUMPRODUCT(Oxides_max!$C32:$BB32,Factors!$C$17:$BB$17))/2)</f>
        <v>0</v>
      </c>
      <c r="K32" s="20">
        <f>MAX(0,(SUMPRODUCT(Oxides_min!$C32:$BB32,Factors!$C$18:$BB$18)+SUMPRODUCT(Oxides_max!$C32:$BB32,Factors!$C$18:$BB$18))/2)</f>
        <v>0</v>
      </c>
      <c r="L32" s="20">
        <f>MAX(0,(SUMPRODUCT(Oxides_min!$C32:$BB32,Factors!$C$19:$BB$19)+SUMPRODUCT(Oxides_max!$C32:$BB32,Factors!$C$19:$BB$19))/2)</f>
        <v>0</v>
      </c>
      <c r="M32" s="20">
        <f>MAX(0,(SUMPRODUCT(Oxides_min!$C32:$BB32,Factors!$C$20:$BB$20)+SUMPRODUCT(Oxides_max!$C32:$BB32,Factors!$C$20:$BB$20))/2)</f>
        <v>0</v>
      </c>
      <c r="N32" s="20">
        <f>MAX(0,(SUMPRODUCT(Oxides_min!$C32:$BB32,Factors!$C$21:$BB$21)+SUMPRODUCT(Oxides_max!$C32:$BB32,Factors!$C$21:$BB$21))/2)</f>
        <v>17.635120459368366</v>
      </c>
      <c r="O32" s="20">
        <f>MAX(0,(SUMPRODUCT(Oxides_min!$C32:$BB32,Factors!$C$22:$BB$22)+SUMPRODUCT(Oxides_max!$C32:$BB32,Factors!$C$22:$BB$22))/2)</f>
        <v>0</v>
      </c>
      <c r="P32" s="20">
        <f>MAX(0,(SUMPRODUCT(Oxides_min!$C32:$BB32,Factors!$C$23:$BB$23)+SUMPRODUCT(Oxides_max!$C32:$BB32,Factors!$C$23:$BB$23))/2)</f>
        <v>0</v>
      </c>
      <c r="Q32" s="20">
        <f>MAX(0,(SUMPRODUCT(Oxides_min!$C32:$BB32,Factors!$C$24:$BB$24)+SUMPRODUCT(Oxides_max!$C32:$BB32,Factors!$C$24:$BB$24))/2)</f>
        <v>0</v>
      </c>
      <c r="R32" s="20">
        <f>MAX(0,(SUMPRODUCT(Oxides_min!$C32:$BB32,Factors!$C$25:$BB$25)+SUMPRODUCT(Oxides_max!$C32:$BB32,Factors!$C$25:$BB$25))/2)</f>
        <v>10.389780922462588</v>
      </c>
      <c r="S32" s="20">
        <f>MAX(0,(SUMPRODUCT(Oxides_min!$C32:$BB32,Factors!$C$26:$BB$26)+SUMPRODUCT(Oxides_max!$C32:$BB32,Factors!$C$26:$BB$26))/2)</f>
        <v>0</v>
      </c>
      <c r="T32" s="20">
        <f>MAX(0,(SUMPRODUCT(Oxides_min!$C32:$BB32,Factors!$C$27:$BB$27)+SUMPRODUCT(Oxides_max!$C32:$BB32,Factors!$C$27:$BB$27))/2)</f>
        <v>0</v>
      </c>
      <c r="U32" s="20">
        <f>MAX(0,(SUMPRODUCT(Oxides_min!$C32:$BB32,Factors!$C$28:$BB$28)+SUMPRODUCT(Oxides_max!$C32:$BB32,Factors!$C$28:$BB$28))/2)</f>
        <v>0</v>
      </c>
      <c r="V32" s="20">
        <f>MAX(0,(SUMPRODUCT(Oxides_min!$C32:$BB32,Factors!$C$29:$BB$29)+SUMPRODUCT(Oxides_max!$C32:$BB32,Factors!$C$29:$BB$29))/2)</f>
        <v>0</v>
      </c>
      <c r="W32" s="20">
        <f>MAX(0,(SUMPRODUCT(Oxides_min!$C32:$BB32,Factors!$C$30:$BB$30)+SUMPRODUCT(Oxides_max!$C32:$BB32,Factors!$C$30:$BB$30))/2)</f>
        <v>0</v>
      </c>
      <c r="X32" s="20">
        <f>MAX(0,(SUMPRODUCT(Oxides_min!$C32:$BB32,Factors!$C$31:$BB$31)+SUMPRODUCT(Oxides_max!$C32:$BB32,Factors!$C$31:$BB$31))/2)</f>
        <v>0</v>
      </c>
      <c r="Y32" s="20">
        <f>MAX(0,(SUMPRODUCT(Oxides_min!$C32:$BB32,Factors!$C$32:$BB$32)+SUMPRODUCT(Oxides_max!$C32:$BB32,Factors!$C$32:$BB$32))/2)</f>
        <v>0</v>
      </c>
      <c r="Z32" s="20">
        <f>MAX(0,(SUMPRODUCT(Oxides_min!$C32:$BB32,Factors!$C$33:$BB$33)+SUMPRODUCT(Oxides_max!$C32:$BB32,Factors!$C$33:$BB$33))/2)</f>
        <v>0</v>
      </c>
      <c r="AA32" s="20">
        <f>MAX(0,(SUMPRODUCT(Oxides_min!$C32:$BB32,Factors!$C$34:$BB$34)+SUMPRODUCT(Oxides_max!$C32:$BB32,Factors!$C$34:$BB$34))/2)</f>
        <v>0</v>
      </c>
      <c r="AB32" s="20">
        <f>MAX(0,(SUMPRODUCT(Oxides_min!$C32:$BB32,Factors!$C$35:$BB$35)+SUMPRODUCT(Oxides_max!$C32:$BB32,Factors!$C$35:$BB$35))/2)</f>
        <v>0</v>
      </c>
      <c r="AC32" s="20">
        <f>MAX(0,(SUMPRODUCT(Oxides_min!$C32:$BB32,Factors!$C$36:$BB$36)+SUMPRODUCT(Oxides_max!$C32:$BB32,Factors!$C$36:$BB$36))/2)</f>
        <v>0</v>
      </c>
      <c r="AD32" s="20">
        <f>MAX(0,(SUMPRODUCT(Oxides_min!$C32:$BB32,Factors!$C$37:$BB$37)+SUMPRODUCT(Oxides_max!$C32:$BB32,Factors!$C$37:$BB$37))/2)</f>
        <v>0.92490924229808491</v>
      </c>
      <c r="AE32" s="20">
        <f>MAX(0,(SUMPRODUCT(Oxides_min!$C32:$BB32,Factors!$C$38:$BB$38)+SUMPRODUCT(Oxides_max!$C32:$BB32,Factors!$C$38:$BB$38))/2)</f>
        <v>50.975000000000001</v>
      </c>
      <c r="AF32" s="20">
        <f>MAX(0,(SUMPRODUCT(Oxides_min!$C32:$BB32,Factors!$C$39:$BB$39)+SUMPRODUCT(Oxides_max!$C32:$BB32,Factors!$C$39:$BB$39))/2)</f>
        <v>0</v>
      </c>
      <c r="AG32" s="20">
        <f>MAX(0,(SUMPRODUCT(Oxides_min!$C32:$BB32,Factors!$C$40:$BB$40)+SUMPRODUCT(Oxides_max!$C32:$BB32,Factors!$C$40:$BB$40))/2)</f>
        <v>0</v>
      </c>
      <c r="AH32" s="20">
        <f>MAX(0,(SUMPRODUCT(Oxides_min!$C32:$BB32,Factors!$C$41:$BB$41)+SUMPRODUCT(Oxides_max!$C32:$BB32,Factors!$C$41:$BB$41))/2)</f>
        <v>0</v>
      </c>
      <c r="AI32" s="20">
        <f>MAX(0,(SUMPRODUCT(Oxides_min!$C32:$BB32,Factors!$C$42:$BB$42)+SUMPRODUCT(Oxides_max!$C32:$BB32,Factors!$C$42:$BB$42))/2)</f>
        <v>0</v>
      </c>
      <c r="AJ32" s="20">
        <f>MAX(0,(SUMPRODUCT(Oxides_min!$C32:$BB32,Factors!$C$43:$BB$43)+SUMPRODUCT(Oxides_max!$C32:$BB32,Factors!$C$43:$BB$43))/2)</f>
        <v>0</v>
      </c>
      <c r="AK32" s="20">
        <f>MAX(0,(SUMPRODUCT(Oxides_min!$C32:$BB32,Factors!$C$44:$BB$44)+SUMPRODUCT(Oxides_max!$C32:$BB32,Factors!$C$44:$BB$44))/2)</f>
        <v>0</v>
      </c>
      <c r="AL32" s="20">
        <f>MAX(0,(SUMPRODUCT(Oxides_min!$C32:$BB32,Factors!$C$45:$BB$45)+SUMPRODUCT(Oxides_max!$C32:$BB32,Factors!$C$45:$BB$45))/2)</f>
        <v>0</v>
      </c>
      <c r="AM32" s="20">
        <f>MAX(0,(SUMPRODUCT(Oxides_min!$C32:$BB32,Factors!$C$46:$BB$46)+SUMPRODUCT(Oxides_max!$C32:$BB32,Factors!$C$46:$BB$46))/2)</f>
        <v>0</v>
      </c>
      <c r="AN32" s="20">
        <f>MAX(0,(SUMPRODUCT(Oxides_min!$C32:$BB32,Factors!$C$47:$BB$47)+SUMPRODUCT(Oxides_max!$C32:$BB32,Factors!$C$47:$BB$47))/2)</f>
        <v>0</v>
      </c>
      <c r="AO32" s="20">
        <f>MAX(0,(SUMPRODUCT(Oxides_min!$C32:$BB32,Factors!$C$48:$BB$48)+SUMPRODUCT(Oxides_max!$C32:$BB32,Factors!$C$48:$BB$48))/2)</f>
        <v>0</v>
      </c>
      <c r="AP32" s="20">
        <f>MAX(0,(SUMPRODUCT(Oxides_min!$C32:$BB32,Factors!$C$49:$BB$49)+SUMPRODUCT(Oxides_max!$C32:$BB32,Factors!$C$49:$BB$49))/2)</f>
        <v>0</v>
      </c>
      <c r="AQ32" s="20">
        <f>MAX(0,(SUMPRODUCT(Oxides_min!$C32:$BB32,Factors!$C$50:$BB$50)+SUMPRODUCT(Oxides_max!$C32:$BB32,Factors!$C$50:$BB$50))/2)</f>
        <v>0</v>
      </c>
      <c r="AR32" s="20">
        <f>MAX(0,(SUMPRODUCT(Oxides_min!$C32:$BB32,Factors!$C$51:$BB$51)+SUMPRODUCT(Oxides_max!$C32:$BB32,Factors!$C$51:$BB$51))/2)</f>
        <v>0</v>
      </c>
      <c r="AS32" s="20">
        <f>MAX(0,(SUMPRODUCT(Oxides_min!$C32:$BB32,Factors!$C$52:$BB$52)+SUMPRODUCT(Oxides_max!$C32:$BB32,Factors!$C$52:$BB$52))/2)</f>
        <v>0</v>
      </c>
      <c r="AT32" s="20">
        <f>MAX(0,(SUMPRODUCT(Oxides_min!$C32:$BB32,Factors!$C$53:$BB$53)+SUMPRODUCT(Oxides_max!$C32:$BB32,Factors!$C$53:$BB$53))/2)</f>
        <v>0</v>
      </c>
      <c r="AU32" s="20">
        <f>MAX(0,(SUMPRODUCT(Oxides_min!$C32:$BB32,Factors!$C$54:$BB$54)+SUMPRODUCT(Oxides_max!$C32:$BB32,Factors!$C$54:$BB$54))/2)</f>
        <v>0</v>
      </c>
      <c r="AV32" s="20">
        <f>MAX(0,(SUMPRODUCT(Oxides_min!$C32:$BB32,Factors!$C$55:$BB$55)+SUMPRODUCT(Oxides_max!$C32:$BB32,Factors!$C$55:$BB$55))/2)</f>
        <v>0</v>
      </c>
      <c r="AW32" s="20">
        <f>MAX(0,(SUMPRODUCT(Oxides_min!$C32:$BB32,Factors!$C$56:$BB$56)+SUMPRODUCT(Oxides_max!$C32:$BB32,Factors!$C$56:$BB$56))/2)</f>
        <v>0</v>
      </c>
      <c r="AX32" s="20">
        <f>MAX(0,(SUMPRODUCT(Oxides_min!$C32:$BB32,Factors!$C$57:$BB$57)+SUMPRODUCT(Oxides_max!$C32:$BB32,Factors!$C$57:$BB$57))/2)</f>
        <v>0</v>
      </c>
      <c r="AY32" s="20">
        <f>MAX(0,(SUMPRODUCT(Oxides_min!$C32:$BB32,Factors!$C$58:$BB$58)+SUMPRODUCT(Oxides_max!$C32:$BB32,Factors!$C$58:$BB$58))/2)</f>
        <v>0</v>
      </c>
      <c r="AZ32" s="18">
        <f t="shared" si="2"/>
        <v>100.46137966299432</v>
      </c>
    </row>
    <row r="33" spans="1:52" x14ac:dyDescent="0.35">
      <c r="A33" s="13" t="s">
        <v>340</v>
      </c>
      <c r="B33" s="20">
        <f>MAX(0,(SUMPRODUCT(Oxides_min!$C33:$BB33,Factors!$C$9:$BB$9)+SUMPRODUCT(Oxides_max!$C33:$BB33,Factors!$C$9:$BB$9))/2)</f>
        <v>46.142008550489265</v>
      </c>
      <c r="C33" s="20">
        <f>MAX(0,(SUMPRODUCT(Oxides_min!$C33:$BB33,Factors!$C$10:$BB$10)+SUMPRODUCT(Oxides_max!$C33:$BB33,Factors!$C$10:$BB$10))/2)</f>
        <v>30.418444069037832</v>
      </c>
      <c r="D33" s="20">
        <f>MAX(0,(SUMPRODUCT(Oxides_min!$C33:$BB33,Factors!$C$11:$BB$11)+SUMPRODUCT(Oxides_max!$C33:$BB33,Factors!$C$11:$BB$11))/2)</f>
        <v>0</v>
      </c>
      <c r="E33" s="20">
        <f>MAX(0,(SUMPRODUCT(Oxides_min!$C33:$BB33,Factors!$C$12:$BB$12)+SUMPRODUCT(Oxides_max!$C33:$BB33,Factors!$C$12:$BB$12))/2)</f>
        <v>0</v>
      </c>
      <c r="F33" s="20">
        <f>MAX(0,(SUMPRODUCT(Oxides_min!$C33:$BB33,Factors!$C$13:$BB$13)+SUMPRODUCT(Oxides_max!$C33:$BB33,Factors!$C$13:$BB$13))/2)</f>
        <v>0</v>
      </c>
      <c r="G33" s="20">
        <f>MAX(0,(SUMPRODUCT(Oxides_min!$C33:$BB33,Factors!$C$14:$BB$14)+SUMPRODUCT(Oxides_max!$C33:$BB33,Factors!$C$14:$BB$14))/2)</f>
        <v>0</v>
      </c>
      <c r="H33" s="20">
        <f>MAX(0,(SUMPRODUCT(Oxides_min!$C33:$BB33,Factors!$C$15:$BB$15)+SUMPRODUCT(Oxides_max!$C33:$BB33,Factors!$C$15:$BB$15))/2)</f>
        <v>9.7303885975390152</v>
      </c>
      <c r="I33" s="20">
        <f>MAX(0,(SUMPRODUCT(Oxides_min!$C33:$BB33,Factors!$C$16:$BB$16)+SUMPRODUCT(Oxides_max!$C33:$BB33,Factors!$C$16:$BB$16))/2)</f>
        <v>0</v>
      </c>
      <c r="J33" s="20">
        <f>MAX(0,(SUMPRODUCT(Oxides_min!$C33:$BB33,Factors!$C$17:$BB$17)+SUMPRODUCT(Oxides_max!$C33:$BB33,Factors!$C$17:$BB$17))/2)</f>
        <v>0</v>
      </c>
      <c r="K33" s="20">
        <f>MAX(0,(SUMPRODUCT(Oxides_min!$C33:$BB33,Factors!$C$18:$BB$18)+SUMPRODUCT(Oxides_max!$C33:$BB33,Factors!$C$18:$BB$18))/2)</f>
        <v>0</v>
      </c>
      <c r="L33" s="20">
        <f>MAX(0,(SUMPRODUCT(Oxides_min!$C33:$BB33,Factors!$C$19:$BB$19)+SUMPRODUCT(Oxides_max!$C33:$BB33,Factors!$C$19:$BB$19))/2)</f>
        <v>0</v>
      </c>
      <c r="M33" s="20">
        <f>MAX(0,(SUMPRODUCT(Oxides_min!$C33:$BB33,Factors!$C$20:$BB$20)+SUMPRODUCT(Oxides_max!$C33:$BB33,Factors!$C$20:$BB$20))/2)</f>
        <v>0</v>
      </c>
      <c r="N33" s="20">
        <f>MAX(0,(SUMPRODUCT(Oxides_min!$C33:$BB33,Factors!$C$21:$BB$21)+SUMPRODUCT(Oxides_max!$C33:$BB33,Factors!$C$21:$BB$21))/2)</f>
        <v>0</v>
      </c>
      <c r="O33" s="20">
        <f>MAX(0,(SUMPRODUCT(Oxides_min!$C33:$BB33,Factors!$C$22:$BB$22)+SUMPRODUCT(Oxides_max!$C33:$BB33,Factors!$C$22:$BB$22))/2)</f>
        <v>0</v>
      </c>
      <c r="P33" s="20">
        <f>MAX(0,(SUMPRODUCT(Oxides_min!$C33:$BB33,Factors!$C$23:$BB$23)+SUMPRODUCT(Oxides_max!$C33:$BB33,Factors!$C$23:$BB$23))/2)</f>
        <v>8.956537051772042E-3</v>
      </c>
      <c r="Q33" s="20">
        <f>MAX(0,(SUMPRODUCT(Oxides_min!$C33:$BB33,Factors!$C$24:$BB$24)+SUMPRODUCT(Oxides_max!$C33:$BB33,Factors!$C$24:$BB$24))/2)</f>
        <v>0</v>
      </c>
      <c r="R33" s="20">
        <f>MAX(0,(SUMPRODUCT(Oxides_min!$C33:$BB33,Factors!$C$25:$BB$25)+SUMPRODUCT(Oxides_max!$C33:$BB33,Factors!$C$25:$BB$25))/2)</f>
        <v>0.40060561928809701</v>
      </c>
      <c r="S33" s="20">
        <f>MAX(0,(SUMPRODUCT(Oxides_min!$C33:$BB33,Factors!$C$26:$BB$26)+SUMPRODUCT(Oxides_max!$C33:$BB33,Factors!$C$26:$BB$26))/2)</f>
        <v>13.149596626594025</v>
      </c>
      <c r="T33" s="20">
        <f>MAX(0,(SUMPRODUCT(Oxides_min!$C33:$BB33,Factors!$C$27:$BB$27)+SUMPRODUCT(Oxides_max!$C33:$BB33,Factors!$C$27:$BB$27))/2)</f>
        <v>0</v>
      </c>
      <c r="U33" s="20">
        <f>MAX(0,(SUMPRODUCT(Oxides_min!$C33:$BB33,Factors!$C$28:$BB$28)+SUMPRODUCT(Oxides_max!$C33:$BB33,Factors!$C$28:$BB$28))/2)</f>
        <v>0</v>
      </c>
      <c r="V33" s="20">
        <f>MAX(0,(SUMPRODUCT(Oxides_min!$C33:$BB33,Factors!$C$29:$BB$29)+SUMPRODUCT(Oxides_max!$C33:$BB33,Factors!$C$29:$BB$29))/2)</f>
        <v>0</v>
      </c>
      <c r="W33" s="20">
        <f>MAX(0,(SUMPRODUCT(Oxides_min!$C33:$BB33,Factors!$C$30:$BB$30)+SUMPRODUCT(Oxides_max!$C33:$BB33,Factors!$C$30:$BB$30))/2)</f>
        <v>0</v>
      </c>
      <c r="X33" s="20">
        <f>MAX(0,(SUMPRODUCT(Oxides_min!$C33:$BB33,Factors!$C$31:$BB$31)+SUMPRODUCT(Oxides_max!$C33:$BB33,Factors!$C$31:$BB$31))/2)</f>
        <v>0</v>
      </c>
      <c r="Y33" s="20">
        <f>MAX(0,(SUMPRODUCT(Oxides_min!$C33:$BB33,Factors!$C$32:$BB$32)+SUMPRODUCT(Oxides_max!$C33:$BB33,Factors!$C$32:$BB$32))/2)</f>
        <v>0</v>
      </c>
      <c r="Z33" s="20">
        <f>MAX(0,(SUMPRODUCT(Oxides_min!$C33:$BB33,Factors!$C$33:$BB$33)+SUMPRODUCT(Oxides_max!$C33:$BB33,Factors!$C$33:$BB$33))/2)</f>
        <v>0</v>
      </c>
      <c r="AA33" s="20">
        <f>MAX(0,(SUMPRODUCT(Oxides_min!$C33:$BB33,Factors!$C$34:$BB$34)+SUMPRODUCT(Oxides_max!$C33:$BB33,Factors!$C$34:$BB$34))/2)</f>
        <v>0</v>
      </c>
      <c r="AB33" s="20">
        <f>MAX(0,(SUMPRODUCT(Oxides_min!$C33:$BB33,Factors!$C$35:$BB$35)+SUMPRODUCT(Oxides_max!$C33:$BB33,Factors!$C$35:$BB$35))/2)</f>
        <v>0</v>
      </c>
      <c r="AC33" s="20">
        <f>MAX(0,(SUMPRODUCT(Oxides_min!$C33:$BB33,Factors!$C$36:$BB$36)+SUMPRODUCT(Oxides_max!$C33:$BB33,Factors!$C$36:$BB$36))/2)</f>
        <v>0</v>
      </c>
      <c r="AD33" s="20">
        <f>MAX(0,(SUMPRODUCT(Oxides_min!$C33:$BB33,Factors!$C$37:$BB$37)+SUMPRODUCT(Oxides_max!$C33:$BB33,Factors!$C$37:$BB$37))/2)</f>
        <v>0</v>
      </c>
      <c r="AE33" s="20">
        <f>MAX(0,(SUMPRODUCT(Oxides_min!$C33:$BB33,Factors!$C$38:$BB$38)+SUMPRODUCT(Oxides_max!$C33:$BB33,Factors!$C$38:$BB$38))/2)</f>
        <v>0</v>
      </c>
      <c r="AF33" s="20">
        <f>MAX(0,(SUMPRODUCT(Oxides_min!$C33:$BB33,Factors!$C$39:$BB$39)+SUMPRODUCT(Oxides_max!$C33:$BB33,Factors!$C$39:$BB$39))/2)</f>
        <v>0</v>
      </c>
      <c r="AG33" s="20">
        <f>MAX(0,(SUMPRODUCT(Oxides_min!$C33:$BB33,Factors!$C$40:$BB$40)+SUMPRODUCT(Oxides_max!$C33:$BB33,Factors!$C$40:$BB$40))/2)</f>
        <v>0</v>
      </c>
      <c r="AH33" s="20">
        <f>MAX(0,(SUMPRODUCT(Oxides_min!$C33:$BB33,Factors!$C$41:$BB$41)+SUMPRODUCT(Oxides_max!$C33:$BB33,Factors!$C$41:$BB$41))/2)</f>
        <v>0</v>
      </c>
      <c r="AI33" s="20">
        <f>MAX(0,(SUMPRODUCT(Oxides_min!$C33:$BB33,Factors!$C$42:$BB$42)+SUMPRODUCT(Oxides_max!$C33:$BB33,Factors!$C$42:$BB$42))/2)</f>
        <v>0</v>
      </c>
      <c r="AJ33" s="20">
        <f>MAX(0,(SUMPRODUCT(Oxides_min!$C33:$BB33,Factors!$C$43:$BB$43)+SUMPRODUCT(Oxides_max!$C33:$BB33,Factors!$C$43:$BB$43))/2)</f>
        <v>0</v>
      </c>
      <c r="AK33" s="20">
        <f>MAX(0,(SUMPRODUCT(Oxides_min!$C33:$BB33,Factors!$C$44:$BB$44)+SUMPRODUCT(Oxides_max!$C33:$BB33,Factors!$C$44:$BB$44))/2)</f>
        <v>0</v>
      </c>
      <c r="AL33" s="20">
        <f>MAX(0,(SUMPRODUCT(Oxides_min!$C33:$BB33,Factors!$C$45:$BB$45)+SUMPRODUCT(Oxides_max!$C33:$BB33,Factors!$C$45:$BB$45))/2)</f>
        <v>0</v>
      </c>
      <c r="AM33" s="20">
        <f>MAX(0,(SUMPRODUCT(Oxides_min!$C33:$BB33,Factors!$C$46:$BB$46)+SUMPRODUCT(Oxides_max!$C33:$BB33,Factors!$C$46:$BB$46))/2)</f>
        <v>0</v>
      </c>
      <c r="AN33" s="20">
        <f>MAX(0,(SUMPRODUCT(Oxides_min!$C33:$BB33,Factors!$C$47:$BB$47)+SUMPRODUCT(Oxides_max!$C33:$BB33,Factors!$C$47:$BB$47))/2)</f>
        <v>0</v>
      </c>
      <c r="AO33" s="20">
        <f>MAX(0,(SUMPRODUCT(Oxides_min!$C33:$BB33,Factors!$C$48:$BB$48)+SUMPRODUCT(Oxides_max!$C33:$BB33,Factors!$C$48:$BB$48))/2)</f>
        <v>0</v>
      </c>
      <c r="AP33" s="20">
        <f>MAX(0,(SUMPRODUCT(Oxides_min!$C33:$BB33,Factors!$C$49:$BB$49)+SUMPRODUCT(Oxides_max!$C33:$BB33,Factors!$C$49:$BB$49))/2)</f>
        <v>0</v>
      </c>
      <c r="AQ33" s="20">
        <f>MAX(0,(SUMPRODUCT(Oxides_min!$C33:$BB33,Factors!$C$50:$BB$50)+SUMPRODUCT(Oxides_max!$C33:$BB33,Factors!$C$50:$BB$50))/2)</f>
        <v>0</v>
      </c>
      <c r="AR33" s="20">
        <f>MAX(0,(SUMPRODUCT(Oxides_min!$C33:$BB33,Factors!$C$51:$BB$51)+SUMPRODUCT(Oxides_max!$C33:$BB33,Factors!$C$51:$BB$51))/2)</f>
        <v>0</v>
      </c>
      <c r="AS33" s="20">
        <f>MAX(0,(SUMPRODUCT(Oxides_min!$C33:$BB33,Factors!$C$52:$BB$52)+SUMPRODUCT(Oxides_max!$C33:$BB33,Factors!$C$52:$BB$52))/2)</f>
        <v>0</v>
      </c>
      <c r="AT33" s="20">
        <f>MAX(0,(SUMPRODUCT(Oxides_min!$C33:$BB33,Factors!$C$53:$BB$53)+SUMPRODUCT(Oxides_max!$C33:$BB33,Factors!$C$53:$BB$53))/2)</f>
        <v>0</v>
      </c>
      <c r="AU33" s="20">
        <f>MAX(0,(SUMPRODUCT(Oxides_min!$C33:$BB33,Factors!$C$54:$BB$54)+SUMPRODUCT(Oxides_max!$C33:$BB33,Factors!$C$54:$BB$54))/2)</f>
        <v>0</v>
      </c>
      <c r="AV33" s="20">
        <f>MAX(0,(SUMPRODUCT(Oxides_min!$C33:$BB33,Factors!$C$55:$BB$55)+SUMPRODUCT(Oxides_max!$C33:$BB33,Factors!$C$55:$BB$55))/2)</f>
        <v>0</v>
      </c>
      <c r="AW33" s="20">
        <f>MAX(0,(SUMPRODUCT(Oxides_min!$C33:$BB33,Factors!$C$56:$BB$56)+SUMPRODUCT(Oxides_max!$C33:$BB33,Factors!$C$56:$BB$56))/2)</f>
        <v>0</v>
      </c>
      <c r="AX33" s="20">
        <f>MAX(0,(SUMPRODUCT(Oxides_min!$C33:$BB33,Factors!$C$57:$BB$57)+SUMPRODUCT(Oxides_max!$C33:$BB33,Factors!$C$57:$BB$57))/2)</f>
        <v>0</v>
      </c>
      <c r="AY33" s="20">
        <f>MAX(0,(SUMPRODUCT(Oxides_min!$C33:$BB33,Factors!$C$58:$BB$58)+SUMPRODUCT(Oxides_max!$C33:$BB33,Factors!$C$58:$BB$58))/2)</f>
        <v>0</v>
      </c>
      <c r="AZ33" s="18">
        <f t="shared" si="2"/>
        <v>99.850000000000023</v>
      </c>
    </row>
    <row r="34" spans="1:52" x14ac:dyDescent="0.35">
      <c r="A34" s="13" t="s">
        <v>342</v>
      </c>
      <c r="B34" s="20">
        <f>MAX(0,(SUMPRODUCT(Oxides_min!$C34:$BB34,Factors!$C$9:$BB$9)+SUMPRODUCT(Oxides_max!$C34:$BB34,Factors!$C$9:$BB$9))/2)</f>
        <v>30.01913908680833</v>
      </c>
      <c r="C34" s="20">
        <f>MAX(0,(SUMPRODUCT(Oxides_min!$C34:$BB34,Factors!$C$10:$BB$10)+SUMPRODUCT(Oxides_max!$C34:$BB34,Factors!$C$10:$BB$10))/2)</f>
        <v>0</v>
      </c>
      <c r="D34" s="20">
        <f>MAX(0,(SUMPRODUCT(Oxides_min!$C34:$BB34,Factors!$C$11:$BB$11)+SUMPRODUCT(Oxides_max!$C34:$BB34,Factors!$C$11:$BB$11))/2)</f>
        <v>0</v>
      </c>
      <c r="E34" s="20">
        <f>MAX(0,(SUMPRODUCT(Oxides_min!$C34:$BB34,Factors!$C$12:$BB$12)+SUMPRODUCT(Oxides_max!$C34:$BB34,Factors!$C$12:$BB$12))/2)</f>
        <v>0</v>
      </c>
      <c r="F34" s="20">
        <f>MAX(0,(SUMPRODUCT(Oxides_min!$C34:$BB34,Factors!$C$13:$BB$13)+SUMPRODUCT(Oxides_max!$C34:$BB34,Factors!$C$13:$BB$13))/2)</f>
        <v>0</v>
      </c>
      <c r="G34" s="20">
        <f>MAX(0,(SUMPRODUCT(Oxides_min!$C34:$BB34,Factors!$C$14:$BB$14)+SUMPRODUCT(Oxides_max!$C34:$BB34,Factors!$C$14:$BB$14))/2)</f>
        <v>0</v>
      </c>
      <c r="H34" s="20">
        <f>MAX(0,(SUMPRODUCT(Oxides_min!$C34:$BB34,Factors!$C$15:$BB$15)+SUMPRODUCT(Oxides_max!$C34:$BB34,Factors!$C$15:$BB$15))/2)</f>
        <v>0</v>
      </c>
      <c r="I34" s="20">
        <f>MAX(0,(SUMPRODUCT(Oxides_min!$C34:$BB34,Factors!$C$16:$BB$16)+SUMPRODUCT(Oxides_max!$C34:$BB34,Factors!$C$16:$BB$16))/2)</f>
        <v>69.793969949141911</v>
      </c>
      <c r="J34" s="20">
        <f>MAX(0,(SUMPRODUCT(Oxides_min!$C34:$BB34,Factors!$C$17:$BB$17)+SUMPRODUCT(Oxides_max!$C34:$BB34,Factors!$C$17:$BB$17))/2)</f>
        <v>0.3368909640497566</v>
      </c>
      <c r="K34" s="20">
        <f>MAX(0,(SUMPRODUCT(Oxides_min!$C34:$BB34,Factors!$C$18:$BB$18)+SUMPRODUCT(Oxides_max!$C34:$BB34,Factors!$C$18:$BB$18))/2)</f>
        <v>0</v>
      </c>
      <c r="L34" s="20">
        <f>MAX(0,(SUMPRODUCT(Oxides_min!$C34:$BB34,Factors!$C$19:$BB$19)+SUMPRODUCT(Oxides_max!$C34:$BB34,Factors!$C$19:$BB$19))/2)</f>
        <v>0</v>
      </c>
      <c r="M34" s="20">
        <f>MAX(0,(SUMPRODUCT(Oxides_min!$C34:$BB34,Factors!$C$20:$BB$20)+SUMPRODUCT(Oxides_max!$C34:$BB34,Factors!$C$20:$BB$20))/2)</f>
        <v>0</v>
      </c>
      <c r="N34" s="20">
        <f>MAX(0,(SUMPRODUCT(Oxides_min!$C34:$BB34,Factors!$C$21:$BB$21)+SUMPRODUCT(Oxides_max!$C34:$BB34,Factors!$C$21:$BB$21))/2)</f>
        <v>0</v>
      </c>
      <c r="O34" s="20">
        <f>MAX(0,(SUMPRODUCT(Oxides_min!$C34:$BB34,Factors!$C$22:$BB$22)+SUMPRODUCT(Oxides_max!$C34:$BB34,Factors!$C$22:$BB$22))/2)</f>
        <v>0</v>
      </c>
      <c r="P34" s="20">
        <f>MAX(0,(SUMPRODUCT(Oxides_min!$C34:$BB34,Factors!$C$23:$BB$23)+SUMPRODUCT(Oxides_max!$C34:$BB34,Factors!$C$23:$BB$23))/2)</f>
        <v>0</v>
      </c>
      <c r="Q34" s="20">
        <f>MAX(0,(SUMPRODUCT(Oxides_min!$C34:$BB34,Factors!$C$24:$BB$24)+SUMPRODUCT(Oxides_max!$C34:$BB34,Factors!$C$24:$BB$24))/2)</f>
        <v>0</v>
      </c>
      <c r="R34" s="20">
        <f>MAX(0,(SUMPRODUCT(Oxides_min!$C34:$BB34,Factors!$C$25:$BB$25)+SUMPRODUCT(Oxides_max!$C34:$BB34,Factors!$C$25:$BB$25))/2)</f>
        <v>0</v>
      </c>
      <c r="S34" s="20">
        <f>MAX(0,(SUMPRODUCT(Oxides_min!$C34:$BB34,Factors!$C$26:$BB$26)+SUMPRODUCT(Oxides_max!$C34:$BB34,Factors!$C$26:$BB$26))/2)</f>
        <v>0</v>
      </c>
      <c r="T34" s="20">
        <f>MAX(0,(SUMPRODUCT(Oxides_min!$C34:$BB34,Factors!$C$27:$BB$27)+SUMPRODUCT(Oxides_max!$C34:$BB34,Factors!$C$27:$BB$27))/2)</f>
        <v>0</v>
      </c>
      <c r="U34" s="20">
        <f>MAX(0,(SUMPRODUCT(Oxides_min!$C34:$BB34,Factors!$C$28:$BB$28)+SUMPRODUCT(Oxides_max!$C34:$BB34,Factors!$C$28:$BB$28))/2)</f>
        <v>0</v>
      </c>
      <c r="V34" s="20">
        <f>MAX(0,(SUMPRODUCT(Oxides_min!$C34:$BB34,Factors!$C$29:$BB$29)+SUMPRODUCT(Oxides_max!$C34:$BB34,Factors!$C$29:$BB$29))/2)</f>
        <v>0</v>
      </c>
      <c r="W34" s="20">
        <f>MAX(0,(SUMPRODUCT(Oxides_min!$C34:$BB34,Factors!$C$30:$BB$30)+SUMPRODUCT(Oxides_max!$C34:$BB34,Factors!$C$30:$BB$30))/2)</f>
        <v>0</v>
      </c>
      <c r="X34" s="20">
        <f>MAX(0,(SUMPRODUCT(Oxides_min!$C34:$BB34,Factors!$C$31:$BB$31)+SUMPRODUCT(Oxides_max!$C34:$BB34,Factors!$C$31:$BB$31))/2)</f>
        <v>0</v>
      </c>
      <c r="Y34" s="20">
        <f>MAX(0,(SUMPRODUCT(Oxides_min!$C34:$BB34,Factors!$C$32:$BB$32)+SUMPRODUCT(Oxides_max!$C34:$BB34,Factors!$C$32:$BB$32))/2)</f>
        <v>0</v>
      </c>
      <c r="Z34" s="20">
        <f>MAX(0,(SUMPRODUCT(Oxides_min!$C34:$BB34,Factors!$C$33:$BB$33)+SUMPRODUCT(Oxides_max!$C34:$BB34,Factors!$C$33:$BB$33))/2)</f>
        <v>0</v>
      </c>
      <c r="AA34" s="20">
        <f>MAX(0,(SUMPRODUCT(Oxides_min!$C34:$BB34,Factors!$C$34:$BB$34)+SUMPRODUCT(Oxides_max!$C34:$BB34,Factors!$C$34:$BB$34))/2)</f>
        <v>0</v>
      </c>
      <c r="AB34" s="20">
        <f>MAX(0,(SUMPRODUCT(Oxides_min!$C34:$BB34,Factors!$C$35:$BB$35)+SUMPRODUCT(Oxides_max!$C34:$BB34,Factors!$C$35:$BB$35))/2)</f>
        <v>0</v>
      </c>
      <c r="AC34" s="20">
        <f>MAX(0,(SUMPRODUCT(Oxides_min!$C34:$BB34,Factors!$C$36:$BB$36)+SUMPRODUCT(Oxides_max!$C34:$BB34,Factors!$C$36:$BB$36))/2)</f>
        <v>0</v>
      </c>
      <c r="AD34" s="20">
        <f>MAX(0,(SUMPRODUCT(Oxides_min!$C34:$BB34,Factors!$C$37:$BB$37)+SUMPRODUCT(Oxides_max!$C34:$BB34,Factors!$C$37:$BB$37))/2)</f>
        <v>0</v>
      </c>
      <c r="AE34" s="20">
        <f>MAX(0,(SUMPRODUCT(Oxides_min!$C34:$BB34,Factors!$C$38:$BB$38)+SUMPRODUCT(Oxides_max!$C34:$BB34,Factors!$C$38:$BB$38))/2)</f>
        <v>0</v>
      </c>
      <c r="AF34" s="20">
        <f>MAX(0,(SUMPRODUCT(Oxides_min!$C34:$BB34,Factors!$C$39:$BB$39)+SUMPRODUCT(Oxides_max!$C34:$BB34,Factors!$C$39:$BB$39))/2)</f>
        <v>0</v>
      </c>
      <c r="AG34" s="20">
        <f>MAX(0,(SUMPRODUCT(Oxides_min!$C34:$BB34,Factors!$C$40:$BB$40)+SUMPRODUCT(Oxides_max!$C34:$BB34,Factors!$C$40:$BB$40))/2)</f>
        <v>0</v>
      </c>
      <c r="AH34" s="20">
        <f>MAX(0,(SUMPRODUCT(Oxides_min!$C34:$BB34,Factors!$C$41:$BB$41)+SUMPRODUCT(Oxides_max!$C34:$BB34,Factors!$C$41:$BB$41))/2)</f>
        <v>0</v>
      </c>
      <c r="AI34" s="20">
        <f>MAX(0,(SUMPRODUCT(Oxides_min!$C34:$BB34,Factors!$C$42:$BB$42)+SUMPRODUCT(Oxides_max!$C34:$BB34,Factors!$C$42:$BB$42))/2)</f>
        <v>0</v>
      </c>
      <c r="AJ34" s="20">
        <f>MAX(0,(SUMPRODUCT(Oxides_min!$C34:$BB34,Factors!$C$43:$BB$43)+SUMPRODUCT(Oxides_max!$C34:$BB34,Factors!$C$43:$BB$43))/2)</f>
        <v>0</v>
      </c>
      <c r="AK34" s="20">
        <f>MAX(0,(SUMPRODUCT(Oxides_min!$C34:$BB34,Factors!$C$44:$BB$44)+SUMPRODUCT(Oxides_max!$C34:$BB34,Factors!$C$44:$BB$44))/2)</f>
        <v>0</v>
      </c>
      <c r="AL34" s="20">
        <f>MAX(0,(SUMPRODUCT(Oxides_min!$C34:$BB34,Factors!$C$45:$BB$45)+SUMPRODUCT(Oxides_max!$C34:$BB34,Factors!$C$45:$BB$45))/2)</f>
        <v>0</v>
      </c>
      <c r="AM34" s="20">
        <f>MAX(0,(SUMPRODUCT(Oxides_min!$C34:$BB34,Factors!$C$46:$BB$46)+SUMPRODUCT(Oxides_max!$C34:$BB34,Factors!$C$46:$BB$46))/2)</f>
        <v>0</v>
      </c>
      <c r="AN34" s="20">
        <f>MAX(0,(SUMPRODUCT(Oxides_min!$C34:$BB34,Factors!$C$47:$BB$47)+SUMPRODUCT(Oxides_max!$C34:$BB34,Factors!$C$47:$BB$47))/2)</f>
        <v>0</v>
      </c>
      <c r="AO34" s="20">
        <f>MAX(0,(SUMPRODUCT(Oxides_min!$C34:$BB34,Factors!$C$48:$BB$48)+SUMPRODUCT(Oxides_max!$C34:$BB34,Factors!$C$48:$BB$48))/2)</f>
        <v>0</v>
      </c>
      <c r="AP34" s="20">
        <f>MAX(0,(SUMPRODUCT(Oxides_min!$C34:$BB34,Factors!$C$49:$BB$49)+SUMPRODUCT(Oxides_max!$C34:$BB34,Factors!$C$49:$BB$49))/2)</f>
        <v>0</v>
      </c>
      <c r="AQ34" s="20">
        <f>MAX(0,(SUMPRODUCT(Oxides_min!$C34:$BB34,Factors!$C$50:$BB$50)+SUMPRODUCT(Oxides_max!$C34:$BB34,Factors!$C$50:$BB$50))/2)</f>
        <v>0</v>
      </c>
      <c r="AR34" s="20">
        <f>MAX(0,(SUMPRODUCT(Oxides_min!$C34:$BB34,Factors!$C$51:$BB$51)+SUMPRODUCT(Oxides_max!$C34:$BB34,Factors!$C$51:$BB$51))/2)</f>
        <v>0</v>
      </c>
      <c r="AS34" s="20">
        <f>MAX(0,(SUMPRODUCT(Oxides_min!$C34:$BB34,Factors!$C$52:$BB$52)+SUMPRODUCT(Oxides_max!$C34:$BB34,Factors!$C$52:$BB$52))/2)</f>
        <v>0</v>
      </c>
      <c r="AT34" s="20">
        <f>MAX(0,(SUMPRODUCT(Oxides_min!$C34:$BB34,Factors!$C$53:$BB$53)+SUMPRODUCT(Oxides_max!$C34:$BB34,Factors!$C$53:$BB$53))/2)</f>
        <v>0</v>
      </c>
      <c r="AU34" s="20">
        <f>MAX(0,(SUMPRODUCT(Oxides_min!$C34:$BB34,Factors!$C$54:$BB$54)+SUMPRODUCT(Oxides_max!$C34:$BB34,Factors!$C$54:$BB$54))/2)</f>
        <v>0</v>
      </c>
      <c r="AV34" s="20">
        <f>MAX(0,(SUMPRODUCT(Oxides_min!$C34:$BB34,Factors!$C$55:$BB$55)+SUMPRODUCT(Oxides_max!$C34:$BB34,Factors!$C$55:$BB$55))/2)</f>
        <v>0</v>
      </c>
      <c r="AW34" s="20">
        <f>MAX(0,(SUMPRODUCT(Oxides_min!$C34:$BB34,Factors!$C$56:$BB$56)+SUMPRODUCT(Oxides_max!$C34:$BB34,Factors!$C$56:$BB$56))/2)</f>
        <v>0</v>
      </c>
      <c r="AX34" s="20">
        <f>MAX(0,(SUMPRODUCT(Oxides_min!$C34:$BB34,Factors!$C$57:$BB$57)+SUMPRODUCT(Oxides_max!$C34:$BB34,Factors!$C$57:$BB$57))/2)</f>
        <v>0</v>
      </c>
      <c r="AY34" s="20">
        <f>MAX(0,(SUMPRODUCT(Oxides_min!$C34:$BB34,Factors!$C$58:$BB$58)+SUMPRODUCT(Oxides_max!$C34:$BB34,Factors!$C$58:$BB$58))/2)</f>
        <v>0</v>
      </c>
      <c r="AZ34" s="18">
        <f t="shared" si="2"/>
        <v>100.15</v>
      </c>
    </row>
    <row r="35" spans="1:52" x14ac:dyDescent="0.35">
      <c r="A35" s="13" t="s">
        <v>344</v>
      </c>
      <c r="B35" s="20">
        <f>MAX(0,(SUMPRODUCT(Oxides_min!$C35:$BB35,Factors!$C$9:$BB$9)+SUMPRODUCT(Oxides_max!$C35:$BB35,Factors!$C$9:$BB$9))/2)</f>
        <v>27.608220224452708</v>
      </c>
      <c r="C35" s="20">
        <f>MAX(0,(SUMPRODUCT(Oxides_min!$C35:$BB35,Factors!$C$10:$BB$10)+SUMPRODUCT(Oxides_max!$C35:$BB35,Factors!$C$10:$BB$10))/2)</f>
        <v>6.3103956193931734E-2</v>
      </c>
      <c r="D35" s="20">
        <f>MAX(0,(SUMPRODUCT(Oxides_min!$C35:$BB35,Factors!$C$11:$BB$11)+SUMPRODUCT(Oxides_max!$C35:$BB35,Factors!$C$11:$BB$11))/2)</f>
        <v>8.6905590684279721E-2</v>
      </c>
      <c r="E35" s="20">
        <f>MAX(0,(SUMPRODUCT(Oxides_min!$C35:$BB35,Factors!$C$12:$BB$12)+SUMPRODUCT(Oxides_max!$C35:$BB35,Factors!$C$12:$BB$12))/2)</f>
        <v>0</v>
      </c>
      <c r="F35" s="20">
        <f>MAX(0,(SUMPRODUCT(Oxides_min!$C35:$BB35,Factors!$C$13:$BB$13)+SUMPRODUCT(Oxides_max!$C35:$BB35,Factors!$C$13:$BB$13))/2)</f>
        <v>0</v>
      </c>
      <c r="G35" s="20">
        <f>MAX(0,(SUMPRODUCT(Oxides_min!$C35:$BB35,Factors!$C$14:$BB$14)+SUMPRODUCT(Oxides_max!$C35:$BB35,Factors!$C$14:$BB$14))/2)</f>
        <v>0</v>
      </c>
      <c r="H35" s="20">
        <f>MAX(0,(SUMPRODUCT(Oxides_min!$C35:$BB35,Factors!$C$15:$BB$15)+SUMPRODUCT(Oxides_max!$C35:$BB35,Factors!$C$15:$BB$15))/2)</f>
        <v>0.11643652387590882</v>
      </c>
      <c r="I35" s="20">
        <f>MAX(0,(SUMPRODUCT(Oxides_min!$C35:$BB35,Factors!$C$16:$BB$16)+SUMPRODUCT(Oxides_max!$C35:$BB35,Factors!$C$16:$BB$16))/2)</f>
        <v>71.699452496591718</v>
      </c>
      <c r="J35" s="20">
        <f>MAX(0,(SUMPRODUCT(Oxides_min!$C35:$BB35,Factors!$C$17:$BB$17)+SUMPRODUCT(Oxides_max!$C35:$BB35,Factors!$C$17:$BB$17))/2)</f>
        <v>3.4850789384457577E-2</v>
      </c>
      <c r="K35" s="20">
        <f>MAX(0,(SUMPRODUCT(Oxides_min!$C35:$BB35,Factors!$C$18:$BB$18)+SUMPRODUCT(Oxides_max!$C35:$BB35,Factors!$C$18:$BB$18))/2)</f>
        <v>0</v>
      </c>
      <c r="L35" s="20">
        <f>MAX(0,(SUMPRODUCT(Oxides_min!$C35:$BB35,Factors!$C$19:$BB$19)+SUMPRODUCT(Oxides_max!$C35:$BB35,Factors!$C$19:$BB$19))/2)</f>
        <v>0</v>
      </c>
      <c r="M35" s="20">
        <f>MAX(0,(SUMPRODUCT(Oxides_min!$C35:$BB35,Factors!$C$20:$BB$20)+SUMPRODUCT(Oxides_max!$C35:$BB35,Factors!$C$20:$BB$20))/2)</f>
        <v>6.0304188169908691E-3</v>
      </c>
      <c r="N35" s="20">
        <f>MAX(0,(SUMPRODUCT(Oxides_min!$C35:$BB35,Factors!$C$21:$BB$21)+SUMPRODUCT(Oxides_max!$C35:$BB35,Factors!$C$21:$BB$21))/2)</f>
        <v>0</v>
      </c>
      <c r="O35" s="20">
        <f>MAX(0,(SUMPRODUCT(Oxides_min!$C35:$BB35,Factors!$C$22:$BB$22)+SUMPRODUCT(Oxides_max!$C35:$BB35,Factors!$C$22:$BB$22))/2)</f>
        <v>0</v>
      </c>
      <c r="P35" s="20">
        <f>MAX(0,(SUMPRODUCT(Oxides_min!$C35:$BB35,Factors!$C$23:$BB$23)+SUMPRODUCT(Oxides_max!$C35:$BB35,Factors!$C$23:$BB$23))/2)</f>
        <v>0</v>
      </c>
      <c r="Q35" s="20">
        <f>MAX(0,(SUMPRODUCT(Oxides_min!$C35:$BB35,Factors!$C$24:$BB$24)+SUMPRODUCT(Oxides_max!$C35:$BB35,Factors!$C$24:$BB$24))/2)</f>
        <v>0</v>
      </c>
      <c r="R35" s="20">
        <f>MAX(0,(SUMPRODUCT(Oxides_min!$C35:$BB35,Factors!$C$25:$BB$25)+SUMPRODUCT(Oxides_max!$C35:$BB35,Factors!$C$25:$BB$25))/2)</f>
        <v>0</v>
      </c>
      <c r="S35" s="20">
        <f>MAX(0,(SUMPRODUCT(Oxides_min!$C35:$BB35,Factors!$C$26:$BB$26)+SUMPRODUCT(Oxides_max!$C35:$BB35,Factors!$C$26:$BB$26))/2)</f>
        <v>0</v>
      </c>
      <c r="T35" s="20">
        <f>MAX(0,(SUMPRODUCT(Oxides_min!$C35:$BB35,Factors!$C$27:$BB$27)+SUMPRODUCT(Oxides_max!$C35:$BB35,Factors!$C$27:$BB$27))/2)</f>
        <v>0</v>
      </c>
      <c r="U35" s="20">
        <f>MAX(0,(SUMPRODUCT(Oxides_min!$C35:$BB35,Factors!$C$28:$BB$28)+SUMPRODUCT(Oxides_max!$C35:$BB35,Factors!$C$28:$BB$28))/2)</f>
        <v>0</v>
      </c>
      <c r="V35" s="20">
        <f>MAX(0,(SUMPRODUCT(Oxides_min!$C35:$BB35,Factors!$C$29:$BB$29)+SUMPRODUCT(Oxides_max!$C35:$BB35,Factors!$C$29:$BB$29))/2)</f>
        <v>0</v>
      </c>
      <c r="W35" s="20">
        <f>MAX(0,(SUMPRODUCT(Oxides_min!$C35:$BB35,Factors!$C$30:$BB$30)+SUMPRODUCT(Oxides_max!$C35:$BB35,Factors!$C$30:$BB$30))/2)</f>
        <v>0</v>
      </c>
      <c r="X35" s="20">
        <f>MAX(0,(SUMPRODUCT(Oxides_min!$C35:$BB35,Factors!$C$31:$BB$31)+SUMPRODUCT(Oxides_max!$C35:$BB35,Factors!$C$31:$BB$31))/2)</f>
        <v>0</v>
      </c>
      <c r="Y35" s="20">
        <f>MAX(0,(SUMPRODUCT(Oxides_min!$C35:$BB35,Factors!$C$32:$BB$32)+SUMPRODUCT(Oxides_max!$C35:$BB35,Factors!$C$32:$BB$32))/2)</f>
        <v>0</v>
      </c>
      <c r="Z35" s="20">
        <f>MAX(0,(SUMPRODUCT(Oxides_min!$C35:$BB35,Factors!$C$33:$BB$33)+SUMPRODUCT(Oxides_max!$C35:$BB35,Factors!$C$33:$BB$33))/2)</f>
        <v>0</v>
      </c>
      <c r="AA35" s="20">
        <f>MAX(0,(SUMPRODUCT(Oxides_min!$C35:$BB35,Factors!$C$34:$BB$34)+SUMPRODUCT(Oxides_max!$C35:$BB35,Factors!$C$34:$BB$34))/2)</f>
        <v>0</v>
      </c>
      <c r="AB35" s="20">
        <f>MAX(0,(SUMPRODUCT(Oxides_min!$C35:$BB35,Factors!$C$35:$BB$35)+SUMPRODUCT(Oxides_max!$C35:$BB35,Factors!$C$35:$BB$35))/2)</f>
        <v>0</v>
      </c>
      <c r="AC35" s="20">
        <f>MAX(0,(SUMPRODUCT(Oxides_min!$C35:$BB35,Factors!$C$36:$BB$36)+SUMPRODUCT(Oxides_max!$C35:$BB35,Factors!$C$36:$BB$36))/2)</f>
        <v>0</v>
      </c>
      <c r="AD35" s="20">
        <f>MAX(0,(SUMPRODUCT(Oxides_min!$C35:$BB35,Factors!$C$37:$BB$37)+SUMPRODUCT(Oxides_max!$C35:$BB35,Factors!$C$37:$BB$37))/2)</f>
        <v>0</v>
      </c>
      <c r="AE35" s="20">
        <f>MAX(0,(SUMPRODUCT(Oxides_min!$C35:$BB35,Factors!$C$38:$BB$38)+SUMPRODUCT(Oxides_max!$C35:$BB35,Factors!$C$38:$BB$38))/2)</f>
        <v>0</v>
      </c>
      <c r="AF35" s="20">
        <f>MAX(0,(SUMPRODUCT(Oxides_min!$C35:$BB35,Factors!$C$39:$BB$39)+SUMPRODUCT(Oxides_max!$C35:$BB35,Factors!$C$39:$BB$39))/2)</f>
        <v>0</v>
      </c>
      <c r="AG35" s="20">
        <f>MAX(0,(SUMPRODUCT(Oxides_min!$C35:$BB35,Factors!$C$40:$BB$40)+SUMPRODUCT(Oxides_max!$C35:$BB35,Factors!$C$40:$BB$40))/2)</f>
        <v>0</v>
      </c>
      <c r="AH35" s="20">
        <f>MAX(0,(SUMPRODUCT(Oxides_min!$C35:$BB35,Factors!$C$41:$BB$41)+SUMPRODUCT(Oxides_max!$C35:$BB35,Factors!$C$41:$BB$41))/2)</f>
        <v>0</v>
      </c>
      <c r="AI35" s="20">
        <f>MAX(0,(SUMPRODUCT(Oxides_min!$C35:$BB35,Factors!$C$42:$BB$42)+SUMPRODUCT(Oxides_max!$C35:$BB35,Factors!$C$42:$BB$42))/2)</f>
        <v>0</v>
      </c>
      <c r="AJ35" s="20">
        <f>MAX(0,(SUMPRODUCT(Oxides_min!$C35:$BB35,Factors!$C$43:$BB$43)+SUMPRODUCT(Oxides_max!$C35:$BB35,Factors!$C$43:$BB$43))/2)</f>
        <v>0</v>
      </c>
      <c r="AK35" s="20">
        <f>MAX(0,(SUMPRODUCT(Oxides_min!$C35:$BB35,Factors!$C$44:$BB$44)+SUMPRODUCT(Oxides_max!$C35:$BB35,Factors!$C$44:$BB$44))/2)</f>
        <v>0</v>
      </c>
      <c r="AL35" s="20">
        <f>MAX(0,(SUMPRODUCT(Oxides_min!$C35:$BB35,Factors!$C$45:$BB$45)+SUMPRODUCT(Oxides_max!$C35:$BB35,Factors!$C$45:$BB$45))/2)</f>
        <v>0</v>
      </c>
      <c r="AM35" s="20">
        <f>MAX(0,(SUMPRODUCT(Oxides_min!$C35:$BB35,Factors!$C$46:$BB$46)+SUMPRODUCT(Oxides_max!$C35:$BB35,Factors!$C$46:$BB$46))/2)</f>
        <v>0</v>
      </c>
      <c r="AN35" s="20">
        <f>MAX(0,(SUMPRODUCT(Oxides_min!$C35:$BB35,Factors!$C$47:$BB$47)+SUMPRODUCT(Oxides_max!$C35:$BB35,Factors!$C$47:$BB$47))/2)</f>
        <v>0</v>
      </c>
      <c r="AO35" s="20">
        <f>MAX(0,(SUMPRODUCT(Oxides_min!$C35:$BB35,Factors!$C$48:$BB$48)+SUMPRODUCT(Oxides_max!$C35:$BB35,Factors!$C$48:$BB$48))/2)</f>
        <v>0</v>
      </c>
      <c r="AP35" s="20">
        <f>MAX(0,(SUMPRODUCT(Oxides_min!$C35:$BB35,Factors!$C$49:$BB$49)+SUMPRODUCT(Oxides_max!$C35:$BB35,Factors!$C$49:$BB$49))/2)</f>
        <v>0</v>
      </c>
      <c r="AQ35" s="20">
        <f>MAX(0,(SUMPRODUCT(Oxides_min!$C35:$BB35,Factors!$C$50:$BB$50)+SUMPRODUCT(Oxides_max!$C35:$BB35,Factors!$C$50:$BB$50))/2)</f>
        <v>0</v>
      </c>
      <c r="AR35" s="20">
        <f>MAX(0,(SUMPRODUCT(Oxides_min!$C35:$BB35,Factors!$C$51:$BB$51)+SUMPRODUCT(Oxides_max!$C35:$BB35,Factors!$C$51:$BB$51))/2)</f>
        <v>0</v>
      </c>
      <c r="AS35" s="20">
        <f>MAX(0,(SUMPRODUCT(Oxides_min!$C35:$BB35,Factors!$C$52:$BB$52)+SUMPRODUCT(Oxides_max!$C35:$BB35,Factors!$C$52:$BB$52))/2)</f>
        <v>0</v>
      </c>
      <c r="AT35" s="20">
        <f>MAX(0,(SUMPRODUCT(Oxides_min!$C35:$BB35,Factors!$C$53:$BB$53)+SUMPRODUCT(Oxides_max!$C35:$BB35,Factors!$C$53:$BB$53))/2)</f>
        <v>0</v>
      </c>
      <c r="AU35" s="20">
        <f>MAX(0,(SUMPRODUCT(Oxides_min!$C35:$BB35,Factors!$C$54:$BB$54)+SUMPRODUCT(Oxides_max!$C35:$BB35,Factors!$C$54:$BB$54))/2)</f>
        <v>0</v>
      </c>
      <c r="AV35" s="20">
        <f>MAX(0,(SUMPRODUCT(Oxides_min!$C35:$BB35,Factors!$C$55:$BB$55)+SUMPRODUCT(Oxides_max!$C35:$BB35,Factors!$C$55:$BB$55))/2)</f>
        <v>0</v>
      </c>
      <c r="AW35" s="20">
        <f>MAX(0,(SUMPRODUCT(Oxides_min!$C35:$BB35,Factors!$C$56:$BB$56)+SUMPRODUCT(Oxides_max!$C35:$BB35,Factors!$C$56:$BB$56))/2)</f>
        <v>0</v>
      </c>
      <c r="AX35" s="20">
        <f>MAX(0,(SUMPRODUCT(Oxides_min!$C35:$BB35,Factors!$C$57:$BB$57)+SUMPRODUCT(Oxides_max!$C35:$BB35,Factors!$C$57:$BB$57))/2)</f>
        <v>0</v>
      </c>
      <c r="AY35" s="20">
        <f>MAX(0,(SUMPRODUCT(Oxides_min!$C35:$BB35,Factors!$C$58:$BB$58)+SUMPRODUCT(Oxides_max!$C35:$BB35,Factors!$C$58:$BB$58))/2)</f>
        <v>0</v>
      </c>
      <c r="AZ35" s="18">
        <f t="shared" si="2"/>
        <v>99.614999999999995</v>
      </c>
    </row>
    <row r="36" spans="1:52" x14ac:dyDescent="0.35">
      <c r="A36" s="13" t="s">
        <v>346</v>
      </c>
      <c r="B36" s="20">
        <f>MAX(0,(SUMPRODUCT(Oxides_min!$C36:$BB36,Factors!$C$9:$BB$9)+SUMPRODUCT(Oxides_max!$C36:$BB36,Factors!$C$9:$BB$9))/2)</f>
        <v>19.909269763128144</v>
      </c>
      <c r="C36" s="20">
        <f>MAX(0,(SUMPRODUCT(Oxides_min!$C36:$BB36,Factors!$C$10:$BB$10)+SUMPRODUCT(Oxides_max!$C36:$BB36,Factors!$C$10:$BB$10))/2)</f>
        <v>8.1824796531464816</v>
      </c>
      <c r="D36" s="20">
        <f>MAX(0,(SUMPRODUCT(Oxides_min!$C36:$BB36,Factors!$C$11:$BB$11)+SUMPRODUCT(Oxides_max!$C36:$BB36,Factors!$C$11:$BB$11))/2)</f>
        <v>2.9967445063544734E-2</v>
      </c>
      <c r="E36" s="20">
        <f>MAX(0,(SUMPRODUCT(Oxides_min!$C36:$BB36,Factors!$C$12:$BB$12)+SUMPRODUCT(Oxides_max!$C36:$BB36,Factors!$C$12:$BB$12))/2)</f>
        <v>0</v>
      </c>
      <c r="F36" s="20">
        <f>MAX(0,(SUMPRODUCT(Oxides_min!$C36:$BB36,Factors!$C$13:$BB$13)+SUMPRODUCT(Oxides_max!$C36:$BB36,Factors!$C$13:$BB$13))/2)</f>
        <v>0</v>
      </c>
      <c r="G36" s="20">
        <f>MAX(0,(SUMPRODUCT(Oxides_min!$C36:$BB36,Factors!$C$14:$BB$14)+SUMPRODUCT(Oxides_max!$C36:$BB36,Factors!$C$14:$BB$14))/2)</f>
        <v>0</v>
      </c>
      <c r="H36" s="20">
        <f>MAX(0,(SUMPRODUCT(Oxides_min!$C36:$BB36,Factors!$C$15:$BB$15)+SUMPRODUCT(Oxides_max!$C36:$BB36,Factors!$C$15:$BB$15))/2)</f>
        <v>0.34137071772709632</v>
      </c>
      <c r="I36" s="20">
        <f>MAX(0,(SUMPRODUCT(Oxides_min!$C36:$BB36,Factors!$C$16:$BB$16)+SUMPRODUCT(Oxides_max!$C36:$BB36,Factors!$C$16:$BB$16))/2)</f>
        <v>0.22930620511107397</v>
      </c>
      <c r="J36" s="20">
        <f>MAX(0,(SUMPRODUCT(Oxides_min!$C36:$BB36,Factors!$C$17:$BB$17)+SUMPRODUCT(Oxides_max!$C36:$BB36,Factors!$C$17:$BB$17))/2)</f>
        <v>0</v>
      </c>
      <c r="K36" s="20">
        <f>MAX(0,(SUMPRODUCT(Oxides_min!$C36:$BB36,Factors!$C$18:$BB$18)+SUMPRODUCT(Oxides_max!$C36:$BB36,Factors!$C$18:$BB$18))/2)</f>
        <v>0</v>
      </c>
      <c r="L36" s="20">
        <f>MAX(0,(SUMPRODUCT(Oxides_min!$C36:$BB36,Factors!$C$19:$BB$19)+SUMPRODUCT(Oxides_max!$C36:$BB36,Factors!$C$19:$BB$19))/2)</f>
        <v>0</v>
      </c>
      <c r="M36" s="20">
        <f>MAX(0,(SUMPRODUCT(Oxides_min!$C36:$BB36,Factors!$C$20:$BB$20)+SUMPRODUCT(Oxides_max!$C36:$BB36,Factors!$C$20:$BB$20))/2)</f>
        <v>3.0152094084954346E-3</v>
      </c>
      <c r="N36" s="20">
        <f>MAX(0,(SUMPRODUCT(Oxides_min!$C36:$BB36,Factors!$C$21:$BB$21)+SUMPRODUCT(Oxides_max!$C36:$BB36,Factors!$C$21:$BB$21))/2)</f>
        <v>0</v>
      </c>
      <c r="O36" s="20">
        <f>MAX(0,(SUMPRODUCT(Oxides_min!$C36:$BB36,Factors!$C$22:$BB$22)+SUMPRODUCT(Oxides_max!$C36:$BB36,Factors!$C$22:$BB$22))/2)</f>
        <v>0</v>
      </c>
      <c r="P36" s="20">
        <f>MAX(0,(SUMPRODUCT(Oxides_min!$C36:$BB36,Factors!$C$23:$BB$23)+SUMPRODUCT(Oxides_max!$C36:$BB36,Factors!$C$23:$BB$23))/2)</f>
        <v>0</v>
      </c>
      <c r="Q36" s="20">
        <f>MAX(0,(SUMPRODUCT(Oxides_min!$C36:$BB36,Factors!$C$24:$BB$24)+SUMPRODUCT(Oxides_max!$C36:$BB36,Factors!$C$24:$BB$24))/2)</f>
        <v>4.6415978566212213E-2</v>
      </c>
      <c r="R36" s="20">
        <f>MAX(0,(SUMPRODUCT(Oxides_min!$C36:$BB36,Factors!$C$25:$BB$25)+SUMPRODUCT(Oxides_max!$C36:$BB36,Factors!$C$25:$BB$25))/2)</f>
        <v>0</v>
      </c>
      <c r="S36" s="20">
        <f>MAX(0,(SUMPRODUCT(Oxides_min!$C36:$BB36,Factors!$C$26:$BB$26)+SUMPRODUCT(Oxides_max!$C36:$BB36,Factors!$C$26:$BB$26))/2)</f>
        <v>0</v>
      </c>
      <c r="T36" s="20">
        <f>MAX(0,(SUMPRODUCT(Oxides_min!$C36:$BB36,Factors!$C$27:$BB$27)+SUMPRODUCT(Oxides_max!$C36:$BB36,Factors!$C$27:$BB$27))/2)</f>
        <v>0</v>
      </c>
      <c r="U36" s="20">
        <f>MAX(0,(SUMPRODUCT(Oxides_min!$C36:$BB36,Factors!$C$28:$BB$28)+SUMPRODUCT(Oxides_max!$C36:$BB36,Factors!$C$28:$BB$28))/2)</f>
        <v>0</v>
      </c>
      <c r="V36" s="20">
        <f>MAX(0,(SUMPRODUCT(Oxides_min!$C36:$BB36,Factors!$C$29:$BB$29)+SUMPRODUCT(Oxides_max!$C36:$BB36,Factors!$C$29:$BB$29))/2)</f>
        <v>0</v>
      </c>
      <c r="W36" s="20">
        <f>MAX(0,(SUMPRODUCT(Oxides_min!$C36:$BB36,Factors!$C$30:$BB$30)+SUMPRODUCT(Oxides_max!$C36:$BB36,Factors!$C$30:$BB$30))/2)</f>
        <v>0</v>
      </c>
      <c r="X36" s="20">
        <f>MAX(0,(SUMPRODUCT(Oxides_min!$C36:$BB36,Factors!$C$31:$BB$31)+SUMPRODUCT(Oxides_max!$C36:$BB36,Factors!$C$31:$BB$31))/2)</f>
        <v>0</v>
      </c>
      <c r="Y36" s="20">
        <f>MAX(0,(SUMPRODUCT(Oxides_min!$C36:$BB36,Factors!$C$32:$BB$32)+SUMPRODUCT(Oxides_max!$C36:$BB36,Factors!$C$32:$BB$32))/2)</f>
        <v>0</v>
      </c>
      <c r="Z36" s="20">
        <f>MAX(0,(SUMPRODUCT(Oxides_min!$C36:$BB36,Factors!$C$33:$BB$33)+SUMPRODUCT(Oxides_max!$C36:$BB36,Factors!$C$33:$BB$33))/2)</f>
        <v>0</v>
      </c>
      <c r="AA36" s="20">
        <f>MAX(0,(SUMPRODUCT(Oxides_min!$C36:$BB36,Factors!$C$34:$BB$34)+SUMPRODUCT(Oxides_max!$C36:$BB36,Factors!$C$34:$BB$34))/2)</f>
        <v>0</v>
      </c>
      <c r="AB36" s="20">
        <f>MAX(0,(SUMPRODUCT(Oxides_min!$C36:$BB36,Factors!$C$35:$BB$35)+SUMPRODUCT(Oxides_max!$C36:$BB36,Factors!$C$35:$BB$35))/2)</f>
        <v>0</v>
      </c>
      <c r="AC36" s="20">
        <f>MAX(0,(SUMPRODUCT(Oxides_min!$C36:$BB36,Factors!$C$36:$BB$36)+SUMPRODUCT(Oxides_max!$C36:$BB36,Factors!$C$36:$BB$36))/2)</f>
        <v>0</v>
      </c>
      <c r="AD36" s="20">
        <f>MAX(0,(SUMPRODUCT(Oxides_min!$C36:$BB36,Factors!$C$37:$BB$37)+SUMPRODUCT(Oxides_max!$C36:$BB36,Factors!$C$37:$BB$37))/2)</f>
        <v>4.8119900083263945E-2</v>
      </c>
      <c r="AE36" s="20">
        <f>MAX(0,(SUMPRODUCT(Oxides_min!$C36:$BB36,Factors!$C$38:$BB$38)+SUMPRODUCT(Oxides_max!$C36:$BB36,Factors!$C$38:$BB$38))/2)</f>
        <v>0</v>
      </c>
      <c r="AF36" s="20">
        <f>MAX(0,(SUMPRODUCT(Oxides_min!$C36:$BB36,Factors!$C$39:$BB$39)+SUMPRODUCT(Oxides_max!$C36:$BB36,Factors!$C$39:$BB$39))/2)</f>
        <v>0</v>
      </c>
      <c r="AG36" s="20">
        <f>MAX(0,(SUMPRODUCT(Oxides_min!$C36:$BB36,Factors!$C$40:$BB$40)+SUMPRODUCT(Oxides_max!$C36:$BB36,Factors!$C$40:$BB$40))/2)</f>
        <v>67.259864364932469</v>
      </c>
      <c r="AH36" s="20">
        <f>MAX(0,(SUMPRODUCT(Oxides_min!$C36:$BB36,Factors!$C$41:$BB$41)+SUMPRODUCT(Oxides_max!$C36:$BB36,Factors!$C$41:$BB$41))/2)</f>
        <v>3.6846729231542144</v>
      </c>
      <c r="AI36" s="20">
        <f>MAX(0,(SUMPRODUCT(Oxides_min!$C36:$BB36,Factors!$C$42:$BB$42)+SUMPRODUCT(Oxides_max!$C36:$BB36,Factors!$C$42:$BB$42))/2)</f>
        <v>0</v>
      </c>
      <c r="AJ36" s="20">
        <f>MAX(0,(SUMPRODUCT(Oxides_min!$C36:$BB36,Factors!$C$43:$BB$43)+SUMPRODUCT(Oxides_max!$C36:$BB36,Factors!$C$43:$BB$43))/2)</f>
        <v>0</v>
      </c>
      <c r="AK36" s="20">
        <f>MAX(0,(SUMPRODUCT(Oxides_min!$C36:$BB36,Factors!$C$44:$BB$44)+SUMPRODUCT(Oxides_max!$C36:$BB36,Factors!$C$44:$BB$44))/2)</f>
        <v>0</v>
      </c>
      <c r="AL36" s="20">
        <f>MAX(0,(SUMPRODUCT(Oxides_min!$C36:$BB36,Factors!$C$45:$BB$45)+SUMPRODUCT(Oxides_max!$C36:$BB36,Factors!$C$45:$BB$45))/2)</f>
        <v>0.2305178396790046</v>
      </c>
      <c r="AM36" s="20">
        <f>MAX(0,(SUMPRODUCT(Oxides_min!$C36:$BB36,Factors!$C$46:$BB$46)+SUMPRODUCT(Oxides_max!$C36:$BB36,Factors!$C$46:$BB$46))/2)</f>
        <v>0</v>
      </c>
      <c r="AN36" s="20">
        <f>MAX(0,(SUMPRODUCT(Oxides_min!$C36:$BB36,Factors!$C$47:$BB$47)+SUMPRODUCT(Oxides_max!$C36:$BB36,Factors!$C$47:$BB$47))/2)</f>
        <v>0</v>
      </c>
      <c r="AO36" s="20">
        <f>MAX(0,(SUMPRODUCT(Oxides_min!$C36:$BB36,Factors!$C$48:$BB$48)+SUMPRODUCT(Oxides_max!$C36:$BB36,Factors!$C$48:$BB$48))/2)</f>
        <v>0</v>
      </c>
      <c r="AP36" s="20">
        <f>MAX(0,(SUMPRODUCT(Oxides_min!$C36:$BB36,Factors!$C$49:$BB$49)+SUMPRODUCT(Oxides_max!$C36:$BB36,Factors!$C$49:$BB$49))/2)</f>
        <v>0</v>
      </c>
      <c r="AQ36" s="20">
        <f>MAX(0,(SUMPRODUCT(Oxides_min!$C36:$BB36,Factors!$C$50:$BB$50)+SUMPRODUCT(Oxides_max!$C36:$BB36,Factors!$C$50:$BB$50))/2)</f>
        <v>0</v>
      </c>
      <c r="AR36" s="20">
        <f>MAX(0,(SUMPRODUCT(Oxides_min!$C36:$BB36,Factors!$C$51:$BB$51)+SUMPRODUCT(Oxides_max!$C36:$BB36,Factors!$C$51:$BB$51))/2)</f>
        <v>0</v>
      </c>
      <c r="AS36" s="20">
        <f>MAX(0,(SUMPRODUCT(Oxides_min!$C36:$BB36,Factors!$C$52:$BB$52)+SUMPRODUCT(Oxides_max!$C36:$BB36,Factors!$C$52:$BB$52))/2)</f>
        <v>0</v>
      </c>
      <c r="AT36" s="20">
        <f>MAX(0,(SUMPRODUCT(Oxides_min!$C36:$BB36,Factors!$C$53:$BB$53)+SUMPRODUCT(Oxides_max!$C36:$BB36,Factors!$C$53:$BB$53))/2)</f>
        <v>0</v>
      </c>
      <c r="AU36" s="20">
        <f>MAX(0,(SUMPRODUCT(Oxides_min!$C36:$BB36,Factors!$C$54:$BB$54)+SUMPRODUCT(Oxides_max!$C36:$BB36,Factors!$C$54:$BB$54))/2)</f>
        <v>0</v>
      </c>
      <c r="AV36" s="20">
        <f>MAX(0,(SUMPRODUCT(Oxides_min!$C36:$BB36,Factors!$C$55:$BB$55)+SUMPRODUCT(Oxides_max!$C36:$BB36,Factors!$C$55:$BB$55))/2)</f>
        <v>0</v>
      </c>
      <c r="AW36" s="20">
        <f>MAX(0,(SUMPRODUCT(Oxides_min!$C36:$BB36,Factors!$C$56:$BB$56)+SUMPRODUCT(Oxides_max!$C36:$BB36,Factors!$C$56:$BB$56))/2)</f>
        <v>0</v>
      </c>
      <c r="AX36" s="20">
        <f>MAX(0,(SUMPRODUCT(Oxides_min!$C36:$BB36,Factors!$C$57:$BB$57)+SUMPRODUCT(Oxides_max!$C36:$BB36,Factors!$C$57:$BB$57))/2)</f>
        <v>0</v>
      </c>
      <c r="AY36" s="20">
        <f>MAX(0,(SUMPRODUCT(Oxides_min!$C36:$BB36,Factors!$C$58:$BB$58)+SUMPRODUCT(Oxides_max!$C36:$BB36,Factors!$C$58:$BB$58))/2)</f>
        <v>0</v>
      </c>
      <c r="AZ36" s="18">
        <f t="shared" si="2"/>
        <v>99.965000000000003</v>
      </c>
    </row>
    <row r="37" spans="1:52" x14ac:dyDescent="0.35">
      <c r="A37" s="13" t="s">
        <v>348</v>
      </c>
      <c r="B37" s="20">
        <f>MAX(0,(SUMPRODUCT(Oxides_min!$C37:$BB37,Factors!$C$9:$BB$9)+SUMPRODUCT(Oxides_max!$C37:$BB37,Factors!$C$9:$BB$9))/2)</f>
        <v>0</v>
      </c>
      <c r="C37" s="20">
        <f>MAX(0,(SUMPRODUCT(Oxides_min!$C37:$BB37,Factors!$C$10:$BB$10)+SUMPRODUCT(Oxides_max!$C37:$BB37,Factors!$C$10:$BB$10))/2)</f>
        <v>0</v>
      </c>
      <c r="D37" s="20">
        <f>MAX(0,(SUMPRODUCT(Oxides_min!$C37:$BB37,Factors!$C$11:$BB$11)+SUMPRODUCT(Oxides_max!$C37:$BB37,Factors!$C$11:$BB$11))/2)</f>
        <v>0</v>
      </c>
      <c r="E37" s="20">
        <f>MAX(0,(SUMPRODUCT(Oxides_min!$C37:$BB37,Factors!$C$12:$BB$12)+SUMPRODUCT(Oxides_max!$C37:$BB37,Factors!$C$12:$BB$12))/2)</f>
        <v>0</v>
      </c>
      <c r="F37" s="20">
        <f>MAX(0,(SUMPRODUCT(Oxides_min!$C37:$BB37,Factors!$C$13:$BB$13)+SUMPRODUCT(Oxides_max!$C37:$BB37,Factors!$C$13:$BB$13))/2)</f>
        <v>0</v>
      </c>
      <c r="G37" s="20">
        <f>MAX(0,(SUMPRODUCT(Oxides_min!$C37:$BB37,Factors!$C$14:$BB$14)+SUMPRODUCT(Oxides_max!$C37:$BB37,Factors!$C$14:$BB$14))/2)</f>
        <v>0</v>
      </c>
      <c r="H37" s="20">
        <f>MAX(0,(SUMPRODUCT(Oxides_min!$C37:$BB37,Factors!$C$15:$BB$15)+SUMPRODUCT(Oxides_max!$C37:$BB37,Factors!$C$15:$BB$15))/2)</f>
        <v>12.929746719492965</v>
      </c>
      <c r="I37" s="20">
        <f>MAX(0,(SUMPRODUCT(Oxides_min!$C37:$BB37,Factors!$C$16:$BB$16)+SUMPRODUCT(Oxides_max!$C37:$BB37,Factors!$C$16:$BB$16))/2)</f>
        <v>0</v>
      </c>
      <c r="J37" s="20">
        <f>MAX(0,(SUMPRODUCT(Oxides_min!$C37:$BB37,Factors!$C$17:$BB$17)+SUMPRODUCT(Oxides_max!$C37:$BB37,Factors!$C$17:$BB$17))/2)</f>
        <v>0</v>
      </c>
      <c r="K37" s="20">
        <f>MAX(0,(SUMPRODUCT(Oxides_min!$C37:$BB37,Factors!$C$18:$BB$18)+SUMPRODUCT(Oxides_max!$C37:$BB37,Factors!$C$18:$BB$18))/2)</f>
        <v>0</v>
      </c>
      <c r="L37" s="20">
        <f>MAX(0,(SUMPRODUCT(Oxides_min!$C37:$BB37,Factors!$C$19:$BB$19)+SUMPRODUCT(Oxides_max!$C37:$BB37,Factors!$C$19:$BB$19))/2)</f>
        <v>0</v>
      </c>
      <c r="M37" s="20">
        <f>MAX(0,(SUMPRODUCT(Oxides_min!$C37:$BB37,Factors!$C$20:$BB$20)+SUMPRODUCT(Oxides_max!$C37:$BB37,Factors!$C$20:$BB$20))/2)</f>
        <v>0</v>
      </c>
      <c r="N37" s="20">
        <f>MAX(0,(SUMPRODUCT(Oxides_min!$C37:$BB37,Factors!$C$21:$BB$21)+SUMPRODUCT(Oxides_max!$C37:$BB37,Factors!$C$21:$BB$21))/2)</f>
        <v>0</v>
      </c>
      <c r="O37" s="20">
        <f>MAX(0,(SUMPRODUCT(Oxides_min!$C37:$BB37,Factors!$C$22:$BB$22)+SUMPRODUCT(Oxides_max!$C37:$BB37,Factors!$C$22:$BB$22))/2)</f>
        <v>0</v>
      </c>
      <c r="P37" s="20">
        <f>MAX(0,(SUMPRODUCT(Oxides_min!$C37:$BB37,Factors!$C$23:$BB$23)+SUMPRODUCT(Oxides_max!$C37:$BB37,Factors!$C$23:$BB$23))/2)</f>
        <v>0</v>
      </c>
      <c r="Q37" s="20">
        <f>MAX(0,(SUMPRODUCT(Oxides_min!$C37:$BB37,Factors!$C$24:$BB$24)+SUMPRODUCT(Oxides_max!$C37:$BB37,Factors!$C$24:$BB$24))/2)</f>
        <v>0</v>
      </c>
      <c r="R37" s="20">
        <f>MAX(0,(SUMPRODUCT(Oxides_min!$C37:$BB37,Factors!$C$25:$BB$25)+SUMPRODUCT(Oxides_max!$C37:$BB37,Factors!$C$25:$BB$25))/2)</f>
        <v>32.630811415531383</v>
      </c>
      <c r="S37" s="20">
        <f>MAX(0,(SUMPRODUCT(Oxides_min!$C37:$BB37,Factors!$C$26:$BB$26)+SUMPRODUCT(Oxides_max!$C37:$BB37,Factors!$C$26:$BB$26))/2)</f>
        <v>0</v>
      </c>
      <c r="T37" s="20">
        <f>MAX(0,(SUMPRODUCT(Oxides_min!$C37:$BB37,Factors!$C$27:$BB$27)+SUMPRODUCT(Oxides_max!$C37:$BB37,Factors!$C$27:$BB$27))/2)</f>
        <v>0</v>
      </c>
      <c r="U37" s="20">
        <f>MAX(0,(SUMPRODUCT(Oxides_min!$C37:$BB37,Factors!$C$28:$BB$28)+SUMPRODUCT(Oxides_max!$C37:$BB37,Factors!$C$28:$BB$28))/2)</f>
        <v>0</v>
      </c>
      <c r="V37" s="20">
        <f>MAX(0,(SUMPRODUCT(Oxides_min!$C37:$BB37,Factors!$C$29:$BB$29)+SUMPRODUCT(Oxides_max!$C37:$BB37,Factors!$C$29:$BB$29))/2)</f>
        <v>0</v>
      </c>
      <c r="W37" s="20">
        <f>MAX(0,(SUMPRODUCT(Oxides_min!$C37:$BB37,Factors!$C$30:$BB$30)+SUMPRODUCT(Oxides_max!$C37:$BB37,Factors!$C$30:$BB$30))/2)</f>
        <v>0</v>
      </c>
      <c r="X37" s="20">
        <f>MAX(0,(SUMPRODUCT(Oxides_min!$C37:$BB37,Factors!$C$31:$BB$31)+SUMPRODUCT(Oxides_max!$C37:$BB37,Factors!$C$31:$BB$31))/2)</f>
        <v>0</v>
      </c>
      <c r="Y37" s="20">
        <f>MAX(0,(SUMPRODUCT(Oxides_min!$C37:$BB37,Factors!$C$32:$BB$32)+SUMPRODUCT(Oxides_max!$C37:$BB37,Factors!$C$32:$BB$32))/2)</f>
        <v>0</v>
      </c>
      <c r="Z37" s="20">
        <f>MAX(0,(SUMPRODUCT(Oxides_min!$C37:$BB37,Factors!$C$33:$BB$33)+SUMPRODUCT(Oxides_max!$C37:$BB37,Factors!$C$33:$BB$33))/2)</f>
        <v>0</v>
      </c>
      <c r="AA37" s="20">
        <f>MAX(0,(SUMPRODUCT(Oxides_min!$C37:$BB37,Factors!$C$34:$BB$34)+SUMPRODUCT(Oxides_max!$C37:$BB37,Factors!$C$34:$BB$34))/2)</f>
        <v>0</v>
      </c>
      <c r="AB37" s="20">
        <f>MAX(0,(SUMPRODUCT(Oxides_min!$C37:$BB37,Factors!$C$35:$BB$35)+SUMPRODUCT(Oxides_max!$C37:$BB37,Factors!$C$35:$BB$35))/2)</f>
        <v>0</v>
      </c>
      <c r="AC37" s="20">
        <f>MAX(0,(SUMPRODUCT(Oxides_min!$C37:$BB37,Factors!$C$36:$BB$36)+SUMPRODUCT(Oxides_max!$C37:$BB37,Factors!$C$36:$BB$36))/2)</f>
        <v>0</v>
      </c>
      <c r="AD37" s="20">
        <f>MAX(0,(SUMPRODUCT(Oxides_min!$C37:$BB37,Factors!$C$37:$BB$37)+SUMPRODUCT(Oxides_max!$C37:$BB37,Factors!$C$37:$BB$37))/2)</f>
        <v>0</v>
      </c>
      <c r="AE37" s="20">
        <f>MAX(0,(SUMPRODUCT(Oxides_min!$C37:$BB37,Factors!$C$38:$BB$38)+SUMPRODUCT(Oxides_max!$C37:$BB37,Factors!$C$38:$BB$38))/2)</f>
        <v>54.29</v>
      </c>
      <c r="AF37" s="20">
        <f>MAX(0,(SUMPRODUCT(Oxides_min!$C37:$BB37,Factors!$C$39:$BB$39)+SUMPRODUCT(Oxides_max!$C37:$BB37,Factors!$C$39:$BB$39))/2)</f>
        <v>0</v>
      </c>
      <c r="AG37" s="20">
        <f>MAX(0,(SUMPRODUCT(Oxides_min!$C37:$BB37,Factors!$C$40:$BB$40)+SUMPRODUCT(Oxides_max!$C37:$BB37,Factors!$C$40:$BB$40))/2)</f>
        <v>0</v>
      </c>
      <c r="AH37" s="20">
        <f>MAX(0,(SUMPRODUCT(Oxides_min!$C37:$BB37,Factors!$C$41:$BB$41)+SUMPRODUCT(Oxides_max!$C37:$BB37,Factors!$C$41:$BB$41))/2)</f>
        <v>0</v>
      </c>
      <c r="AI37" s="20">
        <f>MAX(0,(SUMPRODUCT(Oxides_min!$C37:$BB37,Factors!$C$42:$BB$42)+SUMPRODUCT(Oxides_max!$C37:$BB37,Factors!$C$42:$BB$42))/2)</f>
        <v>0</v>
      </c>
      <c r="AJ37" s="20">
        <f>MAX(0,(SUMPRODUCT(Oxides_min!$C37:$BB37,Factors!$C$43:$BB$43)+SUMPRODUCT(Oxides_max!$C37:$BB37,Factors!$C$43:$BB$43))/2)</f>
        <v>0</v>
      </c>
      <c r="AK37" s="20">
        <f>MAX(0,(SUMPRODUCT(Oxides_min!$C37:$BB37,Factors!$C$44:$BB$44)+SUMPRODUCT(Oxides_max!$C37:$BB37,Factors!$C$44:$BB$44))/2)</f>
        <v>0</v>
      </c>
      <c r="AL37" s="20">
        <f>MAX(0,(SUMPRODUCT(Oxides_min!$C37:$BB37,Factors!$C$45:$BB$45)+SUMPRODUCT(Oxides_max!$C37:$BB37,Factors!$C$45:$BB$45))/2)</f>
        <v>0</v>
      </c>
      <c r="AM37" s="20">
        <f>MAX(0,(SUMPRODUCT(Oxides_min!$C37:$BB37,Factors!$C$46:$BB$46)+SUMPRODUCT(Oxides_max!$C37:$BB37,Factors!$C$46:$BB$46))/2)</f>
        <v>0</v>
      </c>
      <c r="AN37" s="20">
        <f>MAX(0,(SUMPRODUCT(Oxides_min!$C37:$BB37,Factors!$C$47:$BB$47)+SUMPRODUCT(Oxides_max!$C37:$BB37,Factors!$C$47:$BB$47))/2)</f>
        <v>0</v>
      </c>
      <c r="AO37" s="20">
        <f>MAX(0,(SUMPRODUCT(Oxides_min!$C37:$BB37,Factors!$C$48:$BB$48)+SUMPRODUCT(Oxides_max!$C37:$BB37,Factors!$C$48:$BB$48))/2)</f>
        <v>0</v>
      </c>
      <c r="AP37" s="20">
        <f>MAX(0,(SUMPRODUCT(Oxides_min!$C37:$BB37,Factors!$C$49:$BB$49)+SUMPRODUCT(Oxides_max!$C37:$BB37,Factors!$C$49:$BB$49))/2)</f>
        <v>0</v>
      </c>
      <c r="AQ37" s="20">
        <f>MAX(0,(SUMPRODUCT(Oxides_min!$C37:$BB37,Factors!$C$50:$BB$50)+SUMPRODUCT(Oxides_max!$C37:$BB37,Factors!$C$50:$BB$50))/2)</f>
        <v>0</v>
      </c>
      <c r="AR37" s="20">
        <f>MAX(0,(SUMPRODUCT(Oxides_min!$C37:$BB37,Factors!$C$51:$BB$51)+SUMPRODUCT(Oxides_max!$C37:$BB37,Factors!$C$51:$BB$51))/2)</f>
        <v>0</v>
      </c>
      <c r="AS37" s="20">
        <f>MAX(0,(SUMPRODUCT(Oxides_min!$C37:$BB37,Factors!$C$52:$BB$52)+SUMPRODUCT(Oxides_max!$C37:$BB37,Factors!$C$52:$BB$52))/2)</f>
        <v>0</v>
      </c>
      <c r="AT37" s="20">
        <f>MAX(0,(SUMPRODUCT(Oxides_min!$C37:$BB37,Factors!$C$53:$BB$53)+SUMPRODUCT(Oxides_max!$C37:$BB37,Factors!$C$53:$BB$53))/2)</f>
        <v>0</v>
      </c>
      <c r="AU37" s="20">
        <f>MAX(0,(SUMPRODUCT(Oxides_min!$C37:$BB37,Factors!$C$54:$BB$54)+SUMPRODUCT(Oxides_max!$C37:$BB37,Factors!$C$54:$BB$54))/2)</f>
        <v>0</v>
      </c>
      <c r="AV37" s="20">
        <f>MAX(0,(SUMPRODUCT(Oxides_min!$C37:$BB37,Factors!$C$55:$BB$55)+SUMPRODUCT(Oxides_max!$C37:$BB37,Factors!$C$55:$BB$55))/2)</f>
        <v>0</v>
      </c>
      <c r="AW37" s="20">
        <f>MAX(0,(SUMPRODUCT(Oxides_min!$C37:$BB37,Factors!$C$56:$BB$56)+SUMPRODUCT(Oxides_max!$C37:$BB37,Factors!$C$56:$BB$56))/2)</f>
        <v>0</v>
      </c>
      <c r="AX37" s="20">
        <f>MAX(0,(SUMPRODUCT(Oxides_min!$C37:$BB37,Factors!$C$57:$BB$57)+SUMPRODUCT(Oxides_max!$C37:$BB37,Factors!$C$57:$BB$57))/2)</f>
        <v>0</v>
      </c>
      <c r="AY37" s="20">
        <f>MAX(0,(SUMPRODUCT(Oxides_min!$C37:$BB37,Factors!$C$58:$BB$58)+SUMPRODUCT(Oxides_max!$C37:$BB37,Factors!$C$58:$BB$58))/2)</f>
        <v>0</v>
      </c>
      <c r="AZ37" s="18">
        <f t="shared" si="2"/>
        <v>99.850558135024357</v>
      </c>
    </row>
    <row r="38" spans="1:52" x14ac:dyDescent="0.35">
      <c r="A38" s="13" t="s">
        <v>350</v>
      </c>
      <c r="B38" s="20">
        <f>MAX(0,(SUMPRODUCT(Oxides_min!$C38:$BB38,Factors!$C$9:$BB$9)+SUMPRODUCT(Oxides_max!$C38:$BB38,Factors!$C$9:$BB$9))/2)</f>
        <v>21.221864858120604</v>
      </c>
      <c r="C38" s="20">
        <f>MAX(0,(SUMPRODUCT(Oxides_min!$C38:$BB38,Factors!$C$10:$BB$10)+SUMPRODUCT(Oxides_max!$C38:$BB38,Factors!$C$10:$BB$10))/2)</f>
        <v>4.2069304129287818E-2</v>
      </c>
      <c r="D38" s="20">
        <f>MAX(0,(SUMPRODUCT(Oxides_min!$C38:$BB38,Factors!$C$11:$BB$11)+SUMPRODUCT(Oxides_max!$C38:$BB38,Factors!$C$11:$BB$11))/2)</f>
        <v>2.9967445063544735E-3</v>
      </c>
      <c r="E38" s="20">
        <f>MAX(0,(SUMPRODUCT(Oxides_min!$C38:$BB38,Factors!$C$12:$BB$12)+SUMPRODUCT(Oxides_max!$C38:$BB38,Factors!$C$12:$BB$12))/2)</f>
        <v>0</v>
      </c>
      <c r="F38" s="20">
        <f>MAX(0,(SUMPRODUCT(Oxides_min!$C38:$BB38,Factors!$C$13:$BB$13)+SUMPRODUCT(Oxides_max!$C38:$BB38,Factors!$C$13:$BB$13))/2)</f>
        <v>0</v>
      </c>
      <c r="G38" s="20">
        <f>MAX(0,(SUMPRODUCT(Oxides_min!$C38:$BB38,Factors!$C$14:$BB$14)+SUMPRODUCT(Oxides_max!$C38:$BB38,Factors!$C$14:$BB$14))/2)</f>
        <v>78.476771637869263</v>
      </c>
      <c r="H38" s="20">
        <f>MAX(0,(SUMPRODUCT(Oxides_min!$C38:$BB38,Factors!$C$15:$BB$15)+SUMPRODUCT(Oxides_max!$C38:$BB38,Factors!$C$15:$BB$15))/2)</f>
        <v>0</v>
      </c>
      <c r="I38" s="20">
        <f>MAX(0,(SUMPRODUCT(Oxides_min!$C38:$BB38,Factors!$C$16:$BB$16)+SUMPRODUCT(Oxides_max!$C38:$BB38,Factors!$C$16:$BB$16))/2)</f>
        <v>4.2752004342742608E-2</v>
      </c>
      <c r="J38" s="20">
        <f>MAX(0,(SUMPRODUCT(Oxides_min!$C38:$BB38,Factors!$C$17:$BB$17)+SUMPRODUCT(Oxides_max!$C38:$BB38,Factors!$C$17:$BB$17))/2)</f>
        <v>0</v>
      </c>
      <c r="K38" s="20">
        <f>MAX(0,(SUMPRODUCT(Oxides_min!$C38:$BB38,Factors!$C$18:$BB$18)+SUMPRODUCT(Oxides_max!$C38:$BB38,Factors!$C$18:$BB$18))/2)</f>
        <v>0</v>
      </c>
      <c r="L38" s="20">
        <f>MAX(0,(SUMPRODUCT(Oxides_min!$C38:$BB38,Factors!$C$19:$BB$19)+SUMPRODUCT(Oxides_max!$C38:$BB38,Factors!$C$19:$BB$19))/2)</f>
        <v>0</v>
      </c>
      <c r="M38" s="20">
        <f>MAX(0,(SUMPRODUCT(Oxides_min!$C38:$BB38,Factors!$C$20:$BB$20)+SUMPRODUCT(Oxides_max!$C38:$BB38,Factors!$C$20:$BB$20))/2)</f>
        <v>0</v>
      </c>
      <c r="N38" s="20">
        <f>MAX(0,(SUMPRODUCT(Oxides_min!$C38:$BB38,Factors!$C$21:$BB$21)+SUMPRODUCT(Oxides_max!$C38:$BB38,Factors!$C$21:$BB$21))/2)</f>
        <v>0</v>
      </c>
      <c r="O38" s="20">
        <f>MAX(0,(SUMPRODUCT(Oxides_min!$C38:$BB38,Factors!$C$22:$BB$22)+SUMPRODUCT(Oxides_max!$C38:$BB38,Factors!$C$22:$BB$22))/2)</f>
        <v>0</v>
      </c>
      <c r="P38" s="20">
        <f>MAX(0,(SUMPRODUCT(Oxides_min!$C38:$BB38,Factors!$C$23:$BB$23)+SUMPRODUCT(Oxides_max!$C38:$BB38,Factors!$C$23:$BB$23))/2)</f>
        <v>0</v>
      </c>
      <c r="Q38" s="20">
        <f>MAX(0,(SUMPRODUCT(Oxides_min!$C38:$BB38,Factors!$C$24:$BB$24)+SUMPRODUCT(Oxides_max!$C38:$BB38,Factors!$C$24:$BB$24))/2)</f>
        <v>0</v>
      </c>
      <c r="R38" s="20">
        <f>MAX(0,(SUMPRODUCT(Oxides_min!$C38:$BB38,Factors!$C$25:$BB$25)+SUMPRODUCT(Oxides_max!$C38:$BB38,Factors!$C$25:$BB$25))/2)</f>
        <v>0</v>
      </c>
      <c r="S38" s="20">
        <f>MAX(0,(SUMPRODUCT(Oxides_min!$C38:$BB38,Factors!$C$26:$BB$26)+SUMPRODUCT(Oxides_max!$C38:$BB38,Factors!$C$26:$BB$26))/2)</f>
        <v>0</v>
      </c>
      <c r="T38" s="20">
        <f>MAX(0,(SUMPRODUCT(Oxides_min!$C38:$BB38,Factors!$C$27:$BB$27)+SUMPRODUCT(Oxides_max!$C38:$BB38,Factors!$C$27:$BB$27))/2)</f>
        <v>0</v>
      </c>
      <c r="U38" s="20">
        <f>MAX(0,(SUMPRODUCT(Oxides_min!$C38:$BB38,Factors!$C$28:$BB$28)+SUMPRODUCT(Oxides_max!$C38:$BB38,Factors!$C$28:$BB$28))/2)</f>
        <v>0</v>
      </c>
      <c r="V38" s="20">
        <f>MAX(0,(SUMPRODUCT(Oxides_min!$C38:$BB38,Factors!$C$29:$BB$29)+SUMPRODUCT(Oxides_max!$C38:$BB38,Factors!$C$29:$BB$29))/2)</f>
        <v>0</v>
      </c>
      <c r="W38" s="20">
        <f>MAX(0,(SUMPRODUCT(Oxides_min!$C38:$BB38,Factors!$C$30:$BB$30)+SUMPRODUCT(Oxides_max!$C38:$BB38,Factors!$C$30:$BB$30))/2)</f>
        <v>1.04857409344062E-2</v>
      </c>
      <c r="X38" s="20">
        <f>MAX(0,(SUMPRODUCT(Oxides_min!$C38:$BB38,Factors!$C$31:$BB$31)+SUMPRODUCT(Oxides_max!$C38:$BB38,Factors!$C$31:$BB$31))/2)</f>
        <v>4.0948554796665136E-3</v>
      </c>
      <c r="Y38" s="20">
        <f>MAX(0,(SUMPRODUCT(Oxides_min!$C38:$BB38,Factors!$C$32:$BB$32)+SUMPRODUCT(Oxides_max!$C38:$BB38,Factors!$C$32:$BB$32))/2)</f>
        <v>3.9648546176839763E-3</v>
      </c>
      <c r="Z38" s="20">
        <f>MAX(0,(SUMPRODUCT(Oxides_min!$C38:$BB38,Factors!$C$33:$BB$33)+SUMPRODUCT(Oxides_max!$C38:$BB38,Factors!$C$33:$BB$33))/2)</f>
        <v>0</v>
      </c>
      <c r="AA38" s="20">
        <f>MAX(0,(SUMPRODUCT(Oxides_min!$C38:$BB38,Factors!$C$34:$BB$34)+SUMPRODUCT(Oxides_max!$C38:$BB38,Factors!$C$34:$BB$34))/2)</f>
        <v>0</v>
      </c>
      <c r="AB38" s="20">
        <f>MAX(0,(SUMPRODUCT(Oxides_min!$C38:$BB38,Factors!$C$35:$BB$35)+SUMPRODUCT(Oxides_max!$C38:$BB38,Factors!$C$35:$BB$35))/2)</f>
        <v>0</v>
      </c>
      <c r="AC38" s="20">
        <f>MAX(0,(SUMPRODUCT(Oxides_min!$C38:$BB38,Factors!$C$36:$BB$36)+SUMPRODUCT(Oxides_max!$C38:$BB38,Factors!$C$36:$BB$36))/2)</f>
        <v>0</v>
      </c>
      <c r="AD38" s="20">
        <f>MAX(0,(SUMPRODUCT(Oxides_min!$C38:$BB38,Factors!$C$37:$BB$37)+SUMPRODUCT(Oxides_max!$C38:$BB38,Factors!$C$37:$BB$37))/2)</f>
        <v>0</v>
      </c>
      <c r="AE38" s="20">
        <f>MAX(0,(SUMPRODUCT(Oxides_min!$C38:$BB38,Factors!$C$38:$BB$38)+SUMPRODUCT(Oxides_max!$C38:$BB38,Factors!$C$38:$BB$38))/2)</f>
        <v>0</v>
      </c>
      <c r="AF38" s="20">
        <f>MAX(0,(SUMPRODUCT(Oxides_min!$C38:$BB38,Factors!$C$39:$BB$39)+SUMPRODUCT(Oxides_max!$C38:$BB38,Factors!$C$39:$BB$39))/2)</f>
        <v>0</v>
      </c>
      <c r="AG38" s="20">
        <f>MAX(0,(SUMPRODUCT(Oxides_min!$C38:$BB38,Factors!$C$40:$BB$40)+SUMPRODUCT(Oxides_max!$C38:$BB38,Factors!$C$40:$BB$40))/2)</f>
        <v>0</v>
      </c>
      <c r="AH38" s="20">
        <f>MAX(0,(SUMPRODUCT(Oxides_min!$C38:$BB38,Factors!$C$41:$BB$41)+SUMPRODUCT(Oxides_max!$C38:$BB38,Factors!$C$41:$BB$41))/2)</f>
        <v>0</v>
      </c>
      <c r="AI38" s="20">
        <f>MAX(0,(SUMPRODUCT(Oxides_min!$C38:$BB38,Factors!$C$42:$BB$42)+SUMPRODUCT(Oxides_max!$C38:$BB38,Factors!$C$42:$BB$42))/2)</f>
        <v>0</v>
      </c>
      <c r="AJ38" s="20">
        <f>MAX(0,(SUMPRODUCT(Oxides_min!$C38:$BB38,Factors!$C$43:$BB$43)+SUMPRODUCT(Oxides_max!$C38:$BB38,Factors!$C$43:$BB$43))/2)</f>
        <v>0</v>
      </c>
      <c r="AK38" s="20">
        <f>MAX(0,(SUMPRODUCT(Oxides_min!$C38:$BB38,Factors!$C$44:$BB$44)+SUMPRODUCT(Oxides_max!$C38:$BB38,Factors!$C$44:$BB$44))/2)</f>
        <v>0</v>
      </c>
      <c r="AL38" s="20">
        <f>MAX(0,(SUMPRODUCT(Oxides_min!$C38:$BB38,Factors!$C$45:$BB$45)+SUMPRODUCT(Oxides_max!$C38:$BB38,Factors!$C$45:$BB$45))/2)</f>
        <v>0</v>
      </c>
      <c r="AM38" s="20">
        <f>MAX(0,(SUMPRODUCT(Oxides_min!$C38:$BB38,Factors!$C$46:$BB$46)+SUMPRODUCT(Oxides_max!$C38:$BB38,Factors!$C$46:$BB$46))/2)</f>
        <v>0</v>
      </c>
      <c r="AN38" s="20">
        <f>MAX(0,(SUMPRODUCT(Oxides_min!$C38:$BB38,Factors!$C$47:$BB$47)+SUMPRODUCT(Oxides_max!$C38:$BB38,Factors!$C$47:$BB$47))/2)</f>
        <v>0</v>
      </c>
      <c r="AO38" s="20">
        <f>MAX(0,(SUMPRODUCT(Oxides_min!$C38:$BB38,Factors!$C$48:$BB$48)+SUMPRODUCT(Oxides_max!$C38:$BB38,Factors!$C$48:$BB$48))/2)</f>
        <v>0</v>
      </c>
      <c r="AP38" s="20">
        <f>MAX(0,(SUMPRODUCT(Oxides_min!$C38:$BB38,Factors!$C$49:$BB$49)+SUMPRODUCT(Oxides_max!$C38:$BB38,Factors!$C$49:$BB$49))/2)</f>
        <v>0</v>
      </c>
      <c r="AQ38" s="20">
        <f>MAX(0,(SUMPRODUCT(Oxides_min!$C38:$BB38,Factors!$C$50:$BB$50)+SUMPRODUCT(Oxides_max!$C38:$BB38,Factors!$C$50:$BB$50))/2)</f>
        <v>0</v>
      </c>
      <c r="AR38" s="20">
        <f>MAX(0,(SUMPRODUCT(Oxides_min!$C38:$BB38,Factors!$C$51:$BB$51)+SUMPRODUCT(Oxides_max!$C38:$BB38,Factors!$C$51:$BB$51))/2)</f>
        <v>0</v>
      </c>
      <c r="AS38" s="20">
        <f>MAX(0,(SUMPRODUCT(Oxides_min!$C38:$BB38,Factors!$C$52:$BB$52)+SUMPRODUCT(Oxides_max!$C38:$BB38,Factors!$C$52:$BB$52))/2)</f>
        <v>0</v>
      </c>
      <c r="AT38" s="20">
        <f>MAX(0,(SUMPRODUCT(Oxides_min!$C38:$BB38,Factors!$C$53:$BB$53)+SUMPRODUCT(Oxides_max!$C38:$BB38,Factors!$C$53:$BB$53))/2)</f>
        <v>0</v>
      </c>
      <c r="AU38" s="20">
        <f>MAX(0,(SUMPRODUCT(Oxides_min!$C38:$BB38,Factors!$C$54:$BB$54)+SUMPRODUCT(Oxides_max!$C38:$BB38,Factors!$C$54:$BB$54))/2)</f>
        <v>0</v>
      </c>
      <c r="AV38" s="20">
        <f>MAX(0,(SUMPRODUCT(Oxides_min!$C38:$BB38,Factors!$C$55:$BB$55)+SUMPRODUCT(Oxides_max!$C38:$BB38,Factors!$C$55:$BB$55))/2)</f>
        <v>0</v>
      </c>
      <c r="AW38" s="20">
        <f>MAX(0,(SUMPRODUCT(Oxides_min!$C38:$BB38,Factors!$C$56:$BB$56)+SUMPRODUCT(Oxides_max!$C38:$BB38,Factors!$C$56:$BB$56))/2)</f>
        <v>0</v>
      </c>
      <c r="AX38" s="20">
        <f>MAX(0,(SUMPRODUCT(Oxides_min!$C38:$BB38,Factors!$C$57:$BB$57)+SUMPRODUCT(Oxides_max!$C38:$BB38,Factors!$C$57:$BB$57))/2)</f>
        <v>0</v>
      </c>
      <c r="AY38" s="20">
        <f>MAX(0,(SUMPRODUCT(Oxides_min!$C38:$BB38,Factors!$C$58:$BB$58)+SUMPRODUCT(Oxides_max!$C38:$BB38,Factors!$C$58:$BB$58))/2)</f>
        <v>0</v>
      </c>
      <c r="AZ38" s="18">
        <f t="shared" si="2"/>
        <v>99.804999999999993</v>
      </c>
    </row>
    <row r="39" spans="1:52" x14ac:dyDescent="0.35">
      <c r="A39" s="13" t="s">
        <v>351</v>
      </c>
      <c r="B39" s="20">
        <f>MAX(0,(SUMPRODUCT(Oxides_min!$C39:$BB39,Factors!$C$9:$BB$9)+SUMPRODUCT(Oxides_max!$C39:$BB39,Factors!$C$9:$BB$9))/2)</f>
        <v>45.187779443521627</v>
      </c>
      <c r="C39" s="20">
        <f>MAX(0,(SUMPRODUCT(Oxides_min!$C39:$BB39,Factors!$C$10:$BB$10)+SUMPRODUCT(Oxides_max!$C39:$BB39,Factors!$C$10:$BB$10))/2)</f>
        <v>20.356868831449827</v>
      </c>
      <c r="D39" s="20">
        <f>MAX(0,(SUMPRODUCT(Oxides_min!$C39:$BB39,Factors!$C$11:$BB$11)+SUMPRODUCT(Oxides_max!$C39:$BB39,Factors!$C$11:$BB$11))/2)</f>
        <v>0</v>
      </c>
      <c r="E39" s="20">
        <f>MAX(0,(SUMPRODUCT(Oxides_min!$C39:$BB39,Factors!$C$12:$BB$12)+SUMPRODUCT(Oxides_max!$C39:$BB39,Factors!$C$12:$BB$12))/2)</f>
        <v>0</v>
      </c>
      <c r="F39" s="20">
        <f>MAX(0,(SUMPRODUCT(Oxides_min!$C39:$BB39,Factors!$C$13:$BB$13)+SUMPRODUCT(Oxides_max!$C39:$BB39,Factors!$C$13:$BB$13))/2)</f>
        <v>0</v>
      </c>
      <c r="G39" s="20">
        <f>MAX(0,(SUMPRODUCT(Oxides_min!$C39:$BB39,Factors!$C$14:$BB$14)+SUMPRODUCT(Oxides_max!$C39:$BB39,Factors!$C$14:$BB$14))/2)</f>
        <v>0</v>
      </c>
      <c r="H39" s="20">
        <f>MAX(0,(SUMPRODUCT(Oxides_min!$C39:$BB39,Factors!$C$15:$BB$15)+SUMPRODUCT(Oxides_max!$C39:$BB39,Factors!$C$15:$BB$15))/2)</f>
        <v>18.344045079722722</v>
      </c>
      <c r="I39" s="20">
        <f>MAX(0,(SUMPRODUCT(Oxides_min!$C39:$BB39,Factors!$C$16:$BB$16)+SUMPRODUCT(Oxides_max!$C39:$BB39,Factors!$C$16:$BB$16))/2)</f>
        <v>0</v>
      </c>
      <c r="J39" s="20">
        <f>MAX(0,(SUMPRODUCT(Oxides_min!$C39:$BB39,Factors!$C$17:$BB$17)+SUMPRODUCT(Oxides_max!$C39:$BB39,Factors!$C$17:$BB$17))/2)</f>
        <v>0</v>
      </c>
      <c r="K39" s="20">
        <f>MAX(0,(SUMPRODUCT(Oxides_min!$C39:$BB39,Factors!$C$18:$BB$18)+SUMPRODUCT(Oxides_max!$C39:$BB39,Factors!$C$18:$BB$18))/2)</f>
        <v>0</v>
      </c>
      <c r="L39" s="20">
        <f>MAX(0,(SUMPRODUCT(Oxides_min!$C39:$BB39,Factors!$C$19:$BB$19)+SUMPRODUCT(Oxides_max!$C39:$BB39,Factors!$C$19:$BB$19))/2)</f>
        <v>0</v>
      </c>
      <c r="M39" s="20">
        <f>MAX(0,(SUMPRODUCT(Oxides_min!$C39:$BB39,Factors!$C$20:$BB$20)+SUMPRODUCT(Oxides_max!$C39:$BB39,Factors!$C$20:$BB$20))/2)</f>
        <v>3.0152094084954346E-2</v>
      </c>
      <c r="N39" s="20">
        <f>MAX(0,(SUMPRODUCT(Oxides_min!$C39:$BB39,Factors!$C$21:$BB$21)+SUMPRODUCT(Oxides_max!$C39:$BB39,Factors!$C$21:$BB$21))/2)</f>
        <v>3.1732496388893843</v>
      </c>
      <c r="O39" s="20">
        <f>MAX(0,(SUMPRODUCT(Oxides_min!$C39:$BB39,Factors!$C$22:$BB$22)+SUMPRODUCT(Oxides_max!$C39:$BB39,Factors!$C$22:$BB$22))/2)</f>
        <v>0</v>
      </c>
      <c r="P39" s="20">
        <f>MAX(0,(SUMPRODUCT(Oxides_min!$C39:$BB39,Factors!$C$23:$BB$23)+SUMPRODUCT(Oxides_max!$C39:$BB39,Factors!$C$23:$BB$23))/2)</f>
        <v>0</v>
      </c>
      <c r="Q39" s="20">
        <f>MAX(0,(SUMPRODUCT(Oxides_min!$C39:$BB39,Factors!$C$24:$BB$24)+SUMPRODUCT(Oxides_max!$C39:$BB39,Factors!$C$24:$BB$24))/2)</f>
        <v>0</v>
      </c>
      <c r="R39" s="20">
        <f>MAX(0,(SUMPRODUCT(Oxides_min!$C39:$BB39,Factors!$C$25:$BB$25)+SUMPRODUCT(Oxides_max!$C39:$BB39,Factors!$C$25:$BB$25))/2)</f>
        <v>8.9691146985057273</v>
      </c>
      <c r="S39" s="20">
        <f>MAX(0,(SUMPRODUCT(Oxides_min!$C39:$BB39,Factors!$C$26:$BB$26)+SUMPRODUCT(Oxides_max!$C39:$BB39,Factors!$C$26:$BB$26))/2)</f>
        <v>4.0428368416359151</v>
      </c>
      <c r="T39" s="20">
        <f>MAX(0,(SUMPRODUCT(Oxides_min!$C39:$BB39,Factors!$C$27:$BB$27)+SUMPRODUCT(Oxides_max!$C39:$BB39,Factors!$C$27:$BB$27))/2)</f>
        <v>0</v>
      </c>
      <c r="U39" s="20">
        <f>MAX(0,(SUMPRODUCT(Oxides_min!$C39:$BB39,Factors!$C$28:$BB$28)+SUMPRODUCT(Oxides_max!$C39:$BB39,Factors!$C$28:$BB$28))/2)</f>
        <v>0</v>
      </c>
      <c r="V39" s="20">
        <f>MAX(0,(SUMPRODUCT(Oxides_min!$C39:$BB39,Factors!$C$29:$BB$29)+SUMPRODUCT(Oxides_max!$C39:$BB39,Factors!$C$29:$BB$29))/2)</f>
        <v>0</v>
      </c>
      <c r="W39" s="20">
        <f>MAX(0,(SUMPRODUCT(Oxides_min!$C39:$BB39,Factors!$C$30:$BB$30)+SUMPRODUCT(Oxides_max!$C39:$BB39,Factors!$C$30:$BB$30))/2)</f>
        <v>0</v>
      </c>
      <c r="X39" s="20">
        <f>MAX(0,(SUMPRODUCT(Oxides_min!$C39:$BB39,Factors!$C$31:$BB$31)+SUMPRODUCT(Oxides_max!$C39:$BB39,Factors!$C$31:$BB$31))/2)</f>
        <v>0</v>
      </c>
      <c r="Y39" s="20">
        <f>MAX(0,(SUMPRODUCT(Oxides_min!$C39:$BB39,Factors!$C$32:$BB$32)+SUMPRODUCT(Oxides_max!$C39:$BB39,Factors!$C$32:$BB$32))/2)</f>
        <v>0</v>
      </c>
      <c r="Z39" s="20">
        <f>MAX(0,(SUMPRODUCT(Oxides_min!$C39:$BB39,Factors!$C$33:$BB$33)+SUMPRODUCT(Oxides_max!$C39:$BB39,Factors!$C$33:$BB$33))/2)</f>
        <v>0</v>
      </c>
      <c r="AA39" s="20">
        <f>MAX(0,(SUMPRODUCT(Oxides_min!$C39:$BB39,Factors!$C$34:$BB$34)+SUMPRODUCT(Oxides_max!$C39:$BB39,Factors!$C$34:$BB$34))/2)</f>
        <v>0</v>
      </c>
      <c r="AB39" s="20">
        <f>MAX(0,(SUMPRODUCT(Oxides_min!$C39:$BB39,Factors!$C$35:$BB$35)+SUMPRODUCT(Oxides_max!$C39:$BB39,Factors!$C$35:$BB$35))/2)</f>
        <v>0</v>
      </c>
      <c r="AC39" s="20">
        <f>MAX(0,(SUMPRODUCT(Oxides_min!$C39:$BB39,Factors!$C$36:$BB$36)+SUMPRODUCT(Oxides_max!$C39:$BB39,Factors!$C$36:$BB$36))/2)</f>
        <v>0</v>
      </c>
      <c r="AD39" s="20">
        <f>MAX(0,(SUMPRODUCT(Oxides_min!$C39:$BB39,Factors!$C$37:$BB$37)+SUMPRODUCT(Oxides_max!$C39:$BB39,Factors!$C$37:$BB$37))/2)</f>
        <v>5.5953372189841796E-2</v>
      </c>
      <c r="AE39" s="20">
        <f>MAX(0,(SUMPRODUCT(Oxides_min!$C39:$BB39,Factors!$C$38:$BB$38)+SUMPRODUCT(Oxides_max!$C39:$BB39,Factors!$C$38:$BB$38))/2)</f>
        <v>0</v>
      </c>
      <c r="AF39" s="20">
        <f>MAX(0,(SUMPRODUCT(Oxides_min!$C39:$BB39,Factors!$C$39:$BB$39)+SUMPRODUCT(Oxides_max!$C39:$BB39,Factors!$C$39:$BB$39))/2)</f>
        <v>0</v>
      </c>
      <c r="AG39" s="20">
        <f>MAX(0,(SUMPRODUCT(Oxides_min!$C39:$BB39,Factors!$C$40:$BB$40)+SUMPRODUCT(Oxides_max!$C39:$BB39,Factors!$C$40:$BB$40))/2)</f>
        <v>0</v>
      </c>
      <c r="AH39" s="20">
        <f>MAX(0,(SUMPRODUCT(Oxides_min!$C39:$BB39,Factors!$C$41:$BB$41)+SUMPRODUCT(Oxides_max!$C39:$BB39,Factors!$C$41:$BB$41))/2)</f>
        <v>0</v>
      </c>
      <c r="AI39" s="20">
        <f>MAX(0,(SUMPRODUCT(Oxides_min!$C39:$BB39,Factors!$C$42:$BB$42)+SUMPRODUCT(Oxides_max!$C39:$BB39,Factors!$C$42:$BB$42))/2)</f>
        <v>0</v>
      </c>
      <c r="AJ39" s="20">
        <f>MAX(0,(SUMPRODUCT(Oxides_min!$C39:$BB39,Factors!$C$43:$BB$43)+SUMPRODUCT(Oxides_max!$C39:$BB39,Factors!$C$43:$BB$43))/2)</f>
        <v>0</v>
      </c>
      <c r="AK39" s="20">
        <f>MAX(0,(SUMPRODUCT(Oxides_min!$C39:$BB39,Factors!$C$44:$BB$44)+SUMPRODUCT(Oxides_max!$C39:$BB39,Factors!$C$44:$BB$44))/2)</f>
        <v>0</v>
      </c>
      <c r="AL39" s="20">
        <f>MAX(0,(SUMPRODUCT(Oxides_min!$C39:$BB39,Factors!$C$45:$BB$45)+SUMPRODUCT(Oxides_max!$C39:$BB39,Factors!$C$45:$BB$45))/2)</f>
        <v>0</v>
      </c>
      <c r="AM39" s="20">
        <f>MAX(0,(SUMPRODUCT(Oxides_min!$C39:$BB39,Factors!$C$46:$BB$46)+SUMPRODUCT(Oxides_max!$C39:$BB39,Factors!$C$46:$BB$46))/2)</f>
        <v>0</v>
      </c>
      <c r="AN39" s="20">
        <f>MAX(0,(SUMPRODUCT(Oxides_min!$C39:$BB39,Factors!$C$47:$BB$47)+SUMPRODUCT(Oxides_max!$C39:$BB39,Factors!$C$47:$BB$47))/2)</f>
        <v>0</v>
      </c>
      <c r="AO39" s="20">
        <f>MAX(0,(SUMPRODUCT(Oxides_min!$C39:$BB39,Factors!$C$48:$BB$48)+SUMPRODUCT(Oxides_max!$C39:$BB39,Factors!$C$48:$BB$48))/2)</f>
        <v>0</v>
      </c>
      <c r="AP39" s="20">
        <f>MAX(0,(SUMPRODUCT(Oxides_min!$C39:$BB39,Factors!$C$49:$BB$49)+SUMPRODUCT(Oxides_max!$C39:$BB39,Factors!$C$49:$BB$49))/2)</f>
        <v>0</v>
      </c>
      <c r="AQ39" s="20">
        <f>MAX(0,(SUMPRODUCT(Oxides_min!$C39:$BB39,Factors!$C$50:$BB$50)+SUMPRODUCT(Oxides_max!$C39:$BB39,Factors!$C$50:$BB$50))/2)</f>
        <v>0</v>
      </c>
      <c r="AR39" s="20">
        <f>MAX(0,(SUMPRODUCT(Oxides_min!$C39:$BB39,Factors!$C$51:$BB$51)+SUMPRODUCT(Oxides_max!$C39:$BB39,Factors!$C$51:$BB$51))/2)</f>
        <v>0</v>
      </c>
      <c r="AS39" s="20">
        <f>MAX(0,(SUMPRODUCT(Oxides_min!$C39:$BB39,Factors!$C$52:$BB$52)+SUMPRODUCT(Oxides_max!$C39:$BB39,Factors!$C$52:$BB$52))/2)</f>
        <v>0</v>
      </c>
      <c r="AT39" s="20">
        <f>MAX(0,(SUMPRODUCT(Oxides_min!$C39:$BB39,Factors!$C$53:$BB$53)+SUMPRODUCT(Oxides_max!$C39:$BB39,Factors!$C$53:$BB$53))/2)</f>
        <v>0</v>
      </c>
      <c r="AU39" s="20">
        <f>MAX(0,(SUMPRODUCT(Oxides_min!$C39:$BB39,Factors!$C$54:$BB$54)+SUMPRODUCT(Oxides_max!$C39:$BB39,Factors!$C$54:$BB$54))/2)</f>
        <v>0</v>
      </c>
      <c r="AV39" s="20">
        <f>MAX(0,(SUMPRODUCT(Oxides_min!$C39:$BB39,Factors!$C$55:$BB$55)+SUMPRODUCT(Oxides_max!$C39:$BB39,Factors!$C$55:$BB$55))/2)</f>
        <v>0</v>
      </c>
      <c r="AW39" s="20">
        <f>MAX(0,(SUMPRODUCT(Oxides_min!$C39:$BB39,Factors!$C$56:$BB$56)+SUMPRODUCT(Oxides_max!$C39:$BB39,Factors!$C$56:$BB$56))/2)</f>
        <v>0</v>
      </c>
      <c r="AX39" s="20">
        <f>MAX(0,(SUMPRODUCT(Oxides_min!$C39:$BB39,Factors!$C$57:$BB$57)+SUMPRODUCT(Oxides_max!$C39:$BB39,Factors!$C$57:$BB$57))/2)</f>
        <v>0</v>
      </c>
      <c r="AY39" s="20">
        <f>MAX(0,(SUMPRODUCT(Oxides_min!$C39:$BB39,Factors!$C$58:$BB$58)+SUMPRODUCT(Oxides_max!$C39:$BB39,Factors!$C$58:$BB$58))/2)</f>
        <v>0</v>
      </c>
      <c r="AZ39" s="18">
        <f t="shared" si="2"/>
        <v>100.16</v>
      </c>
    </row>
    <row r="40" spans="1:52" x14ac:dyDescent="0.35">
      <c r="A40" s="13" t="s">
        <v>353</v>
      </c>
      <c r="B40" s="20">
        <f>MAX(0,(SUMPRODUCT(Oxides_min!$C40:$BB40,Factors!$C$9:$BB$9)+SUMPRODUCT(Oxides_max!$C40:$BB40,Factors!$C$9:$BB$9))/2)</f>
        <v>38.047740347941797</v>
      </c>
      <c r="C40" s="20">
        <f>MAX(0,(SUMPRODUCT(Oxides_min!$C40:$BB40,Factors!$C$10:$BB$10)+SUMPRODUCT(Oxides_max!$C40:$BB40,Factors!$C$10:$BB$10))/2)</f>
        <v>14.836441256262171</v>
      </c>
      <c r="D40" s="20">
        <f>MAX(0,(SUMPRODUCT(Oxides_min!$C40:$BB40,Factors!$C$11:$BB$11)+SUMPRODUCT(Oxides_max!$C40:$BB40,Factors!$C$11:$BB$11))/2)</f>
        <v>0.20078188192574972</v>
      </c>
      <c r="E40" s="20">
        <f>MAX(0,(SUMPRODUCT(Oxides_min!$C40:$BB40,Factors!$C$12:$BB$12)+SUMPRODUCT(Oxides_max!$C40:$BB40,Factors!$C$12:$BB$12))/2)</f>
        <v>0</v>
      </c>
      <c r="F40" s="20">
        <f>MAX(0,(SUMPRODUCT(Oxides_min!$C40:$BB40,Factors!$C$13:$BB$13)+SUMPRODUCT(Oxides_max!$C40:$BB40,Factors!$C$13:$BB$13))/2)</f>
        <v>0</v>
      </c>
      <c r="G40" s="20">
        <f>MAX(0,(SUMPRODUCT(Oxides_min!$C40:$BB40,Factors!$C$14:$BB$14)+SUMPRODUCT(Oxides_max!$C40:$BB40,Factors!$C$14:$BB$14))/2)</f>
        <v>0</v>
      </c>
      <c r="H40" s="20">
        <f>MAX(0,(SUMPRODUCT(Oxides_min!$C40:$BB40,Factors!$C$15:$BB$15)+SUMPRODUCT(Oxides_max!$C40:$BB40,Factors!$C$15:$BB$15))/2)</f>
        <v>7.2296496188405195</v>
      </c>
      <c r="I40" s="20">
        <f>MAX(0,(SUMPRODUCT(Oxides_min!$C40:$BB40,Factors!$C$16:$BB$16)+SUMPRODUCT(Oxides_max!$C40:$BB40,Factors!$C$16:$BB$16))/2)</f>
        <v>2.632607530979242</v>
      </c>
      <c r="J40" s="20">
        <f>MAX(0,(SUMPRODUCT(Oxides_min!$C40:$BB40,Factors!$C$17:$BB$17)+SUMPRODUCT(Oxides_max!$C40:$BB40,Factors!$C$17:$BB$17))/2)</f>
        <v>9.5955840105206534</v>
      </c>
      <c r="K40" s="20">
        <f>MAX(0,(SUMPRODUCT(Oxides_min!$C40:$BB40,Factors!$C$18:$BB$18)+SUMPRODUCT(Oxides_max!$C40:$BB40,Factors!$C$18:$BB$18))/2)</f>
        <v>17.180738274001893</v>
      </c>
      <c r="L40" s="20">
        <f>MAX(0,(SUMPRODUCT(Oxides_min!$C40:$BB40,Factors!$C$19:$BB$19)+SUMPRODUCT(Oxides_max!$C40:$BB40,Factors!$C$19:$BB$19))/2)</f>
        <v>0</v>
      </c>
      <c r="M40" s="20">
        <f>MAX(0,(SUMPRODUCT(Oxides_min!$C40:$BB40,Factors!$C$20:$BB$20)+SUMPRODUCT(Oxides_max!$C40:$BB40,Factors!$C$20:$BB$20))/2)</f>
        <v>1.9267188120285828</v>
      </c>
      <c r="N40" s="20">
        <f>MAX(0,(SUMPRODUCT(Oxides_min!$C40:$BB40,Factors!$C$21:$BB$21)+SUMPRODUCT(Oxides_max!$C40:$BB40,Factors!$C$21:$BB$21))/2)</f>
        <v>7.1469586461472617E-3</v>
      </c>
      <c r="O40" s="20">
        <f>MAX(0,(SUMPRODUCT(Oxides_min!$C40:$BB40,Factors!$C$22:$BB$22)+SUMPRODUCT(Oxides_max!$C40:$BB40,Factors!$C$22:$BB$22))/2)</f>
        <v>0</v>
      </c>
      <c r="P40" s="20">
        <f>MAX(0,(SUMPRODUCT(Oxides_min!$C40:$BB40,Factors!$C$23:$BB$23)+SUMPRODUCT(Oxides_max!$C40:$BB40,Factors!$C$23:$BB$23))/2)</f>
        <v>0.42543550995917195</v>
      </c>
      <c r="Q40" s="20">
        <f>MAX(0,(SUMPRODUCT(Oxides_min!$C40:$BB40,Factors!$C$24:$BB$24)+SUMPRODUCT(Oxides_max!$C40:$BB40,Factors!$C$24:$BB$24))/2)</f>
        <v>0</v>
      </c>
      <c r="R40" s="20">
        <f>MAX(0,(SUMPRODUCT(Oxides_min!$C40:$BB40,Factors!$C$25:$BB$25)+SUMPRODUCT(Oxides_max!$C40:$BB40,Factors!$C$25:$BB$25))/2)</f>
        <v>0.12611658384995644</v>
      </c>
      <c r="S40" s="20">
        <f>MAX(0,(SUMPRODUCT(Oxides_min!$C40:$BB40,Factors!$C$26:$BB$26)+SUMPRODUCT(Oxides_max!$C40:$BB40,Factors!$C$26:$BB$26))/2)</f>
        <v>6.8528989995286409</v>
      </c>
      <c r="T40" s="20">
        <f>MAX(0,(SUMPRODUCT(Oxides_min!$C40:$BB40,Factors!$C$27:$BB$27)+SUMPRODUCT(Oxides_max!$C40:$BB40,Factors!$C$27:$BB$27))/2)</f>
        <v>0</v>
      </c>
      <c r="U40" s="20">
        <f>MAX(0,(SUMPRODUCT(Oxides_min!$C40:$BB40,Factors!$C$28:$BB$28)+SUMPRODUCT(Oxides_max!$C40:$BB40,Factors!$C$28:$BB$28))/2)</f>
        <v>0</v>
      </c>
      <c r="V40" s="20">
        <f>MAX(0,(SUMPRODUCT(Oxides_min!$C40:$BB40,Factors!$C$29:$BB$29)+SUMPRODUCT(Oxides_max!$C40:$BB40,Factors!$C$29:$BB$29))/2)</f>
        <v>0</v>
      </c>
      <c r="W40" s="20">
        <f>MAX(0,(SUMPRODUCT(Oxides_min!$C40:$BB40,Factors!$C$30:$BB$30)+SUMPRODUCT(Oxides_max!$C40:$BB40,Factors!$C$30:$BB$30))/2)</f>
        <v>0</v>
      </c>
      <c r="X40" s="20">
        <f>MAX(0,(SUMPRODUCT(Oxides_min!$C40:$BB40,Factors!$C$31:$BB$31)+SUMPRODUCT(Oxides_max!$C40:$BB40,Factors!$C$31:$BB$31))/2)</f>
        <v>0</v>
      </c>
      <c r="Y40" s="20">
        <f>MAX(0,(SUMPRODUCT(Oxides_min!$C40:$BB40,Factors!$C$32:$BB$32)+SUMPRODUCT(Oxides_max!$C40:$BB40,Factors!$C$32:$BB$32))/2)</f>
        <v>0</v>
      </c>
      <c r="Z40" s="20">
        <f>MAX(0,(SUMPRODUCT(Oxides_min!$C40:$BB40,Factors!$C$33:$BB$33)+SUMPRODUCT(Oxides_max!$C40:$BB40,Factors!$C$33:$BB$33))/2)</f>
        <v>0</v>
      </c>
      <c r="AA40" s="20">
        <f>MAX(0,(SUMPRODUCT(Oxides_min!$C40:$BB40,Factors!$C$34:$BB$34)+SUMPRODUCT(Oxides_max!$C40:$BB40,Factors!$C$34:$BB$34))/2)</f>
        <v>0</v>
      </c>
      <c r="AB40" s="20">
        <f>MAX(0,(SUMPRODUCT(Oxides_min!$C40:$BB40,Factors!$C$35:$BB$35)+SUMPRODUCT(Oxides_max!$C40:$BB40,Factors!$C$35:$BB$35))/2)</f>
        <v>0</v>
      </c>
      <c r="AC40" s="20">
        <f>MAX(0,(SUMPRODUCT(Oxides_min!$C40:$BB40,Factors!$C$36:$BB$36)+SUMPRODUCT(Oxides_max!$C40:$BB40,Factors!$C$36:$BB$36))/2)</f>
        <v>0</v>
      </c>
      <c r="AD40" s="20">
        <f>MAX(0,(SUMPRODUCT(Oxides_min!$C40:$BB40,Factors!$C$37:$BB$37)+SUMPRODUCT(Oxides_max!$C40:$BB40,Factors!$C$37:$BB$37))/2)</f>
        <v>0.4784013322231474</v>
      </c>
      <c r="AE40" s="20">
        <f>MAX(0,(SUMPRODUCT(Oxides_min!$C40:$BB40,Factors!$C$38:$BB$38)+SUMPRODUCT(Oxides_max!$C40:$BB40,Factors!$C$38:$BB$38))/2)</f>
        <v>0.22500000000000001</v>
      </c>
      <c r="AF40" s="20">
        <f>MAX(0,(SUMPRODUCT(Oxides_min!$C40:$BB40,Factors!$C$39:$BB$39)+SUMPRODUCT(Oxides_max!$C40:$BB40,Factors!$C$39:$BB$39))/2)</f>
        <v>0</v>
      </c>
      <c r="AG40" s="20">
        <f>MAX(0,(SUMPRODUCT(Oxides_min!$C40:$BB40,Factors!$C$40:$BB$40)+SUMPRODUCT(Oxides_max!$C40:$BB40,Factors!$C$40:$BB$40))/2)</f>
        <v>0</v>
      </c>
      <c r="AH40" s="20">
        <f>MAX(0,(SUMPRODUCT(Oxides_min!$C40:$BB40,Factors!$C$41:$BB$41)+SUMPRODUCT(Oxides_max!$C40:$BB40,Factors!$C$41:$BB$41))/2)</f>
        <v>0</v>
      </c>
      <c r="AI40" s="20">
        <f>MAX(0,(SUMPRODUCT(Oxides_min!$C40:$BB40,Factors!$C$42:$BB$42)+SUMPRODUCT(Oxides_max!$C40:$BB40,Factors!$C$42:$BB$42))/2)</f>
        <v>0</v>
      </c>
      <c r="AJ40" s="20">
        <f>MAX(0,(SUMPRODUCT(Oxides_min!$C40:$BB40,Factors!$C$43:$BB$43)+SUMPRODUCT(Oxides_max!$C40:$BB40,Factors!$C$43:$BB$43))/2)</f>
        <v>0</v>
      </c>
      <c r="AK40" s="20">
        <f>MAX(0,(SUMPRODUCT(Oxides_min!$C40:$BB40,Factors!$C$44:$BB$44)+SUMPRODUCT(Oxides_max!$C40:$BB40,Factors!$C$44:$BB$44))/2)</f>
        <v>0</v>
      </c>
      <c r="AL40" s="20">
        <f>MAX(0,(SUMPRODUCT(Oxides_min!$C40:$BB40,Factors!$C$45:$BB$45)+SUMPRODUCT(Oxides_max!$C40:$BB40,Factors!$C$45:$BB$45))/2)</f>
        <v>0</v>
      </c>
      <c r="AM40" s="20">
        <f>MAX(0,(SUMPRODUCT(Oxides_min!$C40:$BB40,Factors!$C$46:$BB$46)+SUMPRODUCT(Oxides_max!$C40:$BB40,Factors!$C$46:$BB$46))/2)</f>
        <v>0</v>
      </c>
      <c r="AN40" s="20">
        <f>MAX(0,(SUMPRODUCT(Oxides_min!$C40:$BB40,Factors!$C$47:$BB$47)+SUMPRODUCT(Oxides_max!$C40:$BB40,Factors!$C$47:$BB$47))/2)</f>
        <v>0</v>
      </c>
      <c r="AO40" s="20">
        <f>MAX(0,(SUMPRODUCT(Oxides_min!$C40:$BB40,Factors!$C$48:$BB$48)+SUMPRODUCT(Oxides_max!$C40:$BB40,Factors!$C$48:$BB$48))/2)</f>
        <v>0</v>
      </c>
      <c r="AP40" s="20">
        <f>MAX(0,(SUMPRODUCT(Oxides_min!$C40:$BB40,Factors!$C$49:$BB$49)+SUMPRODUCT(Oxides_max!$C40:$BB40,Factors!$C$49:$BB$49))/2)</f>
        <v>0</v>
      </c>
      <c r="AQ40" s="20">
        <f>MAX(0,(SUMPRODUCT(Oxides_min!$C40:$BB40,Factors!$C$50:$BB$50)+SUMPRODUCT(Oxides_max!$C40:$BB40,Factors!$C$50:$BB$50))/2)</f>
        <v>0</v>
      </c>
      <c r="AR40" s="20">
        <f>MAX(0,(SUMPRODUCT(Oxides_min!$C40:$BB40,Factors!$C$51:$BB$51)+SUMPRODUCT(Oxides_max!$C40:$BB40,Factors!$C$51:$BB$51))/2)</f>
        <v>0</v>
      </c>
      <c r="AS40" s="20">
        <f>MAX(0,(SUMPRODUCT(Oxides_min!$C40:$BB40,Factors!$C$52:$BB$52)+SUMPRODUCT(Oxides_max!$C40:$BB40,Factors!$C$52:$BB$52))/2)</f>
        <v>0</v>
      </c>
      <c r="AT40" s="20">
        <f>MAX(0,(SUMPRODUCT(Oxides_min!$C40:$BB40,Factors!$C$53:$BB$53)+SUMPRODUCT(Oxides_max!$C40:$BB40,Factors!$C$53:$BB$53))/2)</f>
        <v>0</v>
      </c>
      <c r="AU40" s="20">
        <f>MAX(0,(SUMPRODUCT(Oxides_min!$C40:$BB40,Factors!$C$54:$BB$54)+SUMPRODUCT(Oxides_max!$C40:$BB40,Factors!$C$54:$BB$54))/2)</f>
        <v>0</v>
      </c>
      <c r="AV40" s="20">
        <f>MAX(0,(SUMPRODUCT(Oxides_min!$C40:$BB40,Factors!$C$55:$BB$55)+SUMPRODUCT(Oxides_max!$C40:$BB40,Factors!$C$55:$BB$55))/2)</f>
        <v>0</v>
      </c>
      <c r="AW40" s="20">
        <f>MAX(0,(SUMPRODUCT(Oxides_min!$C40:$BB40,Factors!$C$56:$BB$56)+SUMPRODUCT(Oxides_max!$C40:$BB40,Factors!$C$56:$BB$56))/2)</f>
        <v>0</v>
      </c>
      <c r="AX40" s="20">
        <f>MAX(0,(SUMPRODUCT(Oxides_min!$C40:$BB40,Factors!$C$57:$BB$57)+SUMPRODUCT(Oxides_max!$C40:$BB40,Factors!$C$57:$BB$57))/2)</f>
        <v>0</v>
      </c>
      <c r="AY40" s="20">
        <f>MAX(0,(SUMPRODUCT(Oxides_min!$C40:$BB40,Factors!$C$58:$BB$58)+SUMPRODUCT(Oxides_max!$C40:$BB40,Factors!$C$58:$BB$58))/2)</f>
        <v>0</v>
      </c>
      <c r="AZ40" s="18">
        <f t="shared" si="2"/>
        <v>99.765261116707649</v>
      </c>
    </row>
    <row r="41" spans="1:52" x14ac:dyDescent="0.35">
      <c r="A41" s="13" t="s">
        <v>355</v>
      </c>
      <c r="B41" s="20">
        <f>MAX(0,(SUMPRODUCT(Oxides_min!$C41:$BB41,Factors!$C$9:$BB$9)+SUMPRODUCT(Oxides_max!$C41:$BB41,Factors!$C$9:$BB$9))/2)</f>
        <v>18.329735971863112</v>
      </c>
      <c r="C41" s="20">
        <f>MAX(0,(SUMPRODUCT(Oxides_min!$C41:$BB41,Factors!$C$10:$BB$10)+SUMPRODUCT(Oxides_max!$C41:$BB41,Factors!$C$10:$BB$10))/2)</f>
        <v>2.3371835627382126E-2</v>
      </c>
      <c r="D41" s="20">
        <f>MAX(0,(SUMPRODUCT(Oxides_min!$C41:$BB41,Factors!$C$11:$BB$11)+SUMPRODUCT(Oxides_max!$C41:$BB41,Factors!$C$11:$BB$11))/2)</f>
        <v>1.006906154135103</v>
      </c>
      <c r="E41" s="20">
        <f>MAX(0,(SUMPRODUCT(Oxides_min!$C41:$BB41,Factors!$C$12:$BB$12)+SUMPRODUCT(Oxides_max!$C41:$BB41,Factors!$C$12:$BB$12))/2)</f>
        <v>0</v>
      </c>
      <c r="F41" s="20">
        <f>MAX(0,(SUMPRODUCT(Oxides_min!$C41:$BB41,Factors!$C$13:$BB$13)+SUMPRODUCT(Oxides_max!$C41:$BB41,Factors!$C$13:$BB$13))/2)</f>
        <v>0</v>
      </c>
      <c r="G41" s="20">
        <f>MAX(0,(SUMPRODUCT(Oxides_min!$C41:$BB41,Factors!$C$14:$BB$14)+SUMPRODUCT(Oxides_max!$C41:$BB41,Factors!$C$14:$BB$14))/2)</f>
        <v>0</v>
      </c>
      <c r="H41" s="20">
        <f>MAX(0,(SUMPRODUCT(Oxides_min!$C41:$BB41,Factors!$C$15:$BB$15)+SUMPRODUCT(Oxides_max!$C41:$BB41,Factors!$C$15:$BB$15))/2)</f>
        <v>0</v>
      </c>
      <c r="I41" s="20">
        <f>MAX(0,(SUMPRODUCT(Oxides_min!$C41:$BB41,Factors!$C$16:$BB$16)+SUMPRODUCT(Oxides_max!$C41:$BB41,Factors!$C$16:$BB$16))/2)</f>
        <v>0.13214255887756807</v>
      </c>
      <c r="J41" s="20">
        <f>MAX(0,(SUMPRODUCT(Oxides_min!$C41:$BB41,Factors!$C$17:$BB$17)+SUMPRODUCT(Oxides_max!$C41:$BB41,Factors!$C$17:$BB$17))/2)</f>
        <v>0</v>
      </c>
      <c r="K41" s="20">
        <f>MAX(0,(SUMPRODUCT(Oxides_min!$C41:$BB41,Factors!$C$18:$BB$18)+SUMPRODUCT(Oxides_max!$C41:$BB41,Factors!$C$18:$BB$18))/2)</f>
        <v>0</v>
      </c>
      <c r="L41" s="20">
        <f>MAX(0,(SUMPRODUCT(Oxides_min!$C41:$BB41,Factors!$C$19:$BB$19)+SUMPRODUCT(Oxides_max!$C41:$BB41,Factors!$C$19:$BB$19))/2)</f>
        <v>0</v>
      </c>
      <c r="M41" s="20">
        <f>MAX(0,(SUMPRODUCT(Oxides_min!$C41:$BB41,Factors!$C$20:$BB$20)+SUMPRODUCT(Oxides_max!$C41:$BB41,Factors!$C$20:$BB$20))/2)</f>
        <v>0</v>
      </c>
      <c r="N41" s="20">
        <f>MAX(0,(SUMPRODUCT(Oxides_min!$C41:$BB41,Factors!$C$21:$BB$21)+SUMPRODUCT(Oxides_max!$C41:$BB41,Factors!$C$21:$BB$21))/2)</f>
        <v>0.22870267667671237</v>
      </c>
      <c r="O41" s="20">
        <f>MAX(0,(SUMPRODUCT(Oxides_min!$C41:$BB41,Factors!$C$22:$BB$22)+SUMPRODUCT(Oxides_max!$C41:$BB41,Factors!$C$22:$BB$22))/2)</f>
        <v>0.13529565041160407</v>
      </c>
      <c r="P41" s="20">
        <f>MAX(0,(SUMPRODUCT(Oxides_min!$C41:$BB41,Factors!$C$23:$BB$23)+SUMPRODUCT(Oxides_max!$C41:$BB41,Factors!$C$23:$BB$23))/2)</f>
        <v>0</v>
      </c>
      <c r="Q41" s="20">
        <f>MAX(0,(SUMPRODUCT(Oxides_min!$C41:$BB41,Factors!$C$24:$BB$24)+SUMPRODUCT(Oxides_max!$C41:$BB41,Factors!$C$24:$BB$24))/2)</f>
        <v>47.98483864175018</v>
      </c>
      <c r="R41" s="20">
        <f>MAX(0,(SUMPRODUCT(Oxides_min!$C41:$BB41,Factors!$C$25:$BB$25)+SUMPRODUCT(Oxides_max!$C41:$BB41,Factors!$C$25:$BB$25))/2)</f>
        <v>0</v>
      </c>
      <c r="S41" s="20">
        <f>MAX(0,(SUMPRODUCT(Oxides_min!$C41:$BB41,Factors!$C$26:$BB$26)+SUMPRODUCT(Oxides_max!$C41:$BB41,Factors!$C$26:$BB$26))/2)</f>
        <v>0</v>
      </c>
      <c r="T41" s="20">
        <f>MAX(0,(SUMPRODUCT(Oxides_min!$C41:$BB41,Factors!$C$27:$BB$27)+SUMPRODUCT(Oxides_max!$C41:$BB41,Factors!$C$27:$BB$27))/2)</f>
        <v>0</v>
      </c>
      <c r="U41" s="20">
        <f>MAX(0,(SUMPRODUCT(Oxides_min!$C41:$BB41,Factors!$C$28:$BB$28)+SUMPRODUCT(Oxides_max!$C41:$BB41,Factors!$C$28:$BB$28))/2)</f>
        <v>0</v>
      </c>
      <c r="V41" s="20">
        <f>MAX(0,(SUMPRODUCT(Oxides_min!$C41:$BB41,Factors!$C$29:$BB$29)+SUMPRODUCT(Oxides_max!$C41:$BB41,Factors!$C$29:$BB$29))/2)</f>
        <v>0</v>
      </c>
      <c r="W41" s="20">
        <f>MAX(0,(SUMPRODUCT(Oxides_min!$C41:$BB41,Factors!$C$30:$BB$30)+SUMPRODUCT(Oxides_max!$C41:$BB41,Factors!$C$30:$BB$30))/2)</f>
        <v>28.003918788820826</v>
      </c>
      <c r="X41" s="20">
        <f>MAX(0,(SUMPRODUCT(Oxides_min!$C41:$BB41,Factors!$C$31:$BB$31)+SUMPRODUCT(Oxides_max!$C41:$BB41,Factors!$C$31:$BB$31))/2)</f>
        <v>3.8819229947238547</v>
      </c>
      <c r="Y41" s="20">
        <f>MAX(0,(SUMPRODUCT(Oxides_min!$C41:$BB41,Factors!$C$32:$BB$32)+SUMPRODUCT(Oxides_max!$C41:$BB41,Factors!$C$32:$BB$32))/2)</f>
        <v>0</v>
      </c>
      <c r="Z41" s="20">
        <f>MAX(0,(SUMPRODUCT(Oxides_min!$C41:$BB41,Factors!$C$33:$BB$33)+SUMPRODUCT(Oxides_max!$C41:$BB41,Factors!$C$33:$BB$33))/2)</f>
        <v>0</v>
      </c>
      <c r="AA41" s="20">
        <f>MAX(0,(SUMPRODUCT(Oxides_min!$C41:$BB41,Factors!$C$34:$BB$34)+SUMPRODUCT(Oxides_max!$C41:$BB41,Factors!$C$34:$BB$34))/2)</f>
        <v>0</v>
      </c>
      <c r="AB41" s="20">
        <f>MAX(0,(SUMPRODUCT(Oxides_min!$C41:$BB41,Factors!$C$35:$BB$35)+SUMPRODUCT(Oxides_max!$C41:$BB41,Factors!$C$35:$BB$35))/2)</f>
        <v>0</v>
      </c>
      <c r="AC41" s="20">
        <f>MAX(0,(SUMPRODUCT(Oxides_min!$C41:$BB41,Factors!$C$36:$BB$36)+SUMPRODUCT(Oxides_max!$C41:$BB41,Factors!$C$36:$BB$36))/2)</f>
        <v>0</v>
      </c>
      <c r="AD41" s="20">
        <f>MAX(0,(SUMPRODUCT(Oxides_min!$C41:$BB41,Factors!$C$37:$BB$37)+SUMPRODUCT(Oxides_max!$C41:$BB41,Factors!$C$37:$BB$37))/2)</f>
        <v>0.10631140716069941</v>
      </c>
      <c r="AE41" s="20">
        <f>MAX(0,(SUMPRODUCT(Oxides_min!$C41:$BB41,Factors!$C$38:$BB$38)+SUMPRODUCT(Oxides_max!$C41:$BB41,Factors!$C$38:$BB$38))/2)</f>
        <v>0</v>
      </c>
      <c r="AF41" s="20">
        <f>MAX(0,(SUMPRODUCT(Oxides_min!$C41:$BB41,Factors!$C$39:$BB$39)+SUMPRODUCT(Oxides_max!$C41:$BB41,Factors!$C$39:$BB$39))/2)</f>
        <v>0</v>
      </c>
      <c r="AG41" s="20">
        <f>MAX(0,(SUMPRODUCT(Oxides_min!$C41:$BB41,Factors!$C$40:$BB$40)+SUMPRODUCT(Oxides_max!$C41:$BB41,Factors!$C$40:$BB$40))/2)</f>
        <v>0</v>
      </c>
      <c r="AH41" s="20">
        <f>MAX(0,(SUMPRODUCT(Oxides_min!$C41:$BB41,Factors!$C$41:$BB$41)+SUMPRODUCT(Oxides_max!$C41:$BB41,Factors!$C$41:$BB$41))/2)</f>
        <v>0</v>
      </c>
      <c r="AI41" s="20">
        <f>MAX(0,(SUMPRODUCT(Oxides_min!$C41:$BB41,Factors!$C$42:$BB$42)+SUMPRODUCT(Oxides_max!$C41:$BB41,Factors!$C$42:$BB$42))/2)</f>
        <v>0</v>
      </c>
      <c r="AJ41" s="20">
        <f>MAX(0,(SUMPRODUCT(Oxides_min!$C41:$BB41,Factors!$C$43:$BB$43)+SUMPRODUCT(Oxides_max!$C41:$BB41,Factors!$C$43:$BB$43))/2)</f>
        <v>0</v>
      </c>
      <c r="AK41" s="20">
        <f>MAX(0,(SUMPRODUCT(Oxides_min!$C41:$BB41,Factors!$C$44:$BB$44)+SUMPRODUCT(Oxides_max!$C41:$BB41,Factors!$C$44:$BB$44))/2)</f>
        <v>0</v>
      </c>
      <c r="AL41" s="20">
        <f>MAX(0,(SUMPRODUCT(Oxides_min!$C41:$BB41,Factors!$C$45:$BB$45)+SUMPRODUCT(Oxides_max!$C41:$BB41,Factors!$C$45:$BB$45))/2)</f>
        <v>5.9763884361223416E-2</v>
      </c>
      <c r="AM41" s="20">
        <f>MAX(0,(SUMPRODUCT(Oxides_min!$C41:$BB41,Factors!$C$46:$BB$46)+SUMPRODUCT(Oxides_max!$C41:$BB41,Factors!$C$46:$BB$46))/2)</f>
        <v>1.7089435591732899E-2</v>
      </c>
      <c r="AN41" s="20">
        <f>MAX(0,(SUMPRODUCT(Oxides_min!$C41:$BB41,Factors!$C$47:$BB$47)+SUMPRODUCT(Oxides_max!$C41:$BB41,Factors!$C$47:$BB$47))/2)</f>
        <v>0</v>
      </c>
      <c r="AO41" s="20">
        <f>MAX(0,(SUMPRODUCT(Oxides_min!$C41:$BB41,Factors!$C$48:$BB$48)+SUMPRODUCT(Oxides_max!$C41:$BB41,Factors!$C$48:$BB$48))/2)</f>
        <v>0</v>
      </c>
      <c r="AP41" s="20">
        <f>MAX(0,(SUMPRODUCT(Oxides_min!$C41:$BB41,Factors!$C$49:$BB$49)+SUMPRODUCT(Oxides_max!$C41:$BB41,Factors!$C$49:$BB$49))/2)</f>
        <v>0</v>
      </c>
      <c r="AQ41" s="20">
        <f>MAX(0,(SUMPRODUCT(Oxides_min!$C41:$BB41,Factors!$C$50:$BB$50)+SUMPRODUCT(Oxides_max!$C41:$BB41,Factors!$C$50:$BB$50))/2)</f>
        <v>0</v>
      </c>
      <c r="AR41" s="20">
        <f>MAX(0,(SUMPRODUCT(Oxides_min!$C41:$BB41,Factors!$C$51:$BB$51)+SUMPRODUCT(Oxides_max!$C41:$BB41,Factors!$C$51:$BB$51))/2)</f>
        <v>0</v>
      </c>
      <c r="AS41" s="20">
        <f>MAX(0,(SUMPRODUCT(Oxides_min!$C41:$BB41,Factors!$C$52:$BB$52)+SUMPRODUCT(Oxides_max!$C41:$BB41,Factors!$C$52:$BB$52))/2)</f>
        <v>0</v>
      </c>
      <c r="AT41" s="20">
        <f>MAX(0,(SUMPRODUCT(Oxides_min!$C41:$BB41,Factors!$C$53:$BB$53)+SUMPRODUCT(Oxides_max!$C41:$BB41,Factors!$C$53:$BB$53))/2)</f>
        <v>0</v>
      </c>
      <c r="AU41" s="20">
        <f>MAX(0,(SUMPRODUCT(Oxides_min!$C41:$BB41,Factors!$C$54:$BB$54)+SUMPRODUCT(Oxides_max!$C41:$BB41,Factors!$C$54:$BB$54))/2)</f>
        <v>0</v>
      </c>
      <c r="AV41" s="20">
        <f>MAX(0,(SUMPRODUCT(Oxides_min!$C41:$BB41,Factors!$C$55:$BB$55)+SUMPRODUCT(Oxides_max!$C41:$BB41,Factors!$C$55:$BB$55))/2)</f>
        <v>0</v>
      </c>
      <c r="AW41" s="20">
        <f>MAX(0,(SUMPRODUCT(Oxides_min!$C41:$BB41,Factors!$C$56:$BB$56)+SUMPRODUCT(Oxides_max!$C41:$BB41,Factors!$C$56:$BB$56))/2)</f>
        <v>0</v>
      </c>
      <c r="AX41" s="20">
        <f>MAX(0,(SUMPRODUCT(Oxides_min!$C41:$BB41,Factors!$C$57:$BB$57)+SUMPRODUCT(Oxides_max!$C41:$BB41,Factors!$C$57:$BB$57))/2)</f>
        <v>0</v>
      </c>
      <c r="AY41" s="20">
        <f>MAX(0,(SUMPRODUCT(Oxides_min!$C41:$BB41,Factors!$C$58:$BB$58)+SUMPRODUCT(Oxides_max!$C41:$BB41,Factors!$C$58:$BB$58))/2)</f>
        <v>0</v>
      </c>
      <c r="AZ41" s="18">
        <f t="shared" si="2"/>
        <v>99.909999999999982</v>
      </c>
    </row>
    <row r="42" spans="1:52" x14ac:dyDescent="0.35">
      <c r="A42" s="13" t="s">
        <v>357</v>
      </c>
      <c r="B42" s="20">
        <f>MAX(0,(SUMPRODUCT(Oxides_min!$C42:$BB42,Factors!$C$9:$BB$9)+SUMPRODUCT(Oxides_max!$C42:$BB42,Factors!$C$9:$BB$9))/2)</f>
        <v>36.716575709535917</v>
      </c>
      <c r="C42" s="20">
        <f>MAX(0,(SUMPRODUCT(Oxides_min!$C42:$BB42,Factors!$C$10:$BB$10)+SUMPRODUCT(Oxides_max!$C42:$BB42,Factors!$C$10:$BB$10))/2)</f>
        <v>15.839093004676865</v>
      </c>
      <c r="D42" s="20">
        <f>MAX(0,(SUMPRODUCT(Oxides_min!$C42:$BB42,Factors!$C$11:$BB$11)+SUMPRODUCT(Oxides_max!$C42:$BB42,Factors!$C$11:$BB$11))/2)</f>
        <v>0.44351818694046208</v>
      </c>
      <c r="E42" s="20">
        <f>MAX(0,(SUMPRODUCT(Oxides_min!$C42:$BB42,Factors!$C$12:$BB$12)+SUMPRODUCT(Oxides_max!$C42:$BB42,Factors!$C$12:$BB$12))/2)</f>
        <v>0</v>
      </c>
      <c r="F42" s="20">
        <f>MAX(0,(SUMPRODUCT(Oxides_min!$C42:$BB42,Factors!$C$13:$BB$13)+SUMPRODUCT(Oxides_max!$C42:$BB42,Factors!$C$13:$BB$13))/2)</f>
        <v>0</v>
      </c>
      <c r="G42" s="20">
        <f>MAX(0,(SUMPRODUCT(Oxides_min!$C42:$BB42,Factors!$C$14:$BB$14)+SUMPRODUCT(Oxides_max!$C42:$BB42,Factors!$C$14:$BB$14))/2)</f>
        <v>0</v>
      </c>
      <c r="H42" s="20">
        <f>MAX(0,(SUMPRODUCT(Oxides_min!$C42:$BB42,Factors!$C$15:$BB$15)+SUMPRODUCT(Oxides_max!$C42:$BB42,Factors!$C$15:$BB$15))/2)</f>
        <v>7.1978942032379987</v>
      </c>
      <c r="I42" s="20">
        <f>MAX(0,(SUMPRODUCT(Oxides_min!$C42:$BB42,Factors!$C$16:$BB$16)+SUMPRODUCT(Oxides_max!$C42:$BB42,Factors!$C$16:$BB$16))/2)</f>
        <v>29.677664105562052</v>
      </c>
      <c r="J42" s="20">
        <f>MAX(0,(SUMPRODUCT(Oxides_min!$C42:$BB42,Factors!$C$17:$BB$17)+SUMPRODUCT(Oxides_max!$C42:$BB42,Factors!$C$17:$BB$17))/2)</f>
        <v>0.68539885789433241</v>
      </c>
      <c r="K42" s="20">
        <f>MAX(0,(SUMPRODUCT(Oxides_min!$C42:$BB42,Factors!$C$18:$BB$18)+SUMPRODUCT(Oxides_max!$C42:$BB42,Factors!$C$18:$BB$18))/2)</f>
        <v>0</v>
      </c>
      <c r="L42" s="20">
        <f>MAX(0,(SUMPRODUCT(Oxides_min!$C42:$BB42,Factors!$C$19:$BB$19)+SUMPRODUCT(Oxides_max!$C42:$BB42,Factors!$C$19:$BB$19))/2)</f>
        <v>0</v>
      </c>
      <c r="M42" s="20">
        <f>MAX(0,(SUMPRODUCT(Oxides_min!$C42:$BB42,Factors!$C$20:$BB$20)+SUMPRODUCT(Oxides_max!$C42:$BB42,Factors!$C$20:$BB$20))/2)</f>
        <v>1.0251711988884478</v>
      </c>
      <c r="N42" s="20">
        <f>MAX(0,(SUMPRODUCT(Oxides_min!$C42:$BB42,Factors!$C$21:$BB$21)+SUMPRODUCT(Oxides_max!$C42:$BB42,Factors!$C$21:$BB$21))/2)</f>
        <v>5.3602189846104459E-2</v>
      </c>
      <c r="O42" s="20">
        <f>MAX(0,(SUMPRODUCT(Oxides_min!$C42:$BB42,Factors!$C$22:$BB$22)+SUMPRODUCT(Oxides_max!$C42:$BB42,Factors!$C$22:$BB$22))/2)</f>
        <v>0</v>
      </c>
      <c r="P42" s="20">
        <f>MAX(0,(SUMPRODUCT(Oxides_min!$C42:$BB42,Factors!$C$23:$BB$23)+SUMPRODUCT(Oxides_max!$C42:$BB42,Factors!$C$23:$BB$23))/2)</f>
        <v>0</v>
      </c>
      <c r="Q42" s="20">
        <f>MAX(0,(SUMPRODUCT(Oxides_min!$C42:$BB42,Factors!$C$24:$BB$24)+SUMPRODUCT(Oxides_max!$C42:$BB42,Factors!$C$24:$BB$24))/2)</f>
        <v>0</v>
      </c>
      <c r="R42" s="20">
        <f>MAX(0,(SUMPRODUCT(Oxides_min!$C42:$BB42,Factors!$C$25:$BB$25)+SUMPRODUCT(Oxides_max!$C42:$BB42,Factors!$C$25:$BB$25))/2)</f>
        <v>0.10386071611172885</v>
      </c>
      <c r="S42" s="20">
        <f>MAX(0,(SUMPRODUCT(Oxides_min!$C42:$BB42,Factors!$C$26:$BB$26)+SUMPRODUCT(Oxides_max!$C42:$BB42,Factors!$C$26:$BB$26))/2)</f>
        <v>7.1808087638913065</v>
      </c>
      <c r="T42" s="20">
        <f>MAX(0,(SUMPRODUCT(Oxides_min!$C42:$BB42,Factors!$C$27:$BB$27)+SUMPRODUCT(Oxides_max!$C42:$BB42,Factors!$C$27:$BB$27))/2)</f>
        <v>0</v>
      </c>
      <c r="U42" s="20">
        <f>MAX(0,(SUMPRODUCT(Oxides_min!$C42:$BB42,Factors!$C$28:$BB$28)+SUMPRODUCT(Oxides_max!$C42:$BB42,Factors!$C$28:$BB$28))/2)</f>
        <v>0</v>
      </c>
      <c r="V42" s="20">
        <f>MAX(0,(SUMPRODUCT(Oxides_min!$C42:$BB42,Factors!$C$29:$BB$29)+SUMPRODUCT(Oxides_max!$C42:$BB42,Factors!$C$29:$BB$29))/2)</f>
        <v>0</v>
      </c>
      <c r="W42" s="20">
        <f>MAX(0,(SUMPRODUCT(Oxides_min!$C42:$BB42,Factors!$C$30:$BB$30)+SUMPRODUCT(Oxides_max!$C42:$BB42,Factors!$C$30:$BB$30))/2)</f>
        <v>0</v>
      </c>
      <c r="X42" s="20">
        <f>MAX(0,(SUMPRODUCT(Oxides_min!$C42:$BB42,Factors!$C$31:$BB$31)+SUMPRODUCT(Oxides_max!$C42:$BB42,Factors!$C$31:$BB$31))/2)</f>
        <v>0</v>
      </c>
      <c r="Y42" s="20">
        <f>MAX(0,(SUMPRODUCT(Oxides_min!$C42:$BB42,Factors!$C$32:$BB$32)+SUMPRODUCT(Oxides_max!$C42:$BB42,Factors!$C$32:$BB$32))/2)</f>
        <v>0</v>
      </c>
      <c r="Z42" s="20">
        <f>MAX(0,(SUMPRODUCT(Oxides_min!$C42:$BB42,Factors!$C$33:$BB$33)+SUMPRODUCT(Oxides_max!$C42:$BB42,Factors!$C$33:$BB$33))/2)</f>
        <v>0</v>
      </c>
      <c r="AA42" s="20">
        <f>MAX(0,(SUMPRODUCT(Oxides_min!$C42:$BB42,Factors!$C$34:$BB$34)+SUMPRODUCT(Oxides_max!$C42:$BB42,Factors!$C$34:$BB$34))/2)</f>
        <v>0</v>
      </c>
      <c r="AB42" s="20">
        <f>MAX(0,(SUMPRODUCT(Oxides_min!$C42:$BB42,Factors!$C$35:$BB$35)+SUMPRODUCT(Oxides_max!$C42:$BB42,Factors!$C$35:$BB$35))/2)</f>
        <v>0</v>
      </c>
      <c r="AC42" s="20">
        <f>MAX(0,(SUMPRODUCT(Oxides_min!$C42:$BB42,Factors!$C$36:$BB$36)+SUMPRODUCT(Oxides_max!$C42:$BB42,Factors!$C$36:$BB$36))/2)</f>
        <v>0</v>
      </c>
      <c r="AD42" s="20">
        <f>MAX(0,(SUMPRODUCT(Oxides_min!$C42:$BB42,Factors!$C$37:$BB$37)+SUMPRODUCT(Oxides_max!$C42:$BB42,Factors!$C$37:$BB$37))/2)</f>
        <v>0.19695587010824311</v>
      </c>
      <c r="AE42" s="20">
        <f>MAX(0,(SUMPRODUCT(Oxides_min!$C42:$BB42,Factors!$C$38:$BB$38)+SUMPRODUCT(Oxides_max!$C42:$BB42,Factors!$C$38:$BB$38))/2)</f>
        <v>1.1100000000000001</v>
      </c>
      <c r="AF42" s="20">
        <f>MAX(0,(SUMPRODUCT(Oxides_min!$C42:$BB42,Factors!$C$39:$BB$39)+SUMPRODUCT(Oxides_max!$C42:$BB42,Factors!$C$39:$BB$39))/2)</f>
        <v>0.12</v>
      </c>
      <c r="AG42" s="20">
        <f>MAX(0,(SUMPRODUCT(Oxides_min!$C42:$BB42,Factors!$C$40:$BB$40)+SUMPRODUCT(Oxides_max!$C42:$BB42,Factors!$C$40:$BB$40))/2)</f>
        <v>0</v>
      </c>
      <c r="AH42" s="20">
        <f>MAX(0,(SUMPRODUCT(Oxides_min!$C42:$BB42,Factors!$C$41:$BB$41)+SUMPRODUCT(Oxides_max!$C42:$BB42,Factors!$C$41:$BB$41))/2)</f>
        <v>0</v>
      </c>
      <c r="AI42" s="20">
        <f>MAX(0,(SUMPRODUCT(Oxides_min!$C42:$BB42,Factors!$C$42:$BB$42)+SUMPRODUCT(Oxides_max!$C42:$BB42,Factors!$C$42:$BB$42))/2)</f>
        <v>0</v>
      </c>
      <c r="AJ42" s="20">
        <f>MAX(0,(SUMPRODUCT(Oxides_min!$C42:$BB42,Factors!$C$43:$BB$43)+SUMPRODUCT(Oxides_max!$C42:$BB42,Factors!$C$43:$BB$43))/2)</f>
        <v>0</v>
      </c>
      <c r="AK42" s="20">
        <f>MAX(0,(SUMPRODUCT(Oxides_min!$C42:$BB42,Factors!$C$44:$BB$44)+SUMPRODUCT(Oxides_max!$C42:$BB42,Factors!$C$44:$BB$44))/2)</f>
        <v>0</v>
      </c>
      <c r="AL42" s="20">
        <f>MAX(0,(SUMPRODUCT(Oxides_min!$C42:$BB42,Factors!$C$45:$BB$45)+SUMPRODUCT(Oxides_max!$C42:$BB42,Factors!$C$45:$BB$45))/2)</f>
        <v>0</v>
      </c>
      <c r="AM42" s="20">
        <f>MAX(0,(SUMPRODUCT(Oxides_min!$C42:$BB42,Factors!$C$46:$BB$46)+SUMPRODUCT(Oxides_max!$C42:$BB42,Factors!$C$46:$BB$46))/2)</f>
        <v>0</v>
      </c>
      <c r="AN42" s="20">
        <f>MAX(0,(SUMPRODUCT(Oxides_min!$C42:$BB42,Factors!$C$47:$BB$47)+SUMPRODUCT(Oxides_max!$C42:$BB42,Factors!$C$47:$BB$47))/2)</f>
        <v>0</v>
      </c>
      <c r="AO42" s="20">
        <f>MAX(0,(SUMPRODUCT(Oxides_min!$C42:$BB42,Factors!$C$48:$BB$48)+SUMPRODUCT(Oxides_max!$C42:$BB42,Factors!$C$48:$BB$48))/2)</f>
        <v>0</v>
      </c>
      <c r="AP42" s="20">
        <f>MAX(0,(SUMPRODUCT(Oxides_min!$C42:$BB42,Factors!$C$49:$BB$49)+SUMPRODUCT(Oxides_max!$C42:$BB42,Factors!$C$49:$BB$49))/2)</f>
        <v>0</v>
      </c>
      <c r="AQ42" s="20">
        <f>MAX(0,(SUMPRODUCT(Oxides_min!$C42:$BB42,Factors!$C$50:$BB$50)+SUMPRODUCT(Oxides_max!$C42:$BB42,Factors!$C$50:$BB$50))/2)</f>
        <v>0</v>
      </c>
      <c r="AR42" s="20">
        <f>MAX(0,(SUMPRODUCT(Oxides_min!$C42:$BB42,Factors!$C$51:$BB$51)+SUMPRODUCT(Oxides_max!$C42:$BB42,Factors!$C$51:$BB$51))/2)</f>
        <v>0</v>
      </c>
      <c r="AS42" s="20">
        <f>MAX(0,(SUMPRODUCT(Oxides_min!$C42:$BB42,Factors!$C$52:$BB$52)+SUMPRODUCT(Oxides_max!$C42:$BB42,Factors!$C$52:$BB$52))/2)</f>
        <v>0</v>
      </c>
      <c r="AT42" s="20">
        <f>MAX(0,(SUMPRODUCT(Oxides_min!$C42:$BB42,Factors!$C$53:$BB$53)+SUMPRODUCT(Oxides_max!$C42:$BB42,Factors!$C$53:$BB$53))/2)</f>
        <v>0</v>
      </c>
      <c r="AU42" s="20">
        <f>MAX(0,(SUMPRODUCT(Oxides_min!$C42:$BB42,Factors!$C$54:$BB$54)+SUMPRODUCT(Oxides_max!$C42:$BB42,Factors!$C$54:$BB$54))/2)</f>
        <v>0</v>
      </c>
      <c r="AV42" s="20">
        <f>MAX(0,(SUMPRODUCT(Oxides_min!$C42:$BB42,Factors!$C$55:$BB$55)+SUMPRODUCT(Oxides_max!$C42:$BB42,Factors!$C$55:$BB$55))/2)</f>
        <v>0</v>
      </c>
      <c r="AW42" s="20">
        <f>MAX(0,(SUMPRODUCT(Oxides_min!$C42:$BB42,Factors!$C$56:$BB$56)+SUMPRODUCT(Oxides_max!$C42:$BB42,Factors!$C$56:$BB$56))/2)</f>
        <v>0</v>
      </c>
      <c r="AX42" s="20">
        <f>MAX(0,(SUMPRODUCT(Oxides_min!$C42:$BB42,Factors!$C$57:$BB$57)+SUMPRODUCT(Oxides_max!$C42:$BB42,Factors!$C$57:$BB$57))/2)</f>
        <v>0</v>
      </c>
      <c r="AY42" s="20">
        <f>MAX(0,(SUMPRODUCT(Oxides_min!$C42:$BB42,Factors!$C$58:$BB$58)+SUMPRODUCT(Oxides_max!$C42:$BB42,Factors!$C$58:$BB$58))/2)</f>
        <v>0</v>
      </c>
      <c r="AZ42" s="18">
        <f t="shared" si="2"/>
        <v>100.35054280669344</v>
      </c>
    </row>
    <row r="43" spans="1:52" x14ac:dyDescent="0.35">
      <c r="A43" s="13" t="s">
        <v>359</v>
      </c>
      <c r="B43" s="20">
        <f>MAX(0,(SUMPRODUCT(Oxides_min!$C43:$BB43,Factors!$C$9:$BB$9)+SUMPRODUCT(Oxides_max!$C43:$BB43,Factors!$C$9:$BB$9))/2)</f>
        <v>27.160717030403653</v>
      </c>
      <c r="C43" s="20">
        <f>MAX(0,(SUMPRODUCT(Oxides_min!$C43:$BB43,Factors!$C$10:$BB$10)+SUMPRODUCT(Oxides_max!$C43:$BB43,Factors!$C$10:$BB$10))/2)</f>
        <v>0</v>
      </c>
      <c r="D43" s="20">
        <f>MAX(0,(SUMPRODUCT(Oxides_min!$C43:$BB43,Factors!$C$11:$BB$11)+SUMPRODUCT(Oxides_max!$C43:$BB43,Factors!$C$11:$BB$11))/2)</f>
        <v>0.38957678582608157</v>
      </c>
      <c r="E43" s="20">
        <f>MAX(0,(SUMPRODUCT(Oxides_min!$C43:$BB43,Factors!$C$12:$BB$12)+SUMPRODUCT(Oxides_max!$C43:$BB43,Factors!$C$12:$BB$12))/2)</f>
        <v>0</v>
      </c>
      <c r="F43" s="20">
        <f>MAX(0,(SUMPRODUCT(Oxides_min!$C43:$BB43,Factors!$C$13:$BB$13)+SUMPRODUCT(Oxides_max!$C43:$BB43,Factors!$C$13:$BB$13))/2)</f>
        <v>0</v>
      </c>
      <c r="G43" s="20">
        <f>MAX(0,(SUMPRODUCT(Oxides_min!$C43:$BB43,Factors!$C$14:$BB$14)+SUMPRODUCT(Oxides_max!$C43:$BB43,Factors!$C$14:$BB$14))/2)</f>
        <v>0.26387351699976114</v>
      </c>
      <c r="H43" s="20">
        <f>MAX(0,(SUMPRODUCT(Oxides_min!$C43:$BB43,Factors!$C$15:$BB$15)+SUMPRODUCT(Oxides_max!$C43:$BB43,Factors!$C$15:$BB$15))/2)</f>
        <v>0</v>
      </c>
      <c r="I43" s="20">
        <f>MAX(0,(SUMPRODUCT(Oxides_min!$C43:$BB43,Factors!$C$16:$BB$16)+SUMPRODUCT(Oxides_max!$C43:$BB43,Factors!$C$16:$BB$16))/2)</f>
        <v>13.334738809086353</v>
      </c>
      <c r="J43" s="20">
        <f>MAX(0,(SUMPRODUCT(Oxides_min!$C43:$BB43,Factors!$C$17:$BB$17)+SUMPRODUCT(Oxides_max!$C43:$BB43,Factors!$C$17:$BB$17))/2)</f>
        <v>2.3117690291690192</v>
      </c>
      <c r="K43" s="20">
        <f>MAX(0,(SUMPRODUCT(Oxides_min!$C43:$BB43,Factors!$C$18:$BB$18)+SUMPRODUCT(Oxides_max!$C43:$BB43,Factors!$C$18:$BB$18))/2)</f>
        <v>0</v>
      </c>
      <c r="L43" s="20">
        <f>MAX(0,(SUMPRODUCT(Oxides_min!$C43:$BB43,Factors!$C$19:$BB$19)+SUMPRODUCT(Oxides_max!$C43:$BB43,Factors!$C$19:$BB$19))/2)</f>
        <v>0</v>
      </c>
      <c r="M43" s="20">
        <f>MAX(0,(SUMPRODUCT(Oxides_min!$C43:$BB43,Factors!$C$20:$BB$20)+SUMPRODUCT(Oxides_max!$C43:$BB43,Factors!$C$20:$BB$20))/2)</f>
        <v>0</v>
      </c>
      <c r="N43" s="20">
        <f>MAX(0,(SUMPRODUCT(Oxides_min!$C43:$BB43,Factors!$C$21:$BB$21)+SUMPRODUCT(Oxides_max!$C43:$BB43,Factors!$C$21:$BB$21))/2)</f>
        <v>0.20726180073827055</v>
      </c>
      <c r="O43" s="20">
        <f>MAX(0,(SUMPRODUCT(Oxides_min!$C43:$BB43,Factors!$C$22:$BB$22)+SUMPRODUCT(Oxides_max!$C43:$BB43,Factors!$C$22:$BB$22))/2)</f>
        <v>0</v>
      </c>
      <c r="P43" s="20">
        <f>MAX(0,(SUMPRODUCT(Oxides_min!$C43:$BB43,Factors!$C$23:$BB$23)+SUMPRODUCT(Oxides_max!$C43:$BB43,Factors!$C$23:$BB$23))/2)</f>
        <v>0</v>
      </c>
      <c r="Q43" s="20">
        <f>MAX(0,(SUMPRODUCT(Oxides_min!$C43:$BB43,Factors!$C$24:$BB$24)+SUMPRODUCT(Oxides_max!$C43:$BB43,Factors!$C$24:$BB$24))/2)</f>
        <v>0</v>
      </c>
      <c r="R43" s="20">
        <f>MAX(0,(SUMPRODUCT(Oxides_min!$C43:$BB43,Factors!$C$25:$BB$25)+SUMPRODUCT(Oxides_max!$C43:$BB43,Factors!$C$25:$BB$25))/2)</f>
        <v>0</v>
      </c>
      <c r="S43" s="20">
        <f>MAX(0,(SUMPRODUCT(Oxides_min!$C43:$BB43,Factors!$C$26:$BB$26)+SUMPRODUCT(Oxides_max!$C43:$BB43,Factors!$C$26:$BB$26))/2)</f>
        <v>0</v>
      </c>
      <c r="T43" s="20">
        <f>MAX(0,(SUMPRODUCT(Oxides_min!$C43:$BB43,Factors!$C$27:$BB$27)+SUMPRODUCT(Oxides_max!$C43:$BB43,Factors!$C$27:$BB$27))/2)</f>
        <v>0</v>
      </c>
      <c r="U43" s="20">
        <f>MAX(0,(SUMPRODUCT(Oxides_min!$C43:$BB43,Factors!$C$28:$BB$28)+SUMPRODUCT(Oxides_max!$C43:$BB43,Factors!$C$28:$BB$28))/2)</f>
        <v>0</v>
      </c>
      <c r="V43" s="20">
        <f>MAX(0,(SUMPRODUCT(Oxides_min!$C43:$BB43,Factors!$C$29:$BB$29)+SUMPRODUCT(Oxides_max!$C43:$BB43,Factors!$C$29:$BB$29))/2)</f>
        <v>0</v>
      </c>
      <c r="W43" s="20">
        <f>MAX(0,(SUMPRODUCT(Oxides_min!$C43:$BB43,Factors!$C$30:$BB$30)+SUMPRODUCT(Oxides_max!$C43:$BB43,Factors!$C$30:$BB$30))/2)</f>
        <v>45.592001582798162</v>
      </c>
      <c r="X43" s="20">
        <f>MAX(0,(SUMPRODUCT(Oxides_min!$C43:$BB43,Factors!$C$31:$BB$31)+SUMPRODUCT(Oxides_max!$C43:$BB43,Factors!$C$31:$BB$31))/2)</f>
        <v>11.74404551568356</v>
      </c>
      <c r="Y43" s="20">
        <f>MAX(0,(SUMPRODUCT(Oxides_min!$C43:$BB43,Factors!$C$32:$BB$32)+SUMPRODUCT(Oxides_max!$C43:$BB43,Factors!$C$32:$BB$32))/2)</f>
        <v>0.11101592929515136</v>
      </c>
      <c r="Z43" s="20">
        <f>MAX(0,(SUMPRODUCT(Oxides_min!$C43:$BB43,Factors!$C$33:$BB$33)+SUMPRODUCT(Oxides_max!$C43:$BB43,Factors!$C$33:$BB$33))/2)</f>
        <v>0</v>
      </c>
      <c r="AA43" s="20">
        <f>MAX(0,(SUMPRODUCT(Oxides_min!$C43:$BB43,Factors!$C$34:$BB$34)+SUMPRODUCT(Oxides_max!$C43:$BB43,Factors!$C$34:$BB$34))/2)</f>
        <v>0</v>
      </c>
      <c r="AB43" s="20">
        <f>MAX(0,(SUMPRODUCT(Oxides_min!$C43:$BB43,Factors!$C$35:$BB$35)+SUMPRODUCT(Oxides_max!$C43:$BB43,Factors!$C$35:$BB$35))/2)</f>
        <v>0</v>
      </c>
      <c r="AC43" s="20">
        <f>MAX(0,(SUMPRODUCT(Oxides_min!$C43:$BB43,Factors!$C$36:$BB$36)+SUMPRODUCT(Oxides_max!$C43:$BB43,Factors!$C$36:$BB$36))/2)</f>
        <v>0</v>
      </c>
      <c r="AD43" s="20">
        <f>MAX(0,(SUMPRODUCT(Oxides_min!$C43:$BB43,Factors!$C$37:$BB$37)+SUMPRODUCT(Oxides_max!$C43:$BB43,Factors!$C$37:$BB$37))/2)</f>
        <v>0</v>
      </c>
      <c r="AE43" s="20">
        <f>MAX(0,(SUMPRODUCT(Oxides_min!$C43:$BB43,Factors!$C$38:$BB$38)+SUMPRODUCT(Oxides_max!$C43:$BB43,Factors!$C$38:$BB$38))/2)</f>
        <v>0</v>
      </c>
      <c r="AF43" s="20">
        <f>MAX(0,(SUMPRODUCT(Oxides_min!$C43:$BB43,Factors!$C$39:$BB$39)+SUMPRODUCT(Oxides_max!$C43:$BB43,Factors!$C$39:$BB$39))/2)</f>
        <v>0</v>
      </c>
      <c r="AG43" s="20">
        <f>MAX(0,(SUMPRODUCT(Oxides_min!$C43:$BB43,Factors!$C$40:$BB$40)+SUMPRODUCT(Oxides_max!$C43:$BB43,Factors!$C$40:$BB$40))/2)</f>
        <v>0</v>
      </c>
      <c r="AH43" s="20">
        <f>MAX(0,(SUMPRODUCT(Oxides_min!$C43:$BB43,Factors!$C$41:$BB$41)+SUMPRODUCT(Oxides_max!$C43:$BB43,Factors!$C$41:$BB$41))/2)</f>
        <v>0</v>
      </c>
      <c r="AI43" s="20">
        <f>MAX(0,(SUMPRODUCT(Oxides_min!$C43:$BB43,Factors!$C$42:$BB$42)+SUMPRODUCT(Oxides_max!$C43:$BB43,Factors!$C$42:$BB$42))/2)</f>
        <v>0</v>
      </c>
      <c r="AJ43" s="20">
        <f>MAX(0,(SUMPRODUCT(Oxides_min!$C43:$BB43,Factors!$C$43:$BB$43)+SUMPRODUCT(Oxides_max!$C43:$BB43,Factors!$C$43:$BB$43))/2)</f>
        <v>0</v>
      </c>
      <c r="AK43" s="20">
        <f>MAX(0,(SUMPRODUCT(Oxides_min!$C43:$BB43,Factors!$C$44:$BB$44)+SUMPRODUCT(Oxides_max!$C43:$BB43,Factors!$C$44:$BB$44))/2)</f>
        <v>0</v>
      </c>
      <c r="AL43" s="20">
        <f>MAX(0,(SUMPRODUCT(Oxides_min!$C43:$BB43,Factors!$C$45:$BB$45)+SUMPRODUCT(Oxides_max!$C43:$BB43,Factors!$C$45:$BB$45))/2)</f>
        <v>0</v>
      </c>
      <c r="AM43" s="20">
        <f>MAX(0,(SUMPRODUCT(Oxides_min!$C43:$BB43,Factors!$C$46:$BB$46)+SUMPRODUCT(Oxides_max!$C43:$BB43,Factors!$C$46:$BB$46))/2)</f>
        <v>0</v>
      </c>
      <c r="AN43" s="20">
        <f>MAX(0,(SUMPRODUCT(Oxides_min!$C43:$BB43,Factors!$C$47:$BB$47)+SUMPRODUCT(Oxides_max!$C43:$BB43,Factors!$C$47:$BB$47))/2)</f>
        <v>0</v>
      </c>
      <c r="AO43" s="20">
        <f>MAX(0,(SUMPRODUCT(Oxides_min!$C43:$BB43,Factors!$C$48:$BB$48)+SUMPRODUCT(Oxides_max!$C43:$BB43,Factors!$C$48:$BB$48))/2)</f>
        <v>0</v>
      </c>
      <c r="AP43" s="20">
        <f>MAX(0,(SUMPRODUCT(Oxides_min!$C43:$BB43,Factors!$C$49:$BB$49)+SUMPRODUCT(Oxides_max!$C43:$BB43,Factors!$C$49:$BB$49))/2)</f>
        <v>0</v>
      </c>
      <c r="AQ43" s="20">
        <f>MAX(0,(SUMPRODUCT(Oxides_min!$C43:$BB43,Factors!$C$50:$BB$50)+SUMPRODUCT(Oxides_max!$C43:$BB43,Factors!$C$50:$BB$50))/2)</f>
        <v>0</v>
      </c>
      <c r="AR43" s="20">
        <f>MAX(0,(SUMPRODUCT(Oxides_min!$C43:$BB43,Factors!$C$51:$BB$51)+SUMPRODUCT(Oxides_max!$C43:$BB43,Factors!$C$51:$BB$51))/2)</f>
        <v>0</v>
      </c>
      <c r="AS43" s="20">
        <f>MAX(0,(SUMPRODUCT(Oxides_min!$C43:$BB43,Factors!$C$52:$BB$52)+SUMPRODUCT(Oxides_max!$C43:$BB43,Factors!$C$52:$BB$52))/2)</f>
        <v>0</v>
      </c>
      <c r="AT43" s="20">
        <f>MAX(0,(SUMPRODUCT(Oxides_min!$C43:$BB43,Factors!$C$53:$BB$53)+SUMPRODUCT(Oxides_max!$C43:$BB43,Factors!$C$53:$BB$53))/2)</f>
        <v>0</v>
      </c>
      <c r="AU43" s="20">
        <f>MAX(0,(SUMPRODUCT(Oxides_min!$C43:$BB43,Factors!$C$54:$BB$54)+SUMPRODUCT(Oxides_max!$C43:$BB43,Factors!$C$54:$BB$54))/2)</f>
        <v>0</v>
      </c>
      <c r="AV43" s="20">
        <f>MAX(0,(SUMPRODUCT(Oxides_min!$C43:$BB43,Factors!$C$55:$BB$55)+SUMPRODUCT(Oxides_max!$C43:$BB43,Factors!$C$55:$BB$55))/2)</f>
        <v>0</v>
      </c>
      <c r="AW43" s="20">
        <f>MAX(0,(SUMPRODUCT(Oxides_min!$C43:$BB43,Factors!$C$56:$BB$56)+SUMPRODUCT(Oxides_max!$C43:$BB43,Factors!$C$56:$BB$56))/2)</f>
        <v>0</v>
      </c>
      <c r="AX43" s="20">
        <f>MAX(0,(SUMPRODUCT(Oxides_min!$C43:$BB43,Factors!$C$57:$BB$57)+SUMPRODUCT(Oxides_max!$C43:$BB43,Factors!$C$57:$BB$57))/2)</f>
        <v>0</v>
      </c>
      <c r="AY43" s="20">
        <f>MAX(0,(SUMPRODUCT(Oxides_min!$C43:$BB43,Factors!$C$58:$BB$58)+SUMPRODUCT(Oxides_max!$C43:$BB43,Factors!$C$58:$BB$58))/2)</f>
        <v>0</v>
      </c>
      <c r="AZ43" s="18">
        <f t="shared" si="2"/>
        <v>101.11500000000001</v>
      </c>
    </row>
    <row r="44" spans="1:52" x14ac:dyDescent="0.35">
      <c r="A44" s="13" t="s">
        <v>361</v>
      </c>
      <c r="B44" s="20">
        <f>MAX(0,(SUMPRODUCT(Oxides_min!$C44:$BB44,Factors!$C$9:$BB$9)+SUMPRODUCT(Oxides_max!$C44:$BB44,Factors!$C$9:$BB$9))/2)</f>
        <v>26.613572634789016</v>
      </c>
      <c r="C44" s="20">
        <f>MAX(0,(SUMPRODUCT(Oxides_min!$C44:$BB44,Factors!$C$10:$BB$10)+SUMPRODUCT(Oxides_max!$C44:$BB44,Factors!$C$10:$BB$10))/2)</f>
        <v>0</v>
      </c>
      <c r="D44" s="20">
        <f>MAX(0,(SUMPRODUCT(Oxides_min!$C44:$BB44,Factors!$C$11:$BB$11)+SUMPRODUCT(Oxides_max!$C44:$BB44,Factors!$C$11:$BB$11))/2)</f>
        <v>0.56938145620734992</v>
      </c>
      <c r="E44" s="20">
        <f>MAX(0,(SUMPRODUCT(Oxides_min!$C44:$BB44,Factors!$C$12:$BB$12)+SUMPRODUCT(Oxides_max!$C44:$BB44,Factors!$C$12:$BB$12))/2)</f>
        <v>0</v>
      </c>
      <c r="F44" s="20">
        <f>MAX(0,(SUMPRODUCT(Oxides_min!$C44:$BB44,Factors!$C$13:$BB$13)+SUMPRODUCT(Oxides_max!$C44:$BB44,Factors!$C$13:$BB$13))/2)</f>
        <v>0</v>
      </c>
      <c r="G44" s="20">
        <f>MAX(0,(SUMPRODUCT(Oxides_min!$C44:$BB44,Factors!$C$14:$BB$14)+SUMPRODUCT(Oxides_max!$C44:$BB44,Factors!$C$14:$BB$14))/2)</f>
        <v>0.34658014173102952</v>
      </c>
      <c r="H44" s="20">
        <f>MAX(0,(SUMPRODUCT(Oxides_min!$C44:$BB44,Factors!$C$15:$BB$15)+SUMPRODUCT(Oxides_max!$C44:$BB44,Factors!$C$15:$BB$15))/2)</f>
        <v>0</v>
      </c>
      <c r="I44" s="20">
        <f>MAX(0,(SUMPRODUCT(Oxides_min!$C44:$BB44,Factors!$C$16:$BB$16)+SUMPRODUCT(Oxides_max!$C44:$BB44,Factors!$C$16:$BB$16))/2)</f>
        <v>3.3424294304326039</v>
      </c>
      <c r="J44" s="20">
        <f>MAX(0,(SUMPRODUCT(Oxides_min!$C44:$BB44,Factors!$C$17:$BB$17)+SUMPRODUCT(Oxides_max!$C44:$BB44,Factors!$C$17:$BB$17))/2)</f>
        <v>11.798928361604693</v>
      </c>
      <c r="K44" s="20">
        <f>MAX(0,(SUMPRODUCT(Oxides_min!$C44:$BB44,Factors!$C$18:$BB$18)+SUMPRODUCT(Oxides_max!$C44:$BB44,Factors!$C$18:$BB$18))/2)</f>
        <v>0</v>
      </c>
      <c r="L44" s="20">
        <f>MAX(0,(SUMPRODUCT(Oxides_min!$C44:$BB44,Factors!$C$19:$BB$19)+SUMPRODUCT(Oxides_max!$C44:$BB44,Factors!$C$19:$BB$19))/2)</f>
        <v>0</v>
      </c>
      <c r="M44" s="20">
        <f>MAX(0,(SUMPRODUCT(Oxides_min!$C44:$BB44,Factors!$C$20:$BB$20)+SUMPRODUCT(Oxides_max!$C44:$BB44,Factors!$C$20:$BB$20))/2)</f>
        <v>0</v>
      </c>
      <c r="N44" s="20">
        <f>MAX(0,(SUMPRODUCT(Oxides_min!$C44:$BB44,Factors!$C$21:$BB$21)+SUMPRODUCT(Oxides_max!$C44:$BB44,Factors!$C$21:$BB$21))/2)</f>
        <v>0</v>
      </c>
      <c r="O44" s="20">
        <f>MAX(0,(SUMPRODUCT(Oxides_min!$C44:$BB44,Factors!$C$22:$BB$22)+SUMPRODUCT(Oxides_max!$C44:$BB44,Factors!$C$22:$BB$22))/2)</f>
        <v>0</v>
      </c>
      <c r="P44" s="20">
        <f>MAX(0,(SUMPRODUCT(Oxides_min!$C44:$BB44,Factors!$C$23:$BB$23)+SUMPRODUCT(Oxides_max!$C44:$BB44,Factors!$C$23:$BB$23))/2)</f>
        <v>0</v>
      </c>
      <c r="Q44" s="20">
        <f>MAX(0,(SUMPRODUCT(Oxides_min!$C44:$BB44,Factors!$C$24:$BB$24)+SUMPRODUCT(Oxides_max!$C44:$BB44,Factors!$C$24:$BB$24))/2)</f>
        <v>0</v>
      </c>
      <c r="R44" s="20">
        <f>MAX(0,(SUMPRODUCT(Oxides_min!$C44:$BB44,Factors!$C$25:$BB$25)+SUMPRODUCT(Oxides_max!$C44:$BB44,Factors!$C$25:$BB$25))/2)</f>
        <v>7.4186225794092035E-3</v>
      </c>
      <c r="S44" s="20">
        <f>MAX(0,(SUMPRODUCT(Oxides_min!$C44:$BB44,Factors!$C$26:$BB$26)+SUMPRODUCT(Oxides_max!$C44:$BB44,Factors!$C$26:$BB$26))/2)</f>
        <v>0</v>
      </c>
      <c r="T44" s="20">
        <f>MAX(0,(SUMPRODUCT(Oxides_min!$C44:$BB44,Factors!$C$27:$BB$27)+SUMPRODUCT(Oxides_max!$C44:$BB44,Factors!$C$27:$BB$27))/2)</f>
        <v>0</v>
      </c>
      <c r="U44" s="20">
        <f>MAX(0,(SUMPRODUCT(Oxides_min!$C44:$BB44,Factors!$C$28:$BB$28)+SUMPRODUCT(Oxides_max!$C44:$BB44,Factors!$C$28:$BB$28))/2)</f>
        <v>0</v>
      </c>
      <c r="V44" s="20">
        <f>MAX(0,(SUMPRODUCT(Oxides_min!$C44:$BB44,Factors!$C$29:$BB$29)+SUMPRODUCT(Oxides_max!$C44:$BB44,Factors!$C$29:$BB$29))/2)</f>
        <v>0</v>
      </c>
      <c r="W44" s="20">
        <f>MAX(0,(SUMPRODUCT(Oxides_min!$C44:$BB44,Factors!$C$30:$BB$30)+SUMPRODUCT(Oxides_max!$C44:$BB44,Factors!$C$30:$BB$30))/2)</f>
        <v>43.945740256096386</v>
      </c>
      <c r="X44" s="20">
        <f>MAX(0,(SUMPRODUCT(Oxides_min!$C44:$BB44,Factors!$C$31:$BB$31)+SUMPRODUCT(Oxides_max!$C44:$BB44,Factors!$C$31:$BB$31))/2)</f>
        <v>12.77594909655952</v>
      </c>
      <c r="Y44" s="20">
        <f>MAX(0,(SUMPRODUCT(Oxides_min!$C44:$BB44,Factors!$C$32:$BB$32)+SUMPRODUCT(Oxides_max!$C44:$BB44,Factors!$C$32:$BB$32))/2)</f>
        <v>0</v>
      </c>
      <c r="Z44" s="20">
        <f>MAX(0,(SUMPRODUCT(Oxides_min!$C44:$BB44,Factors!$C$33:$BB$33)+SUMPRODUCT(Oxides_max!$C44:$BB44,Factors!$C$33:$BB$33))/2)</f>
        <v>0</v>
      </c>
      <c r="AA44" s="20">
        <f>MAX(0,(SUMPRODUCT(Oxides_min!$C44:$BB44,Factors!$C$34:$BB$34)+SUMPRODUCT(Oxides_max!$C44:$BB44,Factors!$C$34:$BB$34))/2)</f>
        <v>0</v>
      </c>
      <c r="AB44" s="20">
        <f>MAX(0,(SUMPRODUCT(Oxides_min!$C44:$BB44,Factors!$C$35:$BB$35)+SUMPRODUCT(Oxides_max!$C44:$BB44,Factors!$C$35:$BB$35))/2)</f>
        <v>0</v>
      </c>
      <c r="AC44" s="20">
        <f>MAX(0,(SUMPRODUCT(Oxides_min!$C44:$BB44,Factors!$C$36:$BB$36)+SUMPRODUCT(Oxides_max!$C44:$BB44,Factors!$C$36:$BB$36))/2)</f>
        <v>0</v>
      </c>
      <c r="AD44" s="20">
        <f>MAX(0,(SUMPRODUCT(Oxides_min!$C44:$BB44,Factors!$C$37:$BB$37)+SUMPRODUCT(Oxides_max!$C44:$BB44,Factors!$C$37:$BB$37))/2)</f>
        <v>0</v>
      </c>
      <c r="AE44" s="20">
        <f>MAX(0,(SUMPRODUCT(Oxides_min!$C44:$BB44,Factors!$C$38:$BB$38)+SUMPRODUCT(Oxides_max!$C44:$BB44,Factors!$C$38:$BB$38))/2)</f>
        <v>0</v>
      </c>
      <c r="AF44" s="20">
        <f>MAX(0,(SUMPRODUCT(Oxides_min!$C44:$BB44,Factors!$C$39:$BB$39)+SUMPRODUCT(Oxides_max!$C44:$BB44,Factors!$C$39:$BB$39))/2)</f>
        <v>0</v>
      </c>
      <c r="AG44" s="20">
        <f>MAX(0,(SUMPRODUCT(Oxides_min!$C44:$BB44,Factors!$C$40:$BB$40)+SUMPRODUCT(Oxides_max!$C44:$BB44,Factors!$C$40:$BB$40))/2)</f>
        <v>0</v>
      </c>
      <c r="AH44" s="20">
        <f>MAX(0,(SUMPRODUCT(Oxides_min!$C44:$BB44,Factors!$C$41:$BB$41)+SUMPRODUCT(Oxides_max!$C44:$BB44,Factors!$C$41:$BB$41))/2)</f>
        <v>0</v>
      </c>
      <c r="AI44" s="20">
        <f>MAX(0,(SUMPRODUCT(Oxides_min!$C44:$BB44,Factors!$C$42:$BB$42)+SUMPRODUCT(Oxides_max!$C44:$BB44,Factors!$C$42:$BB$42))/2)</f>
        <v>0</v>
      </c>
      <c r="AJ44" s="20">
        <f>MAX(0,(SUMPRODUCT(Oxides_min!$C44:$BB44,Factors!$C$43:$BB$43)+SUMPRODUCT(Oxides_max!$C44:$BB44,Factors!$C$43:$BB$43))/2)</f>
        <v>0</v>
      </c>
      <c r="AK44" s="20">
        <f>MAX(0,(SUMPRODUCT(Oxides_min!$C44:$BB44,Factors!$C$44:$BB$44)+SUMPRODUCT(Oxides_max!$C44:$BB44,Factors!$C$44:$BB$44))/2)</f>
        <v>0</v>
      </c>
      <c r="AL44" s="20">
        <f>MAX(0,(SUMPRODUCT(Oxides_min!$C44:$BB44,Factors!$C$45:$BB$45)+SUMPRODUCT(Oxides_max!$C44:$BB44,Factors!$C$45:$BB$45))/2)</f>
        <v>0</v>
      </c>
      <c r="AM44" s="20">
        <f>MAX(0,(SUMPRODUCT(Oxides_min!$C44:$BB44,Factors!$C$46:$BB$46)+SUMPRODUCT(Oxides_max!$C44:$BB44,Factors!$C$46:$BB$46))/2)</f>
        <v>0</v>
      </c>
      <c r="AN44" s="20">
        <f>MAX(0,(SUMPRODUCT(Oxides_min!$C44:$BB44,Factors!$C$47:$BB$47)+SUMPRODUCT(Oxides_max!$C44:$BB44,Factors!$C$47:$BB$47))/2)</f>
        <v>0</v>
      </c>
      <c r="AO44" s="20">
        <f>MAX(0,(SUMPRODUCT(Oxides_min!$C44:$BB44,Factors!$C$48:$BB$48)+SUMPRODUCT(Oxides_max!$C44:$BB44,Factors!$C$48:$BB$48))/2)</f>
        <v>0</v>
      </c>
      <c r="AP44" s="20">
        <f>MAX(0,(SUMPRODUCT(Oxides_min!$C44:$BB44,Factors!$C$49:$BB$49)+SUMPRODUCT(Oxides_max!$C44:$BB44,Factors!$C$49:$BB$49))/2)</f>
        <v>0</v>
      </c>
      <c r="AQ44" s="20">
        <f>MAX(0,(SUMPRODUCT(Oxides_min!$C44:$BB44,Factors!$C$50:$BB$50)+SUMPRODUCT(Oxides_max!$C44:$BB44,Factors!$C$50:$BB$50))/2)</f>
        <v>0</v>
      </c>
      <c r="AR44" s="20">
        <f>MAX(0,(SUMPRODUCT(Oxides_min!$C44:$BB44,Factors!$C$51:$BB$51)+SUMPRODUCT(Oxides_max!$C44:$BB44,Factors!$C$51:$BB$51))/2)</f>
        <v>0</v>
      </c>
      <c r="AS44" s="20">
        <f>MAX(0,(SUMPRODUCT(Oxides_min!$C44:$BB44,Factors!$C$52:$BB$52)+SUMPRODUCT(Oxides_max!$C44:$BB44,Factors!$C$52:$BB$52))/2)</f>
        <v>0</v>
      </c>
      <c r="AT44" s="20">
        <f>MAX(0,(SUMPRODUCT(Oxides_min!$C44:$BB44,Factors!$C$53:$BB$53)+SUMPRODUCT(Oxides_max!$C44:$BB44,Factors!$C$53:$BB$53))/2)</f>
        <v>0</v>
      </c>
      <c r="AU44" s="20">
        <f>MAX(0,(SUMPRODUCT(Oxides_min!$C44:$BB44,Factors!$C$54:$BB$54)+SUMPRODUCT(Oxides_max!$C44:$BB44,Factors!$C$54:$BB$54))/2)</f>
        <v>0</v>
      </c>
      <c r="AV44" s="20">
        <f>MAX(0,(SUMPRODUCT(Oxides_min!$C44:$BB44,Factors!$C$55:$BB$55)+SUMPRODUCT(Oxides_max!$C44:$BB44,Factors!$C$55:$BB$55))/2)</f>
        <v>0</v>
      </c>
      <c r="AW44" s="20">
        <f>MAX(0,(SUMPRODUCT(Oxides_min!$C44:$BB44,Factors!$C$56:$BB$56)+SUMPRODUCT(Oxides_max!$C44:$BB44,Factors!$C$56:$BB$56))/2)</f>
        <v>0</v>
      </c>
      <c r="AX44" s="20">
        <f>MAX(0,(SUMPRODUCT(Oxides_min!$C44:$BB44,Factors!$C$57:$BB$57)+SUMPRODUCT(Oxides_max!$C44:$BB44,Factors!$C$57:$BB$57))/2)</f>
        <v>0</v>
      </c>
      <c r="AY44" s="20">
        <f>MAX(0,(SUMPRODUCT(Oxides_min!$C44:$BB44,Factors!$C$58:$BB$58)+SUMPRODUCT(Oxides_max!$C44:$BB44,Factors!$C$58:$BB$58))/2)</f>
        <v>0</v>
      </c>
      <c r="AZ44" s="18">
        <f t="shared" si="2"/>
        <v>99.4</v>
      </c>
    </row>
    <row r="45" spans="1:52" x14ac:dyDescent="0.35">
      <c r="A45" s="13" t="s">
        <v>432</v>
      </c>
      <c r="B45" s="20">
        <f>MAX(0,(SUMPRODUCT(Oxides_min!$C45:$BB45,Factors!$C$9:$BB$9)+SUMPRODUCT(Oxides_max!$C45:$BB45,Factors!$C$9:$BB$9))/2)</f>
        <v>39.017807047509883</v>
      </c>
      <c r="C45" s="20">
        <f>MAX(0,(SUMPRODUCT(Oxides_min!$C45:$BB45,Factors!$C$10:$BB$10)+SUMPRODUCT(Oxides_max!$C45:$BB45,Factors!$C$10:$BB$10))/2)</f>
        <v>16.766954879083933</v>
      </c>
      <c r="D45" s="20">
        <f>MAX(0,(SUMPRODUCT(Oxides_min!$C45:$BB45,Factors!$C$11:$BB$11)+SUMPRODUCT(Oxides_max!$C45:$BB45,Factors!$C$11:$BB$11))/2)</f>
        <v>0</v>
      </c>
      <c r="E45" s="20">
        <f>MAX(0,(SUMPRODUCT(Oxides_min!$C45:$BB45,Factors!$C$12:$BB$12)+SUMPRODUCT(Oxides_max!$C45:$BB45,Factors!$C$12:$BB$12))/2)</f>
        <v>0</v>
      </c>
      <c r="F45" s="20">
        <f>MAX(0,(SUMPRODUCT(Oxides_min!$C45:$BB45,Factors!$C$13:$BB$13)+SUMPRODUCT(Oxides_max!$C45:$BB45,Factors!$C$13:$BB$13))/2)</f>
        <v>0</v>
      </c>
      <c r="G45" s="20">
        <f>MAX(0,(SUMPRODUCT(Oxides_min!$C45:$BB45,Factors!$C$14:$BB$14)+SUMPRODUCT(Oxides_max!$C45:$BB45,Factors!$C$14:$BB$14))/2)</f>
        <v>0</v>
      </c>
      <c r="H45" s="20">
        <f>MAX(0,(SUMPRODUCT(Oxides_min!$C45:$BB45,Factors!$C$15:$BB$15)+SUMPRODUCT(Oxides_max!$C45:$BB45,Factors!$C$15:$BB$15))/2)</f>
        <v>11.140858307217639</v>
      </c>
      <c r="I45" s="20">
        <f>MAX(0,(SUMPRODUCT(Oxides_min!$C45:$BB45,Factors!$C$16:$BB$16)+SUMPRODUCT(Oxides_max!$C45:$BB45,Factors!$C$16:$BB$16))/2)</f>
        <v>0</v>
      </c>
      <c r="J45" s="20">
        <f>MAX(0,(SUMPRODUCT(Oxides_min!$C45:$BB45,Factors!$C$17:$BB$17)+SUMPRODUCT(Oxides_max!$C45:$BB45,Factors!$C$17:$BB$17))/2)</f>
        <v>32.546764975151774</v>
      </c>
      <c r="K45" s="20">
        <f>MAX(0,(SUMPRODUCT(Oxides_min!$C45:$BB45,Factors!$C$18:$BB$18)+SUMPRODUCT(Oxides_max!$C45:$BB45,Factors!$C$18:$BB$18))/2)</f>
        <v>0</v>
      </c>
      <c r="L45" s="20">
        <f>MAX(0,(SUMPRODUCT(Oxides_min!$C45:$BB45,Factors!$C$19:$BB$19)+SUMPRODUCT(Oxides_max!$C45:$BB45,Factors!$C$19:$BB$19))/2)</f>
        <v>0</v>
      </c>
      <c r="M45" s="20">
        <f>MAX(0,(SUMPRODUCT(Oxides_min!$C45:$BB45,Factors!$C$20:$BB$20)+SUMPRODUCT(Oxides_max!$C45:$BB45,Factors!$C$20:$BB$20))/2)</f>
        <v>0</v>
      </c>
      <c r="N45" s="20">
        <f>MAX(0,(SUMPRODUCT(Oxides_min!$C45:$BB45,Factors!$C$21:$BB$21)+SUMPRODUCT(Oxides_max!$C45:$BB45,Factors!$C$21:$BB$21))/2)</f>
        <v>0.36449489095351034</v>
      </c>
      <c r="O45" s="20">
        <f>MAX(0,(SUMPRODUCT(Oxides_min!$C45:$BB45,Factors!$C$22:$BB$22)+SUMPRODUCT(Oxides_max!$C45:$BB45,Factors!$C$22:$BB$22))/2)</f>
        <v>0</v>
      </c>
      <c r="P45" s="20">
        <f>MAX(0,(SUMPRODUCT(Oxides_min!$C45:$BB45,Factors!$C$23:$BB$23)+SUMPRODUCT(Oxides_max!$C45:$BB45,Factors!$C$23:$BB$23))/2)</f>
        <v>0</v>
      </c>
      <c r="Q45" s="20">
        <f>MAX(0,(SUMPRODUCT(Oxides_min!$C45:$BB45,Factors!$C$24:$BB$24)+SUMPRODUCT(Oxides_max!$C45:$BB45,Factors!$C$24:$BB$24))/2)</f>
        <v>0</v>
      </c>
      <c r="R45" s="20">
        <f>MAX(0,(SUMPRODUCT(Oxides_min!$C45:$BB45,Factors!$C$25:$BB$25)+SUMPRODUCT(Oxides_max!$C45:$BB45,Factors!$C$25:$BB$25))/2)</f>
        <v>0</v>
      </c>
      <c r="S45" s="20">
        <f>MAX(0,(SUMPRODUCT(Oxides_min!$C45:$BB45,Factors!$C$26:$BB$26)+SUMPRODUCT(Oxides_max!$C45:$BB45,Factors!$C$26:$BB$26))/2)</f>
        <v>0</v>
      </c>
      <c r="T45" s="20">
        <f>MAX(0,(SUMPRODUCT(Oxides_min!$C45:$BB45,Factors!$C$27:$BB$27)+SUMPRODUCT(Oxides_max!$C45:$BB45,Factors!$C$27:$BB$27))/2)</f>
        <v>0</v>
      </c>
      <c r="U45" s="20">
        <f>MAX(0,(SUMPRODUCT(Oxides_min!$C45:$BB45,Factors!$C$28:$BB$28)+SUMPRODUCT(Oxides_max!$C45:$BB45,Factors!$C$28:$BB$28))/2)</f>
        <v>0</v>
      </c>
      <c r="V45" s="20">
        <f>MAX(0,(SUMPRODUCT(Oxides_min!$C45:$BB45,Factors!$C$29:$BB$29)+SUMPRODUCT(Oxides_max!$C45:$BB45,Factors!$C$29:$BB$29))/2)</f>
        <v>0</v>
      </c>
      <c r="W45" s="20">
        <f>MAX(0,(SUMPRODUCT(Oxides_min!$C45:$BB45,Factors!$C$30:$BB$30)+SUMPRODUCT(Oxides_max!$C45:$BB45,Factors!$C$30:$BB$30))/2)</f>
        <v>0</v>
      </c>
      <c r="X45" s="20">
        <f>MAX(0,(SUMPRODUCT(Oxides_min!$C45:$BB45,Factors!$C$31:$BB$31)+SUMPRODUCT(Oxides_max!$C45:$BB45,Factors!$C$31:$BB$31))/2)</f>
        <v>0</v>
      </c>
      <c r="Y45" s="20">
        <f>MAX(0,(SUMPRODUCT(Oxides_min!$C45:$BB45,Factors!$C$32:$BB$32)+SUMPRODUCT(Oxides_max!$C45:$BB45,Factors!$C$32:$BB$32))/2)</f>
        <v>0</v>
      </c>
      <c r="Z45" s="20">
        <f>MAX(0,(SUMPRODUCT(Oxides_min!$C45:$BB45,Factors!$C$33:$BB$33)+SUMPRODUCT(Oxides_max!$C45:$BB45,Factors!$C$33:$BB$33))/2)</f>
        <v>0</v>
      </c>
      <c r="AA45" s="20">
        <f>MAX(0,(SUMPRODUCT(Oxides_min!$C45:$BB45,Factors!$C$34:$BB$34)+SUMPRODUCT(Oxides_max!$C45:$BB45,Factors!$C$34:$BB$34))/2)</f>
        <v>0</v>
      </c>
      <c r="AB45" s="20">
        <f>MAX(0,(SUMPRODUCT(Oxides_min!$C45:$BB45,Factors!$C$35:$BB$35)+SUMPRODUCT(Oxides_max!$C45:$BB45,Factors!$C$35:$BB$35))/2)</f>
        <v>0</v>
      </c>
      <c r="AC45" s="20">
        <f>MAX(0,(SUMPRODUCT(Oxides_min!$C45:$BB45,Factors!$C$36:$BB$36)+SUMPRODUCT(Oxides_max!$C45:$BB45,Factors!$C$36:$BB$36))/2)</f>
        <v>0</v>
      </c>
      <c r="AD45" s="20">
        <f>MAX(0,(SUMPRODUCT(Oxides_min!$C45:$BB45,Factors!$C$37:$BB$37)+SUMPRODUCT(Oxides_max!$C45:$BB45,Factors!$C$37:$BB$37))/2)</f>
        <v>4.8119900083263945E-2</v>
      </c>
      <c r="AE45" s="20">
        <f>MAX(0,(SUMPRODUCT(Oxides_min!$C45:$BB45,Factors!$C$38:$BB$38)+SUMPRODUCT(Oxides_max!$C45:$BB45,Factors!$C$38:$BB$38))/2)</f>
        <v>0</v>
      </c>
      <c r="AF45" s="20">
        <f>MAX(0,(SUMPRODUCT(Oxides_min!$C45:$BB45,Factors!$C$39:$BB$39)+SUMPRODUCT(Oxides_max!$C45:$BB45,Factors!$C$39:$BB$39))/2)</f>
        <v>0</v>
      </c>
      <c r="AG45" s="20">
        <f>MAX(0,(SUMPRODUCT(Oxides_min!$C45:$BB45,Factors!$C$40:$BB$40)+SUMPRODUCT(Oxides_max!$C45:$BB45,Factors!$C$40:$BB$40))/2)</f>
        <v>0</v>
      </c>
      <c r="AH45" s="20">
        <f>MAX(0,(SUMPRODUCT(Oxides_min!$C45:$BB45,Factors!$C$41:$BB$41)+SUMPRODUCT(Oxides_max!$C45:$BB45,Factors!$C$41:$BB$41))/2)</f>
        <v>0</v>
      </c>
      <c r="AI45" s="20">
        <f>MAX(0,(SUMPRODUCT(Oxides_min!$C45:$BB45,Factors!$C$42:$BB$42)+SUMPRODUCT(Oxides_max!$C45:$BB45,Factors!$C$42:$BB$42))/2)</f>
        <v>0</v>
      </c>
      <c r="AJ45" s="20">
        <f>MAX(0,(SUMPRODUCT(Oxides_min!$C45:$BB45,Factors!$C$43:$BB$43)+SUMPRODUCT(Oxides_max!$C45:$BB45,Factors!$C$43:$BB$43))/2)</f>
        <v>0</v>
      </c>
      <c r="AK45" s="20">
        <f>MAX(0,(SUMPRODUCT(Oxides_min!$C45:$BB45,Factors!$C$44:$BB$44)+SUMPRODUCT(Oxides_max!$C45:$BB45,Factors!$C$44:$BB$44))/2)</f>
        <v>0</v>
      </c>
      <c r="AL45" s="20">
        <f>MAX(0,(SUMPRODUCT(Oxides_min!$C45:$BB45,Factors!$C$45:$BB$45)+SUMPRODUCT(Oxides_max!$C45:$BB45,Factors!$C$45:$BB$45))/2)</f>
        <v>0</v>
      </c>
      <c r="AM45" s="20">
        <f>MAX(0,(SUMPRODUCT(Oxides_min!$C45:$BB45,Factors!$C$46:$BB$46)+SUMPRODUCT(Oxides_max!$C45:$BB45,Factors!$C$46:$BB$46))/2)</f>
        <v>0</v>
      </c>
      <c r="AN45" s="20">
        <f>MAX(0,(SUMPRODUCT(Oxides_min!$C45:$BB45,Factors!$C$47:$BB$47)+SUMPRODUCT(Oxides_max!$C45:$BB45,Factors!$C$47:$BB$47))/2)</f>
        <v>0</v>
      </c>
      <c r="AO45" s="20">
        <f>MAX(0,(SUMPRODUCT(Oxides_min!$C45:$BB45,Factors!$C$48:$BB$48)+SUMPRODUCT(Oxides_max!$C45:$BB45,Factors!$C$48:$BB$48))/2)</f>
        <v>0</v>
      </c>
      <c r="AP45" s="20">
        <f>MAX(0,(SUMPRODUCT(Oxides_min!$C45:$BB45,Factors!$C$49:$BB$49)+SUMPRODUCT(Oxides_max!$C45:$BB45,Factors!$C$49:$BB$49))/2)</f>
        <v>0</v>
      </c>
      <c r="AQ45" s="20">
        <f>MAX(0,(SUMPRODUCT(Oxides_min!$C45:$BB45,Factors!$C$50:$BB$50)+SUMPRODUCT(Oxides_max!$C45:$BB45,Factors!$C$50:$BB$50))/2)</f>
        <v>0</v>
      </c>
      <c r="AR45" s="20">
        <f>MAX(0,(SUMPRODUCT(Oxides_min!$C45:$BB45,Factors!$C$51:$BB$51)+SUMPRODUCT(Oxides_max!$C45:$BB45,Factors!$C$51:$BB$51))/2)</f>
        <v>0</v>
      </c>
      <c r="AS45" s="20">
        <f>MAX(0,(SUMPRODUCT(Oxides_min!$C45:$BB45,Factors!$C$52:$BB$52)+SUMPRODUCT(Oxides_max!$C45:$BB45,Factors!$C$52:$BB$52))/2)</f>
        <v>0</v>
      </c>
      <c r="AT45" s="20">
        <f>MAX(0,(SUMPRODUCT(Oxides_min!$C45:$BB45,Factors!$C$53:$BB$53)+SUMPRODUCT(Oxides_max!$C45:$BB45,Factors!$C$53:$BB$53))/2)</f>
        <v>0</v>
      </c>
      <c r="AU45" s="20">
        <f>MAX(0,(SUMPRODUCT(Oxides_min!$C45:$BB45,Factors!$C$54:$BB$54)+SUMPRODUCT(Oxides_max!$C45:$BB45,Factors!$C$54:$BB$54))/2)</f>
        <v>0</v>
      </c>
      <c r="AV45" s="20">
        <f>MAX(0,(SUMPRODUCT(Oxides_min!$C45:$BB45,Factors!$C$55:$BB$55)+SUMPRODUCT(Oxides_max!$C45:$BB45,Factors!$C$55:$BB$55))/2)</f>
        <v>0</v>
      </c>
      <c r="AW45" s="20">
        <f>MAX(0,(SUMPRODUCT(Oxides_min!$C45:$BB45,Factors!$C$56:$BB$56)+SUMPRODUCT(Oxides_max!$C45:$BB45,Factors!$C$56:$BB$56))/2)</f>
        <v>0</v>
      </c>
      <c r="AX45" s="20">
        <f>MAX(0,(SUMPRODUCT(Oxides_min!$C45:$BB45,Factors!$C$57:$BB$57)+SUMPRODUCT(Oxides_max!$C45:$BB45,Factors!$C$57:$BB$57))/2)</f>
        <v>0</v>
      </c>
      <c r="AY45" s="20">
        <f>MAX(0,(SUMPRODUCT(Oxides_min!$C45:$BB45,Factors!$C$58:$BB$58)+SUMPRODUCT(Oxides_max!$C45:$BB45,Factors!$C$58:$BB$58))/2)</f>
        <v>0</v>
      </c>
      <c r="AZ45" s="18">
        <f t="shared" ref="AZ45:AZ55" si="3">SUM(B45:AY45)</f>
        <v>99.885000000000005</v>
      </c>
    </row>
    <row r="46" spans="1:52" x14ac:dyDescent="0.35">
      <c r="A46" s="13" t="s">
        <v>434</v>
      </c>
      <c r="B46" s="20">
        <f>MAX(0,(SUMPRODUCT(Oxides_min!$C46:$BB46,Factors!$C$9:$BB$9)+SUMPRODUCT(Oxides_max!$C46:$BB46,Factors!$C$9:$BB$9))/2)</f>
        <v>46.650413033284011</v>
      </c>
      <c r="C46" s="20">
        <f>MAX(0,(SUMPRODUCT(Oxides_min!$C46:$BB46,Factors!$C$10:$BB$10)+SUMPRODUCT(Oxides_max!$C46:$BB46,Factors!$C$10:$BB$10))/2)</f>
        <v>16.421051711798679</v>
      </c>
      <c r="D46" s="20">
        <f>MAX(0,(SUMPRODUCT(Oxides_min!$C46:$BB46,Factors!$C$11:$BB$11)+SUMPRODUCT(Oxides_max!$C46:$BB46,Factors!$C$11:$BB$11))/2)</f>
        <v>0.16182420334314157</v>
      </c>
      <c r="E46" s="20">
        <f>MAX(0,(SUMPRODUCT(Oxides_min!$C46:$BB46,Factors!$C$12:$BB$12)+SUMPRODUCT(Oxides_max!$C46:$BB46,Factors!$C$12:$BB$12))/2)</f>
        <v>0</v>
      </c>
      <c r="F46" s="20">
        <f>MAX(0,(SUMPRODUCT(Oxides_min!$C46:$BB46,Factors!$C$13:$BB$13)+SUMPRODUCT(Oxides_max!$C46:$BB46,Factors!$C$13:$BB$13))/2)</f>
        <v>0</v>
      </c>
      <c r="G46" s="20">
        <f>MAX(0,(SUMPRODUCT(Oxides_min!$C46:$BB46,Factors!$C$14:$BB$14)+SUMPRODUCT(Oxides_max!$C46:$BB46,Factors!$C$14:$BB$14))/2)</f>
        <v>0</v>
      </c>
      <c r="H46" s="20">
        <f>MAX(0,(SUMPRODUCT(Oxides_min!$C46:$BB46,Factors!$C$15:$BB$15)+SUMPRODUCT(Oxides_max!$C46:$BB46,Factors!$C$15:$BB$15))/2)</f>
        <v>15.843306101024227</v>
      </c>
      <c r="I46" s="20">
        <f>MAX(0,(SUMPRODUCT(Oxides_min!$C46:$BB46,Factors!$C$16:$BB$16)+SUMPRODUCT(Oxides_max!$C46:$BB46,Factors!$C$16:$BB$16))/2)</f>
        <v>14.788306956739603</v>
      </c>
      <c r="J46" s="20">
        <f>MAX(0,(SUMPRODUCT(Oxides_min!$C46:$BB46,Factors!$C$17:$BB$17)+SUMPRODUCT(Oxides_max!$C46:$BB46,Factors!$C$17:$BB$17))/2)</f>
        <v>4.2595409247670371E-2</v>
      </c>
      <c r="K46" s="20">
        <f>MAX(0,(SUMPRODUCT(Oxides_min!$C46:$BB46,Factors!$C$18:$BB$18)+SUMPRODUCT(Oxides_max!$C46:$BB46,Factors!$C$18:$BB$18))/2)</f>
        <v>0</v>
      </c>
      <c r="L46" s="20">
        <f>MAX(0,(SUMPRODUCT(Oxides_min!$C46:$BB46,Factors!$C$19:$BB$19)+SUMPRODUCT(Oxides_max!$C46:$BB46,Factors!$C$19:$BB$19))/2)</f>
        <v>0</v>
      </c>
      <c r="M46" s="20">
        <f>MAX(0,(SUMPRODUCT(Oxides_min!$C46:$BB46,Factors!$C$20:$BB$20)+SUMPRODUCT(Oxides_max!$C46:$BB46,Factors!$C$20:$BB$20))/2)</f>
        <v>0.12663879515680823</v>
      </c>
      <c r="N46" s="20">
        <f>MAX(0,(SUMPRODUCT(Oxides_min!$C46:$BB46,Factors!$C$21:$BB$21)+SUMPRODUCT(Oxides_max!$C46:$BB46,Factors!$C$21:$BB$21))/2)</f>
        <v>0.36092141163043667</v>
      </c>
      <c r="O46" s="20">
        <f>MAX(0,(SUMPRODUCT(Oxides_min!$C46:$BB46,Factors!$C$22:$BB$22)+SUMPRODUCT(Oxides_max!$C46:$BB46,Factors!$C$22:$BB$22))/2)</f>
        <v>0</v>
      </c>
      <c r="P46" s="20">
        <f>MAX(0,(SUMPRODUCT(Oxides_min!$C46:$BB46,Factors!$C$23:$BB$23)+SUMPRODUCT(Oxides_max!$C46:$BB46,Factors!$C$23:$BB$23))/2)</f>
        <v>0</v>
      </c>
      <c r="Q46" s="20">
        <f>MAX(0,(SUMPRODUCT(Oxides_min!$C46:$BB46,Factors!$C$24:$BB$24)+SUMPRODUCT(Oxides_max!$C46:$BB46,Factors!$C$24:$BB$24))/2)</f>
        <v>0</v>
      </c>
      <c r="R46" s="20">
        <f>MAX(0,(SUMPRODUCT(Oxides_min!$C46:$BB46,Factors!$C$25:$BB$25)+SUMPRODUCT(Oxides_max!$C46:$BB46,Factors!$C$25:$BB$25))/2)</f>
        <v>2.0994701899728048</v>
      </c>
      <c r="S46" s="20">
        <f>MAX(0,(SUMPRODUCT(Oxides_min!$C46:$BB46,Factors!$C$26:$BB$26)+SUMPRODUCT(Oxides_max!$C46:$BB46,Factors!$C$26:$BB$26))/2)</f>
        <v>2.0753782554599157E-2</v>
      </c>
      <c r="T46" s="20">
        <f>MAX(0,(SUMPRODUCT(Oxides_min!$C46:$BB46,Factors!$C$27:$BB$27)+SUMPRODUCT(Oxides_max!$C46:$BB46,Factors!$C$27:$BB$27))/2)</f>
        <v>0</v>
      </c>
      <c r="U46" s="20">
        <f>MAX(0,(SUMPRODUCT(Oxides_min!$C46:$BB46,Factors!$C$28:$BB$28)+SUMPRODUCT(Oxides_max!$C46:$BB46,Factors!$C$28:$BB$28))/2)</f>
        <v>3.1583578723587631</v>
      </c>
      <c r="V46" s="20">
        <f>MAX(0,(SUMPRODUCT(Oxides_min!$C46:$BB46,Factors!$C$29:$BB$29)+SUMPRODUCT(Oxides_max!$C46:$BB46,Factors!$C$29:$BB$29))/2)</f>
        <v>0</v>
      </c>
      <c r="W46" s="20">
        <f>MAX(0,(SUMPRODUCT(Oxides_min!$C46:$BB46,Factors!$C$30:$BB$30)+SUMPRODUCT(Oxides_max!$C46:$BB46,Factors!$C$30:$BB$30))/2)</f>
        <v>0</v>
      </c>
      <c r="X46" s="20">
        <f>MAX(0,(SUMPRODUCT(Oxides_min!$C46:$BB46,Factors!$C$31:$BB$31)+SUMPRODUCT(Oxides_max!$C46:$BB46,Factors!$C$31:$BB$31))/2)</f>
        <v>0</v>
      </c>
      <c r="Y46" s="20">
        <f>MAX(0,(SUMPRODUCT(Oxides_min!$C46:$BB46,Factors!$C$32:$BB$32)+SUMPRODUCT(Oxides_max!$C46:$BB46,Factors!$C$32:$BB$32))/2)</f>
        <v>0</v>
      </c>
      <c r="Z46" s="20">
        <f>MAX(0,(SUMPRODUCT(Oxides_min!$C46:$BB46,Factors!$C$33:$BB$33)+SUMPRODUCT(Oxides_max!$C46:$BB46,Factors!$C$33:$BB$33))/2)</f>
        <v>0</v>
      </c>
      <c r="AA46" s="20">
        <f>MAX(0,(SUMPRODUCT(Oxides_min!$C46:$BB46,Factors!$C$34:$BB$34)+SUMPRODUCT(Oxides_max!$C46:$BB46,Factors!$C$34:$BB$34))/2)</f>
        <v>0</v>
      </c>
      <c r="AB46" s="20">
        <f>MAX(0,(SUMPRODUCT(Oxides_min!$C46:$BB46,Factors!$C$35:$BB$35)+SUMPRODUCT(Oxides_max!$C46:$BB46,Factors!$C$35:$BB$35))/2)</f>
        <v>0</v>
      </c>
      <c r="AC46" s="20">
        <f>MAX(0,(SUMPRODUCT(Oxides_min!$C46:$BB46,Factors!$C$36:$BB$36)+SUMPRODUCT(Oxides_max!$C46:$BB46,Factors!$C$36:$BB$36))/2)</f>
        <v>0</v>
      </c>
      <c r="AD46" s="20">
        <f>MAX(0,(SUMPRODUCT(Oxides_min!$C46:$BB46,Factors!$C$37:$BB$37)+SUMPRODUCT(Oxides_max!$C46:$BB46,Factors!$C$37:$BB$37))/2)</f>
        <v>0.19136053288925894</v>
      </c>
      <c r="AE46" s="20">
        <f>MAX(0,(SUMPRODUCT(Oxides_min!$C46:$BB46,Factors!$C$38:$BB$38)+SUMPRODUCT(Oxides_max!$C46:$BB46,Factors!$C$38:$BB$38))/2)</f>
        <v>0</v>
      </c>
      <c r="AF46" s="20">
        <f>MAX(0,(SUMPRODUCT(Oxides_min!$C46:$BB46,Factors!$C$39:$BB$39)+SUMPRODUCT(Oxides_max!$C46:$BB46,Factors!$C$39:$BB$39))/2)</f>
        <v>0</v>
      </c>
      <c r="AG46" s="20">
        <f>MAX(0,(SUMPRODUCT(Oxides_min!$C46:$BB46,Factors!$C$40:$BB$40)+SUMPRODUCT(Oxides_max!$C46:$BB46,Factors!$C$40:$BB$40))/2)</f>
        <v>0</v>
      </c>
      <c r="AH46" s="20">
        <f>MAX(0,(SUMPRODUCT(Oxides_min!$C46:$BB46,Factors!$C$41:$BB$41)+SUMPRODUCT(Oxides_max!$C46:$BB46,Factors!$C$41:$BB$41))/2)</f>
        <v>0</v>
      </c>
      <c r="AI46" s="20">
        <f>MAX(0,(SUMPRODUCT(Oxides_min!$C46:$BB46,Factors!$C$42:$BB$42)+SUMPRODUCT(Oxides_max!$C46:$BB46,Factors!$C$42:$BB$42))/2)</f>
        <v>0</v>
      </c>
      <c r="AJ46" s="20">
        <f>MAX(0,(SUMPRODUCT(Oxides_min!$C46:$BB46,Factors!$C$43:$BB$43)+SUMPRODUCT(Oxides_max!$C46:$BB46,Factors!$C$43:$BB$43))/2)</f>
        <v>0</v>
      </c>
      <c r="AK46" s="20">
        <f>MAX(0,(SUMPRODUCT(Oxides_min!$C46:$BB46,Factors!$C$44:$BB$44)+SUMPRODUCT(Oxides_max!$C46:$BB46,Factors!$C$44:$BB$44))/2)</f>
        <v>0</v>
      </c>
      <c r="AL46" s="20">
        <f>MAX(0,(SUMPRODUCT(Oxides_min!$C46:$BB46,Factors!$C$45:$BB$45)+SUMPRODUCT(Oxides_max!$C46:$BB46,Factors!$C$45:$BB$45))/2)</f>
        <v>0</v>
      </c>
      <c r="AM46" s="20">
        <f>MAX(0,(SUMPRODUCT(Oxides_min!$C46:$BB46,Factors!$C$46:$BB$46)+SUMPRODUCT(Oxides_max!$C46:$BB46,Factors!$C$46:$BB$46))/2)</f>
        <v>0</v>
      </c>
      <c r="AN46" s="20">
        <f>MAX(0,(SUMPRODUCT(Oxides_min!$C46:$BB46,Factors!$C$47:$BB$47)+SUMPRODUCT(Oxides_max!$C46:$BB46,Factors!$C$47:$BB$47))/2)</f>
        <v>0</v>
      </c>
      <c r="AO46" s="20">
        <f>MAX(0,(SUMPRODUCT(Oxides_min!$C46:$BB46,Factors!$C$48:$BB$48)+SUMPRODUCT(Oxides_max!$C46:$BB46,Factors!$C$48:$BB$48))/2)</f>
        <v>0</v>
      </c>
      <c r="AP46" s="20">
        <f>MAX(0,(SUMPRODUCT(Oxides_min!$C46:$BB46,Factors!$C$49:$BB$49)+SUMPRODUCT(Oxides_max!$C46:$BB46,Factors!$C$49:$BB$49))/2)</f>
        <v>0</v>
      </c>
      <c r="AQ46" s="20">
        <f>MAX(0,(SUMPRODUCT(Oxides_min!$C46:$BB46,Factors!$C$50:$BB$50)+SUMPRODUCT(Oxides_max!$C46:$BB46,Factors!$C$50:$BB$50))/2)</f>
        <v>0</v>
      </c>
      <c r="AR46" s="20">
        <f>MAX(0,(SUMPRODUCT(Oxides_min!$C46:$BB46,Factors!$C$51:$BB$51)+SUMPRODUCT(Oxides_max!$C46:$BB46,Factors!$C$51:$BB$51))/2)</f>
        <v>0</v>
      </c>
      <c r="AS46" s="20">
        <f>MAX(0,(SUMPRODUCT(Oxides_min!$C46:$BB46,Factors!$C$52:$BB$52)+SUMPRODUCT(Oxides_max!$C46:$BB46,Factors!$C$52:$BB$52))/2)</f>
        <v>0</v>
      </c>
      <c r="AT46" s="20">
        <f>MAX(0,(SUMPRODUCT(Oxides_min!$C46:$BB46,Factors!$C$53:$BB$53)+SUMPRODUCT(Oxides_max!$C46:$BB46,Factors!$C$53:$BB$53))/2)</f>
        <v>0</v>
      </c>
      <c r="AU46" s="20">
        <f>MAX(0,(SUMPRODUCT(Oxides_min!$C46:$BB46,Factors!$C$54:$BB$54)+SUMPRODUCT(Oxides_max!$C46:$BB46,Factors!$C$54:$BB$54))/2)</f>
        <v>0</v>
      </c>
      <c r="AV46" s="20">
        <f>MAX(0,(SUMPRODUCT(Oxides_min!$C46:$BB46,Factors!$C$55:$BB$55)+SUMPRODUCT(Oxides_max!$C46:$BB46,Factors!$C$55:$BB$55))/2)</f>
        <v>0</v>
      </c>
      <c r="AW46" s="20">
        <f>MAX(0,(SUMPRODUCT(Oxides_min!$C46:$BB46,Factors!$C$56:$BB$56)+SUMPRODUCT(Oxides_max!$C46:$BB46,Factors!$C$56:$BB$56))/2)</f>
        <v>0</v>
      </c>
      <c r="AX46" s="20">
        <f>MAX(0,(SUMPRODUCT(Oxides_min!$C46:$BB46,Factors!$C$57:$BB$57)+SUMPRODUCT(Oxides_max!$C46:$BB46,Factors!$C$57:$BB$57))/2)</f>
        <v>0</v>
      </c>
      <c r="AY46" s="20">
        <f>MAX(0,(SUMPRODUCT(Oxides_min!$C46:$BB46,Factors!$C$58:$BB$58)+SUMPRODUCT(Oxides_max!$C46:$BB46,Factors!$C$58:$BB$58))/2)</f>
        <v>0</v>
      </c>
      <c r="AZ46" s="18">
        <f t="shared" si="3"/>
        <v>99.865000000000009</v>
      </c>
    </row>
    <row r="47" spans="1:52" x14ac:dyDescent="0.35">
      <c r="A47" s="13" t="s">
        <v>436</v>
      </c>
      <c r="B47" s="20">
        <f>MAX(0,(SUMPRODUCT(Oxides_min!$C47:$BB47,Factors!$C$9:$BB$9)+SUMPRODUCT(Oxides_max!$C47:$BB47,Factors!$C$9:$BB$9))/2)</f>
        <v>55.847264234234572</v>
      </c>
      <c r="C47" s="20">
        <f>MAX(0,(SUMPRODUCT(Oxides_min!$C47:$BB47,Factors!$C$10:$BB$10)+SUMPRODUCT(Oxides_max!$C47:$BB47,Factors!$C$10:$BB$10))/2)</f>
        <v>21.583890201887389</v>
      </c>
      <c r="D47" s="20">
        <f>MAX(0,(SUMPRODUCT(Oxides_min!$C47:$BB47,Factors!$C$11:$BB$11)+SUMPRODUCT(Oxides_max!$C47:$BB47,Factors!$C$11:$BB$11))/2)</f>
        <v>0</v>
      </c>
      <c r="E47" s="20">
        <f>MAX(0,(SUMPRODUCT(Oxides_min!$C47:$BB47,Factors!$C$12:$BB$12)+SUMPRODUCT(Oxides_max!$C47:$BB47,Factors!$C$12:$BB$12))/2)</f>
        <v>0</v>
      </c>
      <c r="F47" s="20">
        <f>MAX(0,(SUMPRODUCT(Oxides_min!$C47:$BB47,Factors!$C$13:$BB$13)+SUMPRODUCT(Oxides_max!$C47:$BB47,Factors!$C$13:$BB$13))/2)</f>
        <v>0</v>
      </c>
      <c r="G47" s="20">
        <f>MAX(0,(SUMPRODUCT(Oxides_min!$C47:$BB47,Factors!$C$14:$BB$14)+SUMPRODUCT(Oxides_max!$C47:$BB47,Factors!$C$14:$BB$14))/2)</f>
        <v>0</v>
      </c>
      <c r="H47" s="20">
        <f>MAX(0,(SUMPRODUCT(Oxides_min!$C47:$BB47,Factors!$C$15:$BB$15)+SUMPRODUCT(Oxides_max!$C47:$BB47,Factors!$C$15:$BB$15))/2)</f>
        <v>20.918880028160434</v>
      </c>
      <c r="I47" s="20">
        <f>MAX(0,(SUMPRODUCT(Oxides_min!$C47:$BB47,Factors!$C$16:$BB$16)+SUMPRODUCT(Oxides_max!$C47:$BB47,Factors!$C$16:$BB$16))/2)</f>
        <v>0.26929559229483113</v>
      </c>
      <c r="J47" s="20">
        <f>MAX(0,(SUMPRODUCT(Oxides_min!$C47:$BB47,Factors!$C$17:$BB$17)+SUMPRODUCT(Oxides_max!$C47:$BB47,Factors!$C$17:$BB$17))/2)</f>
        <v>0</v>
      </c>
      <c r="K47" s="20">
        <f>MAX(0,(SUMPRODUCT(Oxides_min!$C47:$BB47,Factors!$C$18:$BB$18)+SUMPRODUCT(Oxides_max!$C47:$BB47,Factors!$C$18:$BB$18))/2)</f>
        <v>0</v>
      </c>
      <c r="L47" s="20">
        <f>MAX(0,(SUMPRODUCT(Oxides_min!$C47:$BB47,Factors!$C$19:$BB$19)+SUMPRODUCT(Oxides_max!$C47:$BB47,Factors!$C$19:$BB$19))/2)</f>
        <v>0</v>
      </c>
      <c r="M47" s="20">
        <f>MAX(0,(SUMPRODUCT(Oxides_min!$C47:$BB47,Factors!$C$20:$BB$20)+SUMPRODUCT(Oxides_max!$C47:$BB47,Factors!$C$20:$BB$20))/2)</f>
        <v>4.2212931718936086E-2</v>
      </c>
      <c r="N47" s="20">
        <f>MAX(0,(SUMPRODUCT(Oxides_min!$C47:$BB47,Factors!$C$21:$BB$21)+SUMPRODUCT(Oxides_max!$C47:$BB47,Factors!$C$21:$BB$21))/2)</f>
        <v>0.14651265224601884</v>
      </c>
      <c r="O47" s="20">
        <f>MAX(0,(SUMPRODUCT(Oxides_min!$C47:$BB47,Factors!$C$22:$BB$22)+SUMPRODUCT(Oxides_max!$C47:$BB47,Factors!$C$22:$BB$22))/2)</f>
        <v>0</v>
      </c>
      <c r="P47" s="20">
        <f>MAX(0,(SUMPRODUCT(Oxides_min!$C47:$BB47,Factors!$C$23:$BB$23)+SUMPRODUCT(Oxides_max!$C47:$BB47,Factors!$C$23:$BB$23))/2)</f>
        <v>0</v>
      </c>
      <c r="Q47" s="20">
        <f>MAX(0,(SUMPRODUCT(Oxides_min!$C47:$BB47,Factors!$C$24:$BB$24)+SUMPRODUCT(Oxides_max!$C47:$BB47,Factors!$C$24:$BB$24))/2)</f>
        <v>0</v>
      </c>
      <c r="R47" s="20">
        <f>MAX(0,(SUMPRODUCT(Oxides_min!$C47:$BB47,Factors!$C$25:$BB$25)+SUMPRODUCT(Oxides_max!$C47:$BB47,Factors!$C$25:$BB$25))/2)</f>
        <v>0</v>
      </c>
      <c r="S47" s="20">
        <f>MAX(0,(SUMPRODUCT(Oxides_min!$C47:$BB47,Factors!$C$26:$BB$26)+SUMPRODUCT(Oxides_max!$C47:$BB47,Factors!$C$26:$BB$26))/2)</f>
        <v>1.2452269532759491E-2</v>
      </c>
      <c r="T47" s="20">
        <f>MAX(0,(SUMPRODUCT(Oxides_min!$C47:$BB47,Factors!$C$27:$BB$27)+SUMPRODUCT(Oxides_max!$C47:$BB47,Factors!$C$27:$BB$27))/2)</f>
        <v>0</v>
      </c>
      <c r="U47" s="20">
        <f>MAX(0,(SUMPRODUCT(Oxides_min!$C47:$BB47,Factors!$C$28:$BB$28)+SUMPRODUCT(Oxides_max!$C47:$BB47,Factors!$C$28:$BB$28))/2)</f>
        <v>0</v>
      </c>
      <c r="V47" s="20">
        <f>MAX(0,(SUMPRODUCT(Oxides_min!$C47:$BB47,Factors!$C$29:$BB$29)+SUMPRODUCT(Oxides_max!$C47:$BB47,Factors!$C$29:$BB$29))/2)</f>
        <v>0</v>
      </c>
      <c r="W47" s="20">
        <f>MAX(0,(SUMPRODUCT(Oxides_min!$C47:$BB47,Factors!$C$30:$BB$30)+SUMPRODUCT(Oxides_max!$C47:$BB47,Factors!$C$30:$BB$30))/2)</f>
        <v>0</v>
      </c>
      <c r="X47" s="20">
        <f>MAX(0,(SUMPRODUCT(Oxides_min!$C47:$BB47,Factors!$C$31:$BB$31)+SUMPRODUCT(Oxides_max!$C47:$BB47,Factors!$C$31:$BB$31))/2)</f>
        <v>0</v>
      </c>
      <c r="Y47" s="20">
        <f>MAX(0,(SUMPRODUCT(Oxides_min!$C47:$BB47,Factors!$C$32:$BB$32)+SUMPRODUCT(Oxides_max!$C47:$BB47,Factors!$C$32:$BB$32))/2)</f>
        <v>0</v>
      </c>
      <c r="Z47" s="20">
        <f>MAX(0,(SUMPRODUCT(Oxides_min!$C47:$BB47,Factors!$C$33:$BB$33)+SUMPRODUCT(Oxides_max!$C47:$BB47,Factors!$C$33:$BB$33))/2)</f>
        <v>0</v>
      </c>
      <c r="AA47" s="20">
        <f>MAX(0,(SUMPRODUCT(Oxides_min!$C47:$BB47,Factors!$C$34:$BB$34)+SUMPRODUCT(Oxides_max!$C47:$BB47,Factors!$C$34:$BB$34))/2)</f>
        <v>0</v>
      </c>
      <c r="AB47" s="20">
        <f>MAX(0,(SUMPRODUCT(Oxides_min!$C47:$BB47,Factors!$C$35:$BB$35)+SUMPRODUCT(Oxides_max!$C47:$BB47,Factors!$C$35:$BB$35))/2)</f>
        <v>0</v>
      </c>
      <c r="AC47" s="20">
        <f>MAX(0,(SUMPRODUCT(Oxides_min!$C47:$BB47,Factors!$C$36:$BB$36)+SUMPRODUCT(Oxides_max!$C47:$BB47,Factors!$C$36:$BB$36))/2)</f>
        <v>0</v>
      </c>
      <c r="AD47" s="20">
        <f>MAX(0,(SUMPRODUCT(Oxides_min!$C47:$BB47,Factors!$C$37:$BB$37)+SUMPRODUCT(Oxides_max!$C47:$BB47,Factors!$C$37:$BB$37))/2)</f>
        <v>1.5694920899250624</v>
      </c>
      <c r="AE47" s="20">
        <f>MAX(0,(SUMPRODUCT(Oxides_min!$C47:$BB47,Factors!$C$38:$BB$38)+SUMPRODUCT(Oxides_max!$C47:$BB47,Factors!$C$38:$BB$38))/2)</f>
        <v>0</v>
      </c>
      <c r="AF47" s="20">
        <f>MAX(0,(SUMPRODUCT(Oxides_min!$C47:$BB47,Factors!$C$39:$BB$39)+SUMPRODUCT(Oxides_max!$C47:$BB47,Factors!$C$39:$BB$39))/2)</f>
        <v>0</v>
      </c>
      <c r="AG47" s="20">
        <f>MAX(0,(SUMPRODUCT(Oxides_min!$C47:$BB47,Factors!$C$40:$BB$40)+SUMPRODUCT(Oxides_max!$C47:$BB47,Factors!$C$40:$BB$40))/2)</f>
        <v>0</v>
      </c>
      <c r="AH47" s="20">
        <f>MAX(0,(SUMPRODUCT(Oxides_min!$C47:$BB47,Factors!$C$41:$BB$41)+SUMPRODUCT(Oxides_max!$C47:$BB47,Factors!$C$41:$BB$41))/2)</f>
        <v>0</v>
      </c>
      <c r="AI47" s="20">
        <f>MAX(0,(SUMPRODUCT(Oxides_min!$C47:$BB47,Factors!$C$42:$BB$42)+SUMPRODUCT(Oxides_max!$C47:$BB47,Factors!$C$42:$BB$42))/2)</f>
        <v>0</v>
      </c>
      <c r="AJ47" s="20">
        <f>MAX(0,(SUMPRODUCT(Oxides_min!$C47:$BB47,Factors!$C$43:$BB$43)+SUMPRODUCT(Oxides_max!$C47:$BB47,Factors!$C$43:$BB$43))/2)</f>
        <v>0</v>
      </c>
      <c r="AK47" s="20">
        <f>MAX(0,(SUMPRODUCT(Oxides_min!$C47:$BB47,Factors!$C$44:$BB$44)+SUMPRODUCT(Oxides_max!$C47:$BB47,Factors!$C$44:$BB$44))/2)</f>
        <v>0</v>
      </c>
      <c r="AL47" s="20">
        <f>MAX(0,(SUMPRODUCT(Oxides_min!$C47:$BB47,Factors!$C$45:$BB$45)+SUMPRODUCT(Oxides_max!$C47:$BB47,Factors!$C$45:$BB$45))/2)</f>
        <v>0</v>
      </c>
      <c r="AM47" s="20">
        <f>MAX(0,(SUMPRODUCT(Oxides_min!$C47:$BB47,Factors!$C$46:$BB$46)+SUMPRODUCT(Oxides_max!$C47:$BB47,Factors!$C$46:$BB$46))/2)</f>
        <v>0</v>
      </c>
      <c r="AN47" s="20">
        <f>MAX(0,(SUMPRODUCT(Oxides_min!$C47:$BB47,Factors!$C$47:$BB$47)+SUMPRODUCT(Oxides_max!$C47:$BB47,Factors!$C$47:$BB$47))/2)</f>
        <v>0</v>
      </c>
      <c r="AO47" s="20">
        <f>MAX(0,(SUMPRODUCT(Oxides_min!$C47:$BB47,Factors!$C$48:$BB$48)+SUMPRODUCT(Oxides_max!$C47:$BB47,Factors!$C$48:$BB$48))/2)</f>
        <v>0</v>
      </c>
      <c r="AP47" s="20">
        <f>MAX(0,(SUMPRODUCT(Oxides_min!$C47:$BB47,Factors!$C$49:$BB$49)+SUMPRODUCT(Oxides_max!$C47:$BB47,Factors!$C$49:$BB$49))/2)</f>
        <v>0</v>
      </c>
      <c r="AQ47" s="20">
        <f>MAX(0,(SUMPRODUCT(Oxides_min!$C47:$BB47,Factors!$C$50:$BB$50)+SUMPRODUCT(Oxides_max!$C47:$BB47,Factors!$C$50:$BB$50))/2)</f>
        <v>0</v>
      </c>
      <c r="AR47" s="20">
        <f>MAX(0,(SUMPRODUCT(Oxides_min!$C47:$BB47,Factors!$C$51:$BB$51)+SUMPRODUCT(Oxides_max!$C47:$BB47,Factors!$C$51:$BB$51))/2)</f>
        <v>0</v>
      </c>
      <c r="AS47" s="20">
        <f>MAX(0,(SUMPRODUCT(Oxides_min!$C47:$BB47,Factors!$C$52:$BB$52)+SUMPRODUCT(Oxides_max!$C47:$BB47,Factors!$C$52:$BB$52))/2)</f>
        <v>0</v>
      </c>
      <c r="AT47" s="20">
        <f>MAX(0,(SUMPRODUCT(Oxides_min!$C47:$BB47,Factors!$C$53:$BB$53)+SUMPRODUCT(Oxides_max!$C47:$BB47,Factors!$C$53:$BB$53))/2)</f>
        <v>0</v>
      </c>
      <c r="AU47" s="20">
        <f>MAX(0,(SUMPRODUCT(Oxides_min!$C47:$BB47,Factors!$C$54:$BB$54)+SUMPRODUCT(Oxides_max!$C47:$BB47,Factors!$C$54:$BB$54))/2)</f>
        <v>0</v>
      </c>
      <c r="AV47" s="20">
        <f>MAX(0,(SUMPRODUCT(Oxides_min!$C47:$BB47,Factors!$C$55:$BB$55)+SUMPRODUCT(Oxides_max!$C47:$BB47,Factors!$C$55:$BB$55))/2)</f>
        <v>0</v>
      </c>
      <c r="AW47" s="20">
        <f>MAX(0,(SUMPRODUCT(Oxides_min!$C47:$BB47,Factors!$C$56:$BB$56)+SUMPRODUCT(Oxides_max!$C47:$BB47,Factors!$C$56:$BB$56))/2)</f>
        <v>0</v>
      </c>
      <c r="AX47" s="20">
        <f>MAX(0,(SUMPRODUCT(Oxides_min!$C47:$BB47,Factors!$C$57:$BB$57)+SUMPRODUCT(Oxides_max!$C47:$BB47,Factors!$C$57:$BB$57))/2)</f>
        <v>0</v>
      </c>
      <c r="AY47" s="20">
        <f>MAX(0,(SUMPRODUCT(Oxides_min!$C47:$BB47,Factors!$C$58:$BB$58)+SUMPRODUCT(Oxides_max!$C47:$BB47,Factors!$C$58:$BB$58))/2)</f>
        <v>0</v>
      </c>
      <c r="AZ47" s="18">
        <f t="shared" si="3"/>
        <v>100.38999999999999</v>
      </c>
    </row>
    <row r="48" spans="1:52" x14ac:dyDescent="0.35">
      <c r="A48" s="13" t="s">
        <v>438</v>
      </c>
      <c r="B48" s="20">
        <f>MAX(0,(SUMPRODUCT(Oxides_min!$C48:$BB48,Factors!$C$9:$BB$9)+SUMPRODUCT(Oxides_max!$C48:$BB48,Factors!$C$9:$BB$9))/2)</f>
        <v>52.752069553808838</v>
      </c>
      <c r="C48" s="20">
        <f>MAX(0,(SUMPRODUCT(Oxides_min!$C48:$BB48,Factors!$C$10:$BB$10)+SUMPRODUCT(Oxides_max!$C48:$BB48,Factors!$C$10:$BB$10))/2)</f>
        <v>17.851408052194465</v>
      </c>
      <c r="D48" s="20">
        <f>MAX(0,(SUMPRODUCT(Oxides_min!$C48:$BB48,Factors!$C$11:$BB$11)+SUMPRODUCT(Oxides_max!$C48:$BB48,Factors!$C$11:$BB$11))/2)</f>
        <v>1.1986978025417894E-2</v>
      </c>
      <c r="E48" s="20">
        <f>MAX(0,(SUMPRODUCT(Oxides_min!$C48:$BB48,Factors!$C$12:$BB$12)+SUMPRODUCT(Oxides_max!$C48:$BB48,Factors!$C$12:$BB$12))/2)</f>
        <v>0</v>
      </c>
      <c r="F48" s="20">
        <f>MAX(0,(SUMPRODUCT(Oxides_min!$C48:$BB48,Factors!$C$13:$BB$13)+SUMPRODUCT(Oxides_max!$C48:$BB48,Factors!$C$13:$BB$13))/2)</f>
        <v>0</v>
      </c>
      <c r="G48" s="20">
        <f>MAX(0,(SUMPRODUCT(Oxides_min!$C48:$BB48,Factors!$C$14:$BB$14)+SUMPRODUCT(Oxides_max!$C48:$BB48,Factors!$C$14:$BB$14))/2)</f>
        <v>0</v>
      </c>
      <c r="H48" s="20">
        <f>MAX(0,(SUMPRODUCT(Oxides_min!$C48:$BB48,Factors!$C$15:$BB$15)+SUMPRODUCT(Oxides_max!$C48:$BB48,Factors!$C$15:$BB$15))/2)</f>
        <v>22.406091992211817</v>
      </c>
      <c r="I48" s="20">
        <f>MAX(0,(SUMPRODUCT(Oxides_min!$C48:$BB48,Factors!$C$16:$BB$16)+SUMPRODUCT(Oxides_max!$C48:$BB48,Factors!$C$16:$BB$16))/2)</f>
        <v>4.2752004342742608E-2</v>
      </c>
      <c r="J48" s="20">
        <f>MAX(0,(SUMPRODUCT(Oxides_min!$C48:$BB48,Factors!$C$17:$BB$17)+SUMPRODUCT(Oxides_max!$C48:$BB48,Factors!$C$17:$BB$17))/2)</f>
        <v>4.2595409247670371E-2</v>
      </c>
      <c r="K48" s="20">
        <f>MAX(0,(SUMPRODUCT(Oxides_min!$C48:$BB48,Factors!$C$18:$BB$18)+SUMPRODUCT(Oxides_max!$C48:$BB48,Factors!$C$18:$BB$18))/2)</f>
        <v>0</v>
      </c>
      <c r="L48" s="20">
        <f>MAX(0,(SUMPRODUCT(Oxides_min!$C48:$BB48,Factors!$C$19:$BB$19)+SUMPRODUCT(Oxides_max!$C48:$BB48,Factors!$C$19:$BB$19))/2)</f>
        <v>0</v>
      </c>
      <c r="M48" s="20">
        <f>MAX(0,(SUMPRODUCT(Oxides_min!$C48:$BB48,Factors!$C$20:$BB$20)+SUMPRODUCT(Oxides_max!$C48:$BB48,Factors!$C$20:$BB$20))/2)</f>
        <v>0</v>
      </c>
      <c r="N48" s="20">
        <f>MAX(0,(SUMPRODUCT(Oxides_min!$C48:$BB48,Factors!$C$21:$BB$21)+SUMPRODUCT(Oxides_max!$C48:$BB48,Factors!$C$21:$BB$21))/2)</f>
        <v>2.5014355261515415E-2</v>
      </c>
      <c r="O48" s="20">
        <f>MAX(0,(SUMPRODUCT(Oxides_min!$C48:$BB48,Factors!$C$22:$BB$22)+SUMPRODUCT(Oxides_max!$C48:$BB48,Factors!$C$22:$BB$22))/2)</f>
        <v>0</v>
      </c>
      <c r="P48" s="20">
        <f>MAX(0,(SUMPRODUCT(Oxides_min!$C48:$BB48,Factors!$C$23:$BB$23)+SUMPRODUCT(Oxides_max!$C48:$BB48,Factors!$C$23:$BB$23))/2)</f>
        <v>0</v>
      </c>
      <c r="Q48" s="20">
        <f>MAX(0,(SUMPRODUCT(Oxides_min!$C48:$BB48,Factors!$C$24:$BB$24)+SUMPRODUCT(Oxides_max!$C48:$BB48,Factors!$C$24:$BB$24))/2)</f>
        <v>0</v>
      </c>
      <c r="R48" s="20">
        <f>MAX(0,(SUMPRODUCT(Oxides_min!$C48:$BB48,Factors!$C$25:$BB$25)+SUMPRODUCT(Oxides_max!$C48:$BB48,Factors!$C$25:$BB$25))/2)</f>
        <v>2.1291446802904415</v>
      </c>
      <c r="S48" s="20">
        <f>MAX(0,(SUMPRODUCT(Oxides_min!$C48:$BB48,Factors!$C$26:$BB$26)+SUMPRODUCT(Oxides_max!$C48:$BB48,Factors!$C$26:$BB$26))/2)</f>
        <v>0</v>
      </c>
      <c r="T48" s="20">
        <f>MAX(0,(SUMPRODUCT(Oxides_min!$C48:$BB48,Factors!$C$27:$BB$27)+SUMPRODUCT(Oxides_max!$C48:$BB48,Factors!$C$27:$BB$27))/2)</f>
        <v>0.94069413300311255</v>
      </c>
      <c r="U48" s="20">
        <f>MAX(0,(SUMPRODUCT(Oxides_min!$C48:$BB48,Factors!$C$28:$BB$28)+SUMPRODUCT(Oxides_max!$C48:$BB48,Factors!$C$28:$BB$28))/2)</f>
        <v>3.3276110720082741</v>
      </c>
      <c r="V48" s="20">
        <f>MAX(0,(SUMPRODUCT(Oxides_min!$C48:$BB48,Factors!$C$29:$BB$29)+SUMPRODUCT(Oxides_max!$C48:$BB48,Factors!$C$29:$BB$29))/2)</f>
        <v>0</v>
      </c>
      <c r="W48" s="20">
        <f>MAX(0,(SUMPRODUCT(Oxides_min!$C48:$BB48,Factors!$C$30:$BB$30)+SUMPRODUCT(Oxides_max!$C48:$BB48,Factors!$C$30:$BB$30))/2)</f>
        <v>0</v>
      </c>
      <c r="X48" s="20">
        <f>MAX(0,(SUMPRODUCT(Oxides_min!$C48:$BB48,Factors!$C$31:$BB$31)+SUMPRODUCT(Oxides_max!$C48:$BB48,Factors!$C$31:$BB$31))/2)</f>
        <v>0</v>
      </c>
      <c r="Y48" s="20">
        <f>MAX(0,(SUMPRODUCT(Oxides_min!$C48:$BB48,Factors!$C$32:$BB$32)+SUMPRODUCT(Oxides_max!$C48:$BB48,Factors!$C$32:$BB$32))/2)</f>
        <v>0</v>
      </c>
      <c r="Z48" s="20">
        <f>MAX(0,(SUMPRODUCT(Oxides_min!$C48:$BB48,Factors!$C$33:$BB$33)+SUMPRODUCT(Oxides_max!$C48:$BB48,Factors!$C$33:$BB$33))/2)</f>
        <v>0</v>
      </c>
      <c r="AA48" s="20">
        <f>MAX(0,(SUMPRODUCT(Oxides_min!$C48:$BB48,Factors!$C$34:$BB$34)+SUMPRODUCT(Oxides_max!$C48:$BB48,Factors!$C$34:$BB$34))/2)</f>
        <v>0</v>
      </c>
      <c r="AB48" s="20">
        <f>MAX(0,(SUMPRODUCT(Oxides_min!$C48:$BB48,Factors!$C$35:$BB$35)+SUMPRODUCT(Oxides_max!$C48:$BB48,Factors!$C$35:$BB$35))/2)</f>
        <v>0</v>
      </c>
      <c r="AC48" s="20">
        <f>MAX(0,(SUMPRODUCT(Oxides_min!$C48:$BB48,Factors!$C$36:$BB$36)+SUMPRODUCT(Oxides_max!$C48:$BB48,Factors!$C$36:$BB$36))/2)</f>
        <v>0</v>
      </c>
      <c r="AD48" s="20">
        <f>MAX(0,(SUMPRODUCT(Oxides_min!$C48:$BB48,Factors!$C$37:$BB$37)+SUMPRODUCT(Oxides_max!$C48:$BB48,Factors!$C$37:$BB$37))/2)</f>
        <v>0.40957868442964196</v>
      </c>
      <c r="AE48" s="20">
        <f>MAX(0,(SUMPRODUCT(Oxides_min!$C48:$BB48,Factors!$C$38:$BB$38)+SUMPRODUCT(Oxides_max!$C48:$BB48,Factors!$C$38:$BB$38))/2)</f>
        <v>0.05</v>
      </c>
      <c r="AF48" s="20">
        <f>MAX(0,(SUMPRODUCT(Oxides_min!$C48:$BB48,Factors!$C$39:$BB$39)+SUMPRODUCT(Oxides_max!$C48:$BB48,Factors!$C$39:$BB$39))/2)</f>
        <v>0</v>
      </c>
      <c r="AG48" s="20">
        <f>MAX(0,(SUMPRODUCT(Oxides_min!$C48:$BB48,Factors!$C$40:$BB$40)+SUMPRODUCT(Oxides_max!$C48:$BB48,Factors!$C$40:$BB$40))/2)</f>
        <v>0</v>
      </c>
      <c r="AH48" s="20">
        <f>MAX(0,(SUMPRODUCT(Oxides_min!$C48:$BB48,Factors!$C$41:$BB$41)+SUMPRODUCT(Oxides_max!$C48:$BB48,Factors!$C$41:$BB$41))/2)</f>
        <v>0</v>
      </c>
      <c r="AI48" s="20">
        <f>MAX(0,(SUMPRODUCT(Oxides_min!$C48:$BB48,Factors!$C$42:$BB$42)+SUMPRODUCT(Oxides_max!$C48:$BB48,Factors!$C$42:$BB$42))/2)</f>
        <v>0</v>
      </c>
      <c r="AJ48" s="20">
        <f>MAX(0,(SUMPRODUCT(Oxides_min!$C48:$BB48,Factors!$C$43:$BB$43)+SUMPRODUCT(Oxides_max!$C48:$BB48,Factors!$C$43:$BB$43))/2)</f>
        <v>0</v>
      </c>
      <c r="AK48" s="20">
        <f>MAX(0,(SUMPRODUCT(Oxides_min!$C48:$BB48,Factors!$C$44:$BB$44)+SUMPRODUCT(Oxides_max!$C48:$BB48,Factors!$C$44:$BB$44))/2)</f>
        <v>0</v>
      </c>
      <c r="AL48" s="20">
        <f>MAX(0,(SUMPRODUCT(Oxides_min!$C48:$BB48,Factors!$C$45:$BB$45)+SUMPRODUCT(Oxides_max!$C48:$BB48,Factors!$C$45:$BB$45))/2)</f>
        <v>0</v>
      </c>
      <c r="AM48" s="20">
        <f>MAX(0,(SUMPRODUCT(Oxides_min!$C48:$BB48,Factors!$C$46:$BB$46)+SUMPRODUCT(Oxides_max!$C48:$BB48,Factors!$C$46:$BB$46))/2)</f>
        <v>0</v>
      </c>
      <c r="AN48" s="20">
        <f>MAX(0,(SUMPRODUCT(Oxides_min!$C48:$BB48,Factors!$C$47:$BB$47)+SUMPRODUCT(Oxides_max!$C48:$BB48,Factors!$C$47:$BB$47))/2)</f>
        <v>0</v>
      </c>
      <c r="AO48" s="20">
        <f>MAX(0,(SUMPRODUCT(Oxides_min!$C48:$BB48,Factors!$C$48:$BB$48)+SUMPRODUCT(Oxides_max!$C48:$BB48,Factors!$C$48:$BB$48))/2)</f>
        <v>0</v>
      </c>
      <c r="AP48" s="20">
        <f>MAX(0,(SUMPRODUCT(Oxides_min!$C48:$BB48,Factors!$C$49:$BB$49)+SUMPRODUCT(Oxides_max!$C48:$BB48,Factors!$C$49:$BB$49))/2)</f>
        <v>0</v>
      </c>
      <c r="AQ48" s="20">
        <f>MAX(0,(SUMPRODUCT(Oxides_min!$C48:$BB48,Factors!$C$50:$BB$50)+SUMPRODUCT(Oxides_max!$C48:$BB48,Factors!$C$50:$BB$50))/2)</f>
        <v>0</v>
      </c>
      <c r="AR48" s="20">
        <f>MAX(0,(SUMPRODUCT(Oxides_min!$C48:$BB48,Factors!$C$51:$BB$51)+SUMPRODUCT(Oxides_max!$C48:$BB48,Factors!$C$51:$BB$51))/2)</f>
        <v>0</v>
      </c>
      <c r="AS48" s="20">
        <f>MAX(0,(SUMPRODUCT(Oxides_min!$C48:$BB48,Factors!$C$52:$BB$52)+SUMPRODUCT(Oxides_max!$C48:$BB48,Factors!$C$52:$BB$52))/2)</f>
        <v>0</v>
      </c>
      <c r="AT48" s="20">
        <f>MAX(0,(SUMPRODUCT(Oxides_min!$C48:$BB48,Factors!$C$53:$BB$53)+SUMPRODUCT(Oxides_max!$C48:$BB48,Factors!$C$53:$BB$53))/2)</f>
        <v>0</v>
      </c>
      <c r="AU48" s="20">
        <f>MAX(0,(SUMPRODUCT(Oxides_min!$C48:$BB48,Factors!$C$54:$BB$54)+SUMPRODUCT(Oxides_max!$C48:$BB48,Factors!$C$54:$BB$54))/2)</f>
        <v>0</v>
      </c>
      <c r="AV48" s="20">
        <f>MAX(0,(SUMPRODUCT(Oxides_min!$C48:$BB48,Factors!$C$55:$BB$55)+SUMPRODUCT(Oxides_max!$C48:$BB48,Factors!$C$55:$BB$55))/2)</f>
        <v>0</v>
      </c>
      <c r="AW48" s="20">
        <f>MAX(0,(SUMPRODUCT(Oxides_min!$C48:$BB48,Factors!$C$56:$BB$56)+SUMPRODUCT(Oxides_max!$C48:$BB48,Factors!$C$56:$BB$56))/2)</f>
        <v>0</v>
      </c>
      <c r="AX48" s="20">
        <f>MAX(0,(SUMPRODUCT(Oxides_min!$C48:$BB48,Factors!$C$57:$BB$57)+SUMPRODUCT(Oxides_max!$C48:$BB48,Factors!$C$57:$BB$57))/2)</f>
        <v>0</v>
      </c>
      <c r="AY48" s="20">
        <f>MAX(0,(SUMPRODUCT(Oxides_min!$C48:$BB48,Factors!$C$58:$BB$58)+SUMPRODUCT(Oxides_max!$C48:$BB48,Factors!$C$58:$BB$58))/2)</f>
        <v>0</v>
      </c>
      <c r="AZ48" s="18">
        <f t="shared" si="3"/>
        <v>99.988946914823927</v>
      </c>
    </row>
    <row r="49" spans="1:52" x14ac:dyDescent="0.35">
      <c r="A49" s="13" t="s">
        <v>440</v>
      </c>
      <c r="B49" s="20">
        <f>MAX(0,(SUMPRODUCT(Oxides_min!$C49:$BB49,Factors!$C$9:$BB$9)+SUMPRODUCT(Oxides_max!$C49:$BB49,Factors!$C$9:$BB$9))/2)</f>
        <v>49.148983638755041</v>
      </c>
      <c r="C49" s="20">
        <f>MAX(0,(SUMPRODUCT(Oxides_min!$C49:$BB49,Factors!$C$10:$BB$10)+SUMPRODUCT(Oxides_max!$C49:$BB49,Factors!$C$10:$BB$10))/2)</f>
        <v>15.413725596258509</v>
      </c>
      <c r="D49" s="20">
        <f>MAX(0,(SUMPRODUCT(Oxides_min!$C49:$BB49,Factors!$C$11:$BB$11)+SUMPRODUCT(Oxides_max!$C49:$BB49,Factors!$C$11:$BB$11))/2)</f>
        <v>0</v>
      </c>
      <c r="E49" s="20">
        <f>MAX(0,(SUMPRODUCT(Oxides_min!$C49:$BB49,Factors!$C$12:$BB$12)+SUMPRODUCT(Oxides_max!$C49:$BB49,Factors!$C$12:$BB$12))/2)</f>
        <v>0</v>
      </c>
      <c r="F49" s="20">
        <f>MAX(0,(SUMPRODUCT(Oxides_min!$C49:$BB49,Factors!$C$13:$BB$13)+SUMPRODUCT(Oxides_max!$C49:$BB49,Factors!$C$13:$BB$13))/2)</f>
        <v>0</v>
      </c>
      <c r="G49" s="20">
        <f>MAX(0,(SUMPRODUCT(Oxides_min!$C49:$BB49,Factors!$C$14:$BB$14)+SUMPRODUCT(Oxides_max!$C49:$BB49,Factors!$C$14:$BB$14))/2)</f>
        <v>0</v>
      </c>
      <c r="H49" s="20">
        <f>MAX(0,(SUMPRODUCT(Oxides_min!$C49:$BB49,Factors!$C$15:$BB$15)+SUMPRODUCT(Oxides_max!$C49:$BB49,Factors!$C$15:$BB$15))/2)</f>
        <v>5.9409090023048918</v>
      </c>
      <c r="I49" s="20">
        <f>MAX(0,(SUMPRODUCT(Oxides_min!$C49:$BB49,Factors!$C$16:$BB$16)+SUMPRODUCT(Oxides_max!$C49:$BB49,Factors!$C$16:$BB$16))/2)</f>
        <v>2.7301325312755402</v>
      </c>
      <c r="J49" s="20">
        <f>MAX(0,(SUMPRODUCT(Oxides_min!$C49:$BB49,Factors!$C$17:$BB$17)+SUMPRODUCT(Oxides_max!$C49:$BB49,Factors!$C$17:$BB$17))/2)</f>
        <v>0</v>
      </c>
      <c r="K49" s="20">
        <f>MAX(0,(SUMPRODUCT(Oxides_min!$C49:$BB49,Factors!$C$18:$BB$18)+SUMPRODUCT(Oxides_max!$C49:$BB49,Factors!$C$18:$BB$18))/2)</f>
        <v>0</v>
      </c>
      <c r="L49" s="20">
        <f>MAX(0,(SUMPRODUCT(Oxides_min!$C49:$BB49,Factors!$C$19:$BB$19)+SUMPRODUCT(Oxides_max!$C49:$BB49,Factors!$C$19:$BB$19))/2)</f>
        <v>0</v>
      </c>
      <c r="M49" s="20">
        <f>MAX(0,(SUMPRODUCT(Oxides_min!$C49:$BB49,Factors!$C$20:$BB$20)+SUMPRODUCT(Oxides_max!$C49:$BB49,Factors!$C$20:$BB$20))/2)</f>
        <v>21.196922141722904</v>
      </c>
      <c r="N49" s="20">
        <f>MAX(0,(SUMPRODUCT(Oxides_min!$C49:$BB49,Factors!$C$21:$BB$21)+SUMPRODUCT(Oxides_max!$C49:$BB49,Factors!$C$21:$BB$21))/2)</f>
        <v>0.44311143606113018</v>
      </c>
      <c r="O49" s="20">
        <f>MAX(0,(SUMPRODUCT(Oxides_min!$C49:$BB49,Factors!$C$22:$BB$22)+SUMPRODUCT(Oxides_max!$C49:$BB49,Factors!$C$22:$BB$22))/2)</f>
        <v>0</v>
      </c>
      <c r="P49" s="20">
        <f>MAX(0,(SUMPRODUCT(Oxides_min!$C49:$BB49,Factors!$C$23:$BB$23)+SUMPRODUCT(Oxides_max!$C49:$BB49,Factors!$C$23:$BB$23))/2)</f>
        <v>0</v>
      </c>
      <c r="Q49" s="20">
        <f>MAX(0,(SUMPRODUCT(Oxides_min!$C49:$BB49,Factors!$C$24:$BB$24)+SUMPRODUCT(Oxides_max!$C49:$BB49,Factors!$C$24:$BB$24))/2)</f>
        <v>0</v>
      </c>
      <c r="R49" s="20">
        <f>MAX(0,(SUMPRODUCT(Oxides_min!$C49:$BB49,Factors!$C$25:$BB$25)+SUMPRODUCT(Oxides_max!$C49:$BB49,Factors!$C$25:$BB$25))/2)</f>
        <v>0</v>
      </c>
      <c r="S49" s="20">
        <f>MAX(0,(SUMPRODUCT(Oxides_min!$C49:$BB49,Factors!$C$26:$BB$26)+SUMPRODUCT(Oxides_max!$C49:$BB49,Factors!$C$26:$BB$26))/2)</f>
        <v>0</v>
      </c>
      <c r="T49" s="20">
        <f>MAX(0,(SUMPRODUCT(Oxides_min!$C49:$BB49,Factors!$C$27:$BB$27)+SUMPRODUCT(Oxides_max!$C49:$BB49,Factors!$C$27:$BB$27))/2)</f>
        <v>0</v>
      </c>
      <c r="U49" s="20">
        <f>MAX(0,(SUMPRODUCT(Oxides_min!$C49:$BB49,Factors!$C$28:$BB$28)+SUMPRODUCT(Oxides_max!$C49:$BB49,Factors!$C$28:$BB$28))/2)</f>
        <v>0</v>
      </c>
      <c r="V49" s="20">
        <f>MAX(0,(SUMPRODUCT(Oxides_min!$C49:$BB49,Factors!$C$29:$BB$29)+SUMPRODUCT(Oxides_max!$C49:$BB49,Factors!$C$29:$BB$29))/2)</f>
        <v>0</v>
      </c>
      <c r="W49" s="20">
        <f>MAX(0,(SUMPRODUCT(Oxides_min!$C49:$BB49,Factors!$C$30:$BB$30)+SUMPRODUCT(Oxides_max!$C49:$BB49,Factors!$C$30:$BB$30))/2)</f>
        <v>0</v>
      </c>
      <c r="X49" s="20">
        <f>MAX(0,(SUMPRODUCT(Oxides_min!$C49:$BB49,Factors!$C$31:$BB$31)+SUMPRODUCT(Oxides_max!$C49:$BB49,Factors!$C$31:$BB$31))/2)</f>
        <v>0</v>
      </c>
      <c r="Y49" s="20">
        <f>MAX(0,(SUMPRODUCT(Oxides_min!$C49:$BB49,Factors!$C$32:$BB$32)+SUMPRODUCT(Oxides_max!$C49:$BB49,Factors!$C$32:$BB$32))/2)</f>
        <v>0</v>
      </c>
      <c r="Z49" s="20">
        <f>MAX(0,(SUMPRODUCT(Oxides_min!$C49:$BB49,Factors!$C$33:$BB$33)+SUMPRODUCT(Oxides_max!$C49:$BB49,Factors!$C$33:$BB$33))/2)</f>
        <v>0</v>
      </c>
      <c r="AA49" s="20">
        <f>MAX(0,(SUMPRODUCT(Oxides_min!$C49:$BB49,Factors!$C$34:$BB$34)+SUMPRODUCT(Oxides_max!$C49:$BB49,Factors!$C$34:$BB$34))/2)</f>
        <v>0</v>
      </c>
      <c r="AB49" s="20">
        <f>MAX(0,(SUMPRODUCT(Oxides_min!$C49:$BB49,Factors!$C$35:$BB$35)+SUMPRODUCT(Oxides_max!$C49:$BB49,Factors!$C$35:$BB$35))/2)</f>
        <v>0</v>
      </c>
      <c r="AC49" s="20">
        <f>MAX(0,(SUMPRODUCT(Oxides_min!$C49:$BB49,Factors!$C$36:$BB$36)+SUMPRODUCT(Oxides_max!$C49:$BB49,Factors!$C$36:$BB$36))/2)</f>
        <v>0</v>
      </c>
      <c r="AD49" s="20">
        <f>MAX(0,(SUMPRODUCT(Oxides_min!$C49:$BB49,Factors!$C$37:$BB$37)+SUMPRODUCT(Oxides_max!$C49:$BB49,Factors!$C$37:$BB$37))/2)</f>
        <v>1.4212156536219815</v>
      </c>
      <c r="AE49" s="20">
        <f>MAX(0,(SUMPRODUCT(Oxides_min!$C49:$BB49,Factors!$C$38:$BB$38)+SUMPRODUCT(Oxides_max!$C49:$BB49,Factors!$C$38:$BB$38))/2)</f>
        <v>0</v>
      </c>
      <c r="AF49" s="20">
        <f>MAX(0,(SUMPRODUCT(Oxides_min!$C49:$BB49,Factors!$C$39:$BB$39)+SUMPRODUCT(Oxides_max!$C49:$BB49,Factors!$C$39:$BB$39))/2)</f>
        <v>0</v>
      </c>
      <c r="AG49" s="20">
        <f>MAX(0,(SUMPRODUCT(Oxides_min!$C49:$BB49,Factors!$C$40:$BB$40)+SUMPRODUCT(Oxides_max!$C49:$BB49,Factors!$C$40:$BB$40))/2)</f>
        <v>0</v>
      </c>
      <c r="AH49" s="20">
        <f>MAX(0,(SUMPRODUCT(Oxides_min!$C49:$BB49,Factors!$C$41:$BB$41)+SUMPRODUCT(Oxides_max!$C49:$BB49,Factors!$C$41:$BB$41))/2)</f>
        <v>0</v>
      </c>
      <c r="AI49" s="20">
        <f>MAX(0,(SUMPRODUCT(Oxides_min!$C49:$BB49,Factors!$C$42:$BB$42)+SUMPRODUCT(Oxides_max!$C49:$BB49,Factors!$C$42:$BB$42))/2)</f>
        <v>0</v>
      </c>
      <c r="AJ49" s="20">
        <f>MAX(0,(SUMPRODUCT(Oxides_min!$C49:$BB49,Factors!$C$43:$BB$43)+SUMPRODUCT(Oxides_max!$C49:$BB49,Factors!$C$43:$BB$43))/2)</f>
        <v>0</v>
      </c>
      <c r="AK49" s="20">
        <f>MAX(0,(SUMPRODUCT(Oxides_min!$C49:$BB49,Factors!$C$44:$BB$44)+SUMPRODUCT(Oxides_max!$C49:$BB49,Factors!$C$44:$BB$44))/2)</f>
        <v>0</v>
      </c>
      <c r="AL49" s="20">
        <f>MAX(0,(SUMPRODUCT(Oxides_min!$C49:$BB49,Factors!$C$45:$BB$45)+SUMPRODUCT(Oxides_max!$C49:$BB49,Factors!$C$45:$BB$45))/2)</f>
        <v>0</v>
      </c>
      <c r="AM49" s="20">
        <f>MAX(0,(SUMPRODUCT(Oxides_min!$C49:$BB49,Factors!$C$46:$BB$46)+SUMPRODUCT(Oxides_max!$C49:$BB49,Factors!$C$46:$BB$46))/2)</f>
        <v>0</v>
      </c>
      <c r="AN49" s="20">
        <f>MAX(0,(SUMPRODUCT(Oxides_min!$C49:$BB49,Factors!$C$47:$BB$47)+SUMPRODUCT(Oxides_max!$C49:$BB49,Factors!$C$47:$BB$47))/2)</f>
        <v>0</v>
      </c>
      <c r="AO49" s="20">
        <f>MAX(0,(SUMPRODUCT(Oxides_min!$C49:$BB49,Factors!$C$48:$BB$48)+SUMPRODUCT(Oxides_max!$C49:$BB49,Factors!$C$48:$BB$48))/2)</f>
        <v>0</v>
      </c>
      <c r="AP49" s="20">
        <f>MAX(0,(SUMPRODUCT(Oxides_min!$C49:$BB49,Factors!$C$49:$BB$49)+SUMPRODUCT(Oxides_max!$C49:$BB49,Factors!$C$49:$BB$49))/2)</f>
        <v>0</v>
      </c>
      <c r="AQ49" s="20">
        <f>MAX(0,(SUMPRODUCT(Oxides_min!$C49:$BB49,Factors!$C$50:$BB$50)+SUMPRODUCT(Oxides_max!$C49:$BB49,Factors!$C$50:$BB$50))/2)</f>
        <v>0</v>
      </c>
      <c r="AR49" s="20">
        <f>MAX(0,(SUMPRODUCT(Oxides_min!$C49:$BB49,Factors!$C$51:$BB$51)+SUMPRODUCT(Oxides_max!$C49:$BB49,Factors!$C$51:$BB$51))/2)</f>
        <v>0</v>
      </c>
      <c r="AS49" s="20">
        <f>MAX(0,(SUMPRODUCT(Oxides_min!$C49:$BB49,Factors!$C$52:$BB$52)+SUMPRODUCT(Oxides_max!$C49:$BB49,Factors!$C$52:$BB$52))/2)</f>
        <v>0</v>
      </c>
      <c r="AT49" s="20">
        <f>MAX(0,(SUMPRODUCT(Oxides_min!$C49:$BB49,Factors!$C$53:$BB$53)+SUMPRODUCT(Oxides_max!$C49:$BB49,Factors!$C$53:$BB$53))/2)</f>
        <v>0</v>
      </c>
      <c r="AU49" s="20">
        <f>MAX(0,(SUMPRODUCT(Oxides_min!$C49:$BB49,Factors!$C$54:$BB$54)+SUMPRODUCT(Oxides_max!$C49:$BB49,Factors!$C$54:$BB$54))/2)</f>
        <v>0</v>
      </c>
      <c r="AV49" s="20">
        <f>MAX(0,(SUMPRODUCT(Oxides_min!$C49:$BB49,Factors!$C$55:$BB$55)+SUMPRODUCT(Oxides_max!$C49:$BB49,Factors!$C$55:$BB$55))/2)</f>
        <v>0</v>
      </c>
      <c r="AW49" s="20">
        <f>MAX(0,(SUMPRODUCT(Oxides_min!$C49:$BB49,Factors!$C$56:$BB$56)+SUMPRODUCT(Oxides_max!$C49:$BB49,Factors!$C$56:$BB$56))/2)</f>
        <v>0</v>
      </c>
      <c r="AX49" s="20">
        <f>MAX(0,(SUMPRODUCT(Oxides_min!$C49:$BB49,Factors!$C$57:$BB$57)+SUMPRODUCT(Oxides_max!$C49:$BB49,Factors!$C$57:$BB$57))/2)</f>
        <v>0</v>
      </c>
      <c r="AY49" s="20">
        <f>MAX(0,(SUMPRODUCT(Oxides_min!$C49:$BB49,Factors!$C$58:$BB$58)+SUMPRODUCT(Oxides_max!$C49:$BB49,Factors!$C$58:$BB$58))/2)</f>
        <v>0</v>
      </c>
      <c r="AZ49" s="18">
        <f t="shared" si="3"/>
        <v>96.295000000000016</v>
      </c>
    </row>
    <row r="50" spans="1:52" x14ac:dyDescent="0.35">
      <c r="A50" s="13" t="s">
        <v>442</v>
      </c>
      <c r="B50" s="20">
        <f>MAX(0,(SUMPRODUCT(Oxides_min!$C50:$BB50,Factors!$C$9:$BB$9)+SUMPRODUCT(Oxides_max!$C50:$BB50,Factors!$C$9:$BB$9))/2)</f>
        <v>44.312537501282279</v>
      </c>
      <c r="C50" s="20">
        <f>MAX(0,(SUMPRODUCT(Oxides_min!$C50:$BB50,Factors!$C$10:$BB$10)+SUMPRODUCT(Oxides_max!$C50:$BB50,Factors!$C$10:$BB$10))/2)</f>
        <v>12.398758800326217</v>
      </c>
      <c r="D50" s="20">
        <f>MAX(0,(SUMPRODUCT(Oxides_min!$C50:$BB50,Factors!$C$11:$BB$11)+SUMPRODUCT(Oxides_max!$C50:$BB50,Factors!$C$11:$BB$11))/2)</f>
        <v>0</v>
      </c>
      <c r="E50" s="20">
        <f>MAX(0,(SUMPRODUCT(Oxides_min!$C50:$BB50,Factors!$C$12:$BB$12)+SUMPRODUCT(Oxides_max!$C50:$BB50,Factors!$C$12:$BB$12))/2)</f>
        <v>0</v>
      </c>
      <c r="F50" s="20">
        <f>MAX(0,(SUMPRODUCT(Oxides_min!$C50:$BB50,Factors!$C$13:$BB$13)+SUMPRODUCT(Oxides_max!$C50:$BB50,Factors!$C$13:$BB$13))/2)</f>
        <v>0</v>
      </c>
      <c r="G50" s="20">
        <f>MAX(0,(SUMPRODUCT(Oxides_min!$C50:$BB50,Factors!$C$14:$BB$14)+SUMPRODUCT(Oxides_max!$C50:$BB50,Factors!$C$14:$BB$14))/2)</f>
        <v>0</v>
      </c>
      <c r="H50" s="20">
        <f>MAX(0,(SUMPRODUCT(Oxides_min!$C50:$BB50,Factors!$C$15:$BB$15)+SUMPRODUCT(Oxides_max!$C50:$BB50,Factors!$C$15:$BB$15))/2)</f>
        <v>9.0952802854886041</v>
      </c>
      <c r="I50" s="20">
        <f>MAX(0,(SUMPRODUCT(Oxides_min!$C50:$BB50,Factors!$C$16:$BB$16)+SUMPRODUCT(Oxides_max!$C50:$BB50,Factors!$C$16:$BB$16))/2)</f>
        <v>27.768845038562155</v>
      </c>
      <c r="J50" s="20">
        <f>MAX(0,(SUMPRODUCT(Oxides_min!$C50:$BB50,Factors!$C$17:$BB$17)+SUMPRODUCT(Oxides_max!$C50:$BB50,Factors!$C$17:$BB$17))/2)</f>
        <v>1.548923972642559E-2</v>
      </c>
      <c r="K50" s="20">
        <f>MAX(0,(SUMPRODUCT(Oxides_min!$C50:$BB50,Factors!$C$18:$BB$18)+SUMPRODUCT(Oxides_max!$C50:$BB50,Factors!$C$18:$BB$18))/2)</f>
        <v>0</v>
      </c>
      <c r="L50" s="20">
        <f>MAX(0,(SUMPRODUCT(Oxides_min!$C50:$BB50,Factors!$C$19:$BB$19)+SUMPRODUCT(Oxides_max!$C50:$BB50,Factors!$C$19:$BB$19))/2)</f>
        <v>0</v>
      </c>
      <c r="M50" s="20">
        <f>MAX(0,(SUMPRODUCT(Oxides_min!$C50:$BB50,Factors!$C$20:$BB$20)+SUMPRODUCT(Oxides_max!$C50:$BB50,Factors!$C$20:$BB$20))/2)</f>
        <v>4.7700612842397776</v>
      </c>
      <c r="N50" s="20">
        <f>MAX(0,(SUMPRODUCT(Oxides_min!$C50:$BB50,Factors!$C$21:$BB$21)+SUMPRODUCT(Oxides_max!$C50:$BB50,Factors!$C$21:$BB$21))/2)</f>
        <v>0.15008613156909248</v>
      </c>
      <c r="O50" s="20">
        <f>MAX(0,(SUMPRODUCT(Oxides_min!$C50:$BB50,Factors!$C$22:$BB$22)+SUMPRODUCT(Oxides_max!$C50:$BB50,Factors!$C$22:$BB$22))/2)</f>
        <v>0</v>
      </c>
      <c r="P50" s="20">
        <f>MAX(0,(SUMPRODUCT(Oxides_min!$C50:$BB50,Factors!$C$23:$BB$23)+SUMPRODUCT(Oxides_max!$C50:$BB50,Factors!$C$23:$BB$23))/2)</f>
        <v>0</v>
      </c>
      <c r="Q50" s="20">
        <f>MAX(0,(SUMPRODUCT(Oxides_min!$C50:$BB50,Factors!$C$24:$BB$24)+SUMPRODUCT(Oxides_max!$C50:$BB50,Factors!$C$24:$BB$24))/2)</f>
        <v>0</v>
      </c>
      <c r="R50" s="20">
        <f>MAX(0,(SUMPRODUCT(Oxides_min!$C50:$BB50,Factors!$C$25:$BB$25)+SUMPRODUCT(Oxides_max!$C50:$BB50,Factors!$C$25:$BB$25))/2)</f>
        <v>6.3058291924978235E-2</v>
      </c>
      <c r="S50" s="20">
        <f>MAX(0,(SUMPRODUCT(Oxides_min!$C50:$BB50,Factors!$C$26:$BB$26)+SUMPRODUCT(Oxides_max!$C50:$BB50,Factors!$C$26:$BB$26))/2)</f>
        <v>7.0562860685637122E-2</v>
      </c>
      <c r="T50" s="20">
        <f>MAX(0,(SUMPRODUCT(Oxides_min!$C50:$BB50,Factors!$C$27:$BB$27)+SUMPRODUCT(Oxides_max!$C50:$BB50,Factors!$C$27:$BB$27))/2)</f>
        <v>0</v>
      </c>
      <c r="U50" s="20">
        <f>MAX(0,(SUMPRODUCT(Oxides_min!$C50:$BB50,Factors!$C$28:$BB$28)+SUMPRODUCT(Oxides_max!$C50:$BB50,Factors!$C$28:$BB$28))/2)</f>
        <v>0</v>
      </c>
      <c r="V50" s="20">
        <f>MAX(0,(SUMPRODUCT(Oxides_min!$C50:$BB50,Factors!$C$29:$BB$29)+SUMPRODUCT(Oxides_max!$C50:$BB50,Factors!$C$29:$BB$29))/2)</f>
        <v>0</v>
      </c>
      <c r="W50" s="20">
        <f>MAX(0,(SUMPRODUCT(Oxides_min!$C50:$BB50,Factors!$C$30:$BB$30)+SUMPRODUCT(Oxides_max!$C50:$BB50,Factors!$C$30:$BB$30))/2)</f>
        <v>0</v>
      </c>
      <c r="X50" s="20">
        <f>MAX(0,(SUMPRODUCT(Oxides_min!$C50:$BB50,Factors!$C$31:$BB$31)+SUMPRODUCT(Oxides_max!$C50:$BB50,Factors!$C$31:$BB$31))/2)</f>
        <v>0</v>
      </c>
      <c r="Y50" s="20">
        <f>MAX(0,(SUMPRODUCT(Oxides_min!$C50:$BB50,Factors!$C$32:$BB$32)+SUMPRODUCT(Oxides_max!$C50:$BB50,Factors!$C$32:$BB$32))/2)</f>
        <v>0</v>
      </c>
      <c r="Z50" s="20">
        <f>MAX(0,(SUMPRODUCT(Oxides_min!$C50:$BB50,Factors!$C$33:$BB$33)+SUMPRODUCT(Oxides_max!$C50:$BB50,Factors!$C$33:$BB$33))/2)</f>
        <v>0</v>
      </c>
      <c r="AA50" s="20">
        <f>MAX(0,(SUMPRODUCT(Oxides_min!$C50:$BB50,Factors!$C$34:$BB$34)+SUMPRODUCT(Oxides_max!$C50:$BB50,Factors!$C$34:$BB$34))/2)</f>
        <v>0</v>
      </c>
      <c r="AB50" s="20">
        <f>MAX(0,(SUMPRODUCT(Oxides_min!$C50:$BB50,Factors!$C$35:$BB$35)+SUMPRODUCT(Oxides_max!$C50:$BB50,Factors!$C$35:$BB$35))/2)</f>
        <v>0</v>
      </c>
      <c r="AC50" s="20">
        <f>MAX(0,(SUMPRODUCT(Oxides_min!$C50:$BB50,Factors!$C$36:$BB$36)+SUMPRODUCT(Oxides_max!$C50:$BB50,Factors!$C$36:$BB$36))/2)</f>
        <v>0</v>
      </c>
      <c r="AD50" s="20">
        <f>MAX(0,(SUMPRODUCT(Oxides_min!$C50:$BB50,Factors!$C$37:$BB$37)+SUMPRODUCT(Oxides_max!$C50:$BB50,Factors!$C$37:$BB$37))/2)</f>
        <v>1.2953205661948375</v>
      </c>
      <c r="AE50" s="20">
        <f>MAX(0,(SUMPRODUCT(Oxides_min!$C50:$BB50,Factors!$C$38:$BB$38)+SUMPRODUCT(Oxides_max!$C50:$BB50,Factors!$C$38:$BB$38))/2)</f>
        <v>0</v>
      </c>
      <c r="AF50" s="20">
        <f>MAX(0,(SUMPRODUCT(Oxides_min!$C50:$BB50,Factors!$C$39:$BB$39)+SUMPRODUCT(Oxides_max!$C50:$BB50,Factors!$C$39:$BB$39))/2)</f>
        <v>0</v>
      </c>
      <c r="AG50" s="20">
        <f>MAX(0,(SUMPRODUCT(Oxides_min!$C50:$BB50,Factors!$C$40:$BB$40)+SUMPRODUCT(Oxides_max!$C50:$BB50,Factors!$C$40:$BB$40))/2)</f>
        <v>0</v>
      </c>
      <c r="AH50" s="20">
        <f>MAX(0,(SUMPRODUCT(Oxides_min!$C50:$BB50,Factors!$C$41:$BB$41)+SUMPRODUCT(Oxides_max!$C50:$BB50,Factors!$C$41:$BB$41))/2)</f>
        <v>0</v>
      </c>
      <c r="AI50" s="20">
        <f>MAX(0,(SUMPRODUCT(Oxides_min!$C50:$BB50,Factors!$C$42:$BB$42)+SUMPRODUCT(Oxides_max!$C50:$BB50,Factors!$C$42:$BB$42))/2)</f>
        <v>0</v>
      </c>
      <c r="AJ50" s="20">
        <f>MAX(0,(SUMPRODUCT(Oxides_min!$C50:$BB50,Factors!$C$43:$BB$43)+SUMPRODUCT(Oxides_max!$C50:$BB50,Factors!$C$43:$BB$43))/2)</f>
        <v>0</v>
      </c>
      <c r="AK50" s="20">
        <f>MAX(0,(SUMPRODUCT(Oxides_min!$C50:$BB50,Factors!$C$44:$BB$44)+SUMPRODUCT(Oxides_max!$C50:$BB50,Factors!$C$44:$BB$44))/2)</f>
        <v>0</v>
      </c>
      <c r="AL50" s="20">
        <f>MAX(0,(SUMPRODUCT(Oxides_min!$C50:$BB50,Factors!$C$45:$BB$45)+SUMPRODUCT(Oxides_max!$C50:$BB50,Factors!$C$45:$BB$45))/2)</f>
        <v>0</v>
      </c>
      <c r="AM50" s="20">
        <f>MAX(0,(SUMPRODUCT(Oxides_min!$C50:$BB50,Factors!$C$46:$BB$46)+SUMPRODUCT(Oxides_max!$C50:$BB50,Factors!$C$46:$BB$46))/2)</f>
        <v>0</v>
      </c>
      <c r="AN50" s="20">
        <f>MAX(0,(SUMPRODUCT(Oxides_min!$C50:$BB50,Factors!$C$47:$BB$47)+SUMPRODUCT(Oxides_max!$C50:$BB50,Factors!$C$47:$BB$47))/2)</f>
        <v>0</v>
      </c>
      <c r="AO50" s="20">
        <f>MAX(0,(SUMPRODUCT(Oxides_min!$C50:$BB50,Factors!$C$48:$BB$48)+SUMPRODUCT(Oxides_max!$C50:$BB50,Factors!$C$48:$BB$48))/2)</f>
        <v>0</v>
      </c>
      <c r="AP50" s="20">
        <f>MAX(0,(SUMPRODUCT(Oxides_min!$C50:$BB50,Factors!$C$49:$BB$49)+SUMPRODUCT(Oxides_max!$C50:$BB50,Factors!$C$49:$BB$49))/2)</f>
        <v>0</v>
      </c>
      <c r="AQ50" s="20">
        <f>MAX(0,(SUMPRODUCT(Oxides_min!$C50:$BB50,Factors!$C$50:$BB$50)+SUMPRODUCT(Oxides_max!$C50:$BB50,Factors!$C$50:$BB$50))/2)</f>
        <v>0</v>
      </c>
      <c r="AR50" s="20">
        <f>MAX(0,(SUMPRODUCT(Oxides_min!$C50:$BB50,Factors!$C$51:$BB$51)+SUMPRODUCT(Oxides_max!$C50:$BB50,Factors!$C$51:$BB$51))/2)</f>
        <v>0</v>
      </c>
      <c r="AS50" s="20">
        <f>MAX(0,(SUMPRODUCT(Oxides_min!$C50:$BB50,Factors!$C$52:$BB$52)+SUMPRODUCT(Oxides_max!$C50:$BB50,Factors!$C$52:$BB$52))/2)</f>
        <v>0</v>
      </c>
      <c r="AT50" s="20">
        <f>MAX(0,(SUMPRODUCT(Oxides_min!$C50:$BB50,Factors!$C$53:$BB$53)+SUMPRODUCT(Oxides_max!$C50:$BB50,Factors!$C$53:$BB$53))/2)</f>
        <v>0</v>
      </c>
      <c r="AU50" s="20">
        <f>MAX(0,(SUMPRODUCT(Oxides_min!$C50:$BB50,Factors!$C$54:$BB$54)+SUMPRODUCT(Oxides_max!$C50:$BB50,Factors!$C$54:$BB$54))/2)</f>
        <v>0</v>
      </c>
      <c r="AV50" s="20">
        <f>MAX(0,(SUMPRODUCT(Oxides_min!$C50:$BB50,Factors!$C$55:$BB$55)+SUMPRODUCT(Oxides_max!$C50:$BB50,Factors!$C$55:$BB$55))/2)</f>
        <v>0</v>
      </c>
      <c r="AW50" s="20">
        <f>MAX(0,(SUMPRODUCT(Oxides_min!$C50:$BB50,Factors!$C$56:$BB$56)+SUMPRODUCT(Oxides_max!$C50:$BB50,Factors!$C$56:$BB$56))/2)</f>
        <v>0</v>
      </c>
      <c r="AX50" s="20">
        <f>MAX(0,(SUMPRODUCT(Oxides_min!$C50:$BB50,Factors!$C$57:$BB$57)+SUMPRODUCT(Oxides_max!$C50:$BB50,Factors!$C$57:$BB$57))/2)</f>
        <v>0</v>
      </c>
      <c r="AY50" s="20">
        <f>MAX(0,(SUMPRODUCT(Oxides_min!$C50:$BB50,Factors!$C$58:$BB$58)+SUMPRODUCT(Oxides_max!$C50:$BB50,Factors!$C$58:$BB$58))/2)</f>
        <v>0</v>
      </c>
      <c r="AZ50" s="18">
        <f t="shared" si="3"/>
        <v>99.94</v>
      </c>
    </row>
    <row r="51" spans="1:52" x14ac:dyDescent="0.35">
      <c r="A51" s="13" t="s">
        <v>444</v>
      </c>
      <c r="B51" s="20">
        <f>MAX(0,(SUMPRODUCT(Oxides_min!$C51:$BB51,Factors!$C$9:$BB$9)+SUMPRODUCT(Oxides_max!$C51:$BB51,Factors!$C$9:$BB$9))/2)</f>
        <v>43.509589362433836</v>
      </c>
      <c r="C51" s="20">
        <f>MAX(0,(SUMPRODUCT(Oxides_min!$C51:$BB51,Factors!$C$10:$BB$10)+SUMPRODUCT(Oxides_max!$C51:$BB51,Factors!$C$10:$BB$10))/2)</f>
        <v>23.378847178070338</v>
      </c>
      <c r="D51" s="20">
        <f>MAX(0,(SUMPRODUCT(Oxides_min!$C51:$BB51,Factors!$C$11:$BB$11)+SUMPRODUCT(Oxides_max!$C51:$BB51,Factors!$C$11:$BB$11))/2)</f>
        <v>0</v>
      </c>
      <c r="E51" s="20">
        <f>MAX(0,(SUMPRODUCT(Oxides_min!$C51:$BB51,Factors!$C$12:$BB$12)+SUMPRODUCT(Oxides_max!$C51:$BB51,Factors!$C$12:$BB$12))/2)</f>
        <v>0</v>
      </c>
      <c r="F51" s="20">
        <f>MAX(0,(SUMPRODUCT(Oxides_min!$C51:$BB51,Factors!$C$13:$BB$13)+SUMPRODUCT(Oxides_max!$C51:$BB51,Factors!$C$13:$BB$13))/2)</f>
        <v>0</v>
      </c>
      <c r="G51" s="20">
        <f>MAX(0,(SUMPRODUCT(Oxides_min!$C51:$BB51,Factors!$C$14:$BB$14)+SUMPRODUCT(Oxides_max!$C51:$BB51,Factors!$C$14:$BB$14))/2)</f>
        <v>0</v>
      </c>
      <c r="H51" s="20">
        <f>MAX(0,(SUMPRODUCT(Oxides_min!$C51:$BB51,Factors!$C$15:$BB$15)+SUMPRODUCT(Oxides_max!$C51:$BB51,Factors!$C$15:$BB$15))/2)</f>
        <v>13.641597285916134</v>
      </c>
      <c r="I51" s="20">
        <f>MAX(0,(SUMPRODUCT(Oxides_min!$C51:$BB51,Factors!$C$16:$BB$16)+SUMPRODUCT(Oxides_max!$C51:$BB51,Factors!$C$16:$BB$16))/2)</f>
        <v>8.7046827708885235E-2</v>
      </c>
      <c r="J51" s="20">
        <f>MAX(0,(SUMPRODUCT(Oxides_min!$C51:$BB51,Factors!$C$17:$BB$17)+SUMPRODUCT(Oxides_max!$C51:$BB51,Factors!$C$17:$BB$17))/2)</f>
        <v>0.55374032021971487</v>
      </c>
      <c r="K51" s="20">
        <f>MAX(0,(SUMPRODUCT(Oxides_min!$C51:$BB51,Factors!$C$18:$BB$18)+SUMPRODUCT(Oxides_max!$C51:$BB51,Factors!$C$18:$BB$18))/2)</f>
        <v>0</v>
      </c>
      <c r="L51" s="20">
        <f>MAX(0,(SUMPRODUCT(Oxides_min!$C51:$BB51,Factors!$C$19:$BB$19)+SUMPRODUCT(Oxides_max!$C51:$BB51,Factors!$C$19:$BB$19))/2)</f>
        <v>0</v>
      </c>
      <c r="M51" s="20">
        <f>MAX(0,(SUMPRODUCT(Oxides_min!$C51:$BB51,Factors!$C$20:$BB$20)+SUMPRODUCT(Oxides_max!$C51:$BB51,Factors!$C$20:$BB$20))/2)</f>
        <v>0.15980609865025805</v>
      </c>
      <c r="N51" s="20">
        <f>MAX(0,(SUMPRODUCT(Oxides_min!$C51:$BB51,Factors!$C$21:$BB$21)+SUMPRODUCT(Oxides_max!$C51:$BB51,Factors!$C$21:$BB$21))/2)</f>
        <v>7.1469586461472612E-2</v>
      </c>
      <c r="O51" s="20">
        <f>MAX(0,(SUMPRODUCT(Oxides_min!$C51:$BB51,Factors!$C$22:$BB$22)+SUMPRODUCT(Oxides_max!$C51:$BB51,Factors!$C$22:$BB$22))/2)</f>
        <v>0</v>
      </c>
      <c r="P51" s="20">
        <f>MAX(0,(SUMPRODUCT(Oxides_min!$C51:$BB51,Factors!$C$23:$BB$23)+SUMPRODUCT(Oxides_max!$C51:$BB51,Factors!$C$23:$BB$23))/2)</f>
        <v>0</v>
      </c>
      <c r="Q51" s="20">
        <f>MAX(0,(SUMPRODUCT(Oxides_min!$C51:$BB51,Factors!$C$24:$BB$24)+SUMPRODUCT(Oxides_max!$C51:$BB51,Factors!$C$24:$BB$24))/2)</f>
        <v>0</v>
      </c>
      <c r="R51" s="20">
        <f>MAX(0,(SUMPRODUCT(Oxides_min!$C51:$BB51,Factors!$C$25:$BB$25)+SUMPRODUCT(Oxides_max!$C51:$BB51,Factors!$C$25:$BB$25))/2)</f>
        <v>0.41915217573661995</v>
      </c>
      <c r="S51" s="20">
        <f>MAX(0,(SUMPRODUCT(Oxides_min!$C51:$BB51,Factors!$C$26:$BB$26)+SUMPRODUCT(Oxides_max!$C51:$BB51,Factors!$C$26:$BB$26))/2)</f>
        <v>7.9320956923677954</v>
      </c>
      <c r="T51" s="20">
        <f>MAX(0,(SUMPRODUCT(Oxides_min!$C51:$BB51,Factors!$C$27:$BB$27)+SUMPRODUCT(Oxides_max!$C51:$BB51,Factors!$C$27:$BB$27))/2)</f>
        <v>2.1183038254292312</v>
      </c>
      <c r="U51" s="20">
        <f>MAX(0,(SUMPRODUCT(Oxides_min!$C51:$BB51,Factors!$C$28:$BB$28)+SUMPRODUCT(Oxides_max!$C51:$BB51,Factors!$C$28:$BB$28))/2)</f>
        <v>0</v>
      </c>
      <c r="V51" s="20">
        <f>MAX(0,(SUMPRODUCT(Oxides_min!$C51:$BB51,Factors!$C$29:$BB$29)+SUMPRODUCT(Oxides_max!$C51:$BB51,Factors!$C$29:$BB$29))/2)</f>
        <v>0</v>
      </c>
      <c r="W51" s="20">
        <f>MAX(0,(SUMPRODUCT(Oxides_min!$C51:$BB51,Factors!$C$30:$BB$30)+SUMPRODUCT(Oxides_max!$C51:$BB51,Factors!$C$30:$BB$30))/2)</f>
        <v>0</v>
      </c>
      <c r="X51" s="20">
        <f>MAX(0,(SUMPRODUCT(Oxides_min!$C51:$BB51,Factors!$C$31:$BB$31)+SUMPRODUCT(Oxides_max!$C51:$BB51,Factors!$C$31:$BB$31))/2)</f>
        <v>0</v>
      </c>
      <c r="Y51" s="20">
        <f>MAX(0,(SUMPRODUCT(Oxides_min!$C51:$BB51,Factors!$C$32:$BB$32)+SUMPRODUCT(Oxides_max!$C51:$BB51,Factors!$C$32:$BB$32))/2)</f>
        <v>0</v>
      </c>
      <c r="Z51" s="20">
        <f>MAX(0,(SUMPRODUCT(Oxides_min!$C51:$BB51,Factors!$C$33:$BB$33)+SUMPRODUCT(Oxides_max!$C51:$BB51,Factors!$C$33:$BB$33))/2)</f>
        <v>0</v>
      </c>
      <c r="AA51" s="20">
        <f>MAX(0,(SUMPRODUCT(Oxides_min!$C51:$BB51,Factors!$C$34:$BB$34)+SUMPRODUCT(Oxides_max!$C51:$BB51,Factors!$C$34:$BB$34))/2)</f>
        <v>0</v>
      </c>
      <c r="AB51" s="20">
        <f>MAX(0,(SUMPRODUCT(Oxides_min!$C51:$BB51,Factors!$C$35:$BB$35)+SUMPRODUCT(Oxides_max!$C51:$BB51,Factors!$C$35:$BB$35))/2)</f>
        <v>0</v>
      </c>
      <c r="AC51" s="20">
        <f>MAX(0,(SUMPRODUCT(Oxides_min!$C51:$BB51,Factors!$C$36:$BB$36)+SUMPRODUCT(Oxides_max!$C51:$BB51,Factors!$C$36:$BB$36))/2)</f>
        <v>0</v>
      </c>
      <c r="AD51" s="20">
        <f>MAX(0,(SUMPRODUCT(Oxides_min!$C51:$BB51,Factors!$C$37:$BB$37)+SUMPRODUCT(Oxides_max!$C51:$BB51,Factors!$C$37:$BB$37))/2)</f>
        <v>0.35250624479600334</v>
      </c>
      <c r="AE51" s="20">
        <f>MAX(0,(SUMPRODUCT(Oxides_min!$C51:$BB51,Factors!$C$38:$BB$38)+SUMPRODUCT(Oxides_max!$C51:$BB51,Factors!$C$38:$BB$38))/2)</f>
        <v>6.165</v>
      </c>
      <c r="AF51" s="20">
        <f>MAX(0,(SUMPRODUCT(Oxides_min!$C51:$BB51,Factors!$C$39:$BB$39)+SUMPRODUCT(Oxides_max!$C51:$BB51,Factors!$C$39:$BB$39))/2)</f>
        <v>0</v>
      </c>
      <c r="AG51" s="20">
        <f>MAX(0,(SUMPRODUCT(Oxides_min!$C51:$BB51,Factors!$C$40:$BB$40)+SUMPRODUCT(Oxides_max!$C51:$BB51,Factors!$C$40:$BB$40))/2)</f>
        <v>0</v>
      </c>
      <c r="AH51" s="20">
        <f>MAX(0,(SUMPRODUCT(Oxides_min!$C51:$BB51,Factors!$C$41:$BB$41)+SUMPRODUCT(Oxides_max!$C51:$BB51,Factors!$C$41:$BB$41))/2)</f>
        <v>0</v>
      </c>
      <c r="AI51" s="20">
        <f>MAX(0,(SUMPRODUCT(Oxides_min!$C51:$BB51,Factors!$C$42:$BB$42)+SUMPRODUCT(Oxides_max!$C51:$BB51,Factors!$C$42:$BB$42))/2)</f>
        <v>0</v>
      </c>
      <c r="AJ51" s="20">
        <f>MAX(0,(SUMPRODUCT(Oxides_min!$C51:$BB51,Factors!$C$43:$BB$43)+SUMPRODUCT(Oxides_max!$C51:$BB51,Factors!$C$43:$BB$43))/2)</f>
        <v>0</v>
      </c>
      <c r="AK51" s="20">
        <f>MAX(0,(SUMPRODUCT(Oxides_min!$C51:$BB51,Factors!$C$44:$BB$44)+SUMPRODUCT(Oxides_max!$C51:$BB51,Factors!$C$44:$BB$44))/2)</f>
        <v>0</v>
      </c>
      <c r="AL51" s="20">
        <f>MAX(0,(SUMPRODUCT(Oxides_min!$C51:$BB51,Factors!$C$45:$BB$45)+SUMPRODUCT(Oxides_max!$C51:$BB51,Factors!$C$45:$BB$45))/2)</f>
        <v>0</v>
      </c>
      <c r="AM51" s="20">
        <f>MAX(0,(SUMPRODUCT(Oxides_min!$C51:$BB51,Factors!$C$46:$BB$46)+SUMPRODUCT(Oxides_max!$C51:$BB51,Factors!$C$46:$BB$46))/2)</f>
        <v>0</v>
      </c>
      <c r="AN51" s="20">
        <f>MAX(0,(SUMPRODUCT(Oxides_min!$C51:$BB51,Factors!$C$47:$BB$47)+SUMPRODUCT(Oxides_max!$C51:$BB51,Factors!$C$47:$BB$47))/2)</f>
        <v>0</v>
      </c>
      <c r="AO51" s="20">
        <f>MAX(0,(SUMPRODUCT(Oxides_min!$C51:$BB51,Factors!$C$48:$BB$48)+SUMPRODUCT(Oxides_max!$C51:$BB51,Factors!$C$48:$BB$48))/2)</f>
        <v>0</v>
      </c>
      <c r="AP51" s="20">
        <f>MAX(0,(SUMPRODUCT(Oxides_min!$C51:$BB51,Factors!$C$49:$BB$49)+SUMPRODUCT(Oxides_max!$C51:$BB51,Factors!$C$49:$BB$49))/2)</f>
        <v>0</v>
      </c>
      <c r="AQ51" s="20">
        <f>MAX(0,(SUMPRODUCT(Oxides_min!$C51:$BB51,Factors!$C$50:$BB$50)+SUMPRODUCT(Oxides_max!$C51:$BB51,Factors!$C$50:$BB$50))/2)</f>
        <v>0</v>
      </c>
      <c r="AR51" s="20">
        <f>MAX(0,(SUMPRODUCT(Oxides_min!$C51:$BB51,Factors!$C$51:$BB$51)+SUMPRODUCT(Oxides_max!$C51:$BB51,Factors!$C$51:$BB$51))/2)</f>
        <v>0</v>
      </c>
      <c r="AS51" s="20">
        <f>MAX(0,(SUMPRODUCT(Oxides_min!$C51:$BB51,Factors!$C$52:$BB$52)+SUMPRODUCT(Oxides_max!$C51:$BB51,Factors!$C$52:$BB$52))/2)</f>
        <v>0</v>
      </c>
      <c r="AT51" s="20">
        <f>MAX(0,(SUMPRODUCT(Oxides_min!$C51:$BB51,Factors!$C$53:$BB$53)+SUMPRODUCT(Oxides_max!$C51:$BB51,Factors!$C$53:$BB$53))/2)</f>
        <v>0</v>
      </c>
      <c r="AU51" s="20">
        <f>MAX(0,(SUMPRODUCT(Oxides_min!$C51:$BB51,Factors!$C$54:$BB$54)+SUMPRODUCT(Oxides_max!$C51:$BB51,Factors!$C$54:$BB$54))/2)</f>
        <v>0</v>
      </c>
      <c r="AV51" s="20">
        <f>MAX(0,(SUMPRODUCT(Oxides_min!$C51:$BB51,Factors!$C$55:$BB$55)+SUMPRODUCT(Oxides_max!$C51:$BB51,Factors!$C$55:$BB$55))/2)</f>
        <v>0</v>
      </c>
      <c r="AW51" s="20">
        <f>MAX(0,(SUMPRODUCT(Oxides_min!$C51:$BB51,Factors!$C$56:$BB$56)+SUMPRODUCT(Oxides_max!$C51:$BB51,Factors!$C$56:$BB$56))/2)</f>
        <v>0</v>
      </c>
      <c r="AX51" s="20">
        <f>MAX(0,(SUMPRODUCT(Oxides_min!$C51:$BB51,Factors!$C$57:$BB$57)+SUMPRODUCT(Oxides_max!$C51:$BB51,Factors!$C$57:$BB$57))/2)</f>
        <v>0</v>
      </c>
      <c r="AY51" s="20">
        <f>MAX(0,(SUMPRODUCT(Oxides_min!$C51:$BB51,Factors!$C$58:$BB$58)+SUMPRODUCT(Oxides_max!$C51:$BB51,Factors!$C$58:$BB$58))/2)</f>
        <v>0</v>
      </c>
      <c r="AZ51" s="18">
        <f t="shared" si="3"/>
        <v>98.389154597790309</v>
      </c>
    </row>
    <row r="52" spans="1:52" x14ac:dyDescent="0.35">
      <c r="A52" s="13" t="s">
        <v>446</v>
      </c>
      <c r="B52" s="20">
        <f>MAX(0,(SUMPRODUCT(Oxides_min!$C52:$BB52,Factors!$C$9:$BB$9)+SUMPRODUCT(Oxides_max!$C52:$BB52,Factors!$C$9:$BB$9))/2)</f>
        <v>38.017302217603351</v>
      </c>
      <c r="C52" s="20">
        <f>MAX(0,(SUMPRODUCT(Oxides_min!$C52:$BB52,Factors!$C$10:$BB$10)+SUMPRODUCT(Oxides_max!$C52:$BB52,Factors!$C$10:$BB$10))/2)</f>
        <v>0</v>
      </c>
      <c r="D52" s="20">
        <f>MAX(0,(SUMPRODUCT(Oxides_min!$C52:$BB52,Factors!$C$11:$BB$11)+SUMPRODUCT(Oxides_max!$C52:$BB52,Factors!$C$11:$BB$11))/2)</f>
        <v>0</v>
      </c>
      <c r="E52" s="20">
        <f>MAX(0,(SUMPRODUCT(Oxides_min!$C52:$BB52,Factors!$C$12:$BB$12)+SUMPRODUCT(Oxides_max!$C52:$BB52,Factors!$C$12:$BB$12))/2)</f>
        <v>0</v>
      </c>
      <c r="F52" s="20">
        <f>MAX(0,(SUMPRODUCT(Oxides_min!$C52:$BB52,Factors!$C$13:$BB$13)+SUMPRODUCT(Oxides_max!$C52:$BB52,Factors!$C$13:$BB$13))/2)</f>
        <v>0</v>
      </c>
      <c r="G52" s="20">
        <f>MAX(0,(SUMPRODUCT(Oxides_min!$C52:$BB52,Factors!$C$14:$BB$14)+SUMPRODUCT(Oxides_max!$C52:$BB52,Factors!$C$14:$BB$14))/2)</f>
        <v>0</v>
      </c>
      <c r="H52" s="20">
        <f>MAX(0,(SUMPRODUCT(Oxides_min!$C52:$BB52,Factors!$C$15:$BB$15)+SUMPRODUCT(Oxides_max!$C52:$BB52,Factors!$C$15:$BB$15))/2)</f>
        <v>0</v>
      </c>
      <c r="I52" s="20">
        <f>MAX(0,(SUMPRODUCT(Oxides_min!$C52:$BB52,Factors!$C$16:$BB$16)+SUMPRODUCT(Oxides_max!$C52:$BB52,Factors!$C$16:$BB$16))/2)</f>
        <v>0</v>
      </c>
      <c r="J52" s="20">
        <f>MAX(0,(SUMPRODUCT(Oxides_min!$C52:$BB52,Factors!$C$17:$BB$17)+SUMPRODUCT(Oxides_max!$C52:$BB52,Factors!$C$17:$BB$17))/2)</f>
        <v>0</v>
      </c>
      <c r="K52" s="20">
        <f>MAX(0,(SUMPRODUCT(Oxides_min!$C52:$BB52,Factors!$C$18:$BB$18)+SUMPRODUCT(Oxides_max!$C52:$BB52,Factors!$C$18:$BB$18))/2)</f>
        <v>0</v>
      </c>
      <c r="L52" s="20">
        <f>MAX(0,(SUMPRODUCT(Oxides_min!$C52:$BB52,Factors!$C$19:$BB$19)+SUMPRODUCT(Oxides_max!$C52:$BB52,Factors!$C$19:$BB$19))/2)</f>
        <v>0</v>
      </c>
      <c r="M52" s="20">
        <f>MAX(0,(SUMPRODUCT(Oxides_min!$C52:$BB52,Factors!$C$20:$BB$20)+SUMPRODUCT(Oxides_max!$C52:$BB52,Factors!$C$20:$BB$20))/2)</f>
        <v>0</v>
      </c>
      <c r="N52" s="20">
        <f>MAX(0,(SUMPRODUCT(Oxides_min!$C52:$BB52,Factors!$C$21:$BB$21)+SUMPRODUCT(Oxides_max!$C52:$BB52,Factors!$C$21:$BB$21))/2)</f>
        <v>39.708502237994182</v>
      </c>
      <c r="O52" s="20">
        <f>MAX(0,(SUMPRODUCT(Oxides_min!$C52:$BB52,Factors!$C$22:$BB$22)+SUMPRODUCT(Oxides_max!$C52:$BB52,Factors!$C$22:$BB$22))/2)</f>
        <v>0</v>
      </c>
      <c r="P52" s="20">
        <f>MAX(0,(SUMPRODUCT(Oxides_min!$C52:$BB52,Factors!$C$23:$BB$23)+SUMPRODUCT(Oxides_max!$C52:$BB52,Factors!$C$23:$BB$23))/2)</f>
        <v>0</v>
      </c>
      <c r="Q52" s="20">
        <f>MAX(0,(SUMPRODUCT(Oxides_min!$C52:$BB52,Factors!$C$24:$BB$24)+SUMPRODUCT(Oxides_max!$C52:$BB52,Factors!$C$24:$BB$24))/2)</f>
        <v>0</v>
      </c>
      <c r="R52" s="20">
        <f>MAX(0,(SUMPRODUCT(Oxides_min!$C52:$BB52,Factors!$C$25:$BB$25)+SUMPRODUCT(Oxides_max!$C52:$BB52,Factors!$C$25:$BB$25))/2)</f>
        <v>0</v>
      </c>
      <c r="S52" s="20">
        <f>MAX(0,(SUMPRODUCT(Oxides_min!$C52:$BB52,Factors!$C$26:$BB$26)+SUMPRODUCT(Oxides_max!$C52:$BB52,Factors!$C$26:$BB$26))/2)</f>
        <v>0</v>
      </c>
      <c r="T52" s="20">
        <f>MAX(0,(SUMPRODUCT(Oxides_min!$C52:$BB52,Factors!$C$27:$BB$27)+SUMPRODUCT(Oxides_max!$C52:$BB52,Factors!$C$27:$BB$27))/2)</f>
        <v>0</v>
      </c>
      <c r="U52" s="20">
        <f>MAX(0,(SUMPRODUCT(Oxides_min!$C52:$BB52,Factors!$C$28:$BB$28)+SUMPRODUCT(Oxides_max!$C52:$BB52,Factors!$C$28:$BB$28))/2)</f>
        <v>0</v>
      </c>
      <c r="V52" s="20">
        <f>MAX(0,(SUMPRODUCT(Oxides_min!$C52:$BB52,Factors!$C$29:$BB$29)+SUMPRODUCT(Oxides_max!$C52:$BB52,Factors!$C$29:$BB$29))/2)</f>
        <v>0</v>
      </c>
      <c r="W52" s="20">
        <f>MAX(0,(SUMPRODUCT(Oxides_min!$C52:$BB52,Factors!$C$30:$BB$30)+SUMPRODUCT(Oxides_max!$C52:$BB52,Factors!$C$30:$BB$30))/2)</f>
        <v>0</v>
      </c>
      <c r="X52" s="20">
        <f>MAX(0,(SUMPRODUCT(Oxides_min!$C52:$BB52,Factors!$C$31:$BB$31)+SUMPRODUCT(Oxides_max!$C52:$BB52,Factors!$C$31:$BB$31))/2)</f>
        <v>0</v>
      </c>
      <c r="Y52" s="20">
        <f>MAX(0,(SUMPRODUCT(Oxides_min!$C52:$BB52,Factors!$C$32:$BB$32)+SUMPRODUCT(Oxides_max!$C52:$BB52,Factors!$C$32:$BB$32))/2)</f>
        <v>0</v>
      </c>
      <c r="Z52" s="20">
        <f>MAX(0,(SUMPRODUCT(Oxides_min!$C52:$BB52,Factors!$C$33:$BB$33)+SUMPRODUCT(Oxides_max!$C52:$BB52,Factors!$C$33:$BB$33))/2)</f>
        <v>18.380115413229234</v>
      </c>
      <c r="AA52" s="20">
        <f>MAX(0,(SUMPRODUCT(Oxides_min!$C52:$BB52,Factors!$C$34:$BB$34)+SUMPRODUCT(Oxides_max!$C52:$BB52,Factors!$C$34:$BB$34))/2)</f>
        <v>0</v>
      </c>
      <c r="AB52" s="20">
        <f>MAX(0,(SUMPRODUCT(Oxides_min!$C52:$BB52,Factors!$C$35:$BB$35)+SUMPRODUCT(Oxides_max!$C52:$BB52,Factors!$C$35:$BB$35))/2)</f>
        <v>0</v>
      </c>
      <c r="AC52" s="20">
        <f>MAX(0,(SUMPRODUCT(Oxides_min!$C52:$BB52,Factors!$C$36:$BB$36)+SUMPRODUCT(Oxides_max!$C52:$BB52,Factors!$C$36:$BB$36))/2)</f>
        <v>0</v>
      </c>
      <c r="AD52" s="20">
        <f>MAX(0,(SUMPRODUCT(Oxides_min!$C52:$BB52,Factors!$C$37:$BB$37)+SUMPRODUCT(Oxides_max!$C52:$BB52,Factors!$C$37:$BB$37))/2)</f>
        <v>0</v>
      </c>
      <c r="AE52" s="20">
        <f>MAX(0,(SUMPRODUCT(Oxides_min!$C52:$BB52,Factors!$C$38:$BB$38)+SUMPRODUCT(Oxides_max!$C52:$BB52,Factors!$C$38:$BB$38))/2)</f>
        <v>3.7800000000000002</v>
      </c>
      <c r="AF52" s="20">
        <f>MAX(0,(SUMPRODUCT(Oxides_min!$C52:$BB52,Factors!$C$39:$BB$39)+SUMPRODUCT(Oxides_max!$C52:$BB52,Factors!$C$39:$BB$39))/2)</f>
        <v>0</v>
      </c>
      <c r="AG52" s="20">
        <f>MAX(0,(SUMPRODUCT(Oxides_min!$C52:$BB52,Factors!$C$40:$BB$40)+SUMPRODUCT(Oxides_max!$C52:$BB52,Factors!$C$40:$BB$40))/2)</f>
        <v>0</v>
      </c>
      <c r="AH52" s="20">
        <f>MAX(0,(SUMPRODUCT(Oxides_min!$C52:$BB52,Factors!$C$41:$BB$41)+SUMPRODUCT(Oxides_max!$C52:$BB52,Factors!$C$41:$BB$41))/2)</f>
        <v>0</v>
      </c>
      <c r="AI52" s="20">
        <f>MAX(0,(SUMPRODUCT(Oxides_min!$C52:$BB52,Factors!$C$42:$BB$42)+SUMPRODUCT(Oxides_max!$C52:$BB52,Factors!$C$42:$BB$42))/2)</f>
        <v>0</v>
      </c>
      <c r="AJ52" s="20">
        <f>MAX(0,(SUMPRODUCT(Oxides_min!$C52:$BB52,Factors!$C$43:$BB$43)+SUMPRODUCT(Oxides_max!$C52:$BB52,Factors!$C$43:$BB$43))/2)</f>
        <v>3.9372197738368614E-2</v>
      </c>
      <c r="AK52" s="20">
        <f>MAX(0,(SUMPRODUCT(Oxides_min!$C52:$BB52,Factors!$C$44:$BB$44)+SUMPRODUCT(Oxides_max!$C52:$BB52,Factors!$C$44:$BB$44))/2)</f>
        <v>0</v>
      </c>
      <c r="AL52" s="20">
        <f>MAX(0,(SUMPRODUCT(Oxides_min!$C52:$BB52,Factors!$C$45:$BB$45)+SUMPRODUCT(Oxides_max!$C52:$BB52,Factors!$C$45:$BB$45))/2)</f>
        <v>0</v>
      </c>
      <c r="AM52" s="20">
        <f>MAX(0,(SUMPRODUCT(Oxides_min!$C52:$BB52,Factors!$C$46:$BB$46)+SUMPRODUCT(Oxides_max!$C52:$BB52,Factors!$C$46:$BB$46))/2)</f>
        <v>0</v>
      </c>
      <c r="AN52" s="20">
        <f>MAX(0,(SUMPRODUCT(Oxides_min!$C52:$BB52,Factors!$C$47:$BB$47)+SUMPRODUCT(Oxides_max!$C52:$BB52,Factors!$C$47:$BB$47))/2)</f>
        <v>2.5720679622326371E-2</v>
      </c>
      <c r="AO52" s="20">
        <f>MAX(0,(SUMPRODUCT(Oxides_min!$C52:$BB52,Factors!$C$48:$BB$48)+SUMPRODUCT(Oxides_max!$C52:$BB52,Factors!$C$48:$BB$48))/2)</f>
        <v>0</v>
      </c>
      <c r="AP52" s="20">
        <f>MAX(0,(SUMPRODUCT(Oxides_min!$C52:$BB52,Factors!$C$49:$BB$49)+SUMPRODUCT(Oxides_max!$C52:$BB52,Factors!$C$49:$BB$49))/2)</f>
        <v>0</v>
      </c>
      <c r="AQ52" s="20">
        <f>MAX(0,(SUMPRODUCT(Oxides_min!$C52:$BB52,Factors!$C$50:$BB$50)+SUMPRODUCT(Oxides_max!$C52:$BB52,Factors!$C$50:$BB$50))/2)</f>
        <v>2.6027801609392626E-2</v>
      </c>
      <c r="AR52" s="20">
        <f>MAX(0,(SUMPRODUCT(Oxides_min!$C52:$BB52,Factors!$C$51:$BB$51)+SUMPRODUCT(Oxides_max!$C52:$BB52,Factors!$C$51:$BB$51))/2)</f>
        <v>0</v>
      </c>
      <c r="AS52" s="20">
        <f>MAX(0,(SUMPRODUCT(Oxides_min!$C52:$BB52,Factors!$C$52:$BB$52)+SUMPRODUCT(Oxides_max!$C52:$BB52,Factors!$C$52:$BB$52))/2)</f>
        <v>0</v>
      </c>
      <c r="AT52" s="20">
        <f>MAX(0,(SUMPRODUCT(Oxides_min!$C52:$BB52,Factors!$C$53:$BB$53)+SUMPRODUCT(Oxides_max!$C52:$BB52,Factors!$C$53:$BB$53))/2)</f>
        <v>0</v>
      </c>
      <c r="AU52" s="20">
        <f>MAX(0,(SUMPRODUCT(Oxides_min!$C52:$BB52,Factors!$C$54:$BB$54)+SUMPRODUCT(Oxides_max!$C52:$BB52,Factors!$C$54:$BB$54))/2)</f>
        <v>0</v>
      </c>
      <c r="AV52" s="20">
        <f>MAX(0,(SUMPRODUCT(Oxides_min!$C52:$BB52,Factors!$C$55:$BB$55)+SUMPRODUCT(Oxides_max!$C52:$BB52,Factors!$C$55:$BB$55))/2)</f>
        <v>0</v>
      </c>
      <c r="AW52" s="20">
        <f>MAX(0,(SUMPRODUCT(Oxides_min!$C52:$BB52,Factors!$C$56:$BB$56)+SUMPRODUCT(Oxides_max!$C52:$BB52,Factors!$C$56:$BB$56))/2)</f>
        <v>2.6346212892077128E-2</v>
      </c>
      <c r="AX52" s="20">
        <f>MAX(0,(SUMPRODUCT(Oxides_min!$C52:$BB52,Factors!$C$57:$BB$57)+SUMPRODUCT(Oxides_max!$C52:$BB52,Factors!$C$57:$BB$57))/2)</f>
        <v>0</v>
      </c>
      <c r="AY52" s="20">
        <f>MAX(0,(SUMPRODUCT(Oxides_min!$C52:$BB52,Factors!$C$58:$BB$58)+SUMPRODUCT(Oxides_max!$C52:$BB52,Factors!$C$58:$BB$58))/2)</f>
        <v>0</v>
      </c>
      <c r="AZ52" s="18">
        <f t="shared" si="3"/>
        <v>100.00338676068894</v>
      </c>
    </row>
    <row r="53" spans="1:52" x14ac:dyDescent="0.35">
      <c r="A53" s="13" t="s">
        <v>447</v>
      </c>
      <c r="B53" s="20">
        <f>MAX(0,(SUMPRODUCT(Oxides_min!$C53:$BB53,Factors!$C$9:$BB$9)+SUMPRODUCT(Oxides_max!$C53:$BB53,Factors!$C$9:$BB$9))/2)</f>
        <v>52.398051096707654</v>
      </c>
      <c r="C53" s="20">
        <f>MAX(0,(SUMPRODUCT(Oxides_min!$C53:$BB53,Factors!$C$10:$BB$10)+SUMPRODUCT(Oxides_max!$C53:$BB53,Factors!$C$10:$BB$10))/2)</f>
        <v>30.467524923855336</v>
      </c>
      <c r="D53" s="20">
        <f>MAX(0,(SUMPRODUCT(Oxides_min!$C53:$BB53,Factors!$C$11:$BB$11)+SUMPRODUCT(Oxides_max!$C53:$BB53,Factors!$C$11:$BB$11))/2)</f>
        <v>0</v>
      </c>
      <c r="E53" s="20">
        <f>MAX(0,(SUMPRODUCT(Oxides_min!$C53:$BB53,Factors!$C$12:$BB$12)+SUMPRODUCT(Oxides_max!$C53:$BB53,Factors!$C$12:$BB$12))/2)</f>
        <v>0</v>
      </c>
      <c r="F53" s="20">
        <f>MAX(0,(SUMPRODUCT(Oxides_min!$C53:$BB53,Factors!$C$13:$BB$13)+SUMPRODUCT(Oxides_max!$C53:$BB53,Factors!$C$13:$BB$13))/2)</f>
        <v>0</v>
      </c>
      <c r="G53" s="20">
        <f>MAX(0,(SUMPRODUCT(Oxides_min!$C53:$BB53,Factors!$C$14:$BB$14)+SUMPRODUCT(Oxides_max!$C53:$BB53,Factors!$C$14:$BB$14))/2)</f>
        <v>0</v>
      </c>
      <c r="H53" s="20">
        <f>MAX(0,(SUMPRODUCT(Oxides_min!$C53:$BB53,Factors!$C$15:$BB$15)+SUMPRODUCT(Oxides_max!$C53:$BB53,Factors!$C$15:$BB$15))/2)</f>
        <v>9.7198034590048419</v>
      </c>
      <c r="I53" s="20">
        <f>MAX(0,(SUMPRODUCT(Oxides_min!$C53:$BB53,Factors!$C$16:$BB$16)+SUMPRODUCT(Oxides_max!$C53:$BB53,Factors!$C$16:$BB$16))/2)</f>
        <v>0.45083931852346748</v>
      </c>
      <c r="J53" s="20">
        <f>MAX(0,(SUMPRODUCT(Oxides_min!$C53:$BB53,Factors!$C$17:$BB$17)+SUMPRODUCT(Oxides_max!$C53:$BB53,Factors!$C$17:$BB$17))/2)</f>
        <v>0</v>
      </c>
      <c r="K53" s="20">
        <f>MAX(0,(SUMPRODUCT(Oxides_min!$C53:$BB53,Factors!$C$18:$BB$18)+SUMPRODUCT(Oxides_max!$C53:$BB53,Factors!$C$18:$BB$18))/2)</f>
        <v>0</v>
      </c>
      <c r="L53" s="20">
        <f>MAX(0,(SUMPRODUCT(Oxides_min!$C53:$BB53,Factors!$C$19:$BB$19)+SUMPRODUCT(Oxides_max!$C53:$BB53,Factors!$C$19:$BB$19))/2)</f>
        <v>0</v>
      </c>
      <c r="M53" s="20">
        <f>MAX(0,(SUMPRODUCT(Oxides_min!$C53:$BB53,Factors!$C$20:$BB$20)+SUMPRODUCT(Oxides_max!$C53:$BB53,Factors!$C$20:$BB$20))/2)</f>
        <v>0</v>
      </c>
      <c r="N53" s="20">
        <f>MAX(0,(SUMPRODUCT(Oxides_min!$C53:$BB53,Factors!$C$21:$BB$21)+SUMPRODUCT(Oxides_max!$C53:$BB53,Factors!$C$21:$BB$21))/2)</f>
        <v>0</v>
      </c>
      <c r="O53" s="20">
        <f>MAX(0,(SUMPRODUCT(Oxides_min!$C53:$BB53,Factors!$C$22:$BB$22)+SUMPRODUCT(Oxides_max!$C53:$BB53,Factors!$C$22:$BB$22))/2)</f>
        <v>0</v>
      </c>
      <c r="P53" s="20">
        <f>MAX(0,(SUMPRODUCT(Oxides_min!$C53:$BB53,Factors!$C$23:$BB$23)+SUMPRODUCT(Oxides_max!$C53:$BB53,Factors!$C$23:$BB$23))/2)</f>
        <v>0</v>
      </c>
      <c r="Q53" s="20">
        <f>MAX(0,(SUMPRODUCT(Oxides_min!$C53:$BB53,Factors!$C$24:$BB$24)+SUMPRODUCT(Oxides_max!$C53:$BB53,Factors!$C$24:$BB$24))/2)</f>
        <v>0</v>
      </c>
      <c r="R53" s="20">
        <f>MAX(0,(SUMPRODUCT(Oxides_min!$C53:$BB53,Factors!$C$25:$BB$25)+SUMPRODUCT(Oxides_max!$C53:$BB53,Factors!$C$25:$BB$25))/2)</f>
        <v>0.45624528863366598</v>
      </c>
      <c r="S53" s="20">
        <f>MAX(0,(SUMPRODUCT(Oxides_min!$C53:$BB53,Factors!$C$26:$BB$26)+SUMPRODUCT(Oxides_max!$C53:$BB53,Factors!$C$26:$BB$26))/2)</f>
        <v>0</v>
      </c>
      <c r="T53" s="20">
        <f>MAX(0,(SUMPRODUCT(Oxides_min!$C53:$BB53,Factors!$C$27:$BB$27)+SUMPRODUCT(Oxides_max!$C53:$BB53,Factors!$C$27:$BB$27))/2)</f>
        <v>0.30195120318618429</v>
      </c>
      <c r="U53" s="20">
        <f>MAX(0,(SUMPRODUCT(Oxides_min!$C53:$BB53,Factors!$C$28:$BB$28)+SUMPRODUCT(Oxides_max!$C53:$BB53,Factors!$C$28:$BB$28))/2)</f>
        <v>0</v>
      </c>
      <c r="V53" s="20">
        <f>MAX(0,(SUMPRODUCT(Oxides_min!$C53:$BB53,Factors!$C$29:$BB$29)+SUMPRODUCT(Oxides_max!$C53:$BB53,Factors!$C$29:$BB$29))/2)</f>
        <v>4.4590360006800314</v>
      </c>
      <c r="W53" s="20">
        <f>MAX(0,(SUMPRODUCT(Oxides_min!$C53:$BB53,Factors!$C$30:$BB$30)+SUMPRODUCT(Oxides_max!$C53:$BB53,Factors!$C$30:$BB$30))/2)</f>
        <v>0</v>
      </c>
      <c r="X53" s="20">
        <f>MAX(0,(SUMPRODUCT(Oxides_min!$C53:$BB53,Factors!$C$31:$BB$31)+SUMPRODUCT(Oxides_max!$C53:$BB53,Factors!$C$31:$BB$31))/2)</f>
        <v>0</v>
      </c>
      <c r="Y53" s="20">
        <f>MAX(0,(SUMPRODUCT(Oxides_min!$C53:$BB53,Factors!$C$32:$BB$32)+SUMPRODUCT(Oxides_max!$C53:$BB53,Factors!$C$32:$BB$32))/2)</f>
        <v>0</v>
      </c>
      <c r="Z53" s="20">
        <f>MAX(0,(SUMPRODUCT(Oxides_min!$C53:$BB53,Factors!$C$33:$BB$33)+SUMPRODUCT(Oxides_max!$C53:$BB53,Factors!$C$33:$BB$33))/2)</f>
        <v>0</v>
      </c>
      <c r="AA53" s="20">
        <f>MAX(0,(SUMPRODUCT(Oxides_min!$C53:$BB53,Factors!$C$34:$BB$34)+SUMPRODUCT(Oxides_max!$C53:$BB53,Factors!$C$34:$BB$34))/2)</f>
        <v>0</v>
      </c>
      <c r="AB53" s="20">
        <f>MAX(0,(SUMPRODUCT(Oxides_min!$C53:$BB53,Factors!$C$35:$BB$35)+SUMPRODUCT(Oxides_max!$C53:$BB53,Factors!$C$35:$BB$35))/2)</f>
        <v>0</v>
      </c>
      <c r="AC53" s="20">
        <f>MAX(0,(SUMPRODUCT(Oxides_min!$C53:$BB53,Factors!$C$36:$BB$36)+SUMPRODUCT(Oxides_max!$C53:$BB53,Factors!$C$36:$BB$36))/2)</f>
        <v>0</v>
      </c>
      <c r="AD53" s="20">
        <f>MAX(0,(SUMPRODUCT(Oxides_min!$C53:$BB53,Factors!$C$37:$BB$37)+SUMPRODUCT(Oxides_max!$C53:$BB53,Factors!$C$37:$BB$37))/2)</f>
        <v>6.154870940882598E-2</v>
      </c>
      <c r="AE53" s="20">
        <f>MAX(0,(SUMPRODUCT(Oxides_min!$C53:$BB53,Factors!$C$38:$BB$38)+SUMPRODUCT(Oxides_max!$C53:$BB53,Factors!$C$38:$BB$38))/2)</f>
        <v>0</v>
      </c>
      <c r="AF53" s="20">
        <f>MAX(0,(SUMPRODUCT(Oxides_min!$C53:$BB53,Factors!$C$39:$BB$39)+SUMPRODUCT(Oxides_max!$C53:$BB53,Factors!$C$39:$BB$39))/2)</f>
        <v>0</v>
      </c>
      <c r="AG53" s="20">
        <f>MAX(0,(SUMPRODUCT(Oxides_min!$C53:$BB53,Factors!$C$40:$BB$40)+SUMPRODUCT(Oxides_max!$C53:$BB53,Factors!$C$40:$BB$40))/2)</f>
        <v>0</v>
      </c>
      <c r="AH53" s="20">
        <f>MAX(0,(SUMPRODUCT(Oxides_min!$C53:$BB53,Factors!$C$41:$BB$41)+SUMPRODUCT(Oxides_max!$C53:$BB53,Factors!$C$41:$BB$41))/2)</f>
        <v>0</v>
      </c>
      <c r="AI53" s="20">
        <f>MAX(0,(SUMPRODUCT(Oxides_min!$C53:$BB53,Factors!$C$42:$BB$42)+SUMPRODUCT(Oxides_max!$C53:$BB53,Factors!$C$42:$BB$42))/2)</f>
        <v>0</v>
      </c>
      <c r="AJ53" s="20">
        <f>MAX(0,(SUMPRODUCT(Oxides_min!$C53:$BB53,Factors!$C$43:$BB$43)+SUMPRODUCT(Oxides_max!$C53:$BB53,Factors!$C$43:$BB$43))/2)</f>
        <v>0</v>
      </c>
      <c r="AK53" s="20">
        <f>MAX(0,(SUMPRODUCT(Oxides_min!$C53:$BB53,Factors!$C$44:$BB$44)+SUMPRODUCT(Oxides_max!$C53:$BB53,Factors!$C$44:$BB$44))/2)</f>
        <v>0</v>
      </c>
      <c r="AL53" s="20">
        <f>MAX(0,(SUMPRODUCT(Oxides_min!$C53:$BB53,Factors!$C$45:$BB$45)+SUMPRODUCT(Oxides_max!$C53:$BB53,Factors!$C$45:$BB$45))/2)</f>
        <v>0</v>
      </c>
      <c r="AM53" s="20">
        <f>MAX(0,(SUMPRODUCT(Oxides_min!$C53:$BB53,Factors!$C$46:$BB$46)+SUMPRODUCT(Oxides_max!$C53:$BB53,Factors!$C$46:$BB$46))/2)</f>
        <v>0</v>
      </c>
      <c r="AN53" s="20">
        <f>MAX(0,(SUMPRODUCT(Oxides_min!$C53:$BB53,Factors!$C$47:$BB$47)+SUMPRODUCT(Oxides_max!$C53:$BB53,Factors!$C$47:$BB$47))/2)</f>
        <v>0</v>
      </c>
      <c r="AO53" s="20">
        <f>MAX(0,(SUMPRODUCT(Oxides_min!$C53:$BB53,Factors!$C$48:$BB$48)+SUMPRODUCT(Oxides_max!$C53:$BB53,Factors!$C$48:$BB$48))/2)</f>
        <v>0</v>
      </c>
      <c r="AP53" s="20">
        <f>MAX(0,(SUMPRODUCT(Oxides_min!$C53:$BB53,Factors!$C$49:$BB$49)+SUMPRODUCT(Oxides_max!$C53:$BB53,Factors!$C$49:$BB$49))/2)</f>
        <v>0</v>
      </c>
      <c r="AQ53" s="20">
        <f>MAX(0,(SUMPRODUCT(Oxides_min!$C53:$BB53,Factors!$C$50:$BB$50)+SUMPRODUCT(Oxides_max!$C53:$BB53,Factors!$C$50:$BB$50))/2)</f>
        <v>0</v>
      </c>
      <c r="AR53" s="20">
        <f>MAX(0,(SUMPRODUCT(Oxides_min!$C53:$BB53,Factors!$C$51:$BB$51)+SUMPRODUCT(Oxides_max!$C53:$BB53,Factors!$C$51:$BB$51))/2)</f>
        <v>0</v>
      </c>
      <c r="AS53" s="20">
        <f>MAX(0,(SUMPRODUCT(Oxides_min!$C53:$BB53,Factors!$C$52:$BB$52)+SUMPRODUCT(Oxides_max!$C53:$BB53,Factors!$C$52:$BB$52))/2)</f>
        <v>0</v>
      </c>
      <c r="AT53" s="20">
        <f>MAX(0,(SUMPRODUCT(Oxides_min!$C53:$BB53,Factors!$C$53:$BB$53)+SUMPRODUCT(Oxides_max!$C53:$BB53,Factors!$C$53:$BB$53))/2)</f>
        <v>0</v>
      </c>
      <c r="AU53" s="20">
        <f>MAX(0,(SUMPRODUCT(Oxides_min!$C53:$BB53,Factors!$C$54:$BB$54)+SUMPRODUCT(Oxides_max!$C53:$BB53,Factors!$C$54:$BB$54))/2)</f>
        <v>0</v>
      </c>
      <c r="AV53" s="20">
        <f>MAX(0,(SUMPRODUCT(Oxides_min!$C53:$BB53,Factors!$C$55:$BB$55)+SUMPRODUCT(Oxides_max!$C53:$BB53,Factors!$C$55:$BB$55))/2)</f>
        <v>0</v>
      </c>
      <c r="AW53" s="20">
        <f>MAX(0,(SUMPRODUCT(Oxides_min!$C53:$BB53,Factors!$C$56:$BB$56)+SUMPRODUCT(Oxides_max!$C53:$BB53,Factors!$C$56:$BB$56))/2)</f>
        <v>0</v>
      </c>
      <c r="AX53" s="20">
        <f>MAX(0,(SUMPRODUCT(Oxides_min!$C53:$BB53,Factors!$C$57:$BB$57)+SUMPRODUCT(Oxides_max!$C53:$BB53,Factors!$C$57:$BB$57))/2)</f>
        <v>0</v>
      </c>
      <c r="AY53" s="20">
        <f>MAX(0,(SUMPRODUCT(Oxides_min!$C53:$BB53,Factors!$C$58:$BB$58)+SUMPRODUCT(Oxides_max!$C53:$BB53,Factors!$C$58:$BB$58))/2)</f>
        <v>0</v>
      </c>
      <c r="AZ53" s="18">
        <f t="shared" si="3"/>
        <v>98.314999999999998</v>
      </c>
    </row>
    <row r="54" spans="1:52" x14ac:dyDescent="0.35">
      <c r="A54" s="13" t="s">
        <v>449</v>
      </c>
      <c r="B54" s="20">
        <f>MAX(0,(SUMPRODUCT(Oxides_min!$C54:$BB54,Factors!$C$9:$BB$9)+SUMPRODUCT(Oxides_max!$C54:$BB54,Factors!$C$9:$BB$9))/2)</f>
        <v>51.251188061460851</v>
      </c>
      <c r="C54" s="20">
        <f>MAX(0,(SUMPRODUCT(Oxides_min!$C54:$BB54,Factors!$C$10:$BB$10)+SUMPRODUCT(Oxides_max!$C54:$BB54,Factors!$C$10:$BB$10))/2)</f>
        <v>0</v>
      </c>
      <c r="D54" s="20">
        <f>MAX(0,(SUMPRODUCT(Oxides_min!$C54:$BB54,Factors!$C$11:$BB$11)+SUMPRODUCT(Oxides_max!$C54:$BB54,Factors!$C$11:$BB$11))/2)</f>
        <v>0</v>
      </c>
      <c r="E54" s="20">
        <f>MAX(0,(SUMPRODUCT(Oxides_min!$C54:$BB54,Factors!$C$12:$BB$12)+SUMPRODUCT(Oxides_max!$C54:$BB54,Factors!$C$12:$BB$12))/2)</f>
        <v>0</v>
      </c>
      <c r="F54" s="20">
        <f>MAX(0,(SUMPRODUCT(Oxides_min!$C54:$BB54,Factors!$C$13:$BB$13)+SUMPRODUCT(Oxides_max!$C54:$BB54,Factors!$C$13:$BB$13))/2)</f>
        <v>0</v>
      </c>
      <c r="G54" s="20">
        <f>MAX(0,(SUMPRODUCT(Oxides_min!$C54:$BB54,Factors!$C$14:$BB$14)+SUMPRODUCT(Oxides_max!$C54:$BB54,Factors!$C$14:$BB$14))/2)</f>
        <v>0</v>
      </c>
      <c r="H54" s="20">
        <f>MAX(0,(SUMPRODUCT(Oxides_min!$C54:$BB54,Factors!$C$15:$BB$15)+SUMPRODUCT(Oxides_max!$C54:$BB54,Factors!$C$15:$BB$15))/2)</f>
        <v>18.471066742132805</v>
      </c>
      <c r="I54" s="20">
        <f>MAX(0,(SUMPRODUCT(Oxides_min!$C54:$BB54,Factors!$C$16:$BB$16)+SUMPRODUCT(Oxides_max!$C54:$BB54,Factors!$C$16:$BB$16))/2)</f>
        <v>0</v>
      </c>
      <c r="J54" s="20">
        <f>MAX(0,(SUMPRODUCT(Oxides_min!$C54:$BB54,Factors!$C$17:$BB$17)+SUMPRODUCT(Oxides_max!$C54:$BB54,Factors!$C$17:$BB$17))/2)</f>
        <v>0</v>
      </c>
      <c r="K54" s="20">
        <f>MAX(0,(SUMPRODUCT(Oxides_min!$C54:$BB54,Factors!$C$18:$BB$18)+SUMPRODUCT(Oxides_max!$C54:$BB54,Factors!$C$18:$BB$18))/2)</f>
        <v>0</v>
      </c>
      <c r="L54" s="20">
        <f>MAX(0,(SUMPRODUCT(Oxides_min!$C54:$BB54,Factors!$C$19:$BB$19)+SUMPRODUCT(Oxides_max!$C54:$BB54,Factors!$C$19:$BB$19))/2)</f>
        <v>0</v>
      </c>
      <c r="M54" s="20">
        <f>MAX(0,(SUMPRODUCT(Oxides_min!$C54:$BB54,Factors!$C$20:$BB$20)+SUMPRODUCT(Oxides_max!$C54:$BB54,Factors!$C$20:$BB$20))/2)</f>
        <v>0</v>
      </c>
      <c r="N54" s="20">
        <f>MAX(0,(SUMPRODUCT(Oxides_min!$C54:$BB54,Factors!$C$21:$BB$21)+SUMPRODUCT(Oxides_max!$C54:$BB54,Factors!$C$21:$BB$21))/2)</f>
        <v>2.8587834584589047E-2</v>
      </c>
      <c r="O54" s="20">
        <f>MAX(0,(SUMPRODUCT(Oxides_min!$C54:$BB54,Factors!$C$22:$BB$22)+SUMPRODUCT(Oxides_max!$C54:$BB54,Factors!$C$22:$BB$22))/2)</f>
        <v>0</v>
      </c>
      <c r="P54" s="20">
        <f>MAX(0,(SUMPRODUCT(Oxides_min!$C54:$BB54,Factors!$C$23:$BB$23)+SUMPRODUCT(Oxides_max!$C54:$BB54,Factors!$C$23:$BB$23))/2)</f>
        <v>0</v>
      </c>
      <c r="Q54" s="20">
        <f>MAX(0,(SUMPRODUCT(Oxides_min!$C54:$BB54,Factors!$C$24:$BB$24)+SUMPRODUCT(Oxides_max!$C54:$BB54,Factors!$C$24:$BB$24))/2)</f>
        <v>0</v>
      </c>
      <c r="R54" s="20">
        <f>MAX(0,(SUMPRODUCT(Oxides_min!$C54:$BB54,Factors!$C$25:$BB$25)+SUMPRODUCT(Oxides_max!$C54:$BB54,Factors!$C$25:$BB$25))/2)</f>
        <v>5.1930358055864427E-2</v>
      </c>
      <c r="S54" s="20">
        <f>MAX(0,(SUMPRODUCT(Oxides_min!$C54:$BB54,Factors!$C$26:$BB$26)+SUMPRODUCT(Oxides_max!$C54:$BB54,Factors!$C$26:$BB$26))/2)</f>
        <v>4.150756510919831E-3</v>
      </c>
      <c r="T54" s="20">
        <f>MAX(0,(SUMPRODUCT(Oxides_min!$C54:$BB54,Factors!$C$27:$BB$27)+SUMPRODUCT(Oxides_max!$C54:$BB54,Factors!$C$27:$BB$27))/2)</f>
        <v>4.5733993774892063</v>
      </c>
      <c r="U54" s="20">
        <f>MAX(0,(SUMPRODUCT(Oxides_min!$C54:$BB54,Factors!$C$28:$BB$28)+SUMPRODUCT(Oxides_max!$C54:$BB54,Factors!$C$28:$BB$28))/2)</f>
        <v>0</v>
      </c>
      <c r="V54" s="20">
        <f>MAX(0,(SUMPRODUCT(Oxides_min!$C54:$BB54,Factors!$C$29:$BB$29)+SUMPRODUCT(Oxides_max!$C54:$BB54,Factors!$C$29:$BB$29))/2)</f>
        <v>0</v>
      </c>
      <c r="W54" s="20">
        <f>MAX(0,(SUMPRODUCT(Oxides_min!$C54:$BB54,Factors!$C$30:$BB$30)+SUMPRODUCT(Oxides_max!$C54:$BB54,Factors!$C$30:$BB$30))/2)</f>
        <v>0</v>
      </c>
      <c r="X54" s="20">
        <f>MAX(0,(SUMPRODUCT(Oxides_min!$C54:$BB54,Factors!$C$31:$BB$31)+SUMPRODUCT(Oxides_max!$C54:$BB54,Factors!$C$31:$BB$31))/2)</f>
        <v>0</v>
      </c>
      <c r="Y54" s="20">
        <f>MAX(0,(SUMPRODUCT(Oxides_min!$C54:$BB54,Factors!$C$32:$BB$32)+SUMPRODUCT(Oxides_max!$C54:$BB54,Factors!$C$32:$BB$32))/2)</f>
        <v>0</v>
      </c>
      <c r="Z54" s="20">
        <f>MAX(0,(SUMPRODUCT(Oxides_min!$C54:$BB54,Factors!$C$33:$BB$33)+SUMPRODUCT(Oxides_max!$C54:$BB54,Factors!$C$33:$BB$33))/2)</f>
        <v>21.258350273736106</v>
      </c>
      <c r="AA54" s="20">
        <f>MAX(0,(SUMPRODUCT(Oxides_min!$C54:$BB54,Factors!$C$34:$BB$34)+SUMPRODUCT(Oxides_max!$C54:$BB54,Factors!$C$34:$BB$34))/2)</f>
        <v>0</v>
      </c>
      <c r="AB54" s="20">
        <f>MAX(0,(SUMPRODUCT(Oxides_min!$C54:$BB54,Factors!$C$35:$BB$35)+SUMPRODUCT(Oxides_max!$C54:$BB54,Factors!$C$35:$BB$35))/2)</f>
        <v>0</v>
      </c>
      <c r="AC54" s="20">
        <f>MAX(0,(SUMPRODUCT(Oxides_min!$C54:$BB54,Factors!$C$36:$BB$36)+SUMPRODUCT(Oxides_max!$C54:$BB54,Factors!$C$36:$BB$36))/2)</f>
        <v>0</v>
      </c>
      <c r="AD54" s="20">
        <f>MAX(0,(SUMPRODUCT(Oxides_min!$C54:$BB54,Factors!$C$37:$BB$37)+SUMPRODUCT(Oxides_max!$C54:$BB54,Factors!$C$37:$BB$37))/2)</f>
        <v>0.46944879267277273</v>
      </c>
      <c r="AE54" s="20">
        <f>MAX(0,(SUMPRODUCT(Oxides_min!$C54:$BB54,Factors!$C$38:$BB$38)+SUMPRODUCT(Oxides_max!$C54:$BB54,Factors!$C$38:$BB$38))/2)</f>
        <v>3.9349999999999996</v>
      </c>
      <c r="AF54" s="20">
        <f>MAX(0,(SUMPRODUCT(Oxides_min!$C54:$BB54,Factors!$C$39:$BB$39)+SUMPRODUCT(Oxides_max!$C54:$BB54,Factors!$C$39:$BB$39))/2)</f>
        <v>0</v>
      </c>
      <c r="AG54" s="20">
        <f>MAX(0,(SUMPRODUCT(Oxides_min!$C54:$BB54,Factors!$C$40:$BB$40)+SUMPRODUCT(Oxides_max!$C54:$BB54,Factors!$C$40:$BB$40))/2)</f>
        <v>0</v>
      </c>
      <c r="AH54" s="20">
        <f>MAX(0,(SUMPRODUCT(Oxides_min!$C54:$BB54,Factors!$C$41:$BB$41)+SUMPRODUCT(Oxides_max!$C54:$BB54,Factors!$C$41:$BB$41))/2)</f>
        <v>0</v>
      </c>
      <c r="AI54" s="20">
        <f>MAX(0,(SUMPRODUCT(Oxides_min!$C54:$BB54,Factors!$C$42:$BB$42)+SUMPRODUCT(Oxides_max!$C54:$BB54,Factors!$C$42:$BB$42))/2)</f>
        <v>0</v>
      </c>
      <c r="AJ54" s="20">
        <f>MAX(0,(SUMPRODUCT(Oxides_min!$C54:$BB54,Factors!$C$43:$BB$43)+SUMPRODUCT(Oxides_max!$C54:$BB54,Factors!$C$43:$BB$43))/2)</f>
        <v>0</v>
      </c>
      <c r="AK54" s="20">
        <f>MAX(0,(SUMPRODUCT(Oxides_min!$C54:$BB54,Factors!$C$44:$BB$44)+SUMPRODUCT(Oxides_max!$C54:$BB54,Factors!$C$44:$BB$44))/2)</f>
        <v>0</v>
      </c>
      <c r="AL54" s="20">
        <f>MAX(0,(SUMPRODUCT(Oxides_min!$C54:$BB54,Factors!$C$45:$BB$45)+SUMPRODUCT(Oxides_max!$C54:$BB54,Factors!$C$45:$BB$45))/2)</f>
        <v>0</v>
      </c>
      <c r="AM54" s="20">
        <f>MAX(0,(SUMPRODUCT(Oxides_min!$C54:$BB54,Factors!$C$46:$BB$46)+SUMPRODUCT(Oxides_max!$C54:$BB54,Factors!$C$46:$BB$46))/2)</f>
        <v>0</v>
      </c>
      <c r="AN54" s="20">
        <f>MAX(0,(SUMPRODUCT(Oxides_min!$C54:$BB54,Factors!$C$47:$BB$47)+SUMPRODUCT(Oxides_max!$C54:$BB54,Factors!$C$47:$BB$47))/2)</f>
        <v>0</v>
      </c>
      <c r="AO54" s="20">
        <f>MAX(0,(SUMPRODUCT(Oxides_min!$C54:$BB54,Factors!$C$48:$BB$48)+SUMPRODUCT(Oxides_max!$C54:$BB54,Factors!$C$48:$BB$48))/2)</f>
        <v>0</v>
      </c>
      <c r="AP54" s="20">
        <f>MAX(0,(SUMPRODUCT(Oxides_min!$C54:$BB54,Factors!$C$49:$BB$49)+SUMPRODUCT(Oxides_max!$C54:$BB54,Factors!$C$49:$BB$49))/2)</f>
        <v>0</v>
      </c>
      <c r="AQ54" s="20">
        <f>MAX(0,(SUMPRODUCT(Oxides_min!$C54:$BB54,Factors!$C$50:$BB$50)+SUMPRODUCT(Oxides_max!$C54:$BB54,Factors!$C$50:$BB$50))/2)</f>
        <v>0</v>
      </c>
      <c r="AR54" s="20">
        <f>MAX(0,(SUMPRODUCT(Oxides_min!$C54:$BB54,Factors!$C$51:$BB$51)+SUMPRODUCT(Oxides_max!$C54:$BB54,Factors!$C$51:$BB$51))/2)</f>
        <v>0</v>
      </c>
      <c r="AS54" s="20">
        <f>MAX(0,(SUMPRODUCT(Oxides_min!$C54:$BB54,Factors!$C$52:$BB$52)+SUMPRODUCT(Oxides_max!$C54:$BB54,Factors!$C$52:$BB$52))/2)</f>
        <v>0</v>
      </c>
      <c r="AT54" s="20">
        <f>MAX(0,(SUMPRODUCT(Oxides_min!$C54:$BB54,Factors!$C$53:$BB$53)+SUMPRODUCT(Oxides_max!$C54:$BB54,Factors!$C$53:$BB$53))/2)</f>
        <v>0</v>
      </c>
      <c r="AU54" s="20">
        <f>MAX(0,(SUMPRODUCT(Oxides_min!$C54:$BB54,Factors!$C$54:$BB$54)+SUMPRODUCT(Oxides_max!$C54:$BB54,Factors!$C$54:$BB$54))/2)</f>
        <v>0</v>
      </c>
      <c r="AV54" s="20">
        <f>MAX(0,(SUMPRODUCT(Oxides_min!$C54:$BB54,Factors!$C$55:$BB$55)+SUMPRODUCT(Oxides_max!$C54:$BB54,Factors!$C$55:$BB$55))/2)</f>
        <v>0</v>
      </c>
      <c r="AW54" s="20">
        <f>MAX(0,(SUMPRODUCT(Oxides_min!$C54:$BB54,Factors!$C$56:$BB$56)+SUMPRODUCT(Oxides_max!$C54:$BB54,Factors!$C$56:$BB$56))/2)</f>
        <v>0</v>
      </c>
      <c r="AX54" s="20">
        <f>MAX(0,(SUMPRODUCT(Oxides_min!$C54:$BB54,Factors!$C$57:$BB$57)+SUMPRODUCT(Oxides_max!$C54:$BB54,Factors!$C$57:$BB$57))/2)</f>
        <v>0</v>
      </c>
      <c r="AY54" s="20">
        <f>MAX(0,(SUMPRODUCT(Oxides_min!$C54:$BB54,Factors!$C$58:$BB$58)+SUMPRODUCT(Oxides_max!$C54:$BB54,Factors!$C$58:$BB$58))/2)</f>
        <v>0</v>
      </c>
      <c r="AZ54" s="18">
        <f t="shared" si="3"/>
        <v>100.04312219664314</v>
      </c>
    </row>
    <row r="55" spans="1:52" x14ac:dyDescent="0.35">
      <c r="A55" s="13" t="s">
        <v>451</v>
      </c>
      <c r="B55" s="20">
        <f>MAX(0,(SUMPRODUCT(Oxides_min!$C55:$BB55,Factors!$C$9:$BB$9)+SUMPRODUCT(Oxides_max!$C55:$BB55,Factors!$C$9:$BB$9))/2)</f>
        <v>48.322999717062963</v>
      </c>
      <c r="C55" s="20">
        <f>MAX(0,(SUMPRODUCT(Oxides_min!$C55:$BB55,Factors!$C$10:$BB$10)+SUMPRODUCT(Oxides_max!$C55:$BB55,Factors!$C$10:$BB$10))/2)</f>
        <v>29.635487575520532</v>
      </c>
      <c r="D55" s="20">
        <f>MAX(0,(SUMPRODUCT(Oxides_min!$C55:$BB55,Factors!$C$11:$BB$11)+SUMPRODUCT(Oxides_max!$C55:$BB55,Factors!$C$11:$BB$11))/2)</f>
        <v>0</v>
      </c>
      <c r="E55" s="20">
        <f>MAX(0,(SUMPRODUCT(Oxides_min!$C55:$BB55,Factors!$C$12:$BB$12)+SUMPRODUCT(Oxides_max!$C55:$BB55,Factors!$C$12:$BB$12))/2)</f>
        <v>0</v>
      </c>
      <c r="F55" s="20">
        <f>MAX(0,(SUMPRODUCT(Oxides_min!$C55:$BB55,Factors!$C$13:$BB$13)+SUMPRODUCT(Oxides_max!$C55:$BB55,Factors!$C$13:$BB$13))/2)</f>
        <v>0</v>
      </c>
      <c r="G55" s="20">
        <f>MAX(0,(SUMPRODUCT(Oxides_min!$C55:$BB55,Factors!$C$14:$BB$14)+SUMPRODUCT(Oxides_max!$C55:$BB55,Factors!$C$14:$BB$14))/2)</f>
        <v>0</v>
      </c>
      <c r="H55" s="20">
        <f>MAX(0,(SUMPRODUCT(Oxides_min!$C55:$BB55,Factors!$C$15:$BB$15)+SUMPRODUCT(Oxides_max!$C55:$BB55,Factors!$C$15:$BB$15))/2)</f>
        <v>12.194079591367906</v>
      </c>
      <c r="I55" s="20">
        <f>MAX(0,(SUMPRODUCT(Oxides_min!$C55:$BB55,Factors!$C$16:$BB$16)+SUMPRODUCT(Oxides_max!$C55:$BB55,Factors!$C$16:$BB$16))/2)</f>
        <v>0</v>
      </c>
      <c r="J55" s="20">
        <f>MAX(0,(SUMPRODUCT(Oxides_min!$C55:$BB55,Factors!$C$17:$BB$17)+SUMPRODUCT(Oxides_max!$C55:$BB55,Factors!$C$17:$BB$17))/2)</f>
        <v>0</v>
      </c>
      <c r="K55" s="20">
        <f>MAX(0,(SUMPRODUCT(Oxides_min!$C55:$BB55,Factors!$C$18:$BB$18)+SUMPRODUCT(Oxides_max!$C55:$BB55,Factors!$C$18:$BB$18))/2)</f>
        <v>0</v>
      </c>
      <c r="L55" s="20">
        <f>MAX(0,(SUMPRODUCT(Oxides_min!$C55:$BB55,Factors!$C$19:$BB$19)+SUMPRODUCT(Oxides_max!$C55:$BB55,Factors!$C$19:$BB$19))/2)</f>
        <v>0</v>
      </c>
      <c r="M55" s="20">
        <f>MAX(0,(SUMPRODUCT(Oxides_min!$C55:$BB55,Factors!$C$20:$BB$20)+SUMPRODUCT(Oxides_max!$C55:$BB55,Factors!$C$20:$BB$20))/2)</f>
        <v>0</v>
      </c>
      <c r="N55" s="20">
        <f>MAX(0,(SUMPRODUCT(Oxides_min!$C55:$BB55,Factors!$C$21:$BB$21)+SUMPRODUCT(Oxides_max!$C55:$BB55,Factors!$C$21:$BB$21))/2)</f>
        <v>3.0124430693510704</v>
      </c>
      <c r="O55" s="20">
        <f>MAX(0,(SUMPRODUCT(Oxides_min!$C55:$BB55,Factors!$C$22:$BB$22)+SUMPRODUCT(Oxides_max!$C55:$BB55,Factors!$C$22:$BB$22))/2)</f>
        <v>0</v>
      </c>
      <c r="P55" s="20">
        <f>MAX(0,(SUMPRODUCT(Oxides_min!$C55:$BB55,Factors!$C$23:$BB$23)+SUMPRODUCT(Oxides_max!$C55:$BB55,Factors!$C$23:$BB$23))/2)</f>
        <v>0</v>
      </c>
      <c r="Q55" s="20">
        <f>MAX(0,(SUMPRODUCT(Oxides_min!$C55:$BB55,Factors!$C$24:$BB$24)+SUMPRODUCT(Oxides_max!$C55:$BB55,Factors!$C$24:$BB$24))/2)</f>
        <v>0</v>
      </c>
      <c r="R55" s="20">
        <f>MAX(0,(SUMPRODUCT(Oxides_min!$C55:$BB55,Factors!$C$25:$BB$25)+SUMPRODUCT(Oxides_max!$C55:$BB55,Factors!$C$25:$BB$25))/2)</f>
        <v>6.9327028004578999</v>
      </c>
      <c r="S55" s="20">
        <f>MAX(0,(SUMPRODUCT(Oxides_min!$C55:$BB55,Factors!$C$26:$BB$26)+SUMPRODUCT(Oxides_max!$C55:$BB55,Factors!$C$26:$BB$26))/2)</f>
        <v>0.28225144274254849</v>
      </c>
      <c r="T55" s="20">
        <f>MAX(0,(SUMPRODUCT(Oxides_min!$C55:$BB55,Factors!$C$27:$BB$27)+SUMPRODUCT(Oxides_max!$C55:$BB55,Factors!$C$27:$BB$27))/2)</f>
        <v>0</v>
      </c>
      <c r="U55" s="20">
        <f>MAX(0,(SUMPRODUCT(Oxides_min!$C55:$BB55,Factors!$C$28:$BB$28)+SUMPRODUCT(Oxides_max!$C55:$BB55,Factors!$C$28:$BB$28))/2)</f>
        <v>0</v>
      </c>
      <c r="V55" s="20">
        <f>MAX(0,(SUMPRODUCT(Oxides_min!$C55:$BB55,Factors!$C$29:$BB$29)+SUMPRODUCT(Oxides_max!$C55:$BB55,Factors!$C$29:$BB$29))/2)</f>
        <v>0</v>
      </c>
      <c r="W55" s="20">
        <f>MAX(0,(SUMPRODUCT(Oxides_min!$C55:$BB55,Factors!$C$30:$BB$30)+SUMPRODUCT(Oxides_max!$C55:$BB55,Factors!$C$30:$BB$30))/2)</f>
        <v>0</v>
      </c>
      <c r="X55" s="20">
        <f>MAX(0,(SUMPRODUCT(Oxides_min!$C55:$BB55,Factors!$C$31:$BB$31)+SUMPRODUCT(Oxides_max!$C55:$BB55,Factors!$C$31:$BB$31))/2)</f>
        <v>0</v>
      </c>
      <c r="Y55" s="20">
        <f>MAX(0,(SUMPRODUCT(Oxides_min!$C55:$BB55,Factors!$C$32:$BB$32)+SUMPRODUCT(Oxides_max!$C55:$BB55,Factors!$C$32:$BB$32))/2)</f>
        <v>0</v>
      </c>
      <c r="Z55" s="20">
        <f>MAX(0,(SUMPRODUCT(Oxides_min!$C55:$BB55,Factors!$C$33:$BB$33)+SUMPRODUCT(Oxides_max!$C55:$BB55,Factors!$C$33:$BB$33))/2)</f>
        <v>0</v>
      </c>
      <c r="AA55" s="20">
        <f>MAX(0,(SUMPRODUCT(Oxides_min!$C55:$BB55,Factors!$C$34:$BB$34)+SUMPRODUCT(Oxides_max!$C55:$BB55,Factors!$C$34:$BB$34))/2)</f>
        <v>0</v>
      </c>
      <c r="AB55" s="20">
        <f>MAX(0,(SUMPRODUCT(Oxides_min!$C55:$BB55,Factors!$C$35:$BB$35)+SUMPRODUCT(Oxides_max!$C55:$BB55,Factors!$C$35:$BB$35))/2)</f>
        <v>0</v>
      </c>
      <c r="AC55" s="20">
        <f>MAX(0,(SUMPRODUCT(Oxides_min!$C55:$BB55,Factors!$C$36:$BB$36)+SUMPRODUCT(Oxides_max!$C55:$BB55,Factors!$C$36:$BB$36))/2)</f>
        <v>0</v>
      </c>
      <c r="AD55" s="20">
        <f>MAX(0,(SUMPRODUCT(Oxides_min!$C55:$BB55,Factors!$C$37:$BB$37)+SUMPRODUCT(Oxides_max!$C55:$BB55,Factors!$C$37:$BB$37))/2)</f>
        <v>5.0358034970857616E-3</v>
      </c>
      <c r="AE55" s="20">
        <f>MAX(0,(SUMPRODUCT(Oxides_min!$C55:$BB55,Factors!$C$38:$BB$38)+SUMPRODUCT(Oxides_max!$C55:$BB55,Factors!$C$38:$BB$38))/2)</f>
        <v>0</v>
      </c>
      <c r="AF55" s="20">
        <f>MAX(0,(SUMPRODUCT(Oxides_min!$C55:$BB55,Factors!$C$39:$BB$39)+SUMPRODUCT(Oxides_max!$C55:$BB55,Factors!$C$39:$BB$39))/2)</f>
        <v>0</v>
      </c>
      <c r="AG55" s="20">
        <f>MAX(0,(SUMPRODUCT(Oxides_min!$C55:$BB55,Factors!$C$40:$BB$40)+SUMPRODUCT(Oxides_max!$C55:$BB55,Factors!$C$40:$BB$40))/2)</f>
        <v>0</v>
      </c>
      <c r="AH55" s="20">
        <f>MAX(0,(SUMPRODUCT(Oxides_min!$C55:$BB55,Factors!$C$41:$BB$41)+SUMPRODUCT(Oxides_max!$C55:$BB55,Factors!$C$41:$BB$41))/2)</f>
        <v>0</v>
      </c>
      <c r="AI55" s="20">
        <f>MAX(0,(SUMPRODUCT(Oxides_min!$C55:$BB55,Factors!$C$42:$BB$42)+SUMPRODUCT(Oxides_max!$C55:$BB55,Factors!$C$42:$BB$42))/2)</f>
        <v>0</v>
      </c>
      <c r="AJ55" s="20">
        <f>MAX(0,(SUMPRODUCT(Oxides_min!$C55:$BB55,Factors!$C$43:$BB$43)+SUMPRODUCT(Oxides_max!$C55:$BB55,Factors!$C$43:$BB$43))/2)</f>
        <v>0</v>
      </c>
      <c r="AK55" s="20">
        <f>MAX(0,(SUMPRODUCT(Oxides_min!$C55:$BB55,Factors!$C$44:$BB$44)+SUMPRODUCT(Oxides_max!$C55:$BB55,Factors!$C$44:$BB$44))/2)</f>
        <v>0</v>
      </c>
      <c r="AL55" s="20">
        <f>MAX(0,(SUMPRODUCT(Oxides_min!$C55:$BB55,Factors!$C$45:$BB$45)+SUMPRODUCT(Oxides_max!$C55:$BB55,Factors!$C$45:$BB$45))/2)</f>
        <v>0</v>
      </c>
      <c r="AM55" s="20">
        <f>MAX(0,(SUMPRODUCT(Oxides_min!$C55:$BB55,Factors!$C$46:$BB$46)+SUMPRODUCT(Oxides_max!$C55:$BB55,Factors!$C$46:$BB$46))/2)</f>
        <v>0</v>
      </c>
      <c r="AN55" s="20">
        <f>MAX(0,(SUMPRODUCT(Oxides_min!$C55:$BB55,Factors!$C$47:$BB$47)+SUMPRODUCT(Oxides_max!$C55:$BB55,Factors!$C$47:$BB$47))/2)</f>
        <v>0</v>
      </c>
      <c r="AO55" s="20">
        <f>MAX(0,(SUMPRODUCT(Oxides_min!$C55:$BB55,Factors!$C$48:$BB$48)+SUMPRODUCT(Oxides_max!$C55:$BB55,Factors!$C$48:$BB$48))/2)</f>
        <v>0</v>
      </c>
      <c r="AP55" s="20">
        <f>MAX(0,(SUMPRODUCT(Oxides_min!$C55:$BB55,Factors!$C$49:$BB$49)+SUMPRODUCT(Oxides_max!$C55:$BB55,Factors!$C$49:$BB$49))/2)</f>
        <v>0</v>
      </c>
      <c r="AQ55" s="20">
        <f>MAX(0,(SUMPRODUCT(Oxides_min!$C55:$BB55,Factors!$C$50:$BB$50)+SUMPRODUCT(Oxides_max!$C55:$BB55,Factors!$C$50:$BB$50))/2)</f>
        <v>0</v>
      </c>
      <c r="AR55" s="20">
        <f>MAX(0,(SUMPRODUCT(Oxides_min!$C55:$BB55,Factors!$C$51:$BB$51)+SUMPRODUCT(Oxides_max!$C55:$BB55,Factors!$C$51:$BB$51))/2)</f>
        <v>0</v>
      </c>
      <c r="AS55" s="20">
        <f>MAX(0,(SUMPRODUCT(Oxides_min!$C55:$BB55,Factors!$C$52:$BB$52)+SUMPRODUCT(Oxides_max!$C55:$BB55,Factors!$C$52:$BB$52))/2)</f>
        <v>0</v>
      </c>
      <c r="AT55" s="20">
        <f>MAX(0,(SUMPRODUCT(Oxides_min!$C55:$BB55,Factors!$C$53:$BB$53)+SUMPRODUCT(Oxides_max!$C55:$BB55,Factors!$C$53:$BB$53))/2)</f>
        <v>0</v>
      </c>
      <c r="AU55" s="20">
        <f>MAX(0,(SUMPRODUCT(Oxides_min!$C55:$BB55,Factors!$C$54:$BB$54)+SUMPRODUCT(Oxides_max!$C55:$BB55,Factors!$C$54:$BB$54))/2)</f>
        <v>0</v>
      </c>
      <c r="AV55" s="20">
        <f>MAX(0,(SUMPRODUCT(Oxides_min!$C55:$BB55,Factors!$C$55:$BB$55)+SUMPRODUCT(Oxides_max!$C55:$BB55,Factors!$C$55:$BB$55))/2)</f>
        <v>0</v>
      </c>
      <c r="AW55" s="20">
        <f>MAX(0,(SUMPRODUCT(Oxides_min!$C55:$BB55,Factors!$C$56:$BB$56)+SUMPRODUCT(Oxides_max!$C55:$BB55,Factors!$C$56:$BB$56))/2)</f>
        <v>0</v>
      </c>
      <c r="AX55" s="20">
        <f>MAX(0,(SUMPRODUCT(Oxides_min!$C55:$BB55,Factors!$C$57:$BB$57)+SUMPRODUCT(Oxides_max!$C55:$BB55,Factors!$C$57:$BB$57))/2)</f>
        <v>0</v>
      </c>
      <c r="AY55" s="20">
        <f>MAX(0,(SUMPRODUCT(Oxides_min!$C55:$BB55,Factors!$C$58:$BB$58)+SUMPRODUCT(Oxides_max!$C55:$BB55,Factors!$C$58:$BB$58))/2)</f>
        <v>0</v>
      </c>
      <c r="AZ55" s="18">
        <f t="shared" si="3"/>
        <v>100.38500000000001</v>
      </c>
    </row>
    <row r="56" spans="1:52" x14ac:dyDescent="0.35">
      <c r="A56" s="13" t="s">
        <v>495</v>
      </c>
      <c r="B56" s="20">
        <f>MAX(0,(SUMPRODUCT(Oxides_min!$C56:$BB56,Factors!$C$9:$BB$9)+SUMPRODUCT(Oxides_max!$C56:$BB56,Factors!$C$9:$BB$9))/2)</f>
        <v>47.074307329132367</v>
      </c>
      <c r="C56" s="20">
        <f>MAX(0,(SUMPRODUCT(Oxides_min!$C56:$BB56,Factors!$C$10:$BB$10)+SUMPRODUCT(Oxides_max!$C56:$BB56,Factors!$C$10:$BB$10))/2)</f>
        <v>0</v>
      </c>
      <c r="D56" s="20">
        <f>MAX(0,(SUMPRODUCT(Oxides_min!$C56:$BB56,Factors!$C$11:$BB$11)+SUMPRODUCT(Oxides_max!$C56:$BB56,Factors!$C$11:$BB$11))/2)</f>
        <v>0</v>
      </c>
      <c r="E56" s="20">
        <f>MAX(0,(SUMPRODUCT(Oxides_min!$C56:$BB56,Factors!$C$12:$BB$12)+SUMPRODUCT(Oxides_max!$C56:$BB56,Factors!$C$12:$BB$12))/2)</f>
        <v>0</v>
      </c>
      <c r="F56" s="20">
        <f>MAX(0,(SUMPRODUCT(Oxides_min!$C56:$BB56,Factors!$C$13:$BB$13)+SUMPRODUCT(Oxides_max!$C56:$BB56,Factors!$C$13:$BB$13))/2)</f>
        <v>0</v>
      </c>
      <c r="G56" s="20">
        <f>MAX(0,(SUMPRODUCT(Oxides_min!$C56:$BB56,Factors!$C$14:$BB$14)+SUMPRODUCT(Oxides_max!$C56:$BB56,Factors!$C$14:$BB$14))/2)</f>
        <v>0</v>
      </c>
      <c r="H56" s="20">
        <f>MAX(0,(SUMPRODUCT(Oxides_min!$C56:$BB56,Factors!$C$15:$BB$15)+SUMPRODUCT(Oxides_max!$C56:$BB56,Factors!$C$15:$BB$15))/2)</f>
        <v>52.92569267086764</v>
      </c>
      <c r="I56" s="20">
        <f>MAX(0,(SUMPRODUCT(Oxides_min!$C56:$BB56,Factors!$C$16:$BB$16)+SUMPRODUCT(Oxides_max!$C56:$BB56,Factors!$C$16:$BB$16))/2)</f>
        <v>0</v>
      </c>
      <c r="J56" s="20">
        <f>MAX(0,(SUMPRODUCT(Oxides_min!$C56:$BB56,Factors!$C$17:$BB$17)+SUMPRODUCT(Oxides_max!$C56:$BB56,Factors!$C$17:$BB$17))/2)</f>
        <v>0</v>
      </c>
      <c r="K56" s="20">
        <f>MAX(0,(SUMPRODUCT(Oxides_min!$C56:$BB56,Factors!$C$18:$BB$18)+SUMPRODUCT(Oxides_max!$C56:$BB56,Factors!$C$18:$BB$18))/2)</f>
        <v>0</v>
      </c>
      <c r="L56" s="20">
        <f>MAX(0,(SUMPRODUCT(Oxides_min!$C56:$BB56,Factors!$C$19:$BB$19)+SUMPRODUCT(Oxides_max!$C56:$BB56,Factors!$C$19:$BB$19))/2)</f>
        <v>0</v>
      </c>
      <c r="M56" s="20">
        <f>MAX(0,(SUMPRODUCT(Oxides_min!$C56:$BB56,Factors!$C$20:$BB$20)+SUMPRODUCT(Oxides_max!$C56:$BB56,Factors!$C$20:$BB$20))/2)</f>
        <v>0</v>
      </c>
      <c r="N56" s="20">
        <f>MAX(0,(SUMPRODUCT(Oxides_min!$C56:$BB56,Factors!$C$21:$BB$21)+SUMPRODUCT(Oxides_max!$C56:$BB56,Factors!$C$21:$BB$21))/2)</f>
        <v>0</v>
      </c>
      <c r="O56" s="20">
        <f>MAX(0,(SUMPRODUCT(Oxides_min!$C56:$BB56,Factors!$C$22:$BB$22)+SUMPRODUCT(Oxides_max!$C56:$BB56,Factors!$C$22:$BB$22))/2)</f>
        <v>0</v>
      </c>
      <c r="P56" s="20">
        <f>MAX(0,(SUMPRODUCT(Oxides_min!$C56:$BB56,Factors!$C$23:$BB$23)+SUMPRODUCT(Oxides_max!$C56:$BB56,Factors!$C$23:$BB$23))/2)</f>
        <v>0</v>
      </c>
      <c r="Q56" s="20">
        <f>MAX(0,(SUMPRODUCT(Oxides_min!$C56:$BB56,Factors!$C$24:$BB$24)+SUMPRODUCT(Oxides_max!$C56:$BB56,Factors!$C$24:$BB$24))/2)</f>
        <v>0</v>
      </c>
      <c r="R56" s="20">
        <f>MAX(0,(SUMPRODUCT(Oxides_min!$C56:$BB56,Factors!$C$25:$BB$25)+SUMPRODUCT(Oxides_max!$C56:$BB56,Factors!$C$25:$BB$25))/2)</f>
        <v>0</v>
      </c>
      <c r="S56" s="20">
        <f>MAX(0,(SUMPRODUCT(Oxides_min!$C56:$BB56,Factors!$C$26:$BB$26)+SUMPRODUCT(Oxides_max!$C56:$BB56,Factors!$C$26:$BB$26))/2)</f>
        <v>0</v>
      </c>
      <c r="T56" s="20">
        <f>MAX(0,(SUMPRODUCT(Oxides_min!$C56:$BB56,Factors!$C$27:$BB$27)+SUMPRODUCT(Oxides_max!$C56:$BB56,Factors!$C$27:$BB$27))/2)</f>
        <v>0</v>
      </c>
      <c r="U56" s="20">
        <f>MAX(0,(SUMPRODUCT(Oxides_min!$C56:$BB56,Factors!$C$28:$BB$28)+SUMPRODUCT(Oxides_max!$C56:$BB56,Factors!$C$28:$BB$28))/2)</f>
        <v>0</v>
      </c>
      <c r="V56" s="20">
        <f>MAX(0,(SUMPRODUCT(Oxides_min!$C56:$BB56,Factors!$C$29:$BB$29)+SUMPRODUCT(Oxides_max!$C56:$BB56,Factors!$C$29:$BB$29))/2)</f>
        <v>0</v>
      </c>
      <c r="W56" s="20">
        <f>MAX(0,(SUMPRODUCT(Oxides_min!$C56:$BB56,Factors!$C$30:$BB$30)+SUMPRODUCT(Oxides_max!$C56:$BB56,Factors!$C$30:$BB$30))/2)</f>
        <v>0</v>
      </c>
      <c r="X56" s="20">
        <f>MAX(0,(SUMPRODUCT(Oxides_min!$C56:$BB56,Factors!$C$31:$BB$31)+SUMPRODUCT(Oxides_max!$C56:$BB56,Factors!$C$31:$BB$31))/2)</f>
        <v>0</v>
      </c>
      <c r="Y56" s="20">
        <f>MAX(0,(SUMPRODUCT(Oxides_min!$C56:$BB56,Factors!$C$32:$BB$32)+SUMPRODUCT(Oxides_max!$C56:$BB56,Factors!$C$32:$BB$32))/2)</f>
        <v>0</v>
      </c>
      <c r="Z56" s="20">
        <f>MAX(0,(SUMPRODUCT(Oxides_min!$C56:$BB56,Factors!$C$33:$BB$33)+SUMPRODUCT(Oxides_max!$C56:$BB56,Factors!$C$33:$BB$33))/2)</f>
        <v>0</v>
      </c>
      <c r="AA56" s="20">
        <f>MAX(0,(SUMPRODUCT(Oxides_min!$C56:$BB56,Factors!$C$34:$BB$34)+SUMPRODUCT(Oxides_max!$C56:$BB56,Factors!$C$34:$BB$34))/2)</f>
        <v>0</v>
      </c>
      <c r="AB56" s="20">
        <f>MAX(0,(SUMPRODUCT(Oxides_min!$C56:$BB56,Factors!$C$35:$BB$35)+SUMPRODUCT(Oxides_max!$C56:$BB56,Factors!$C$35:$BB$35))/2)</f>
        <v>0</v>
      </c>
      <c r="AC56" s="20">
        <f>MAX(0,(SUMPRODUCT(Oxides_min!$C56:$BB56,Factors!$C$36:$BB$36)+SUMPRODUCT(Oxides_max!$C56:$BB56,Factors!$C$36:$BB$36))/2)</f>
        <v>0</v>
      </c>
      <c r="AD56" s="20">
        <f>MAX(0,(SUMPRODUCT(Oxides_min!$C56:$BB56,Factors!$C$37:$BB$37)+SUMPRODUCT(Oxides_max!$C56:$BB56,Factors!$C$37:$BB$37))/2)</f>
        <v>0</v>
      </c>
      <c r="AE56" s="20">
        <f>MAX(0,(SUMPRODUCT(Oxides_min!$C56:$BB56,Factors!$C$38:$BB$38)+SUMPRODUCT(Oxides_max!$C56:$BB56,Factors!$C$38:$BB$38))/2)</f>
        <v>0</v>
      </c>
      <c r="AF56" s="20">
        <f>MAX(0,(SUMPRODUCT(Oxides_min!$C56:$BB56,Factors!$C$39:$BB$39)+SUMPRODUCT(Oxides_max!$C56:$BB56,Factors!$C$39:$BB$39))/2)</f>
        <v>0</v>
      </c>
      <c r="AG56" s="20">
        <f>MAX(0,(SUMPRODUCT(Oxides_min!$C56:$BB56,Factors!$C$40:$BB$40)+SUMPRODUCT(Oxides_max!$C56:$BB56,Factors!$C$40:$BB$40))/2)</f>
        <v>0</v>
      </c>
      <c r="AH56" s="20">
        <f>MAX(0,(SUMPRODUCT(Oxides_min!$C56:$BB56,Factors!$C$41:$BB$41)+SUMPRODUCT(Oxides_max!$C56:$BB56,Factors!$C$41:$BB$41))/2)</f>
        <v>0</v>
      </c>
      <c r="AI56" s="20">
        <f>MAX(0,(SUMPRODUCT(Oxides_min!$C56:$BB56,Factors!$C$42:$BB$42)+SUMPRODUCT(Oxides_max!$C56:$BB56,Factors!$C$42:$BB$42))/2)</f>
        <v>0</v>
      </c>
      <c r="AJ56" s="20">
        <f>MAX(0,(SUMPRODUCT(Oxides_min!$C56:$BB56,Factors!$C$43:$BB$43)+SUMPRODUCT(Oxides_max!$C56:$BB56,Factors!$C$43:$BB$43))/2)</f>
        <v>0</v>
      </c>
      <c r="AK56" s="20">
        <f>MAX(0,(SUMPRODUCT(Oxides_min!$C56:$BB56,Factors!$C$44:$BB$44)+SUMPRODUCT(Oxides_max!$C56:$BB56,Factors!$C$44:$BB$44))/2)</f>
        <v>0</v>
      </c>
      <c r="AL56" s="20">
        <f>MAX(0,(SUMPRODUCT(Oxides_min!$C56:$BB56,Factors!$C$45:$BB$45)+SUMPRODUCT(Oxides_max!$C56:$BB56,Factors!$C$45:$BB$45))/2)</f>
        <v>0</v>
      </c>
      <c r="AM56" s="20">
        <f>MAX(0,(SUMPRODUCT(Oxides_min!$C56:$BB56,Factors!$C$46:$BB$46)+SUMPRODUCT(Oxides_max!$C56:$BB56,Factors!$C$46:$BB$46))/2)</f>
        <v>0</v>
      </c>
      <c r="AN56" s="20">
        <f>MAX(0,(SUMPRODUCT(Oxides_min!$C56:$BB56,Factors!$C$47:$BB$47)+SUMPRODUCT(Oxides_max!$C56:$BB56,Factors!$C$47:$BB$47))/2)</f>
        <v>0</v>
      </c>
      <c r="AO56" s="20">
        <f>MAX(0,(SUMPRODUCT(Oxides_min!$C56:$BB56,Factors!$C$48:$BB$48)+SUMPRODUCT(Oxides_max!$C56:$BB56,Factors!$C$48:$BB$48))/2)</f>
        <v>0</v>
      </c>
      <c r="AP56" s="20">
        <f>MAX(0,(SUMPRODUCT(Oxides_min!$C56:$BB56,Factors!$C$49:$BB$49)+SUMPRODUCT(Oxides_max!$C56:$BB56,Factors!$C$49:$BB$49))/2)</f>
        <v>0</v>
      </c>
      <c r="AQ56" s="20">
        <f>MAX(0,(SUMPRODUCT(Oxides_min!$C56:$BB56,Factors!$C$50:$BB$50)+SUMPRODUCT(Oxides_max!$C56:$BB56,Factors!$C$50:$BB$50))/2)</f>
        <v>0</v>
      </c>
      <c r="AR56" s="20">
        <f>MAX(0,(SUMPRODUCT(Oxides_min!$C56:$BB56,Factors!$C$51:$BB$51)+SUMPRODUCT(Oxides_max!$C56:$BB56,Factors!$C$51:$BB$51))/2)</f>
        <v>0</v>
      </c>
      <c r="AS56" s="20">
        <f>MAX(0,(SUMPRODUCT(Oxides_min!$C56:$BB56,Factors!$C$52:$BB$52)+SUMPRODUCT(Oxides_max!$C56:$BB56,Factors!$C$52:$BB$52))/2)</f>
        <v>0</v>
      </c>
      <c r="AT56" s="20">
        <f>MAX(0,(SUMPRODUCT(Oxides_min!$C56:$BB56,Factors!$C$53:$BB$53)+SUMPRODUCT(Oxides_max!$C56:$BB56,Factors!$C$53:$BB$53))/2)</f>
        <v>0</v>
      </c>
      <c r="AU56" s="20">
        <f>MAX(0,(SUMPRODUCT(Oxides_min!$C56:$BB56,Factors!$C$54:$BB$54)+SUMPRODUCT(Oxides_max!$C56:$BB56,Factors!$C$54:$BB$54))/2)</f>
        <v>0</v>
      </c>
      <c r="AV56" s="20">
        <f>MAX(0,(SUMPRODUCT(Oxides_min!$C56:$BB56,Factors!$C$55:$BB$55)+SUMPRODUCT(Oxides_max!$C56:$BB56,Factors!$C$55:$BB$55))/2)</f>
        <v>0</v>
      </c>
      <c r="AW56" s="20">
        <f>MAX(0,(SUMPRODUCT(Oxides_min!$C56:$BB56,Factors!$C$56:$BB$56)+SUMPRODUCT(Oxides_max!$C56:$BB56,Factors!$C$56:$BB$56))/2)</f>
        <v>0</v>
      </c>
      <c r="AX56" s="20">
        <f>MAX(0,(SUMPRODUCT(Oxides_min!$C56:$BB56,Factors!$C$57:$BB$57)+SUMPRODUCT(Oxides_max!$C56:$BB56,Factors!$C$57:$BB$57))/2)</f>
        <v>0</v>
      </c>
      <c r="AY56" s="20">
        <f>MAX(0,(SUMPRODUCT(Oxides_min!$C56:$BB56,Factors!$C$58:$BB$58)+SUMPRODUCT(Oxides_max!$C56:$BB56,Factors!$C$58:$BB$58))/2)</f>
        <v>0</v>
      </c>
      <c r="AZ56" s="18">
        <f t="shared" ref="AZ56:AZ59" si="4">SUM(B56:AY56)</f>
        <v>100</v>
      </c>
    </row>
    <row r="57" spans="1:52" x14ac:dyDescent="0.35">
      <c r="A57" s="13" t="s">
        <v>496</v>
      </c>
      <c r="B57" s="20">
        <f>MAX(0,(SUMPRODUCT(Oxides_min!$C57:$BB57,Factors!$C$9:$BB$9)+SUMPRODUCT(Oxides_max!$C57:$BB57,Factors!$C$9:$BB$9))/2)</f>
        <v>51.410339275399153</v>
      </c>
      <c r="C57" s="20">
        <f>MAX(0,(SUMPRODUCT(Oxides_min!$C57:$BB57,Factors!$C$10:$BB$10)+SUMPRODUCT(Oxides_max!$C57:$BB57,Factors!$C$10:$BB$10))/2)</f>
        <v>29.958018907178406</v>
      </c>
      <c r="D57" s="20">
        <f>MAX(0,(SUMPRODUCT(Oxides_min!$C57:$BB57,Factors!$C$11:$BB$11)+SUMPRODUCT(Oxides_max!$C57:$BB57,Factors!$C$11:$BB$11))/2)</f>
        <v>0</v>
      </c>
      <c r="E57" s="20">
        <f>MAX(0,(SUMPRODUCT(Oxides_min!$C57:$BB57,Factors!$C$12:$BB$12)+SUMPRODUCT(Oxides_max!$C57:$BB57,Factors!$C$12:$BB$12))/2)</f>
        <v>0</v>
      </c>
      <c r="F57" s="20">
        <f>MAX(0,(SUMPRODUCT(Oxides_min!$C57:$BB57,Factors!$C$13:$BB$13)+SUMPRODUCT(Oxides_max!$C57:$BB57,Factors!$C$13:$BB$13))/2)</f>
        <v>0</v>
      </c>
      <c r="G57" s="20">
        <f>MAX(0,(SUMPRODUCT(Oxides_min!$C57:$BB57,Factors!$C$14:$BB$14)+SUMPRODUCT(Oxides_max!$C57:$BB57,Factors!$C$14:$BB$14))/2)</f>
        <v>0</v>
      </c>
      <c r="H57" s="20">
        <f>MAX(0,(SUMPRODUCT(Oxides_min!$C57:$BB57,Factors!$C$15:$BB$15)+SUMPRODUCT(Oxides_max!$C57:$BB57,Factors!$C$15:$BB$15))/2)</f>
        <v>14.522810068886081</v>
      </c>
      <c r="I57" s="20">
        <f>MAX(0,(SUMPRODUCT(Oxides_min!$C57:$BB57,Factors!$C$16:$BB$16)+SUMPRODUCT(Oxides_max!$C57:$BB57,Factors!$C$16:$BB$16))/2)</f>
        <v>1.3988615228540833E-2</v>
      </c>
      <c r="J57" s="20">
        <f>MAX(0,(SUMPRODUCT(Oxides_min!$C57:$BB57,Factors!$C$17:$BB$17)+SUMPRODUCT(Oxides_max!$C57:$BB57,Factors!$C$17:$BB$17))/2)</f>
        <v>5.4212339042489573E-2</v>
      </c>
      <c r="K57" s="20">
        <f>MAX(0,(SUMPRODUCT(Oxides_min!$C57:$BB57,Factors!$C$18:$BB$18)+SUMPRODUCT(Oxides_max!$C57:$BB57,Factors!$C$18:$BB$18))/2)</f>
        <v>0</v>
      </c>
      <c r="L57" s="20">
        <f>MAX(0,(SUMPRODUCT(Oxides_min!$C57:$BB57,Factors!$C$19:$BB$19)+SUMPRODUCT(Oxides_max!$C57:$BB57,Factors!$C$19:$BB$19))/2)</f>
        <v>0</v>
      </c>
      <c r="M57" s="20">
        <f>MAX(0,(SUMPRODUCT(Oxides_min!$C57:$BB57,Factors!$C$20:$BB$20)+SUMPRODUCT(Oxides_max!$C57:$BB57,Factors!$C$20:$BB$20))/2)</f>
        <v>0</v>
      </c>
      <c r="N57" s="20">
        <f>MAX(0,(SUMPRODUCT(Oxides_min!$C57:$BB57,Factors!$C$21:$BB$21)+SUMPRODUCT(Oxides_max!$C57:$BB57,Factors!$C$21:$BB$21))/2)</f>
        <v>0</v>
      </c>
      <c r="O57" s="20">
        <f>MAX(0,(SUMPRODUCT(Oxides_min!$C57:$BB57,Factors!$C$22:$BB$22)+SUMPRODUCT(Oxides_max!$C57:$BB57,Factors!$C$22:$BB$22))/2)</f>
        <v>0</v>
      </c>
      <c r="P57" s="20">
        <f>MAX(0,(SUMPRODUCT(Oxides_min!$C57:$BB57,Factors!$C$23:$BB$23)+SUMPRODUCT(Oxides_max!$C57:$BB57,Factors!$C$23:$BB$23))/2)</f>
        <v>0</v>
      </c>
      <c r="Q57" s="20">
        <f>MAX(0,(SUMPRODUCT(Oxides_min!$C57:$BB57,Factors!$C$24:$BB$24)+SUMPRODUCT(Oxides_max!$C57:$BB57,Factors!$C$24:$BB$24))/2)</f>
        <v>0</v>
      </c>
      <c r="R57" s="20">
        <f>MAX(0,(SUMPRODUCT(Oxides_min!$C57:$BB57,Factors!$C$25:$BB$25)+SUMPRODUCT(Oxides_max!$C57:$BB57,Factors!$C$25:$BB$25))/2)</f>
        <v>8.1604848373501238E-2</v>
      </c>
      <c r="S57" s="20">
        <f>MAX(0,(SUMPRODUCT(Oxides_min!$C57:$BB57,Factors!$C$26:$BB$26)+SUMPRODUCT(Oxides_max!$C57:$BB57,Factors!$C$26:$BB$26))/2)</f>
        <v>0</v>
      </c>
      <c r="T57" s="20">
        <f>MAX(0,(SUMPRODUCT(Oxides_min!$C57:$BB57,Factors!$C$27:$BB$27)+SUMPRODUCT(Oxides_max!$C57:$BB57,Factors!$C$27:$BB$27))/2)</f>
        <v>3.6745138726195652</v>
      </c>
      <c r="U57" s="20">
        <f>MAX(0,(SUMPRODUCT(Oxides_min!$C57:$BB57,Factors!$C$28:$BB$28)+SUMPRODUCT(Oxides_max!$C57:$BB57,Factors!$C$28:$BB$28))/2)</f>
        <v>0</v>
      </c>
      <c r="V57" s="20">
        <f>MAX(0,(SUMPRODUCT(Oxides_min!$C57:$BB57,Factors!$C$29:$BB$29)+SUMPRODUCT(Oxides_max!$C57:$BB57,Factors!$C$29:$BB$29))/2)</f>
        <v>0</v>
      </c>
      <c r="W57" s="20">
        <f>MAX(0,(SUMPRODUCT(Oxides_min!$C57:$BB57,Factors!$C$30:$BB$30)+SUMPRODUCT(Oxides_max!$C57:$BB57,Factors!$C$30:$BB$30))/2)</f>
        <v>0</v>
      </c>
      <c r="X57" s="20">
        <f>MAX(0,(SUMPRODUCT(Oxides_min!$C57:$BB57,Factors!$C$31:$BB$31)+SUMPRODUCT(Oxides_max!$C57:$BB57,Factors!$C$31:$BB$31))/2)</f>
        <v>0</v>
      </c>
      <c r="Y57" s="20">
        <f>MAX(0,(SUMPRODUCT(Oxides_min!$C57:$BB57,Factors!$C$32:$BB$32)+SUMPRODUCT(Oxides_max!$C57:$BB57,Factors!$C$32:$BB$32))/2)</f>
        <v>0</v>
      </c>
      <c r="Z57" s="20">
        <f>MAX(0,(SUMPRODUCT(Oxides_min!$C57:$BB57,Factors!$C$33:$BB$33)+SUMPRODUCT(Oxides_max!$C57:$BB57,Factors!$C$33:$BB$33))/2)</f>
        <v>0</v>
      </c>
      <c r="AA57" s="20">
        <f>MAX(0,(SUMPRODUCT(Oxides_min!$C57:$BB57,Factors!$C$34:$BB$34)+SUMPRODUCT(Oxides_max!$C57:$BB57,Factors!$C$34:$BB$34))/2)</f>
        <v>0</v>
      </c>
      <c r="AB57" s="20">
        <f>MAX(0,(SUMPRODUCT(Oxides_min!$C57:$BB57,Factors!$C$35:$BB$35)+SUMPRODUCT(Oxides_max!$C57:$BB57,Factors!$C$35:$BB$35))/2)</f>
        <v>0</v>
      </c>
      <c r="AC57" s="20">
        <f>MAX(0,(SUMPRODUCT(Oxides_min!$C57:$BB57,Factors!$C$36:$BB$36)+SUMPRODUCT(Oxides_max!$C57:$BB57,Factors!$C$36:$BB$36))/2)</f>
        <v>0</v>
      </c>
      <c r="AD57" s="20">
        <f>MAX(0,(SUMPRODUCT(Oxides_min!$C57:$BB57,Factors!$C$37:$BB$37)+SUMPRODUCT(Oxides_max!$C57:$BB57,Factors!$C$37:$BB$37))/2)</f>
        <v>9.5120732722731062E-3</v>
      </c>
      <c r="AE57" s="20">
        <f>MAX(0,(SUMPRODUCT(Oxides_min!$C57:$BB57,Factors!$C$38:$BB$38)+SUMPRODUCT(Oxides_max!$C57:$BB57,Factors!$C$38:$BB$38))/2)</f>
        <v>0</v>
      </c>
      <c r="AF57" s="20">
        <f>MAX(0,(SUMPRODUCT(Oxides_min!$C57:$BB57,Factors!$C$39:$BB$39)+SUMPRODUCT(Oxides_max!$C57:$BB57,Factors!$C$39:$BB$39))/2)</f>
        <v>0</v>
      </c>
      <c r="AG57" s="20">
        <f>MAX(0,(SUMPRODUCT(Oxides_min!$C57:$BB57,Factors!$C$40:$BB$40)+SUMPRODUCT(Oxides_max!$C57:$BB57,Factors!$C$40:$BB$40))/2)</f>
        <v>0</v>
      </c>
      <c r="AH57" s="20">
        <f>MAX(0,(SUMPRODUCT(Oxides_min!$C57:$BB57,Factors!$C$41:$BB$41)+SUMPRODUCT(Oxides_max!$C57:$BB57,Factors!$C$41:$BB$41))/2)</f>
        <v>0</v>
      </c>
      <c r="AI57" s="20">
        <f>MAX(0,(SUMPRODUCT(Oxides_min!$C57:$BB57,Factors!$C$42:$BB$42)+SUMPRODUCT(Oxides_max!$C57:$BB57,Factors!$C$42:$BB$42))/2)</f>
        <v>0</v>
      </c>
      <c r="AJ57" s="20">
        <f>MAX(0,(SUMPRODUCT(Oxides_min!$C57:$BB57,Factors!$C$43:$BB$43)+SUMPRODUCT(Oxides_max!$C57:$BB57,Factors!$C$43:$BB$43))/2)</f>
        <v>0</v>
      </c>
      <c r="AK57" s="20">
        <f>MAX(0,(SUMPRODUCT(Oxides_min!$C57:$BB57,Factors!$C$44:$BB$44)+SUMPRODUCT(Oxides_max!$C57:$BB57,Factors!$C$44:$BB$44))/2)</f>
        <v>0</v>
      </c>
      <c r="AL57" s="20">
        <f>MAX(0,(SUMPRODUCT(Oxides_min!$C57:$BB57,Factors!$C$45:$BB$45)+SUMPRODUCT(Oxides_max!$C57:$BB57,Factors!$C$45:$BB$45))/2)</f>
        <v>0</v>
      </c>
      <c r="AM57" s="20">
        <f>MAX(0,(SUMPRODUCT(Oxides_min!$C57:$BB57,Factors!$C$46:$BB$46)+SUMPRODUCT(Oxides_max!$C57:$BB57,Factors!$C$46:$BB$46))/2)</f>
        <v>0</v>
      </c>
      <c r="AN57" s="20">
        <f>MAX(0,(SUMPRODUCT(Oxides_min!$C57:$BB57,Factors!$C$47:$BB$47)+SUMPRODUCT(Oxides_max!$C57:$BB57,Factors!$C$47:$BB$47))/2)</f>
        <v>0</v>
      </c>
      <c r="AO57" s="20">
        <f>MAX(0,(SUMPRODUCT(Oxides_min!$C57:$BB57,Factors!$C$48:$BB$48)+SUMPRODUCT(Oxides_max!$C57:$BB57,Factors!$C$48:$BB$48))/2)</f>
        <v>0</v>
      </c>
      <c r="AP57" s="20">
        <f>MAX(0,(SUMPRODUCT(Oxides_min!$C57:$BB57,Factors!$C$49:$BB$49)+SUMPRODUCT(Oxides_max!$C57:$BB57,Factors!$C$49:$BB$49))/2)</f>
        <v>0</v>
      </c>
      <c r="AQ57" s="20">
        <f>MAX(0,(SUMPRODUCT(Oxides_min!$C57:$BB57,Factors!$C$50:$BB$50)+SUMPRODUCT(Oxides_max!$C57:$BB57,Factors!$C$50:$BB$50))/2)</f>
        <v>0</v>
      </c>
      <c r="AR57" s="20">
        <f>MAX(0,(SUMPRODUCT(Oxides_min!$C57:$BB57,Factors!$C$51:$BB$51)+SUMPRODUCT(Oxides_max!$C57:$BB57,Factors!$C$51:$BB$51))/2)</f>
        <v>0</v>
      </c>
      <c r="AS57" s="20">
        <f>MAX(0,(SUMPRODUCT(Oxides_min!$C57:$BB57,Factors!$C$52:$BB$52)+SUMPRODUCT(Oxides_max!$C57:$BB57,Factors!$C$52:$BB$52))/2)</f>
        <v>0</v>
      </c>
      <c r="AT57" s="20">
        <f>MAX(0,(SUMPRODUCT(Oxides_min!$C57:$BB57,Factors!$C$53:$BB$53)+SUMPRODUCT(Oxides_max!$C57:$BB57,Factors!$C$53:$BB$53))/2)</f>
        <v>0</v>
      </c>
      <c r="AU57" s="20">
        <f>MAX(0,(SUMPRODUCT(Oxides_min!$C57:$BB57,Factors!$C$54:$BB$54)+SUMPRODUCT(Oxides_max!$C57:$BB57,Factors!$C$54:$BB$54))/2)</f>
        <v>0</v>
      </c>
      <c r="AV57" s="20">
        <f>MAX(0,(SUMPRODUCT(Oxides_min!$C57:$BB57,Factors!$C$55:$BB$55)+SUMPRODUCT(Oxides_max!$C57:$BB57,Factors!$C$55:$BB$55))/2)</f>
        <v>0</v>
      </c>
      <c r="AW57" s="20">
        <f>MAX(0,(SUMPRODUCT(Oxides_min!$C57:$BB57,Factors!$C$56:$BB$56)+SUMPRODUCT(Oxides_max!$C57:$BB57,Factors!$C$56:$BB$56))/2)</f>
        <v>0</v>
      </c>
      <c r="AX57" s="20">
        <f>MAX(0,(SUMPRODUCT(Oxides_min!$C57:$BB57,Factors!$C$57:$BB$57)+SUMPRODUCT(Oxides_max!$C57:$BB57,Factors!$C$57:$BB$57))/2)</f>
        <v>0</v>
      </c>
      <c r="AY57" s="20">
        <f>MAX(0,(SUMPRODUCT(Oxides_min!$C57:$BB57,Factors!$C$58:$BB$58)+SUMPRODUCT(Oxides_max!$C57:$BB57,Factors!$C$58:$BB$58))/2)</f>
        <v>0</v>
      </c>
      <c r="AZ57" s="18">
        <f t="shared" si="4"/>
        <v>99.725000000000037</v>
      </c>
    </row>
    <row r="58" spans="1:52" x14ac:dyDescent="0.35">
      <c r="A58" s="13" t="s">
        <v>498</v>
      </c>
      <c r="B58" s="20">
        <f>MAX(0,(SUMPRODUCT(Oxides_min!$C58:$BB58,Factors!$C$9:$BB$9)+SUMPRODUCT(Oxides_max!$C58:$BB58,Factors!$C$9:$BB$9))/2)</f>
        <v>48.092707028025785</v>
      </c>
      <c r="C58" s="20">
        <f>MAX(0,(SUMPRODUCT(Oxides_min!$C58:$BB58,Factors!$C$10:$BB$10)+SUMPRODUCT(Oxides_max!$C58:$BB58,Factors!$C$10:$BB$10))/2)</f>
        <v>0</v>
      </c>
      <c r="D58" s="20">
        <f>MAX(0,(SUMPRODUCT(Oxides_min!$C58:$BB58,Factors!$C$11:$BB$11)+SUMPRODUCT(Oxides_max!$C58:$BB58,Factors!$C$11:$BB$11))/2)</f>
        <v>0</v>
      </c>
      <c r="E58" s="20">
        <f>MAX(0,(SUMPRODUCT(Oxides_min!$C58:$BB58,Factors!$C$12:$BB$12)+SUMPRODUCT(Oxides_max!$C58:$BB58,Factors!$C$12:$BB$12))/2)</f>
        <v>0</v>
      </c>
      <c r="F58" s="20">
        <f>MAX(0,(SUMPRODUCT(Oxides_min!$C58:$BB58,Factors!$C$13:$BB$13)+SUMPRODUCT(Oxides_max!$C58:$BB58,Factors!$C$13:$BB$13))/2)</f>
        <v>0</v>
      </c>
      <c r="G58" s="20">
        <f>MAX(0,(SUMPRODUCT(Oxides_min!$C58:$BB58,Factors!$C$14:$BB$14)+SUMPRODUCT(Oxides_max!$C58:$BB58,Factors!$C$14:$BB$14))/2)</f>
        <v>0</v>
      </c>
      <c r="H58" s="20">
        <f>MAX(0,(SUMPRODUCT(Oxides_min!$C58:$BB58,Factors!$C$15:$BB$15)+SUMPRODUCT(Oxides_max!$C58:$BB58,Factors!$C$15:$BB$15))/2)</f>
        <v>0</v>
      </c>
      <c r="I58" s="20">
        <f>MAX(0,(SUMPRODUCT(Oxides_min!$C58:$BB58,Factors!$C$16:$BB$16)+SUMPRODUCT(Oxides_max!$C58:$BB58,Factors!$C$16:$BB$16))/2)</f>
        <v>0.1671214715216302</v>
      </c>
      <c r="J58" s="20">
        <f>MAX(0,(SUMPRODUCT(Oxides_min!$C58:$BB58,Factors!$C$17:$BB$17)+SUMPRODUCT(Oxides_max!$C58:$BB58,Factors!$C$17:$BB$17))/2)</f>
        <v>0</v>
      </c>
      <c r="K58" s="20">
        <f>MAX(0,(SUMPRODUCT(Oxides_min!$C58:$BB58,Factors!$C$18:$BB$18)+SUMPRODUCT(Oxides_max!$C58:$BB58,Factors!$C$18:$BB$18))/2)</f>
        <v>0</v>
      </c>
      <c r="L58" s="20">
        <f>MAX(0,(SUMPRODUCT(Oxides_min!$C58:$BB58,Factors!$C$19:$BB$19)+SUMPRODUCT(Oxides_max!$C58:$BB58,Factors!$C$19:$BB$19))/2)</f>
        <v>0</v>
      </c>
      <c r="M58" s="20">
        <f>MAX(0,(SUMPRODUCT(Oxides_min!$C58:$BB58,Factors!$C$20:$BB$20)+SUMPRODUCT(Oxides_max!$C58:$BB58,Factors!$C$20:$BB$20))/2)</f>
        <v>0.52464643707820557</v>
      </c>
      <c r="N58" s="20">
        <f>MAX(0,(SUMPRODUCT(Oxides_min!$C58:$BB58,Factors!$C$21:$BB$21)+SUMPRODUCT(Oxides_max!$C58:$BB58,Factors!$C$21:$BB$21))/2)</f>
        <v>39.176053818856218</v>
      </c>
      <c r="O58" s="20">
        <f>MAX(0,(SUMPRODUCT(Oxides_min!$C58:$BB58,Factors!$C$22:$BB$22)+SUMPRODUCT(Oxides_max!$C58:$BB58,Factors!$C$22:$BB$22))/2)</f>
        <v>0</v>
      </c>
      <c r="P58" s="20">
        <f>MAX(0,(SUMPRODUCT(Oxides_min!$C58:$BB58,Factors!$C$23:$BB$23)+SUMPRODUCT(Oxides_max!$C58:$BB58,Factors!$C$23:$BB$23))/2)</f>
        <v>0</v>
      </c>
      <c r="Q58" s="20">
        <f>MAX(0,(SUMPRODUCT(Oxides_min!$C58:$BB58,Factors!$C$24:$BB$24)+SUMPRODUCT(Oxides_max!$C58:$BB58,Factors!$C$24:$BB$24))/2)</f>
        <v>0</v>
      </c>
      <c r="R58" s="20">
        <f>MAX(0,(SUMPRODUCT(Oxides_min!$C58:$BB58,Factors!$C$25:$BB$25)+SUMPRODUCT(Oxides_max!$C58:$BB58,Factors!$C$25:$BB$25))/2)</f>
        <v>0</v>
      </c>
      <c r="S58" s="20">
        <f>MAX(0,(SUMPRODUCT(Oxides_min!$C58:$BB58,Factors!$C$26:$BB$26)+SUMPRODUCT(Oxides_max!$C58:$BB58,Factors!$C$26:$BB$26))/2)</f>
        <v>0</v>
      </c>
      <c r="T58" s="20">
        <f>MAX(0,(SUMPRODUCT(Oxides_min!$C58:$BB58,Factors!$C$27:$BB$27)+SUMPRODUCT(Oxides_max!$C58:$BB58,Factors!$C$27:$BB$27))/2)</f>
        <v>0</v>
      </c>
      <c r="U58" s="20">
        <f>MAX(0,(SUMPRODUCT(Oxides_min!$C58:$BB58,Factors!$C$28:$BB$28)+SUMPRODUCT(Oxides_max!$C58:$BB58,Factors!$C$28:$BB$28))/2)</f>
        <v>0</v>
      </c>
      <c r="V58" s="20">
        <f>MAX(0,(SUMPRODUCT(Oxides_min!$C58:$BB58,Factors!$C$29:$BB$29)+SUMPRODUCT(Oxides_max!$C58:$BB58,Factors!$C$29:$BB$29))/2)</f>
        <v>0</v>
      </c>
      <c r="W58" s="20">
        <f>MAX(0,(SUMPRODUCT(Oxides_min!$C58:$BB58,Factors!$C$30:$BB$30)+SUMPRODUCT(Oxides_max!$C58:$BB58,Factors!$C$30:$BB$30))/2)</f>
        <v>0</v>
      </c>
      <c r="X58" s="20">
        <f>MAX(0,(SUMPRODUCT(Oxides_min!$C58:$BB58,Factors!$C$31:$BB$31)+SUMPRODUCT(Oxides_max!$C58:$BB58,Factors!$C$31:$BB$31))/2)</f>
        <v>0</v>
      </c>
      <c r="Y58" s="20">
        <f>MAX(0,(SUMPRODUCT(Oxides_min!$C58:$BB58,Factors!$C$32:$BB$32)+SUMPRODUCT(Oxides_max!$C58:$BB58,Factors!$C$32:$BB$32))/2)</f>
        <v>0</v>
      </c>
      <c r="Z58" s="20">
        <f>MAX(0,(SUMPRODUCT(Oxides_min!$C58:$BB58,Factors!$C$33:$BB$33)+SUMPRODUCT(Oxides_max!$C58:$BB58,Factors!$C$33:$BB$33))/2)</f>
        <v>0</v>
      </c>
      <c r="AA58" s="20">
        <f>MAX(0,(SUMPRODUCT(Oxides_min!$C58:$BB58,Factors!$C$34:$BB$34)+SUMPRODUCT(Oxides_max!$C58:$BB58,Factors!$C$34:$BB$34))/2)</f>
        <v>0</v>
      </c>
      <c r="AB58" s="20">
        <f>MAX(0,(SUMPRODUCT(Oxides_min!$C58:$BB58,Factors!$C$35:$BB$35)+SUMPRODUCT(Oxides_max!$C58:$BB58,Factors!$C$35:$BB$35))/2)</f>
        <v>0</v>
      </c>
      <c r="AC58" s="20">
        <f>MAX(0,(SUMPRODUCT(Oxides_min!$C58:$BB58,Factors!$C$36:$BB$36)+SUMPRODUCT(Oxides_max!$C58:$BB58,Factors!$C$36:$BB$36))/2)</f>
        <v>12.034471244518166</v>
      </c>
      <c r="AD58" s="20">
        <f>MAX(0,(SUMPRODUCT(Oxides_min!$C58:$BB58,Factors!$C$37:$BB$37)+SUMPRODUCT(Oxides_max!$C58:$BB58,Factors!$C$37:$BB$37))/2)</f>
        <v>0</v>
      </c>
      <c r="AE58" s="20">
        <f>MAX(0,(SUMPRODUCT(Oxides_min!$C58:$BB58,Factors!$C$38:$BB$38)+SUMPRODUCT(Oxides_max!$C58:$BB58,Factors!$C$38:$BB$38))/2)</f>
        <v>0</v>
      </c>
      <c r="AF58" s="20">
        <f>MAX(0,(SUMPRODUCT(Oxides_min!$C58:$BB58,Factors!$C$39:$BB$39)+SUMPRODUCT(Oxides_max!$C58:$BB58,Factors!$C$39:$BB$39))/2)</f>
        <v>0</v>
      </c>
      <c r="AG58" s="20">
        <f>MAX(0,(SUMPRODUCT(Oxides_min!$C58:$BB58,Factors!$C$40:$BB$40)+SUMPRODUCT(Oxides_max!$C58:$BB58,Factors!$C$40:$BB$40))/2)</f>
        <v>0</v>
      </c>
      <c r="AH58" s="20">
        <f>MAX(0,(SUMPRODUCT(Oxides_min!$C58:$BB58,Factors!$C$41:$BB$41)+SUMPRODUCT(Oxides_max!$C58:$BB58,Factors!$C$41:$BB$41))/2)</f>
        <v>0</v>
      </c>
      <c r="AI58" s="20">
        <f>MAX(0,(SUMPRODUCT(Oxides_min!$C58:$BB58,Factors!$C$42:$BB$42)+SUMPRODUCT(Oxides_max!$C58:$BB58,Factors!$C$42:$BB$42))/2)</f>
        <v>0</v>
      </c>
      <c r="AJ58" s="20">
        <f>MAX(0,(SUMPRODUCT(Oxides_min!$C58:$BB58,Factors!$C$43:$BB$43)+SUMPRODUCT(Oxides_max!$C58:$BB58,Factors!$C$43:$BB$43))/2)</f>
        <v>0</v>
      </c>
      <c r="AK58" s="20">
        <f>MAX(0,(SUMPRODUCT(Oxides_min!$C58:$BB58,Factors!$C$44:$BB$44)+SUMPRODUCT(Oxides_max!$C58:$BB58,Factors!$C$44:$BB$44))/2)</f>
        <v>0</v>
      </c>
      <c r="AL58" s="20">
        <f>MAX(0,(SUMPRODUCT(Oxides_min!$C58:$BB58,Factors!$C$45:$BB$45)+SUMPRODUCT(Oxides_max!$C58:$BB58,Factors!$C$45:$BB$45))/2)</f>
        <v>0</v>
      </c>
      <c r="AM58" s="20">
        <f>MAX(0,(SUMPRODUCT(Oxides_min!$C58:$BB58,Factors!$C$46:$BB$46)+SUMPRODUCT(Oxides_max!$C58:$BB58,Factors!$C$46:$BB$46))/2)</f>
        <v>0</v>
      </c>
      <c r="AN58" s="20">
        <f>MAX(0,(SUMPRODUCT(Oxides_min!$C58:$BB58,Factors!$C$47:$BB$47)+SUMPRODUCT(Oxides_max!$C58:$BB58,Factors!$C$47:$BB$47))/2)</f>
        <v>0</v>
      </c>
      <c r="AO58" s="20">
        <f>MAX(0,(SUMPRODUCT(Oxides_min!$C58:$BB58,Factors!$C$48:$BB$48)+SUMPRODUCT(Oxides_max!$C58:$BB58,Factors!$C$48:$BB$48))/2)</f>
        <v>0</v>
      </c>
      <c r="AP58" s="20">
        <f>MAX(0,(SUMPRODUCT(Oxides_min!$C58:$BB58,Factors!$C$49:$BB$49)+SUMPRODUCT(Oxides_max!$C58:$BB58,Factors!$C$49:$BB$49))/2)</f>
        <v>0</v>
      </c>
      <c r="AQ58" s="20">
        <f>MAX(0,(SUMPRODUCT(Oxides_min!$C58:$BB58,Factors!$C$50:$BB$50)+SUMPRODUCT(Oxides_max!$C58:$BB58,Factors!$C$50:$BB$50))/2)</f>
        <v>0</v>
      </c>
      <c r="AR58" s="20">
        <f>MAX(0,(SUMPRODUCT(Oxides_min!$C58:$BB58,Factors!$C$51:$BB$51)+SUMPRODUCT(Oxides_max!$C58:$BB58,Factors!$C$51:$BB$51))/2)</f>
        <v>0</v>
      </c>
      <c r="AS58" s="20">
        <f>MAX(0,(SUMPRODUCT(Oxides_min!$C58:$BB58,Factors!$C$52:$BB$52)+SUMPRODUCT(Oxides_max!$C58:$BB58,Factors!$C$52:$BB$52))/2)</f>
        <v>0</v>
      </c>
      <c r="AT58" s="20">
        <f>MAX(0,(SUMPRODUCT(Oxides_min!$C58:$BB58,Factors!$C$53:$BB$53)+SUMPRODUCT(Oxides_max!$C58:$BB58,Factors!$C$53:$BB$53))/2)</f>
        <v>0</v>
      </c>
      <c r="AU58" s="20">
        <f>MAX(0,(SUMPRODUCT(Oxides_min!$C58:$BB58,Factors!$C$54:$BB$54)+SUMPRODUCT(Oxides_max!$C58:$BB58,Factors!$C$54:$BB$54))/2)</f>
        <v>0</v>
      </c>
      <c r="AV58" s="20">
        <f>MAX(0,(SUMPRODUCT(Oxides_min!$C58:$BB58,Factors!$C$55:$BB$55)+SUMPRODUCT(Oxides_max!$C58:$BB58,Factors!$C$55:$BB$55))/2)</f>
        <v>0</v>
      </c>
      <c r="AW58" s="20">
        <f>MAX(0,(SUMPRODUCT(Oxides_min!$C58:$BB58,Factors!$C$56:$BB$56)+SUMPRODUCT(Oxides_max!$C58:$BB58,Factors!$C$56:$BB$56))/2)</f>
        <v>0</v>
      </c>
      <c r="AX58" s="20">
        <f>MAX(0,(SUMPRODUCT(Oxides_min!$C58:$BB58,Factors!$C$57:$BB$57)+SUMPRODUCT(Oxides_max!$C58:$BB58,Factors!$C$57:$BB$57))/2)</f>
        <v>0</v>
      </c>
      <c r="AY58" s="20">
        <f>MAX(0,(SUMPRODUCT(Oxides_min!$C58:$BB58,Factors!$C$58:$BB$58)+SUMPRODUCT(Oxides_max!$C58:$BB58,Factors!$C$58:$BB$58))/2)</f>
        <v>0</v>
      </c>
      <c r="AZ58" s="18">
        <f t="shared" si="4"/>
        <v>99.995000000000005</v>
      </c>
    </row>
    <row r="59" spans="1:52" x14ac:dyDescent="0.35">
      <c r="A59" s="13" t="s">
        <v>500</v>
      </c>
      <c r="B59" s="20">
        <f>MAX(0,(SUMPRODUCT(Oxides_min!$C59:$BB59,Factors!$C$9:$BB$9)+SUMPRODUCT(Oxides_max!$C59:$BB59,Factors!$C$9:$BB$9))/2)</f>
        <v>0.1211669530262478</v>
      </c>
      <c r="C59" s="20">
        <f>MAX(0,(SUMPRODUCT(Oxides_min!$C59:$BB59,Factors!$C$10:$BB$10)+SUMPRODUCT(Oxides_max!$C59:$BB59,Factors!$C$10:$BB$10))/2)</f>
        <v>0</v>
      </c>
      <c r="D59" s="20">
        <f>MAX(0,(SUMPRODUCT(Oxides_min!$C59:$BB59,Factors!$C$11:$BB$11)+SUMPRODUCT(Oxides_max!$C59:$BB59,Factors!$C$11:$BB$11))/2)</f>
        <v>0</v>
      </c>
      <c r="E59" s="20">
        <f>MAX(0,(SUMPRODUCT(Oxides_min!$C59:$BB59,Factors!$C$12:$BB$12)+SUMPRODUCT(Oxides_max!$C59:$BB59,Factors!$C$12:$BB$12))/2)</f>
        <v>0</v>
      </c>
      <c r="F59" s="20">
        <f>MAX(0,(SUMPRODUCT(Oxides_min!$C59:$BB59,Factors!$C$13:$BB$13)+SUMPRODUCT(Oxides_max!$C59:$BB59,Factors!$C$13:$BB$13))/2)</f>
        <v>0</v>
      </c>
      <c r="G59" s="20">
        <f>MAX(0,(SUMPRODUCT(Oxides_min!$C59:$BB59,Factors!$C$14:$BB$14)+SUMPRODUCT(Oxides_max!$C59:$BB59,Factors!$C$14:$BB$14))/2)</f>
        <v>0</v>
      </c>
      <c r="H59" s="20">
        <f>MAX(0,(SUMPRODUCT(Oxides_min!$C59:$BB59,Factors!$C$15:$BB$15)+SUMPRODUCT(Oxides_max!$C59:$BB59,Factors!$C$15:$BB$15))/2)</f>
        <v>0</v>
      </c>
      <c r="I59" s="20">
        <f>MAX(0,(SUMPRODUCT(Oxides_min!$C59:$BB59,Factors!$C$16:$BB$16)+SUMPRODUCT(Oxides_max!$C59:$BB59,Factors!$C$16:$BB$16))/2)</f>
        <v>9.1256096542508764</v>
      </c>
      <c r="J59" s="20">
        <f>MAX(0,(SUMPRODUCT(Oxides_min!$C59:$BB59,Factors!$C$17:$BB$17)+SUMPRODUCT(Oxides_max!$C59:$BB59,Factors!$C$17:$BB$17))/2)</f>
        <v>1.3282023065409945</v>
      </c>
      <c r="K59" s="20">
        <f>MAX(0,(SUMPRODUCT(Oxides_min!$C59:$BB59,Factors!$C$18:$BB$18)+SUMPRODUCT(Oxides_max!$C59:$BB59,Factors!$C$18:$BB$18))/2)</f>
        <v>55.884599220929232</v>
      </c>
      <c r="L59" s="20">
        <f>MAX(0,(SUMPRODUCT(Oxides_min!$C59:$BB59,Factors!$C$19:$BB$19)+SUMPRODUCT(Oxides_max!$C59:$BB59,Factors!$C$19:$BB$19))/2)</f>
        <v>0</v>
      </c>
      <c r="M59" s="20">
        <f>MAX(0,(SUMPRODUCT(Oxides_min!$C59:$BB59,Factors!$C$20:$BB$20)+SUMPRODUCT(Oxides_max!$C59:$BB59,Factors!$C$20:$BB$20))/2)</f>
        <v>0</v>
      </c>
      <c r="N59" s="20">
        <f>MAX(0,(SUMPRODUCT(Oxides_min!$C59:$BB59,Factors!$C$21:$BB$21)+SUMPRODUCT(Oxides_max!$C59:$BB59,Factors!$C$21:$BB$21))/2)</f>
        <v>0</v>
      </c>
      <c r="O59" s="20">
        <f>MAX(0,(SUMPRODUCT(Oxides_min!$C59:$BB59,Factors!$C$22:$BB$22)+SUMPRODUCT(Oxides_max!$C59:$BB59,Factors!$C$22:$BB$22))/2)</f>
        <v>0</v>
      </c>
      <c r="P59" s="20">
        <f>MAX(0,(SUMPRODUCT(Oxides_min!$C59:$BB59,Factors!$C$23:$BB$23)+SUMPRODUCT(Oxides_max!$C59:$BB59,Factors!$C$23:$BB$23))/2)</f>
        <v>0</v>
      </c>
      <c r="Q59" s="20">
        <f>MAX(0,(SUMPRODUCT(Oxides_min!$C59:$BB59,Factors!$C$24:$BB$24)+SUMPRODUCT(Oxides_max!$C59:$BB59,Factors!$C$24:$BB$24))/2)</f>
        <v>0</v>
      </c>
      <c r="R59" s="20">
        <f>MAX(0,(SUMPRODUCT(Oxides_min!$C59:$BB59,Factors!$C$25:$BB$25)+SUMPRODUCT(Oxides_max!$C59:$BB59,Factors!$C$25:$BB$25))/2)</f>
        <v>0</v>
      </c>
      <c r="S59" s="20">
        <f>MAX(0,(SUMPRODUCT(Oxides_min!$C59:$BB59,Factors!$C$26:$BB$26)+SUMPRODUCT(Oxides_max!$C59:$BB59,Factors!$C$26:$BB$26))/2)</f>
        <v>0</v>
      </c>
      <c r="T59" s="20">
        <f>MAX(0,(SUMPRODUCT(Oxides_min!$C59:$BB59,Factors!$C$27:$BB$27)+SUMPRODUCT(Oxides_max!$C59:$BB59,Factors!$C$27:$BB$27))/2)</f>
        <v>0</v>
      </c>
      <c r="U59" s="20">
        <f>MAX(0,(SUMPRODUCT(Oxides_min!$C59:$BB59,Factors!$C$28:$BB$28)+SUMPRODUCT(Oxides_max!$C59:$BB59,Factors!$C$28:$BB$28))/2)</f>
        <v>0</v>
      </c>
      <c r="V59" s="20">
        <f>MAX(0,(SUMPRODUCT(Oxides_min!$C59:$BB59,Factors!$C$29:$BB$29)+SUMPRODUCT(Oxides_max!$C59:$BB59,Factors!$C$29:$BB$29))/2)</f>
        <v>0</v>
      </c>
      <c r="W59" s="20">
        <f>MAX(0,(SUMPRODUCT(Oxides_min!$C59:$BB59,Factors!$C$30:$BB$30)+SUMPRODUCT(Oxides_max!$C59:$BB59,Factors!$C$30:$BB$30))/2)</f>
        <v>0</v>
      </c>
      <c r="X59" s="20">
        <f>MAX(0,(SUMPRODUCT(Oxides_min!$C59:$BB59,Factors!$C$31:$BB$31)+SUMPRODUCT(Oxides_max!$C59:$BB59,Factors!$C$31:$BB$31))/2)</f>
        <v>0</v>
      </c>
      <c r="Y59" s="20">
        <f>MAX(0,(SUMPRODUCT(Oxides_min!$C59:$BB59,Factors!$C$32:$BB$32)+SUMPRODUCT(Oxides_max!$C59:$BB59,Factors!$C$32:$BB$32))/2)</f>
        <v>0</v>
      </c>
      <c r="Z59" s="20">
        <f>MAX(0,(SUMPRODUCT(Oxides_min!$C59:$BB59,Factors!$C$33:$BB$33)+SUMPRODUCT(Oxides_max!$C59:$BB59,Factors!$C$33:$BB$33))/2)</f>
        <v>0</v>
      </c>
      <c r="AA59" s="20">
        <f>MAX(0,(SUMPRODUCT(Oxides_min!$C59:$BB59,Factors!$C$34:$BB$34)+SUMPRODUCT(Oxides_max!$C59:$BB59,Factors!$C$34:$BB$34))/2)</f>
        <v>0</v>
      </c>
      <c r="AB59" s="20">
        <f>MAX(0,(SUMPRODUCT(Oxides_min!$C59:$BB59,Factors!$C$35:$BB$35)+SUMPRODUCT(Oxides_max!$C59:$BB59,Factors!$C$35:$BB$35))/2)</f>
        <v>33.174999999999997</v>
      </c>
      <c r="AC59" s="20">
        <f>MAX(0,(SUMPRODUCT(Oxides_min!$C59:$BB59,Factors!$C$36:$BB$36)+SUMPRODUCT(Oxides_max!$C59:$BB59,Factors!$C$36:$BB$36))/2)</f>
        <v>0</v>
      </c>
      <c r="AD59" s="20">
        <f>MAX(0,(SUMPRODUCT(Oxides_min!$C59:$BB59,Factors!$C$37:$BB$37)+SUMPRODUCT(Oxides_max!$C59:$BB59,Factors!$C$37:$BB$37))/2)</f>
        <v>0</v>
      </c>
      <c r="AE59" s="20">
        <f>MAX(0,(SUMPRODUCT(Oxides_min!$C59:$BB59,Factors!$C$38:$BB$38)+SUMPRODUCT(Oxides_max!$C59:$BB59,Factors!$C$38:$BB$38))/2)</f>
        <v>0</v>
      </c>
      <c r="AF59" s="20">
        <f>MAX(0,(SUMPRODUCT(Oxides_min!$C59:$BB59,Factors!$C$39:$BB$39)+SUMPRODUCT(Oxides_max!$C59:$BB59,Factors!$C$39:$BB$39))/2)</f>
        <v>0</v>
      </c>
      <c r="AG59" s="20">
        <f>MAX(0,(SUMPRODUCT(Oxides_min!$C59:$BB59,Factors!$C$40:$BB$40)+SUMPRODUCT(Oxides_max!$C59:$BB59,Factors!$C$40:$BB$40))/2)</f>
        <v>0</v>
      </c>
      <c r="AH59" s="20">
        <f>MAX(0,(SUMPRODUCT(Oxides_min!$C59:$BB59,Factors!$C$41:$BB$41)+SUMPRODUCT(Oxides_max!$C59:$BB59,Factors!$C$41:$BB$41))/2)</f>
        <v>0</v>
      </c>
      <c r="AI59" s="20">
        <f>MAX(0,(SUMPRODUCT(Oxides_min!$C59:$BB59,Factors!$C$42:$BB$42)+SUMPRODUCT(Oxides_max!$C59:$BB59,Factors!$C$42:$BB$42))/2)</f>
        <v>0</v>
      </c>
      <c r="AJ59" s="20">
        <f>MAX(0,(SUMPRODUCT(Oxides_min!$C59:$BB59,Factors!$C$43:$BB$43)+SUMPRODUCT(Oxides_max!$C59:$BB59,Factors!$C$43:$BB$43))/2)</f>
        <v>0</v>
      </c>
      <c r="AK59" s="20">
        <f>MAX(0,(SUMPRODUCT(Oxides_min!$C59:$BB59,Factors!$C$44:$BB$44)+SUMPRODUCT(Oxides_max!$C59:$BB59,Factors!$C$44:$BB$44))/2)</f>
        <v>0</v>
      </c>
      <c r="AL59" s="20">
        <f>MAX(0,(SUMPRODUCT(Oxides_min!$C59:$BB59,Factors!$C$45:$BB$45)+SUMPRODUCT(Oxides_max!$C59:$BB59,Factors!$C$45:$BB$45))/2)</f>
        <v>0</v>
      </c>
      <c r="AM59" s="20">
        <f>MAX(0,(SUMPRODUCT(Oxides_min!$C59:$BB59,Factors!$C$46:$BB$46)+SUMPRODUCT(Oxides_max!$C59:$BB59,Factors!$C$46:$BB$46))/2)</f>
        <v>0</v>
      </c>
      <c r="AN59" s="20">
        <f>MAX(0,(SUMPRODUCT(Oxides_min!$C59:$BB59,Factors!$C$47:$BB$47)+SUMPRODUCT(Oxides_max!$C59:$BB59,Factors!$C$47:$BB$47))/2)</f>
        <v>0</v>
      </c>
      <c r="AO59" s="20">
        <f>MAX(0,(SUMPRODUCT(Oxides_min!$C59:$BB59,Factors!$C$48:$BB$48)+SUMPRODUCT(Oxides_max!$C59:$BB59,Factors!$C$48:$BB$48))/2)</f>
        <v>0</v>
      </c>
      <c r="AP59" s="20">
        <f>MAX(0,(SUMPRODUCT(Oxides_min!$C59:$BB59,Factors!$C$49:$BB$49)+SUMPRODUCT(Oxides_max!$C59:$BB59,Factors!$C$49:$BB$49))/2)</f>
        <v>0</v>
      </c>
      <c r="AQ59" s="20">
        <f>MAX(0,(SUMPRODUCT(Oxides_min!$C59:$BB59,Factors!$C$50:$BB$50)+SUMPRODUCT(Oxides_max!$C59:$BB59,Factors!$C$50:$BB$50))/2)</f>
        <v>0</v>
      </c>
      <c r="AR59" s="20">
        <f>MAX(0,(SUMPRODUCT(Oxides_min!$C59:$BB59,Factors!$C$51:$BB$51)+SUMPRODUCT(Oxides_max!$C59:$BB59,Factors!$C$51:$BB$51))/2)</f>
        <v>0</v>
      </c>
      <c r="AS59" s="20">
        <f>MAX(0,(SUMPRODUCT(Oxides_min!$C59:$BB59,Factors!$C$52:$BB$52)+SUMPRODUCT(Oxides_max!$C59:$BB59,Factors!$C$52:$BB$52))/2)</f>
        <v>0</v>
      </c>
      <c r="AT59" s="20">
        <f>MAX(0,(SUMPRODUCT(Oxides_min!$C59:$BB59,Factors!$C$53:$BB$53)+SUMPRODUCT(Oxides_max!$C59:$BB59,Factors!$C$53:$BB$53))/2)</f>
        <v>0</v>
      </c>
      <c r="AU59" s="20">
        <f>MAX(0,(SUMPRODUCT(Oxides_min!$C59:$BB59,Factors!$C$54:$BB$54)+SUMPRODUCT(Oxides_max!$C59:$BB59,Factors!$C$54:$BB$54))/2)</f>
        <v>0</v>
      </c>
      <c r="AV59" s="20">
        <f>MAX(0,(SUMPRODUCT(Oxides_min!$C59:$BB59,Factors!$C$55:$BB$55)+SUMPRODUCT(Oxides_max!$C59:$BB59,Factors!$C$55:$BB$55))/2)</f>
        <v>0</v>
      </c>
      <c r="AW59" s="20">
        <f>MAX(0,(SUMPRODUCT(Oxides_min!$C59:$BB59,Factors!$C$56:$BB$56)+SUMPRODUCT(Oxides_max!$C59:$BB59,Factors!$C$56:$BB$56))/2)</f>
        <v>0</v>
      </c>
      <c r="AX59" s="20">
        <f>MAX(0,(SUMPRODUCT(Oxides_min!$C59:$BB59,Factors!$C$57:$BB$57)+SUMPRODUCT(Oxides_max!$C59:$BB59,Factors!$C$57:$BB$57))/2)</f>
        <v>0</v>
      </c>
      <c r="AY59" s="20">
        <f>MAX(0,(SUMPRODUCT(Oxides_min!$C59:$BB59,Factors!$C$58:$BB$58)+SUMPRODUCT(Oxides_max!$C59:$BB59,Factors!$C$58:$BB$58))/2)</f>
        <v>0</v>
      </c>
      <c r="AZ59" s="18">
        <f t="shared" si="4"/>
        <v>99.634578134747343</v>
      </c>
    </row>
    <row r="60" spans="1:52" x14ac:dyDescent="0.35">
      <c r="A60" s="13" t="s">
        <v>519</v>
      </c>
      <c r="B60" s="20">
        <f>MAX(0,(SUMPRODUCT(Oxides_min!$C60:$BB60,Factors!$C$9:$BB$9)+SUMPRODUCT(Oxides_max!$C60:$BB60,Factors!$C$9:$BB$9))/2)</f>
        <v>55.152338359175978</v>
      </c>
      <c r="C60" s="20">
        <f>MAX(0,(SUMPRODUCT(Oxides_min!$C60:$BB60,Factors!$C$10:$BB$10)+SUMPRODUCT(Oxides_max!$C60:$BB60,Factors!$C$10:$BB$10))/2)</f>
        <v>0</v>
      </c>
      <c r="D60" s="20">
        <f>MAX(0,(SUMPRODUCT(Oxides_min!$C60:$BB60,Factors!$C$11:$BB$11)+SUMPRODUCT(Oxides_max!$C60:$BB60,Factors!$C$11:$BB$11))/2)</f>
        <v>0</v>
      </c>
      <c r="E60" s="20">
        <f>MAX(0,(SUMPRODUCT(Oxides_min!$C60:$BB60,Factors!$C$12:$BB$12)+SUMPRODUCT(Oxides_max!$C60:$BB60,Factors!$C$12:$BB$12))/2)</f>
        <v>0</v>
      </c>
      <c r="F60" s="20">
        <f>MAX(0,(SUMPRODUCT(Oxides_min!$C60:$BB60,Factors!$C$13:$BB$13)+SUMPRODUCT(Oxides_max!$C60:$BB60,Factors!$C$13:$BB$13))/2)</f>
        <v>0</v>
      </c>
      <c r="G60" s="20">
        <f>MAX(0,(SUMPRODUCT(Oxides_min!$C60:$BB60,Factors!$C$14:$BB$14)+SUMPRODUCT(Oxides_max!$C60:$BB60,Factors!$C$14:$BB$14))/2)</f>
        <v>0</v>
      </c>
      <c r="H60" s="20">
        <f>MAX(0,(SUMPRODUCT(Oxides_min!$C60:$BB60,Factors!$C$15:$BB$15)+SUMPRODUCT(Oxides_max!$C60:$BB60,Factors!$C$15:$BB$15))/2)</f>
        <v>19.54545830335142</v>
      </c>
      <c r="I60" s="20">
        <f>MAX(0,(SUMPRODUCT(Oxides_min!$C60:$BB60,Factors!$C$16:$BB$16)+SUMPRODUCT(Oxides_max!$C60:$BB60,Factors!$C$16:$BB$16))/2)</f>
        <v>0</v>
      </c>
      <c r="J60" s="20">
        <f>MAX(0,(SUMPRODUCT(Oxides_min!$C60:$BB60,Factors!$C$17:$BB$17)+SUMPRODUCT(Oxides_max!$C60:$BB60,Factors!$C$17:$BB$17))/2)</f>
        <v>0</v>
      </c>
      <c r="K60" s="20">
        <f>MAX(0,(SUMPRODUCT(Oxides_min!$C60:$BB60,Factors!$C$18:$BB$18)+SUMPRODUCT(Oxides_max!$C60:$BB60,Factors!$C$18:$BB$18))/2)</f>
        <v>0</v>
      </c>
      <c r="L60" s="20">
        <f>MAX(0,(SUMPRODUCT(Oxides_min!$C60:$BB60,Factors!$C$19:$BB$19)+SUMPRODUCT(Oxides_max!$C60:$BB60,Factors!$C$19:$BB$19))/2)</f>
        <v>0</v>
      </c>
      <c r="M60" s="20">
        <f>MAX(0,(SUMPRODUCT(Oxides_min!$C60:$BB60,Factors!$C$20:$BB$20)+SUMPRODUCT(Oxides_max!$C60:$BB60,Factors!$C$20:$BB$20))/2)</f>
        <v>0.2834296843985708</v>
      </c>
      <c r="N60" s="20">
        <f>MAX(0,(SUMPRODUCT(Oxides_min!$C60:$BB60,Factors!$C$21:$BB$21)+SUMPRODUCT(Oxides_max!$C60:$BB60,Factors!$C$21:$BB$21))/2)</f>
        <v>7.4113961160547106</v>
      </c>
      <c r="O60" s="20">
        <f>MAX(0,(SUMPRODUCT(Oxides_min!$C60:$BB60,Factors!$C$22:$BB$22)+SUMPRODUCT(Oxides_max!$C60:$BB60,Factors!$C$22:$BB$22))/2)</f>
        <v>4.4520724963568457</v>
      </c>
      <c r="P60" s="20">
        <f>MAX(0,(SUMPRODUCT(Oxides_min!$C60:$BB60,Factors!$C$23:$BB$23)+SUMPRODUCT(Oxides_max!$C60:$BB60,Factors!$C$23:$BB$23))/2)</f>
        <v>0</v>
      </c>
      <c r="Q60" s="20">
        <f>MAX(0,(SUMPRODUCT(Oxides_min!$C60:$BB60,Factors!$C$24:$BB$24)+SUMPRODUCT(Oxides_max!$C60:$BB60,Factors!$C$24:$BB$24))/2)</f>
        <v>0</v>
      </c>
      <c r="R60" s="20">
        <f>MAX(0,(SUMPRODUCT(Oxides_min!$C60:$BB60,Factors!$C$25:$BB$25)+SUMPRODUCT(Oxides_max!$C60:$BB60,Factors!$C$25:$BB$25))/2)</f>
        <v>0</v>
      </c>
      <c r="S60" s="20">
        <f>MAX(0,(SUMPRODUCT(Oxides_min!$C60:$BB60,Factors!$C$26:$BB$26)+SUMPRODUCT(Oxides_max!$C60:$BB60,Factors!$C$26:$BB$26))/2)</f>
        <v>0</v>
      </c>
      <c r="T60" s="20">
        <f>MAX(0,(SUMPRODUCT(Oxides_min!$C60:$BB60,Factors!$C$27:$BB$27)+SUMPRODUCT(Oxides_max!$C60:$BB60,Factors!$C$27:$BB$27))/2)</f>
        <v>0</v>
      </c>
      <c r="U60" s="20">
        <f>MAX(0,(SUMPRODUCT(Oxides_min!$C60:$BB60,Factors!$C$28:$BB$28)+SUMPRODUCT(Oxides_max!$C60:$BB60,Factors!$C$28:$BB$28))/2)</f>
        <v>0</v>
      </c>
      <c r="V60" s="20">
        <f>MAX(0,(SUMPRODUCT(Oxides_min!$C60:$BB60,Factors!$C$29:$BB$29)+SUMPRODUCT(Oxides_max!$C60:$BB60,Factors!$C$29:$BB$29))/2)</f>
        <v>0</v>
      </c>
      <c r="W60" s="20">
        <f>MAX(0,(SUMPRODUCT(Oxides_min!$C60:$BB60,Factors!$C$30:$BB$30)+SUMPRODUCT(Oxides_max!$C60:$BB60,Factors!$C$30:$BB$30))/2)</f>
        <v>0</v>
      </c>
      <c r="X60" s="20">
        <f>MAX(0,(SUMPRODUCT(Oxides_min!$C60:$BB60,Factors!$C$31:$BB$31)+SUMPRODUCT(Oxides_max!$C60:$BB60,Factors!$C$31:$BB$31))/2)</f>
        <v>0</v>
      </c>
      <c r="Y60" s="20">
        <f>MAX(0,(SUMPRODUCT(Oxides_min!$C60:$BB60,Factors!$C$32:$BB$32)+SUMPRODUCT(Oxides_max!$C60:$BB60,Factors!$C$32:$BB$32))/2)</f>
        <v>0</v>
      </c>
      <c r="Z60" s="20">
        <f>MAX(0,(SUMPRODUCT(Oxides_min!$C60:$BB60,Factors!$C$33:$BB$33)+SUMPRODUCT(Oxides_max!$C60:$BB60,Factors!$C$33:$BB$33))/2)</f>
        <v>13.391756890773811</v>
      </c>
      <c r="AA60" s="20">
        <f>MAX(0,(SUMPRODUCT(Oxides_min!$C60:$BB60,Factors!$C$34:$BB$34)+SUMPRODUCT(Oxides_max!$C60:$BB60,Factors!$C$34:$BB$34))/2)</f>
        <v>0</v>
      </c>
      <c r="AB60" s="20">
        <f>MAX(0,(SUMPRODUCT(Oxides_min!$C60:$BB60,Factors!$C$35:$BB$35)+SUMPRODUCT(Oxides_max!$C60:$BB60,Factors!$C$35:$BB$35))/2)</f>
        <v>0.76088287095444496</v>
      </c>
      <c r="AC60" s="20">
        <f>MAX(0,(SUMPRODUCT(Oxides_min!$C60:$BB60,Factors!$C$36:$BB$36)+SUMPRODUCT(Oxides_max!$C60:$BB60,Factors!$C$36:$BB$36))/2)</f>
        <v>0</v>
      </c>
      <c r="AD60" s="20">
        <f>MAX(0,(SUMPRODUCT(Oxides_min!$C60:$BB60,Factors!$C$37:$BB$37)+SUMPRODUCT(Oxides_max!$C60:$BB60,Factors!$C$37:$BB$37))/2)</f>
        <v>1.9376652789342215</v>
      </c>
      <c r="AE60" s="20">
        <f>MAX(0,(SUMPRODUCT(Oxides_min!$C60:$BB60,Factors!$C$38:$BB$38)+SUMPRODUCT(Oxides_max!$C60:$BB60,Factors!$C$38:$BB$38))/2)</f>
        <v>0</v>
      </c>
      <c r="AF60" s="20">
        <f>MAX(0,(SUMPRODUCT(Oxides_min!$C60:$BB60,Factors!$C$39:$BB$39)+SUMPRODUCT(Oxides_max!$C60:$BB60,Factors!$C$39:$BB$39))/2)</f>
        <v>0</v>
      </c>
      <c r="AG60" s="20">
        <f>MAX(0,(SUMPRODUCT(Oxides_min!$C60:$BB60,Factors!$C$40:$BB$40)+SUMPRODUCT(Oxides_max!$C60:$BB60,Factors!$C$40:$BB$40))/2)</f>
        <v>0</v>
      </c>
      <c r="AH60" s="20">
        <f>MAX(0,(SUMPRODUCT(Oxides_min!$C60:$BB60,Factors!$C$41:$BB$41)+SUMPRODUCT(Oxides_max!$C60:$BB60,Factors!$C$41:$BB$41))/2)</f>
        <v>0</v>
      </c>
      <c r="AI60" s="20">
        <f>MAX(0,(SUMPRODUCT(Oxides_min!$C60:$BB60,Factors!$C$42:$BB$42)+SUMPRODUCT(Oxides_max!$C60:$BB60,Factors!$C$42:$BB$42))/2)</f>
        <v>0</v>
      </c>
      <c r="AJ60" s="20">
        <f>MAX(0,(SUMPRODUCT(Oxides_min!$C60:$BB60,Factors!$C$43:$BB$43)+SUMPRODUCT(Oxides_max!$C60:$BB60,Factors!$C$43:$BB$43))/2)</f>
        <v>0</v>
      </c>
      <c r="AK60" s="20">
        <f>MAX(0,(SUMPRODUCT(Oxides_min!$C60:$BB60,Factors!$C$44:$BB$44)+SUMPRODUCT(Oxides_max!$C60:$BB60,Factors!$C$44:$BB$44))/2)</f>
        <v>0</v>
      </c>
      <c r="AL60" s="20">
        <f>MAX(0,(SUMPRODUCT(Oxides_min!$C60:$BB60,Factors!$C$45:$BB$45)+SUMPRODUCT(Oxides_max!$C60:$BB60,Factors!$C$45:$BB$45))/2)</f>
        <v>0</v>
      </c>
      <c r="AM60" s="20">
        <f>MAX(0,(SUMPRODUCT(Oxides_min!$C60:$BB60,Factors!$C$46:$BB$46)+SUMPRODUCT(Oxides_max!$C60:$BB60,Factors!$C$46:$BB$46))/2)</f>
        <v>0</v>
      </c>
      <c r="AN60" s="20">
        <f>MAX(0,(SUMPRODUCT(Oxides_min!$C60:$BB60,Factors!$C$47:$BB$47)+SUMPRODUCT(Oxides_max!$C60:$BB60,Factors!$C$47:$BB$47))/2)</f>
        <v>0</v>
      </c>
      <c r="AO60" s="20">
        <f>MAX(0,(SUMPRODUCT(Oxides_min!$C60:$BB60,Factors!$C$48:$BB$48)+SUMPRODUCT(Oxides_max!$C60:$BB60,Factors!$C$48:$BB$48))/2)</f>
        <v>0</v>
      </c>
      <c r="AP60" s="20">
        <f>MAX(0,(SUMPRODUCT(Oxides_min!$C60:$BB60,Factors!$C$49:$BB$49)+SUMPRODUCT(Oxides_max!$C60:$BB60,Factors!$C$49:$BB$49))/2)</f>
        <v>0</v>
      </c>
      <c r="AQ60" s="20">
        <f>MAX(0,(SUMPRODUCT(Oxides_min!$C60:$BB60,Factors!$C$50:$BB$50)+SUMPRODUCT(Oxides_max!$C60:$BB60,Factors!$C$50:$BB$50))/2)</f>
        <v>0</v>
      </c>
      <c r="AR60" s="20">
        <f>MAX(0,(SUMPRODUCT(Oxides_min!$C60:$BB60,Factors!$C$51:$BB$51)+SUMPRODUCT(Oxides_max!$C60:$BB60,Factors!$C$51:$BB$51))/2)</f>
        <v>0</v>
      </c>
      <c r="AS60" s="20">
        <f>MAX(0,(SUMPRODUCT(Oxides_min!$C60:$BB60,Factors!$C$52:$BB$52)+SUMPRODUCT(Oxides_max!$C60:$BB60,Factors!$C$52:$BB$52))/2)</f>
        <v>0</v>
      </c>
      <c r="AT60" s="20">
        <f>MAX(0,(SUMPRODUCT(Oxides_min!$C60:$BB60,Factors!$C$53:$BB$53)+SUMPRODUCT(Oxides_max!$C60:$BB60,Factors!$C$53:$BB$53))/2)</f>
        <v>0</v>
      </c>
      <c r="AU60" s="20">
        <f>MAX(0,(SUMPRODUCT(Oxides_min!$C60:$BB60,Factors!$C$54:$BB$54)+SUMPRODUCT(Oxides_max!$C60:$BB60,Factors!$C$54:$BB$54))/2)</f>
        <v>0</v>
      </c>
      <c r="AV60" s="20">
        <f>MAX(0,(SUMPRODUCT(Oxides_min!$C60:$BB60,Factors!$C$55:$BB$55)+SUMPRODUCT(Oxides_max!$C60:$BB60,Factors!$C$55:$BB$55))/2)</f>
        <v>0</v>
      </c>
      <c r="AW60" s="20">
        <f>MAX(0,(SUMPRODUCT(Oxides_min!$C60:$BB60,Factors!$C$56:$BB$56)+SUMPRODUCT(Oxides_max!$C60:$BB60,Factors!$C$56:$BB$56))/2)</f>
        <v>0</v>
      </c>
      <c r="AX60" s="20">
        <f>MAX(0,(SUMPRODUCT(Oxides_min!$C60:$BB60,Factors!$C$57:$BB$57)+SUMPRODUCT(Oxides_max!$C60:$BB60,Factors!$C$57:$BB$57))/2)</f>
        <v>0</v>
      </c>
      <c r="AY60" s="20">
        <f>MAX(0,(SUMPRODUCT(Oxides_min!$C60:$BB60,Factors!$C$58:$BB$58)+SUMPRODUCT(Oxides_max!$C60:$BB60,Factors!$C$58:$BB$58))/2)</f>
        <v>0</v>
      </c>
      <c r="AZ60" s="18">
        <f t="shared" ref="AZ60:AZ61" si="5">SUM(B60:AY60)</f>
        <v>102.935</v>
      </c>
    </row>
    <row r="61" spans="1:52" x14ac:dyDescent="0.35">
      <c r="A61" s="13" t="s">
        <v>521</v>
      </c>
      <c r="B61" s="20">
        <f>MAX(0,(SUMPRODUCT(Oxides_min!$C61:$BB61,Factors!$C$9:$BB$9)+SUMPRODUCT(Oxides_max!$C61:$BB61,Factors!$C$9:$BB$9))/2)</f>
        <v>7.3710015804994811E-2</v>
      </c>
      <c r="C61" s="20">
        <f>MAX(0,(SUMPRODUCT(Oxides_min!$C61:$BB61,Factors!$C$10:$BB$10)+SUMPRODUCT(Oxides_max!$C61:$BB61,Factors!$C$10:$BB$10))/2)</f>
        <v>0</v>
      </c>
      <c r="D61" s="20">
        <f>MAX(0,(SUMPRODUCT(Oxides_min!$C61:$BB61,Factors!$C$11:$BB$11)+SUMPRODUCT(Oxides_max!$C61:$BB61,Factors!$C$11:$BB$11))/2)</f>
        <v>0</v>
      </c>
      <c r="E61" s="20">
        <f>MAX(0,(SUMPRODUCT(Oxides_min!$C61:$BB61,Factors!$C$12:$BB$12)+SUMPRODUCT(Oxides_max!$C61:$BB61,Factors!$C$12:$BB$12))/2)</f>
        <v>0</v>
      </c>
      <c r="F61" s="20">
        <f>MAX(0,(SUMPRODUCT(Oxides_min!$C61:$BB61,Factors!$C$13:$BB$13)+SUMPRODUCT(Oxides_max!$C61:$BB61,Factors!$C$13:$BB$13))/2)</f>
        <v>0</v>
      </c>
      <c r="G61" s="20">
        <f>MAX(0,(SUMPRODUCT(Oxides_min!$C61:$BB61,Factors!$C$14:$BB$14)+SUMPRODUCT(Oxides_max!$C61:$BB61,Factors!$C$14:$BB$14))/2)</f>
        <v>26.663040449080341</v>
      </c>
      <c r="H61" s="20">
        <f>MAX(0,(SUMPRODUCT(Oxides_min!$C61:$BB61,Factors!$C$15:$BB$15)+SUMPRODUCT(Oxides_max!$C61:$BB61,Factors!$C$15:$BB$15))/2)</f>
        <v>0</v>
      </c>
      <c r="I61" s="20">
        <f>MAX(0,(SUMPRODUCT(Oxides_min!$C61:$BB61,Factors!$C$16:$BB$16)+SUMPRODUCT(Oxides_max!$C61:$BB61,Factors!$C$16:$BB$16))/2)</f>
        <v>1.5585048855854351</v>
      </c>
      <c r="J61" s="20">
        <f>MAX(0,(SUMPRODUCT(Oxides_min!$C61:$BB61,Factors!$C$17:$BB$17)+SUMPRODUCT(Oxides_max!$C61:$BB61,Factors!$C$17:$BB$17))/2)</f>
        <v>0</v>
      </c>
      <c r="K61" s="20">
        <f>MAX(0,(SUMPRODUCT(Oxides_min!$C61:$BB61,Factors!$C$18:$BB$18)+SUMPRODUCT(Oxides_max!$C61:$BB61,Factors!$C$18:$BB$18))/2)</f>
        <v>12.52904434805048</v>
      </c>
      <c r="L61" s="20">
        <f>MAX(0,(SUMPRODUCT(Oxides_min!$C61:$BB61,Factors!$C$19:$BB$19)+SUMPRODUCT(Oxides_max!$C61:$BB61,Factors!$C$19:$BB$19))/2)</f>
        <v>29.741043252196157</v>
      </c>
      <c r="M61" s="20">
        <f>MAX(0,(SUMPRODUCT(Oxides_min!$C61:$BB61,Factors!$C$20:$BB$20)+SUMPRODUCT(Oxides_max!$C61:$BB61,Factors!$C$20:$BB$20))/2)</f>
        <v>0</v>
      </c>
      <c r="N61" s="20">
        <f>MAX(0,(SUMPRODUCT(Oxides_min!$C61:$BB61,Factors!$C$21:$BB$21)+SUMPRODUCT(Oxides_max!$C61:$BB61,Factors!$C$21:$BB$21))/2)</f>
        <v>0</v>
      </c>
      <c r="O61" s="20">
        <f>MAX(0,(SUMPRODUCT(Oxides_min!$C61:$BB61,Factors!$C$22:$BB$22)+SUMPRODUCT(Oxides_max!$C61:$BB61,Factors!$C$22:$BB$22))/2)</f>
        <v>0</v>
      </c>
      <c r="P61" s="20">
        <f>MAX(0,(SUMPRODUCT(Oxides_min!$C61:$BB61,Factors!$C$23:$BB$23)+SUMPRODUCT(Oxides_max!$C61:$BB61,Factors!$C$23:$BB$23))/2)</f>
        <v>0</v>
      </c>
      <c r="Q61" s="20">
        <f>MAX(0,(SUMPRODUCT(Oxides_min!$C61:$BB61,Factors!$C$24:$BB$24)+SUMPRODUCT(Oxides_max!$C61:$BB61,Factors!$C$24:$BB$24))/2)</f>
        <v>0</v>
      </c>
      <c r="R61" s="20">
        <f>MAX(0,(SUMPRODUCT(Oxides_min!$C61:$BB61,Factors!$C$25:$BB$25)+SUMPRODUCT(Oxides_max!$C61:$BB61,Factors!$C$25:$BB$25))/2)</f>
        <v>0</v>
      </c>
      <c r="S61" s="20">
        <f>MAX(0,(SUMPRODUCT(Oxides_min!$C61:$BB61,Factors!$C$26:$BB$26)+SUMPRODUCT(Oxides_max!$C61:$BB61,Factors!$C$26:$BB$26))/2)</f>
        <v>0</v>
      </c>
      <c r="T61" s="20">
        <f>MAX(0,(SUMPRODUCT(Oxides_min!$C61:$BB61,Factors!$C$27:$BB$27)+SUMPRODUCT(Oxides_max!$C61:$BB61,Factors!$C$27:$BB$27))/2)</f>
        <v>0</v>
      </c>
      <c r="U61" s="20">
        <f>MAX(0,(SUMPRODUCT(Oxides_min!$C61:$BB61,Factors!$C$28:$BB$28)+SUMPRODUCT(Oxides_max!$C61:$BB61,Factors!$C$28:$BB$28))/2)</f>
        <v>0</v>
      </c>
      <c r="V61" s="20">
        <f>MAX(0,(SUMPRODUCT(Oxides_min!$C61:$BB61,Factors!$C$29:$BB$29)+SUMPRODUCT(Oxides_max!$C61:$BB61,Factors!$C$29:$BB$29))/2)</f>
        <v>0</v>
      </c>
      <c r="W61" s="20">
        <f>MAX(0,(SUMPRODUCT(Oxides_min!$C61:$BB61,Factors!$C$30:$BB$30)+SUMPRODUCT(Oxides_max!$C61:$BB61,Factors!$C$30:$BB$30))/2)</f>
        <v>0</v>
      </c>
      <c r="X61" s="20">
        <f>MAX(0,(SUMPRODUCT(Oxides_min!$C61:$BB61,Factors!$C$31:$BB$31)+SUMPRODUCT(Oxides_max!$C61:$BB61,Factors!$C$31:$BB$31))/2)</f>
        <v>0</v>
      </c>
      <c r="Y61" s="20">
        <f>MAX(0,(SUMPRODUCT(Oxides_min!$C61:$BB61,Factors!$C$32:$BB$32)+SUMPRODUCT(Oxides_max!$C61:$BB61,Factors!$C$32:$BB$32))/2)</f>
        <v>0</v>
      </c>
      <c r="Z61" s="20">
        <f>MAX(0,(SUMPRODUCT(Oxides_min!$C61:$BB61,Factors!$C$33:$BB$33)+SUMPRODUCT(Oxides_max!$C61:$BB61,Factors!$C$33:$BB$33))/2)</f>
        <v>0</v>
      </c>
      <c r="AA61" s="20">
        <f>MAX(0,(SUMPRODUCT(Oxides_min!$C61:$BB61,Factors!$C$34:$BB$34)+SUMPRODUCT(Oxides_max!$C61:$BB61,Factors!$C$34:$BB$34))/2)</f>
        <v>0</v>
      </c>
      <c r="AB61" s="20">
        <f>MAX(0,(SUMPRODUCT(Oxides_min!$C61:$BB61,Factors!$C$35:$BB$35)+SUMPRODUCT(Oxides_max!$C61:$BB61,Factors!$C$35:$BB$35))/2)</f>
        <v>28.795000000000002</v>
      </c>
      <c r="AC61" s="20">
        <f>MAX(0,(SUMPRODUCT(Oxides_min!$C61:$BB61,Factors!$C$36:$BB$36)+SUMPRODUCT(Oxides_max!$C61:$BB61,Factors!$C$36:$BB$36))/2)</f>
        <v>0</v>
      </c>
      <c r="AD61" s="20">
        <f>MAX(0,(SUMPRODUCT(Oxides_min!$C61:$BB61,Factors!$C$37:$BB$37)+SUMPRODUCT(Oxides_max!$C61:$BB61,Factors!$C$37:$BB$37))/2)</f>
        <v>0</v>
      </c>
      <c r="AE61" s="20">
        <f>MAX(0,(SUMPRODUCT(Oxides_min!$C61:$BB61,Factors!$C$38:$BB$38)+SUMPRODUCT(Oxides_max!$C61:$BB61,Factors!$C$38:$BB$38))/2)</f>
        <v>0</v>
      </c>
      <c r="AF61" s="20">
        <f>MAX(0,(SUMPRODUCT(Oxides_min!$C61:$BB61,Factors!$C$39:$BB$39)+SUMPRODUCT(Oxides_max!$C61:$BB61,Factors!$C$39:$BB$39))/2)</f>
        <v>0</v>
      </c>
      <c r="AG61" s="20">
        <f>MAX(0,(SUMPRODUCT(Oxides_min!$C61:$BB61,Factors!$C$40:$BB$40)+SUMPRODUCT(Oxides_max!$C61:$BB61,Factors!$C$40:$BB$40))/2)</f>
        <v>0</v>
      </c>
      <c r="AH61" s="20">
        <f>MAX(0,(SUMPRODUCT(Oxides_min!$C61:$BB61,Factors!$C$41:$BB$41)+SUMPRODUCT(Oxides_max!$C61:$BB61,Factors!$C$41:$BB$41))/2)</f>
        <v>0</v>
      </c>
      <c r="AI61" s="20">
        <f>MAX(0,(SUMPRODUCT(Oxides_min!$C61:$BB61,Factors!$C$42:$BB$42)+SUMPRODUCT(Oxides_max!$C61:$BB61,Factors!$C$42:$BB$42))/2)</f>
        <v>0</v>
      </c>
      <c r="AJ61" s="20">
        <f>MAX(0,(SUMPRODUCT(Oxides_min!$C61:$BB61,Factors!$C$43:$BB$43)+SUMPRODUCT(Oxides_max!$C61:$BB61,Factors!$C$43:$BB$43))/2)</f>
        <v>0</v>
      </c>
      <c r="AK61" s="20">
        <f>MAX(0,(SUMPRODUCT(Oxides_min!$C61:$BB61,Factors!$C$44:$BB$44)+SUMPRODUCT(Oxides_max!$C61:$BB61,Factors!$C$44:$BB$44))/2)</f>
        <v>0</v>
      </c>
      <c r="AL61" s="20">
        <f>MAX(0,(SUMPRODUCT(Oxides_min!$C61:$BB61,Factors!$C$45:$BB$45)+SUMPRODUCT(Oxides_max!$C61:$BB61,Factors!$C$45:$BB$45))/2)</f>
        <v>0</v>
      </c>
      <c r="AM61" s="20">
        <f>MAX(0,(SUMPRODUCT(Oxides_min!$C61:$BB61,Factors!$C$46:$BB$46)+SUMPRODUCT(Oxides_max!$C61:$BB61,Factors!$C$46:$BB$46))/2)</f>
        <v>0</v>
      </c>
      <c r="AN61" s="20">
        <f>MAX(0,(SUMPRODUCT(Oxides_min!$C61:$BB61,Factors!$C$47:$BB$47)+SUMPRODUCT(Oxides_max!$C61:$BB61,Factors!$C$47:$BB$47))/2)</f>
        <v>0</v>
      </c>
      <c r="AO61" s="20">
        <f>MAX(0,(SUMPRODUCT(Oxides_min!$C61:$BB61,Factors!$C$48:$BB$48)+SUMPRODUCT(Oxides_max!$C61:$BB61,Factors!$C$48:$BB$48))/2)</f>
        <v>0</v>
      </c>
      <c r="AP61" s="20">
        <f>MAX(0,(SUMPRODUCT(Oxides_min!$C61:$BB61,Factors!$C$49:$BB$49)+SUMPRODUCT(Oxides_max!$C61:$BB61,Factors!$C$49:$BB$49))/2)</f>
        <v>0</v>
      </c>
      <c r="AQ61" s="20">
        <f>MAX(0,(SUMPRODUCT(Oxides_min!$C61:$BB61,Factors!$C$50:$BB$50)+SUMPRODUCT(Oxides_max!$C61:$BB61,Factors!$C$50:$BB$50))/2)</f>
        <v>0</v>
      </c>
      <c r="AR61" s="20">
        <f>MAX(0,(SUMPRODUCT(Oxides_min!$C61:$BB61,Factors!$C$51:$BB$51)+SUMPRODUCT(Oxides_max!$C61:$BB61,Factors!$C$51:$BB$51))/2)</f>
        <v>0</v>
      </c>
      <c r="AS61" s="20">
        <f>MAX(0,(SUMPRODUCT(Oxides_min!$C61:$BB61,Factors!$C$52:$BB$52)+SUMPRODUCT(Oxides_max!$C61:$BB61,Factors!$C$52:$BB$52))/2)</f>
        <v>0</v>
      </c>
      <c r="AT61" s="20">
        <f>MAX(0,(SUMPRODUCT(Oxides_min!$C61:$BB61,Factors!$C$53:$BB$53)+SUMPRODUCT(Oxides_max!$C61:$BB61,Factors!$C$53:$BB$53))/2)</f>
        <v>0</v>
      </c>
      <c r="AU61" s="20">
        <f>MAX(0,(SUMPRODUCT(Oxides_min!$C61:$BB61,Factors!$C$54:$BB$54)+SUMPRODUCT(Oxides_max!$C61:$BB61,Factors!$C$54:$BB$54))/2)</f>
        <v>0</v>
      </c>
      <c r="AV61" s="20">
        <f>MAX(0,(SUMPRODUCT(Oxides_min!$C61:$BB61,Factors!$C$55:$BB$55)+SUMPRODUCT(Oxides_max!$C61:$BB61,Factors!$C$55:$BB$55))/2)</f>
        <v>0</v>
      </c>
      <c r="AW61" s="20">
        <f>MAX(0,(SUMPRODUCT(Oxides_min!$C61:$BB61,Factors!$C$56:$BB$56)+SUMPRODUCT(Oxides_max!$C61:$BB61,Factors!$C$56:$BB$56))/2)</f>
        <v>0</v>
      </c>
      <c r="AX61" s="20">
        <f>MAX(0,(SUMPRODUCT(Oxides_min!$C61:$BB61,Factors!$C$57:$BB$57)+SUMPRODUCT(Oxides_max!$C61:$BB61,Factors!$C$57:$BB$57))/2)</f>
        <v>0</v>
      </c>
      <c r="AY61" s="20">
        <f>MAX(0,(SUMPRODUCT(Oxides_min!$C61:$BB61,Factors!$C$58:$BB$58)+SUMPRODUCT(Oxides_max!$C61:$BB61,Factors!$C$58:$BB$58))/2)</f>
        <v>0</v>
      </c>
      <c r="AZ61" s="18">
        <f t="shared" si="5"/>
        <v>99.36034295071741</v>
      </c>
    </row>
    <row r="62" spans="1:52" x14ac:dyDescent="0.35">
      <c r="A62" s="13" t="s">
        <v>531</v>
      </c>
      <c r="B62" s="20">
        <f>MAX(0,(SUMPRODUCT(Oxides_min!$C62:$BB62,Factors!$C$9:$BB$9)+SUMPRODUCT(Oxides_max!$C62:$BB62,Factors!$C$9:$BB$9))/2)</f>
        <v>40.846768348544458</v>
      </c>
      <c r="C62" s="20">
        <f>MAX(0,(SUMPRODUCT(Oxides_min!$C62:$BB62,Factors!$C$10:$BB$10)+SUMPRODUCT(Oxides_max!$C62:$BB62,Factors!$C$10:$BB$10))/2)</f>
        <v>2.1034652064643909E-2</v>
      </c>
      <c r="D62" s="20">
        <f>MAX(0,(SUMPRODUCT(Oxides_min!$C62:$BB62,Factors!$C$11:$BB$11)+SUMPRODUCT(Oxides_max!$C62:$BB62,Factors!$C$11:$BB$11))/2)</f>
        <v>0</v>
      </c>
      <c r="E62" s="20">
        <f>MAX(0,(SUMPRODUCT(Oxides_min!$C62:$BB62,Factors!$C$12:$BB$12)+SUMPRODUCT(Oxides_max!$C62:$BB62,Factors!$C$12:$BB$12))/2)</f>
        <v>0</v>
      </c>
      <c r="F62" s="20">
        <f>MAX(0,(SUMPRODUCT(Oxides_min!$C62:$BB62,Factors!$C$13:$BB$13)+SUMPRODUCT(Oxides_max!$C62:$BB62,Factors!$C$13:$BB$13))/2)</f>
        <v>0</v>
      </c>
      <c r="G62" s="20">
        <f>MAX(0,(SUMPRODUCT(Oxides_min!$C62:$BB62,Factors!$C$14:$BB$14)+SUMPRODUCT(Oxides_max!$C62:$BB62,Factors!$C$14:$BB$14))/2)</f>
        <v>0</v>
      </c>
      <c r="H62" s="20">
        <f>MAX(0,(SUMPRODUCT(Oxides_min!$C62:$BB62,Factors!$C$15:$BB$15)+SUMPRODUCT(Oxides_max!$C62:$BB62,Factors!$C$15:$BB$15))/2)</f>
        <v>1.8523992434803675E-2</v>
      </c>
      <c r="I62" s="20">
        <f>MAX(0,(SUMPRODUCT(Oxides_min!$C62:$BB62,Factors!$C$16:$BB$16)+SUMPRODUCT(Oxides_max!$C62:$BB62,Factors!$C$16:$BB$16))/2)</f>
        <v>8.9390554534825455</v>
      </c>
      <c r="J62" s="20">
        <f>MAX(0,(SUMPRODUCT(Oxides_min!$C62:$BB62,Factors!$C$17:$BB$17)+SUMPRODUCT(Oxides_max!$C62:$BB62,Factors!$C$17:$BB$17))/2)</f>
        <v>26.699576978426109</v>
      </c>
      <c r="K62" s="20">
        <f>MAX(0,(SUMPRODUCT(Oxides_min!$C62:$BB62,Factors!$C$18:$BB$18)+SUMPRODUCT(Oxides_max!$C62:$BB62,Factors!$C$18:$BB$18))/2)</f>
        <v>0</v>
      </c>
      <c r="L62" s="20">
        <f>MAX(0,(SUMPRODUCT(Oxides_min!$C62:$BB62,Factors!$C$19:$BB$19)+SUMPRODUCT(Oxides_max!$C62:$BB62,Factors!$C$19:$BB$19))/2)</f>
        <v>0</v>
      </c>
      <c r="M62" s="20">
        <f>MAX(0,(SUMPRODUCT(Oxides_min!$C62:$BB62,Factors!$C$20:$BB$20)+SUMPRODUCT(Oxides_max!$C62:$BB62,Factors!$C$20:$BB$20))/2)</f>
        <v>0</v>
      </c>
      <c r="N62" s="20">
        <f>MAX(0,(SUMPRODUCT(Oxides_min!$C62:$BB62,Factors!$C$21:$BB$21)+SUMPRODUCT(Oxides_max!$C62:$BB62,Factors!$C$21:$BB$21))/2)</f>
        <v>0</v>
      </c>
      <c r="O62" s="20">
        <f>MAX(0,(SUMPRODUCT(Oxides_min!$C62:$BB62,Factors!$C$22:$BB$22)+SUMPRODUCT(Oxides_max!$C62:$BB62,Factors!$C$22:$BB$22))/2)</f>
        <v>0</v>
      </c>
      <c r="P62" s="20">
        <f>MAX(0,(SUMPRODUCT(Oxides_min!$C62:$BB62,Factors!$C$23:$BB$23)+SUMPRODUCT(Oxides_max!$C62:$BB62,Factors!$C$23:$BB$23))/2)</f>
        <v>0</v>
      </c>
      <c r="Q62" s="20">
        <f>MAX(0,(SUMPRODUCT(Oxides_min!$C62:$BB62,Factors!$C$24:$BB$24)+SUMPRODUCT(Oxides_max!$C62:$BB62,Factors!$C$24:$BB$24))/2)</f>
        <v>0</v>
      </c>
      <c r="R62" s="20">
        <f>MAX(0,(SUMPRODUCT(Oxides_min!$C62:$BB62,Factors!$C$25:$BB$25)+SUMPRODUCT(Oxides_max!$C62:$BB62,Factors!$C$25:$BB$25))/2)</f>
        <v>8.9023470952910438E-2</v>
      </c>
      <c r="S62" s="20">
        <f>MAX(0,(SUMPRODUCT(Oxides_min!$C62:$BB62,Factors!$C$26:$BB$26)+SUMPRODUCT(Oxides_max!$C62:$BB62,Factors!$C$26:$BB$26))/2)</f>
        <v>0</v>
      </c>
      <c r="T62" s="20">
        <f>MAX(0,(SUMPRODUCT(Oxides_min!$C62:$BB62,Factors!$C$27:$BB$27)+SUMPRODUCT(Oxides_max!$C62:$BB62,Factors!$C$27:$BB$27))/2)</f>
        <v>4.2505438602362862</v>
      </c>
      <c r="U62" s="20">
        <f>MAX(0,(SUMPRODUCT(Oxides_min!$C62:$BB62,Factors!$C$28:$BB$28)+SUMPRODUCT(Oxides_max!$C62:$BB62,Factors!$C$28:$BB$28))/2)</f>
        <v>0</v>
      </c>
      <c r="V62" s="20">
        <f>MAX(0,(SUMPRODUCT(Oxides_min!$C62:$BB62,Factors!$C$29:$BB$29)+SUMPRODUCT(Oxides_max!$C62:$BB62,Factors!$C$29:$BB$29))/2)</f>
        <v>0</v>
      </c>
      <c r="W62" s="20">
        <f>MAX(0,(SUMPRODUCT(Oxides_min!$C62:$BB62,Factors!$C$30:$BB$30)+SUMPRODUCT(Oxides_max!$C62:$BB62,Factors!$C$30:$BB$30))/2)</f>
        <v>0</v>
      </c>
      <c r="X62" s="20">
        <f>MAX(0,(SUMPRODUCT(Oxides_min!$C62:$BB62,Factors!$C$31:$BB$31)+SUMPRODUCT(Oxides_max!$C62:$BB62,Factors!$C$31:$BB$31))/2)</f>
        <v>0</v>
      </c>
      <c r="Y62" s="20">
        <f>MAX(0,(SUMPRODUCT(Oxides_min!$C62:$BB62,Factors!$C$32:$BB$32)+SUMPRODUCT(Oxides_max!$C62:$BB62,Factors!$C$32:$BB$32))/2)</f>
        <v>0</v>
      </c>
      <c r="Z62" s="20">
        <f>MAX(0,(SUMPRODUCT(Oxides_min!$C62:$BB62,Factors!$C$33:$BB$33)+SUMPRODUCT(Oxides_max!$C62:$BB62,Factors!$C$33:$BB$33))/2)</f>
        <v>19.554103551934841</v>
      </c>
      <c r="AA62" s="20">
        <f>MAX(0,(SUMPRODUCT(Oxides_min!$C62:$BB62,Factors!$C$34:$BB$34)+SUMPRODUCT(Oxides_max!$C62:$BB62,Factors!$C$34:$BB$34))/2)</f>
        <v>0</v>
      </c>
      <c r="AB62" s="20">
        <f>MAX(0,(SUMPRODUCT(Oxides_min!$C62:$BB62,Factors!$C$35:$BB$35)+SUMPRODUCT(Oxides_max!$C62:$BB62,Factors!$C$35:$BB$35))/2)</f>
        <v>0</v>
      </c>
      <c r="AC62" s="20">
        <f>MAX(0,(SUMPRODUCT(Oxides_min!$C62:$BB62,Factors!$C$36:$BB$36)+SUMPRODUCT(Oxides_max!$C62:$BB62,Factors!$C$36:$BB$36))/2)</f>
        <v>0</v>
      </c>
      <c r="AD62" s="20">
        <f>MAX(0,(SUMPRODUCT(Oxides_min!$C62:$BB62,Factors!$C$37:$BB$37)+SUMPRODUCT(Oxides_max!$C62:$BB62,Factors!$C$37:$BB$37))/2)</f>
        <v>3.6369691923397167E-2</v>
      </c>
      <c r="AE62" s="20">
        <f>MAX(0,(SUMPRODUCT(Oxides_min!$C62:$BB62,Factors!$C$38:$BB$38)+SUMPRODUCT(Oxides_max!$C62:$BB62,Factors!$C$38:$BB$38))/2)</f>
        <v>0</v>
      </c>
      <c r="AF62" s="20">
        <f>MAX(0,(SUMPRODUCT(Oxides_min!$C62:$BB62,Factors!$C$39:$BB$39)+SUMPRODUCT(Oxides_max!$C62:$BB62,Factors!$C$39:$BB$39))/2)</f>
        <v>0</v>
      </c>
      <c r="AG62" s="20">
        <f>MAX(0,(SUMPRODUCT(Oxides_min!$C62:$BB62,Factors!$C$40:$BB$40)+SUMPRODUCT(Oxides_max!$C62:$BB62,Factors!$C$40:$BB$40))/2)</f>
        <v>0</v>
      </c>
      <c r="AH62" s="20">
        <f>MAX(0,(SUMPRODUCT(Oxides_min!$C62:$BB62,Factors!$C$41:$BB$41)+SUMPRODUCT(Oxides_max!$C62:$BB62,Factors!$C$41:$BB$41))/2)</f>
        <v>0</v>
      </c>
      <c r="AI62" s="20">
        <f>MAX(0,(SUMPRODUCT(Oxides_min!$C62:$BB62,Factors!$C$42:$BB$42)+SUMPRODUCT(Oxides_max!$C62:$BB62,Factors!$C$42:$BB$42))/2)</f>
        <v>0</v>
      </c>
      <c r="AJ62" s="20">
        <f>MAX(0,(SUMPRODUCT(Oxides_min!$C62:$BB62,Factors!$C$43:$BB$43)+SUMPRODUCT(Oxides_max!$C62:$BB62,Factors!$C$43:$BB$43))/2)</f>
        <v>0</v>
      </c>
      <c r="AK62" s="20">
        <f>MAX(0,(SUMPRODUCT(Oxides_min!$C62:$BB62,Factors!$C$44:$BB$44)+SUMPRODUCT(Oxides_max!$C62:$BB62,Factors!$C$44:$BB$44))/2)</f>
        <v>0</v>
      </c>
      <c r="AL62" s="20">
        <f>MAX(0,(SUMPRODUCT(Oxides_min!$C62:$BB62,Factors!$C$45:$BB$45)+SUMPRODUCT(Oxides_max!$C62:$BB62,Factors!$C$45:$BB$45))/2)</f>
        <v>0</v>
      </c>
      <c r="AM62" s="20">
        <f>MAX(0,(SUMPRODUCT(Oxides_min!$C62:$BB62,Factors!$C$46:$BB$46)+SUMPRODUCT(Oxides_max!$C62:$BB62,Factors!$C$46:$BB$46))/2)</f>
        <v>0</v>
      </c>
      <c r="AN62" s="20">
        <f>MAX(0,(SUMPRODUCT(Oxides_min!$C62:$BB62,Factors!$C$47:$BB$47)+SUMPRODUCT(Oxides_max!$C62:$BB62,Factors!$C$47:$BB$47))/2)</f>
        <v>0</v>
      </c>
      <c r="AO62" s="20">
        <f>MAX(0,(SUMPRODUCT(Oxides_min!$C62:$BB62,Factors!$C$48:$BB$48)+SUMPRODUCT(Oxides_max!$C62:$BB62,Factors!$C$48:$BB$48))/2)</f>
        <v>0</v>
      </c>
      <c r="AP62" s="20">
        <f>MAX(0,(SUMPRODUCT(Oxides_min!$C62:$BB62,Factors!$C$49:$BB$49)+SUMPRODUCT(Oxides_max!$C62:$BB62,Factors!$C$49:$BB$49))/2)</f>
        <v>0</v>
      </c>
      <c r="AQ62" s="20">
        <f>MAX(0,(SUMPRODUCT(Oxides_min!$C62:$BB62,Factors!$C$50:$BB$50)+SUMPRODUCT(Oxides_max!$C62:$BB62,Factors!$C$50:$BB$50))/2)</f>
        <v>0</v>
      </c>
      <c r="AR62" s="20">
        <f>MAX(0,(SUMPRODUCT(Oxides_min!$C62:$BB62,Factors!$C$51:$BB$51)+SUMPRODUCT(Oxides_max!$C62:$BB62,Factors!$C$51:$BB$51))/2)</f>
        <v>0</v>
      </c>
      <c r="AS62" s="20">
        <f>MAX(0,(SUMPRODUCT(Oxides_min!$C62:$BB62,Factors!$C$52:$BB$52)+SUMPRODUCT(Oxides_max!$C62:$BB62,Factors!$C$52:$BB$52))/2)</f>
        <v>0</v>
      </c>
      <c r="AT62" s="20">
        <f>MAX(0,(SUMPRODUCT(Oxides_min!$C62:$BB62,Factors!$C$53:$BB$53)+SUMPRODUCT(Oxides_max!$C62:$BB62,Factors!$C$53:$BB$53))/2)</f>
        <v>0</v>
      </c>
      <c r="AU62" s="20">
        <f>MAX(0,(SUMPRODUCT(Oxides_min!$C62:$BB62,Factors!$C$54:$BB$54)+SUMPRODUCT(Oxides_max!$C62:$BB62,Factors!$C$54:$BB$54))/2)</f>
        <v>0</v>
      </c>
      <c r="AV62" s="20">
        <f>MAX(0,(SUMPRODUCT(Oxides_min!$C62:$BB62,Factors!$C$55:$BB$55)+SUMPRODUCT(Oxides_max!$C62:$BB62,Factors!$C$55:$BB$55))/2)</f>
        <v>0</v>
      </c>
      <c r="AW62" s="20">
        <f>MAX(0,(SUMPRODUCT(Oxides_min!$C62:$BB62,Factors!$C$56:$BB$56)+SUMPRODUCT(Oxides_max!$C62:$BB62,Factors!$C$56:$BB$56))/2)</f>
        <v>0</v>
      </c>
      <c r="AX62" s="20">
        <f>MAX(0,(SUMPRODUCT(Oxides_min!$C62:$BB62,Factors!$C$57:$BB$57)+SUMPRODUCT(Oxides_max!$C62:$BB62,Factors!$C$57:$BB$57))/2)</f>
        <v>0</v>
      </c>
      <c r="AY62" s="20">
        <f>MAX(0,(SUMPRODUCT(Oxides_min!$C62:$BB62,Factors!$C$58:$BB$58)+SUMPRODUCT(Oxides_max!$C62:$BB62,Factors!$C$58:$BB$58))/2)</f>
        <v>0</v>
      </c>
      <c r="AZ62" s="18">
        <f t="shared" ref="AZ62:AZ63" si="6">SUM(B62:AY62)</f>
        <v>100.455</v>
      </c>
    </row>
    <row r="63" spans="1:52" x14ac:dyDescent="0.35">
      <c r="A63" s="13" t="s">
        <v>533</v>
      </c>
      <c r="B63" s="20">
        <f>MAX(0,(SUMPRODUCT(Oxides_min!$C63:$BB63,Factors!$C$9:$BB$9)+SUMPRODUCT(Oxides_max!$C63:$BB63,Factors!$C$9:$BB$9))/2)</f>
        <v>41.810644964669194</v>
      </c>
      <c r="C63" s="20">
        <f>MAX(0,(SUMPRODUCT(Oxides_min!$C63:$BB63,Factors!$C$10:$BB$10)+SUMPRODUCT(Oxides_max!$C63:$BB63,Factors!$C$10:$BB$10))/2)</f>
        <v>0</v>
      </c>
      <c r="D63" s="20">
        <f>MAX(0,(SUMPRODUCT(Oxides_min!$C63:$BB63,Factors!$C$11:$BB$11)+SUMPRODUCT(Oxides_max!$C63:$BB63,Factors!$C$11:$BB$11))/2)</f>
        <v>0</v>
      </c>
      <c r="E63" s="20">
        <f>MAX(0,(SUMPRODUCT(Oxides_min!$C63:$BB63,Factors!$C$12:$BB$12)+SUMPRODUCT(Oxides_max!$C63:$BB63,Factors!$C$12:$BB$12))/2)</f>
        <v>0</v>
      </c>
      <c r="F63" s="20">
        <f>MAX(0,(SUMPRODUCT(Oxides_min!$C63:$BB63,Factors!$C$13:$BB$13)+SUMPRODUCT(Oxides_max!$C63:$BB63,Factors!$C$13:$BB$13))/2)</f>
        <v>0</v>
      </c>
      <c r="G63" s="20">
        <f>MAX(0,(SUMPRODUCT(Oxides_min!$C63:$BB63,Factors!$C$14:$BB$14)+SUMPRODUCT(Oxides_max!$C63:$BB63,Factors!$C$14:$BB$14))/2)</f>
        <v>0</v>
      </c>
      <c r="H63" s="20">
        <f>MAX(0,(SUMPRODUCT(Oxides_min!$C63:$BB63,Factors!$C$15:$BB$15)+SUMPRODUCT(Oxides_max!$C63:$BB63,Factors!$C$15:$BB$15))/2)</f>
        <v>0</v>
      </c>
      <c r="I63" s="20">
        <f>MAX(0,(SUMPRODUCT(Oxides_min!$C63:$BB63,Factors!$C$16:$BB$16)+SUMPRODUCT(Oxides_max!$C63:$BB63,Factors!$C$16:$BB$16))/2)</f>
        <v>0.29926403039919824</v>
      </c>
      <c r="J63" s="20">
        <f>MAX(0,(SUMPRODUCT(Oxides_min!$C63:$BB63,Factors!$C$17:$BB$17)+SUMPRODUCT(Oxides_max!$C63:$BB63,Factors!$C$17:$BB$17))/2)</f>
        <v>47.466775141631217</v>
      </c>
      <c r="K63" s="20">
        <f>MAX(0,(SUMPRODUCT(Oxides_min!$C63:$BB63,Factors!$C$18:$BB$18)+SUMPRODUCT(Oxides_max!$C63:$BB63,Factors!$C$18:$BB$18))/2)</f>
        <v>0</v>
      </c>
      <c r="L63" s="20">
        <f>MAX(0,(SUMPRODUCT(Oxides_min!$C63:$BB63,Factors!$C$19:$BB$19)+SUMPRODUCT(Oxides_max!$C63:$BB63,Factors!$C$19:$BB$19))/2)</f>
        <v>0</v>
      </c>
      <c r="M63" s="20">
        <f>MAX(0,(SUMPRODUCT(Oxides_min!$C63:$BB63,Factors!$C$20:$BB$20)+SUMPRODUCT(Oxides_max!$C63:$BB63,Factors!$C$20:$BB$20))/2)</f>
        <v>0</v>
      </c>
      <c r="N63" s="20">
        <f>MAX(0,(SUMPRODUCT(Oxides_min!$C63:$BB63,Factors!$C$21:$BB$21)+SUMPRODUCT(Oxides_max!$C63:$BB63,Factors!$C$21:$BB$21))/2)</f>
        <v>0.18224744547675517</v>
      </c>
      <c r="O63" s="20">
        <f>MAX(0,(SUMPRODUCT(Oxides_min!$C63:$BB63,Factors!$C$22:$BB$22)+SUMPRODUCT(Oxides_max!$C63:$BB63,Factors!$C$22:$BB$22))/2)</f>
        <v>0</v>
      </c>
      <c r="P63" s="20">
        <f>MAX(0,(SUMPRODUCT(Oxides_min!$C63:$BB63,Factors!$C$23:$BB$23)+SUMPRODUCT(Oxides_max!$C63:$BB63,Factors!$C$23:$BB$23))/2)</f>
        <v>0</v>
      </c>
      <c r="Q63" s="20">
        <f>MAX(0,(SUMPRODUCT(Oxides_min!$C63:$BB63,Factors!$C$24:$BB$24)+SUMPRODUCT(Oxides_max!$C63:$BB63,Factors!$C$24:$BB$24))/2)</f>
        <v>0</v>
      </c>
      <c r="R63" s="20">
        <f>MAX(0,(SUMPRODUCT(Oxides_min!$C63:$BB63,Factors!$C$25:$BB$25)+SUMPRODUCT(Oxides_max!$C63:$BB63,Factors!$C$25:$BB$25))/2)</f>
        <v>0</v>
      </c>
      <c r="S63" s="20">
        <f>MAX(0,(SUMPRODUCT(Oxides_min!$C63:$BB63,Factors!$C$26:$BB$26)+SUMPRODUCT(Oxides_max!$C63:$BB63,Factors!$C$26:$BB$26))/2)</f>
        <v>0</v>
      </c>
      <c r="T63" s="20">
        <f>MAX(0,(SUMPRODUCT(Oxides_min!$C63:$BB63,Factors!$C$27:$BB$27)+SUMPRODUCT(Oxides_max!$C63:$BB63,Factors!$C$27:$BB$27))/2)</f>
        <v>0</v>
      </c>
      <c r="U63" s="20">
        <f>MAX(0,(SUMPRODUCT(Oxides_min!$C63:$BB63,Factors!$C$28:$BB$28)+SUMPRODUCT(Oxides_max!$C63:$BB63,Factors!$C$28:$BB$28))/2)</f>
        <v>0</v>
      </c>
      <c r="V63" s="20">
        <f>MAX(0,(SUMPRODUCT(Oxides_min!$C63:$BB63,Factors!$C$29:$BB$29)+SUMPRODUCT(Oxides_max!$C63:$BB63,Factors!$C$29:$BB$29))/2)</f>
        <v>0</v>
      </c>
      <c r="W63" s="20">
        <f>MAX(0,(SUMPRODUCT(Oxides_min!$C63:$BB63,Factors!$C$30:$BB$30)+SUMPRODUCT(Oxides_max!$C63:$BB63,Factors!$C$30:$BB$30))/2)</f>
        <v>0</v>
      </c>
      <c r="X63" s="20">
        <f>MAX(0,(SUMPRODUCT(Oxides_min!$C63:$BB63,Factors!$C$31:$BB$31)+SUMPRODUCT(Oxides_max!$C63:$BB63,Factors!$C$31:$BB$31))/2)</f>
        <v>0</v>
      </c>
      <c r="Y63" s="20">
        <f>MAX(0,(SUMPRODUCT(Oxides_min!$C63:$BB63,Factors!$C$32:$BB$32)+SUMPRODUCT(Oxides_max!$C63:$BB63,Factors!$C$32:$BB$32))/2)</f>
        <v>0</v>
      </c>
      <c r="Z63" s="20">
        <f>MAX(0,(SUMPRODUCT(Oxides_min!$C63:$BB63,Factors!$C$33:$BB$33)+SUMPRODUCT(Oxides_max!$C63:$BB63,Factors!$C$33:$BB$33))/2)</f>
        <v>0</v>
      </c>
      <c r="AA63" s="20">
        <f>MAX(0,(SUMPRODUCT(Oxides_min!$C63:$BB63,Factors!$C$34:$BB$34)+SUMPRODUCT(Oxides_max!$C63:$BB63,Factors!$C$34:$BB$34))/2)</f>
        <v>0</v>
      </c>
      <c r="AB63" s="20">
        <f>MAX(0,(SUMPRODUCT(Oxides_min!$C63:$BB63,Factors!$C$35:$BB$35)+SUMPRODUCT(Oxides_max!$C63:$BB63,Factors!$C$35:$BB$35))/2)</f>
        <v>0</v>
      </c>
      <c r="AC63" s="20">
        <f>MAX(0,(SUMPRODUCT(Oxides_min!$C63:$BB63,Factors!$C$36:$BB$36)+SUMPRODUCT(Oxides_max!$C63:$BB63,Factors!$C$36:$BB$36))/2)</f>
        <v>10.446068417823627</v>
      </c>
      <c r="AD63" s="20">
        <f>MAX(0,(SUMPRODUCT(Oxides_min!$C63:$BB63,Factors!$C$37:$BB$37)+SUMPRODUCT(Oxides_max!$C63:$BB63,Factors!$C$37:$BB$37))/2)</f>
        <v>0</v>
      </c>
      <c r="AE63" s="20">
        <f>MAX(0,(SUMPRODUCT(Oxides_min!$C63:$BB63,Factors!$C$38:$BB$38)+SUMPRODUCT(Oxides_max!$C63:$BB63,Factors!$C$38:$BB$38))/2)</f>
        <v>0</v>
      </c>
      <c r="AF63" s="20">
        <f>MAX(0,(SUMPRODUCT(Oxides_min!$C63:$BB63,Factors!$C$39:$BB$39)+SUMPRODUCT(Oxides_max!$C63:$BB63,Factors!$C$39:$BB$39))/2)</f>
        <v>0</v>
      </c>
      <c r="AG63" s="20">
        <f>MAX(0,(SUMPRODUCT(Oxides_min!$C63:$BB63,Factors!$C$40:$BB$40)+SUMPRODUCT(Oxides_max!$C63:$BB63,Factors!$C$40:$BB$40))/2)</f>
        <v>0</v>
      </c>
      <c r="AH63" s="20">
        <f>MAX(0,(SUMPRODUCT(Oxides_min!$C63:$BB63,Factors!$C$41:$BB$41)+SUMPRODUCT(Oxides_max!$C63:$BB63,Factors!$C$41:$BB$41))/2)</f>
        <v>0</v>
      </c>
      <c r="AI63" s="20">
        <f>MAX(0,(SUMPRODUCT(Oxides_min!$C63:$BB63,Factors!$C$42:$BB$42)+SUMPRODUCT(Oxides_max!$C63:$BB63,Factors!$C$42:$BB$42))/2)</f>
        <v>0</v>
      </c>
      <c r="AJ63" s="20">
        <f>MAX(0,(SUMPRODUCT(Oxides_min!$C63:$BB63,Factors!$C$43:$BB$43)+SUMPRODUCT(Oxides_max!$C63:$BB63,Factors!$C$43:$BB$43))/2)</f>
        <v>0</v>
      </c>
      <c r="AK63" s="20">
        <f>MAX(0,(SUMPRODUCT(Oxides_min!$C63:$BB63,Factors!$C$44:$BB$44)+SUMPRODUCT(Oxides_max!$C63:$BB63,Factors!$C$44:$BB$44))/2)</f>
        <v>0</v>
      </c>
      <c r="AL63" s="20">
        <f>MAX(0,(SUMPRODUCT(Oxides_min!$C63:$BB63,Factors!$C$45:$BB$45)+SUMPRODUCT(Oxides_max!$C63:$BB63,Factors!$C$45:$BB$45))/2)</f>
        <v>0</v>
      </c>
      <c r="AM63" s="20">
        <f>MAX(0,(SUMPRODUCT(Oxides_min!$C63:$BB63,Factors!$C$46:$BB$46)+SUMPRODUCT(Oxides_max!$C63:$BB63,Factors!$C$46:$BB$46))/2)</f>
        <v>0</v>
      </c>
      <c r="AN63" s="20">
        <f>MAX(0,(SUMPRODUCT(Oxides_min!$C63:$BB63,Factors!$C$47:$BB$47)+SUMPRODUCT(Oxides_max!$C63:$BB63,Factors!$C$47:$BB$47))/2)</f>
        <v>0</v>
      </c>
      <c r="AO63" s="20">
        <f>MAX(0,(SUMPRODUCT(Oxides_min!$C63:$BB63,Factors!$C$48:$BB$48)+SUMPRODUCT(Oxides_max!$C63:$BB63,Factors!$C$48:$BB$48))/2)</f>
        <v>0</v>
      </c>
      <c r="AP63" s="20">
        <f>MAX(0,(SUMPRODUCT(Oxides_min!$C63:$BB63,Factors!$C$49:$BB$49)+SUMPRODUCT(Oxides_max!$C63:$BB63,Factors!$C$49:$BB$49))/2)</f>
        <v>0</v>
      </c>
      <c r="AQ63" s="20">
        <f>MAX(0,(SUMPRODUCT(Oxides_min!$C63:$BB63,Factors!$C$50:$BB$50)+SUMPRODUCT(Oxides_max!$C63:$BB63,Factors!$C$50:$BB$50))/2)</f>
        <v>0</v>
      </c>
      <c r="AR63" s="20">
        <f>MAX(0,(SUMPRODUCT(Oxides_min!$C63:$BB63,Factors!$C$51:$BB$51)+SUMPRODUCT(Oxides_max!$C63:$BB63,Factors!$C$51:$BB$51))/2)</f>
        <v>0</v>
      </c>
      <c r="AS63" s="20">
        <f>MAX(0,(SUMPRODUCT(Oxides_min!$C63:$BB63,Factors!$C$52:$BB$52)+SUMPRODUCT(Oxides_max!$C63:$BB63,Factors!$C$52:$BB$52))/2)</f>
        <v>0</v>
      </c>
      <c r="AT63" s="20">
        <f>MAX(0,(SUMPRODUCT(Oxides_min!$C63:$BB63,Factors!$C$53:$BB$53)+SUMPRODUCT(Oxides_max!$C63:$BB63,Factors!$C$53:$BB$53))/2)</f>
        <v>0</v>
      </c>
      <c r="AU63" s="20">
        <f>MAX(0,(SUMPRODUCT(Oxides_min!$C63:$BB63,Factors!$C$54:$BB$54)+SUMPRODUCT(Oxides_max!$C63:$BB63,Factors!$C$54:$BB$54))/2)</f>
        <v>0</v>
      </c>
      <c r="AV63" s="20">
        <f>MAX(0,(SUMPRODUCT(Oxides_min!$C63:$BB63,Factors!$C$55:$BB$55)+SUMPRODUCT(Oxides_max!$C63:$BB63,Factors!$C$55:$BB$55))/2)</f>
        <v>0</v>
      </c>
      <c r="AW63" s="20">
        <f>MAX(0,(SUMPRODUCT(Oxides_min!$C63:$BB63,Factors!$C$56:$BB$56)+SUMPRODUCT(Oxides_max!$C63:$BB63,Factors!$C$56:$BB$56))/2)</f>
        <v>0</v>
      </c>
      <c r="AX63" s="20">
        <f>MAX(0,(SUMPRODUCT(Oxides_min!$C63:$BB63,Factors!$C$57:$BB$57)+SUMPRODUCT(Oxides_max!$C63:$BB63,Factors!$C$57:$BB$57))/2)</f>
        <v>0</v>
      </c>
      <c r="AY63" s="20">
        <f>MAX(0,(SUMPRODUCT(Oxides_min!$C63:$BB63,Factors!$C$58:$BB$58)+SUMPRODUCT(Oxides_max!$C63:$BB63,Factors!$C$58:$BB$58))/2)</f>
        <v>0</v>
      </c>
      <c r="AZ63" s="18">
        <f t="shared" si="6"/>
        <v>100.205</v>
      </c>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63"/>
  <sheetViews>
    <sheetView tabSelected="1" workbookViewId="0">
      <pane xSplit="1" ySplit="1" topLeftCell="B20" activePane="bottomRight" state="frozen"/>
      <selection pane="topRight"/>
      <selection pane="bottomLeft"/>
      <selection pane="bottomRight" activeCell="T30" sqref="T30"/>
    </sheetView>
  </sheetViews>
  <sheetFormatPr defaultRowHeight="14.5" x14ac:dyDescent="0.35"/>
  <cols>
    <col min="1" max="1" width="30" customWidth="1"/>
    <col min="2" max="52" width="8" customWidth="1"/>
  </cols>
  <sheetData>
    <row r="1" spans="1:52" x14ac:dyDescent="0.35">
      <c r="A1" s="4" t="s">
        <v>179</v>
      </c>
      <c r="B1" s="4" t="s">
        <v>20</v>
      </c>
      <c r="C1" s="4" t="s">
        <v>22</v>
      </c>
      <c r="D1" s="4" t="s">
        <v>23</v>
      </c>
      <c r="E1" s="19" t="s">
        <v>24</v>
      </c>
      <c r="F1" s="4" t="s">
        <v>26</v>
      </c>
      <c r="G1" s="4" t="s">
        <v>27</v>
      </c>
      <c r="H1" s="4" t="s">
        <v>28</v>
      </c>
      <c r="I1" s="4" t="s">
        <v>29</v>
      </c>
      <c r="J1" s="4" t="s">
        <v>30</v>
      </c>
      <c r="K1" s="4" t="s">
        <v>328</v>
      </c>
      <c r="L1" s="4" t="s">
        <v>517</v>
      </c>
      <c r="M1" s="4" t="s">
        <v>31</v>
      </c>
      <c r="N1" s="4" t="s">
        <v>32</v>
      </c>
      <c r="O1" s="4" t="s">
        <v>33</v>
      </c>
      <c r="P1" s="4" t="s">
        <v>34</v>
      </c>
      <c r="Q1" s="4" t="s">
        <v>35</v>
      </c>
      <c r="R1" s="4" t="s">
        <v>36</v>
      </c>
      <c r="S1" s="4" t="s">
        <v>37</v>
      </c>
      <c r="T1" s="4" t="s">
        <v>428</v>
      </c>
      <c r="U1" s="4" t="s">
        <v>429</v>
      </c>
      <c r="V1" s="4" t="s">
        <v>38</v>
      </c>
      <c r="W1" s="19" t="s">
        <v>39</v>
      </c>
      <c r="X1" s="4" t="s">
        <v>40</v>
      </c>
      <c r="Y1" s="4" t="s">
        <v>41</v>
      </c>
      <c r="Z1" s="4" t="s">
        <v>42</v>
      </c>
      <c r="AA1" s="4" t="s">
        <v>43</v>
      </c>
      <c r="AB1" s="4" t="s">
        <v>44</v>
      </c>
      <c r="AC1" s="4" t="s">
        <v>45</v>
      </c>
      <c r="AD1" s="4" t="s">
        <v>46</v>
      </c>
      <c r="AE1" s="4" t="s">
        <v>47</v>
      </c>
      <c r="AF1" s="4" t="s">
        <v>48</v>
      </c>
      <c r="AG1" s="19" t="s">
        <v>49</v>
      </c>
      <c r="AH1" s="19" t="s">
        <v>50</v>
      </c>
      <c r="AI1" s="4" t="s">
        <v>51</v>
      </c>
      <c r="AJ1" s="4" t="s">
        <v>52</v>
      </c>
      <c r="AK1" s="4" t="s">
        <v>53</v>
      </c>
      <c r="AL1" s="4" t="s">
        <v>54</v>
      </c>
      <c r="AM1" s="4" t="s">
        <v>55</v>
      </c>
      <c r="AN1" s="4" t="s">
        <v>56</v>
      </c>
      <c r="AO1" s="4" t="s">
        <v>57</v>
      </c>
      <c r="AP1" s="4" t="s">
        <v>58</v>
      </c>
      <c r="AQ1" s="4" t="s">
        <v>59</v>
      </c>
      <c r="AR1" s="4" t="s">
        <v>60</v>
      </c>
      <c r="AS1" s="4" t="s">
        <v>61</v>
      </c>
      <c r="AT1" s="4" t="s">
        <v>62</v>
      </c>
      <c r="AU1" s="4" t="s">
        <v>63</v>
      </c>
      <c r="AV1" s="4" t="s">
        <v>64</v>
      </c>
      <c r="AW1" s="4" t="s">
        <v>65</v>
      </c>
      <c r="AX1" s="4" t="s">
        <v>66</v>
      </c>
      <c r="AY1" s="4" t="s">
        <v>67</v>
      </c>
      <c r="AZ1" s="4" t="s">
        <v>180</v>
      </c>
    </row>
    <row r="2" spans="1:52" x14ac:dyDescent="0.35">
      <c r="A2" s="13" t="s">
        <v>125</v>
      </c>
      <c r="B2" s="20">
        <f>MIN(MAX(0,(SUMPRODUCT(Oxides_min!$C2:$BB2,Factors!$C$9:$BB$9)+SUMPRODUCT(Oxides_max!$C2:$BB2,Factors!$C$9:$BB$9))/2),ABS(SUMPRODUCT(Oxides_max!$C2:$BB2,Factors!$C$9:$BB$9)-SUMPRODUCT(Oxides_min!$C2:$BB2,Factors!$C$9:$BB$9))/2)</f>
        <v>8.9785303134466101</v>
      </c>
      <c r="C2" s="20">
        <f>MIN(MAX(0,(SUMPRODUCT(Oxides_min!$C2:$BB2,Factors!$C$10:$BB$10)+SUMPRODUCT(Oxides_max!$C2:$BB2,Factors!$C$10:$BB$10))/2),ABS(SUMPRODUCT(Oxides_max!$C2:$BB2,Factors!$C$10:$BB$10)-SUMPRODUCT(Oxides_min!$C2:$BB2,Factors!$C$10:$BB$10))/2)</f>
        <v>1.1569058635554152</v>
      </c>
      <c r="D2" s="20">
        <f>MIN(MAX(0,(SUMPRODUCT(Oxides_min!$C2:$BB2,Factors!$C$11:$BB$11)+SUMPRODUCT(Oxides_max!$C2:$BB2,Factors!$C$11:$BB$11))/2),ABS(SUMPRODUCT(Oxides_max!$C2:$BB2,Factors!$C$11:$BB$11)-SUMPRODUCT(Oxides_min!$C2:$BB2,Factors!$C$11:$BB$11))/2)</f>
        <v>0</v>
      </c>
      <c r="E2" s="20">
        <f>MIN(MAX(0,(SUMPRODUCT(Oxides_min!$C2:$BB2,Factors!$C$12:$BB$12)+SUMPRODUCT(Oxides_max!$C2:$BB2,Factors!$C$12:$BB$12))/2),ABS(SUMPRODUCT(Oxides_max!$C2:$BB2,Factors!$C$12:$BB$12)-SUMPRODUCT(Oxides_min!$C2:$BB2,Factors!$C$12:$BB$12))/2)</f>
        <v>0</v>
      </c>
      <c r="F2" s="20">
        <f>MIN(MAX(0,(SUMPRODUCT(Oxides_min!$C2:$BB2,Factors!$C$13:$BB$13)+SUMPRODUCT(Oxides_max!$C2:$BB2,Factors!$C$13:$BB$13))/2),ABS(SUMPRODUCT(Oxides_max!$C2:$BB2,Factors!$C$13:$BB$13)-SUMPRODUCT(Oxides_min!$C2:$BB2,Factors!$C$13:$BB$13))/2)</f>
        <v>0</v>
      </c>
      <c r="G2" s="20">
        <f>MIN(MAX(0,(SUMPRODUCT(Oxides_min!$C2:$BB2,Factors!$C$14:$BB$14)+SUMPRODUCT(Oxides_max!$C2:$BB2,Factors!$C$14:$BB$14))/2),ABS(SUMPRODUCT(Oxides_max!$C2:$BB2,Factors!$C$14:$BB$14)-SUMPRODUCT(Oxides_min!$C2:$BB2,Factors!$C$14:$BB$14))/2)</f>
        <v>0</v>
      </c>
      <c r="H2" s="20">
        <f>MIN(MAX(0,(SUMPRODUCT(Oxides_min!$C2:$BB2,Factors!$C$15:$BB$15)+SUMPRODUCT(Oxides_max!$C2:$BB2,Factors!$C$15:$BB$15))/2),ABS(SUMPRODUCT(Oxides_max!$C2:$BB2,Factors!$C$15:$BB$15)-SUMPRODUCT(Oxides_min!$C2:$BB2,Factors!$C$15:$BB$15))/2)</f>
        <v>7.9388539006301453E-2</v>
      </c>
      <c r="I2" s="20">
        <f>MIN(MAX(0,(SUMPRODUCT(Oxides_min!$C2:$BB2,Factors!$C$16:$BB$16)+SUMPRODUCT(Oxides_max!$C2:$BB2,Factors!$C$16:$BB$16))/2),ABS(SUMPRODUCT(Oxides_max!$C2:$BB2,Factors!$C$16:$BB$16)-SUMPRODUCT(Oxides_min!$C2:$BB2,Factors!$C$16:$BB$16))/2)</f>
        <v>0.19432729246701186</v>
      </c>
      <c r="J2" s="20">
        <f>MIN(MAX(0,(SUMPRODUCT(Oxides_min!$C2:$BB2,Factors!$C$17:$BB$17)+SUMPRODUCT(Oxides_max!$C2:$BB2,Factors!$C$17:$BB$17))/2),ABS(SUMPRODUCT(Oxides_max!$C2:$BB2,Factors!$C$17:$BB$17)-SUMPRODUCT(Oxides_min!$C2:$BB2,Factors!$C$17:$BB$17))/2)</f>
        <v>0</v>
      </c>
      <c r="K2" s="20">
        <f>MIN(MAX(0,(SUMPRODUCT(Oxides_min!$C2:$BB2,Factors!$C$18:$BB$18)+SUMPRODUCT(Oxides_max!$C2:$BB2,Factors!$C$18:$BB$18))/2),ABS(SUMPRODUCT(Oxides_max!$C2:$BB2,Factors!$C$18:$BB$18)-SUMPRODUCT(Oxides_min!$C2:$BB2,Factors!$C$18:$BB$18))/2)</f>
        <v>0</v>
      </c>
      <c r="L2" s="20">
        <f>MIN(MAX(0,(SUMPRODUCT(Oxides_min!$C2:$BB2,Factors!$C$19:$BB$19)+SUMPRODUCT(Oxides_max!$C2:$BB2,Factors!$C$19:$BB$19))/2),ABS(SUMPRODUCT(Oxides_max!$C2:$BB2,Factors!$C$19:$BB$19)-SUMPRODUCT(Oxides_min!$C2:$BB2,Factors!$C$19:$BB$19))/2)</f>
        <v>0</v>
      </c>
      <c r="M2" s="20">
        <f>MIN(MAX(0,(SUMPRODUCT(Oxides_min!$C2:$BB2,Factors!$C$20:$BB$20)+SUMPRODUCT(Oxides_max!$C2:$BB2,Factors!$C$20:$BB$20))/2),ABS(SUMPRODUCT(Oxides_max!$C2:$BB2,Factors!$C$20:$BB$20)-SUMPRODUCT(Oxides_min!$C2:$BB2,Factors!$C$20:$BB$20))/2)</f>
        <v>0</v>
      </c>
      <c r="N2" s="20">
        <f>MIN(MAX(0,(SUMPRODUCT(Oxides_min!$C2:$BB2,Factors!$C$21:$BB$21)+SUMPRODUCT(Oxides_max!$C2:$BB2,Factors!$C$21:$BB$21))/2),ABS(SUMPRODUCT(Oxides_max!$C2:$BB2,Factors!$C$21:$BB$21)-SUMPRODUCT(Oxides_min!$C2:$BB2,Factors!$C$21:$BB$21))/2)</f>
        <v>1.3936569359987159</v>
      </c>
      <c r="O2" s="20">
        <f>MIN(MAX(0,(SUMPRODUCT(Oxides_min!$C2:$BB2,Factors!$C$22:$BB$22)+SUMPRODUCT(Oxides_max!$C2:$BB2,Factors!$C$22:$BB$22))/2),ABS(SUMPRODUCT(Oxides_max!$C2:$BB2,Factors!$C$22:$BB$22)-SUMPRODUCT(Oxides_min!$C2:$BB2,Factors!$C$22:$BB$22))/2)</f>
        <v>0.12683967226087881</v>
      </c>
      <c r="P2" s="20">
        <f>MIN(MAX(0,(SUMPRODUCT(Oxides_min!$C2:$BB2,Factors!$C$23:$BB$23)+SUMPRODUCT(Oxides_max!$C2:$BB2,Factors!$C$23:$BB$23))/2),ABS(SUMPRODUCT(Oxides_max!$C2:$BB2,Factors!$C$23:$BB$23)-SUMPRODUCT(Oxides_min!$C2:$BB2,Factors!$C$23:$BB$23))/2)</f>
        <v>0</v>
      </c>
      <c r="Q2" s="20">
        <f>MIN(MAX(0,(SUMPRODUCT(Oxides_min!$C2:$BB2,Factors!$C$24:$BB$24)+SUMPRODUCT(Oxides_max!$C2:$BB2,Factors!$C$24:$BB$24))/2),ABS(SUMPRODUCT(Oxides_max!$C2:$BB2,Factors!$C$24:$BB$24)-SUMPRODUCT(Oxides_min!$C2:$BB2,Factors!$C$24:$BB$24))/2)</f>
        <v>0.69159808063656203</v>
      </c>
      <c r="R2" s="20">
        <f>MIN(MAX(0,(SUMPRODUCT(Oxides_min!$C2:$BB2,Factors!$C$25:$BB$25)+SUMPRODUCT(Oxides_max!$C2:$BB2,Factors!$C$25:$BB$25))/2),ABS(SUMPRODUCT(Oxides_max!$C2:$BB2,Factors!$C$25:$BB$25)-SUMPRODUCT(Oxides_min!$C2:$BB2,Factors!$C$25:$BB$25))/2)</f>
        <v>0</v>
      </c>
      <c r="S2" s="20">
        <f>MIN(MAX(0,(SUMPRODUCT(Oxides_min!$C2:$BB2,Factors!$C$26:$BB$26)+SUMPRODUCT(Oxides_max!$C2:$BB2,Factors!$C$26:$BB$26))/2),ABS(SUMPRODUCT(Oxides_max!$C2:$BB2,Factors!$C$26:$BB$26)-SUMPRODUCT(Oxides_min!$C2:$BB2,Factors!$C$26:$BB$26))/2)</f>
        <v>0</v>
      </c>
      <c r="T2" s="20">
        <f>MIN(MAX(0,(SUMPRODUCT(Oxides_min!$C2:$BB2,Factors!$C$27:$BB$27)+SUMPRODUCT(Oxides_max!$C2:$BB2,Factors!$C$27:$BB$27))/2),ABS(SUMPRODUCT(Oxides_max!$C2:$BB2,Factors!$C$27:$BB$27)-SUMPRODUCT(Oxides_min!$C2:$BB2,Factors!$C$27:$BB$27))/2)</f>
        <v>0</v>
      </c>
      <c r="U2" s="20">
        <f>MIN(MAX(0,(SUMPRODUCT(Oxides_min!$C2:$BB2,Factors!$C$28:$BB$28)+SUMPRODUCT(Oxides_max!$C2:$BB2,Factors!$C$28:$BB$28))/2),ABS(SUMPRODUCT(Oxides_max!$C2:$BB2,Factors!$C$28:$BB$28)-SUMPRODUCT(Oxides_min!$C2:$BB2,Factors!$C$28:$BB$28))/2)</f>
        <v>0</v>
      </c>
      <c r="V2" s="20">
        <f>MIN(MAX(0,(SUMPRODUCT(Oxides_min!$C2:$BB2,Factors!$C$29:$BB$29)+SUMPRODUCT(Oxides_max!$C2:$BB2,Factors!$C$29:$BB$29))/2),ABS(SUMPRODUCT(Oxides_max!$C2:$BB2,Factors!$C$29:$BB$29)-SUMPRODUCT(Oxides_min!$C2:$BB2,Factors!$C$29:$BB$29))/2)</f>
        <v>0</v>
      </c>
      <c r="W2" s="20">
        <f>MIN(MAX(0,(SUMPRODUCT(Oxides_min!$C2:$BB2,Factors!$C$30:$BB$30)+SUMPRODUCT(Oxides_max!$C2:$BB2,Factors!$C$30:$BB$30))/2),ABS(SUMPRODUCT(Oxides_max!$C2:$BB2,Factors!$C$30:$BB$30)-SUMPRODUCT(Oxides_min!$C2:$BB2,Factors!$C$30:$BB$30))/2)</f>
        <v>0</v>
      </c>
      <c r="X2" s="20">
        <f>MIN(MAX(0,(SUMPRODUCT(Oxides_min!$C2:$BB2,Factors!$C$31:$BB$31)+SUMPRODUCT(Oxides_max!$C2:$BB2,Factors!$C$31:$BB$31))/2),ABS(SUMPRODUCT(Oxides_max!$C2:$BB2,Factors!$C$31:$BB$31)-SUMPRODUCT(Oxides_min!$C2:$BB2,Factors!$C$31:$BB$31))/2)</f>
        <v>0</v>
      </c>
      <c r="Y2" s="20">
        <f>MIN(MAX(0,(SUMPRODUCT(Oxides_min!$C2:$BB2,Factors!$C$32:$BB$32)+SUMPRODUCT(Oxides_max!$C2:$BB2,Factors!$C$32:$BB$32))/2),ABS(SUMPRODUCT(Oxides_max!$C2:$BB2,Factors!$C$32:$BB$32)-SUMPRODUCT(Oxides_min!$C2:$BB2,Factors!$C$32:$BB$32))/2)</f>
        <v>0</v>
      </c>
      <c r="Z2" s="20">
        <f>MIN(MAX(0,(SUMPRODUCT(Oxides_min!$C2:$BB2,Factors!$C$33:$BB$33)+SUMPRODUCT(Oxides_max!$C2:$BB2,Factors!$C$33:$BB$33))/2),ABS(SUMPRODUCT(Oxides_max!$C2:$BB2,Factors!$C$33:$BB$33)-SUMPRODUCT(Oxides_min!$C2:$BB2,Factors!$C$33:$BB$33))/2)</f>
        <v>1.3092804520880374</v>
      </c>
      <c r="AA2" s="20">
        <f>MIN(MAX(0,(SUMPRODUCT(Oxides_min!$C2:$BB2,Factors!$C$34:$BB$34)+SUMPRODUCT(Oxides_max!$C2:$BB2,Factors!$C$34:$BB$34))/2),ABS(SUMPRODUCT(Oxides_max!$C2:$BB2,Factors!$C$34:$BB$34)-SUMPRODUCT(Oxides_min!$C2:$BB2,Factors!$C$34:$BB$34))/2)</f>
        <v>0</v>
      </c>
      <c r="AB2" s="20">
        <f>MIN(MAX(0,(SUMPRODUCT(Oxides_min!$C2:$BB2,Factors!$C$35:$BB$35)+SUMPRODUCT(Oxides_max!$C2:$BB2,Factors!$C$35:$BB$35))/2),ABS(SUMPRODUCT(Oxides_max!$C2:$BB2,Factors!$C$35:$BB$35)-SUMPRODUCT(Oxides_min!$C2:$BB2,Factors!$C$35:$BB$35))/2)</f>
        <v>0.10011616723084803</v>
      </c>
      <c r="AC2" s="20">
        <f>MIN(MAX(0,(SUMPRODUCT(Oxides_min!$C2:$BB2,Factors!$C$36:$BB$36)+SUMPRODUCT(Oxides_max!$C2:$BB2,Factors!$C$36:$BB$36))/2),ABS(SUMPRODUCT(Oxides_max!$C2:$BB2,Factors!$C$36:$BB$36)-SUMPRODUCT(Oxides_min!$C2:$BB2,Factors!$C$36:$BB$36))/2)</f>
        <v>0</v>
      </c>
      <c r="AD2" s="20">
        <f>MIN(MAX(0,(SUMPRODUCT(Oxides_min!$C2:$BB2,Factors!$C$37:$BB$37)+SUMPRODUCT(Oxides_max!$C2:$BB2,Factors!$C$37:$BB$37))/2),ABS(SUMPRODUCT(Oxides_max!$C2:$BB2,Factors!$C$37:$BB$37)-SUMPRODUCT(Oxides_min!$C2:$BB2,Factors!$C$37:$BB$37))/2)</f>
        <v>0</v>
      </c>
      <c r="AE2" s="20">
        <f>MIN(MAX(0,(SUMPRODUCT(Oxides_min!$C2:$BB2,Factors!$C$38:$BB$38)+SUMPRODUCT(Oxides_max!$C2:$BB2,Factors!$C$38:$BB$38))/2),ABS(SUMPRODUCT(Oxides_max!$C2:$BB2,Factors!$C$38:$BB$38)-SUMPRODUCT(Oxides_min!$C2:$BB2,Factors!$C$38:$BB$38))/2)</f>
        <v>0</v>
      </c>
      <c r="AF2" s="20">
        <f>MIN(MAX(0,(SUMPRODUCT(Oxides_min!$C2:$BB2,Factors!$C$39:$BB$39)+SUMPRODUCT(Oxides_max!$C2:$BB2,Factors!$C$39:$BB$39))/2),ABS(SUMPRODUCT(Oxides_max!$C2:$BB2,Factors!$C$39:$BB$39)-SUMPRODUCT(Oxides_min!$C2:$BB2,Factors!$C$39:$BB$39))/2)</f>
        <v>0</v>
      </c>
      <c r="AG2" s="20">
        <f>MIN(MAX(0,(SUMPRODUCT(Oxides_min!$C2:$BB2,Factors!$C$40:$BB$40)+SUMPRODUCT(Oxides_max!$C2:$BB2,Factors!$C$40:$BB$40))/2),ABS(SUMPRODUCT(Oxides_max!$C2:$BB2,Factors!$C$40:$BB$40)-SUMPRODUCT(Oxides_min!$C2:$BB2,Factors!$C$40:$BB$40))/2)</f>
        <v>8.3487125036500736</v>
      </c>
      <c r="AH2" s="20">
        <f>MIN(MAX(0,(SUMPRODUCT(Oxides_min!$C2:$BB2,Factors!$C$41:$BB$41)+SUMPRODUCT(Oxides_max!$C2:$BB2,Factors!$C$41:$BB$41))/2),ABS(SUMPRODUCT(Oxides_max!$C2:$BB2,Factors!$C$41:$BB$41)-SUMPRODUCT(Oxides_min!$C2:$BB2,Factors!$C$41:$BB$41))/2)</f>
        <v>0.88150069931919006</v>
      </c>
      <c r="AI2" s="20">
        <f>MIN(MAX(0,(SUMPRODUCT(Oxides_min!$C2:$BB2,Factors!$C$42:$BB$42)+SUMPRODUCT(Oxides_max!$C2:$BB2,Factors!$C$42:$BB$42))/2),ABS(SUMPRODUCT(Oxides_max!$C2:$BB2,Factors!$C$42:$BB$42)-SUMPRODUCT(Oxides_min!$C2:$BB2,Factors!$C$42:$BB$42))/2)</f>
        <v>0</v>
      </c>
      <c r="AJ2" s="20">
        <f>MIN(MAX(0,(SUMPRODUCT(Oxides_min!$C2:$BB2,Factors!$C$43:$BB$43)+SUMPRODUCT(Oxides_max!$C2:$BB2,Factors!$C$43:$BB$43))/2),ABS(SUMPRODUCT(Oxides_max!$C2:$BB2,Factors!$C$43:$BB$43)-SUMPRODUCT(Oxides_min!$C2:$BB2,Factors!$C$43:$BB$43))/2)</f>
        <v>1.5748879095347443</v>
      </c>
      <c r="AK2" s="20">
        <f>MIN(MAX(0,(SUMPRODUCT(Oxides_min!$C2:$BB2,Factors!$C$44:$BB$44)+SUMPRODUCT(Oxides_max!$C2:$BB2,Factors!$C$44:$BB$44))/2),ABS(SUMPRODUCT(Oxides_max!$C2:$BB2,Factors!$C$44:$BB$44)-SUMPRODUCT(Oxides_min!$C2:$BB2,Factors!$C$44:$BB$44))/2)</f>
        <v>5.9687820376630478</v>
      </c>
      <c r="AL2" s="20">
        <f>MIN(MAX(0,(SUMPRODUCT(Oxides_min!$C2:$BB2,Factors!$C$45:$BB$45)+SUMPRODUCT(Oxides_max!$C2:$BB2,Factors!$C$45:$BB$45))/2),ABS(SUMPRODUCT(Oxides_max!$C2:$BB2,Factors!$C$45:$BB$45)-SUMPRODUCT(Oxides_min!$C2:$BB2,Factors!$C$45:$BB$45))/2)</f>
        <v>5.1226186595334351</v>
      </c>
      <c r="AM2" s="20">
        <f>MIN(MAX(0,(SUMPRODUCT(Oxides_min!$C2:$BB2,Factors!$C$46:$BB$46)+SUMPRODUCT(Oxides_max!$C2:$BB2,Factors!$C$46:$BB$46))/2),ABS(SUMPRODUCT(Oxides_max!$C2:$BB2,Factors!$C$46:$BB$46)-SUMPRODUCT(Oxides_min!$C2:$BB2,Factors!$C$46:$BB$46))/2)</f>
        <v>1.2817076693799674</v>
      </c>
      <c r="AN2" s="20">
        <f>MIN(MAX(0,(SUMPRODUCT(Oxides_min!$C2:$BB2,Factors!$C$47:$BB$47)+SUMPRODUCT(Oxides_max!$C2:$BB2,Factors!$C$47:$BB$47))/2),ABS(SUMPRODUCT(Oxides_max!$C2:$BB2,Factors!$C$47:$BB$47)-SUMPRODUCT(Oxides_min!$C2:$BB2,Factors!$C$47:$BB$47))/2)</f>
        <v>3.4294239496435157</v>
      </c>
      <c r="AO2" s="20">
        <f>MIN(MAX(0,(SUMPRODUCT(Oxides_min!$C2:$BB2,Factors!$C$48:$BB$48)+SUMPRODUCT(Oxides_max!$C2:$BB2,Factors!$C$48:$BB$48))/2),ABS(SUMPRODUCT(Oxides_max!$C2:$BB2,Factors!$C$48:$BB$48)-SUMPRODUCT(Oxides_min!$C2:$BB2,Factors!$C$48:$BB$48))/2)</f>
        <v>1.6384862223522225</v>
      </c>
      <c r="AP2" s="20">
        <f>MIN(MAX(0,(SUMPRODUCT(Oxides_min!$C2:$BB2,Factors!$C$49:$BB$49)+SUMPRODUCT(Oxides_max!$C2:$BB2,Factors!$C$49:$BB$49))/2),ABS(SUMPRODUCT(Oxides_max!$C2:$BB2,Factors!$C$49:$BB$49)-SUMPRODUCT(Oxides_min!$C2:$BB2,Factors!$C$49:$BB$49))/2)</f>
        <v>0.12954237408538749</v>
      </c>
      <c r="AQ2" s="20">
        <f>MIN(MAX(0,(SUMPRODUCT(Oxides_min!$C2:$BB2,Factors!$C$50:$BB$50)+SUMPRODUCT(Oxides_max!$C2:$BB2,Factors!$C$50:$BB$50))/2),ABS(SUMPRODUCT(Oxides_max!$C2:$BB2,Factors!$C$50:$BB$50)-SUMPRODUCT(Oxides_min!$C2:$BB2,Factors!$C$50:$BB$50))/2)</f>
        <v>1.2797002457951376</v>
      </c>
      <c r="AR2" s="20">
        <f>MIN(MAX(0,(SUMPRODUCT(Oxides_min!$C2:$BB2,Factors!$C$51:$BB$51)+SUMPRODUCT(Oxides_max!$C2:$BB2,Factors!$C$51:$BB$51))/2),ABS(SUMPRODUCT(Oxides_max!$C2:$BB2,Factors!$C$51:$BB$51)-SUMPRODUCT(Oxides_min!$C2:$BB2,Factors!$C$51:$BB$51))/2)</f>
        <v>0.13032090949321259</v>
      </c>
      <c r="AS2" s="20">
        <f>MIN(MAX(0,(SUMPRODUCT(Oxides_min!$C2:$BB2,Factors!$C$52:$BB$52)+SUMPRODUCT(Oxides_max!$C2:$BB2,Factors!$C$52:$BB$52))/2),ABS(SUMPRODUCT(Oxides_max!$C2:$BB2,Factors!$C$52:$BB$52)-SUMPRODUCT(Oxides_min!$C2:$BB2,Factors!$C$52:$BB$52))/2)</f>
        <v>0.6534905106475386</v>
      </c>
      <c r="AT2" s="20">
        <f>MIN(MAX(0,(SUMPRODUCT(Oxides_min!$C2:$BB2,Factors!$C$53:$BB$53)+SUMPRODUCT(Oxides_max!$C2:$BB2,Factors!$C$53:$BB$53))/2),ABS(SUMPRODUCT(Oxides_max!$C2:$BB2,Factors!$C$53:$BB$53)-SUMPRODUCT(Oxides_min!$C2:$BB2,Factors!$C$53:$BB$53))/2)</f>
        <v>0.1309463965875404</v>
      </c>
      <c r="AU2" s="20">
        <f>MIN(MAX(0,(SUMPRODUCT(Oxides_min!$C2:$BB2,Factors!$C$54:$BB$54)+SUMPRODUCT(Oxides_max!$C2:$BB2,Factors!$C$54:$BB$54))/2),ABS(SUMPRODUCT(Oxides_max!$C2:$BB2,Factors!$C$54:$BB$54)-SUMPRODUCT(Oxides_min!$C2:$BB2,Factors!$C$54:$BB$54))/2)</f>
        <v>0.21863064193561035</v>
      </c>
      <c r="AV2" s="20">
        <f>MIN(MAX(0,(SUMPRODUCT(Oxides_min!$C2:$BB2,Factors!$C$55:$BB$55)+SUMPRODUCT(Oxides_max!$C2:$BB2,Factors!$C$55:$BB$55))/2),ABS(SUMPRODUCT(Oxides_max!$C2:$BB2,Factors!$C$55:$BB$55)-SUMPRODUCT(Oxides_min!$C2:$BB2,Factors!$C$55:$BB$55))/2)</f>
        <v>2.1890301966405699E-2</v>
      </c>
      <c r="AW2" s="20">
        <f>MIN(MAX(0,(SUMPRODUCT(Oxides_min!$C2:$BB2,Factors!$C$56:$BB$56)+SUMPRODUCT(Oxides_max!$C2:$BB2,Factors!$C$56:$BB$56))/2),ABS(SUMPRODUCT(Oxides_max!$C2:$BB2,Factors!$C$56:$BB$56)-SUMPRODUCT(Oxides_min!$C2:$BB2,Factors!$C$56:$BB$56))/2)</f>
        <v>0.13173106446038566</v>
      </c>
      <c r="AX2" s="20">
        <f>MIN(MAX(0,(SUMPRODUCT(Oxides_min!$C2:$BB2,Factors!$C$57:$BB$57)+SUMPRODUCT(Oxides_max!$C2:$BB2,Factors!$C$57:$BB$57))/2),ABS(SUMPRODUCT(Oxides_max!$C2:$BB2,Factors!$C$57:$BB$57)-SUMPRODUCT(Oxides_min!$C2:$BB2,Factors!$C$57:$BB$57))/2)</f>
        <v>2.1984587262200997E-2</v>
      </c>
      <c r="AY2" s="20">
        <f>MIN(MAX(0,(SUMPRODUCT(Oxides_min!$C2:$BB2,Factors!$C$58:$BB$58)+SUMPRODUCT(Oxides_max!$C2:$BB2,Factors!$C$58:$BB$58))/2),ABS(SUMPRODUCT(Oxides_max!$C2:$BB2,Factors!$C$58:$BB$58)-SUMPRODUCT(Oxides_min!$C2:$BB2,Factors!$C$58:$BB$58))/2)</f>
        <v>0</v>
      </c>
      <c r="AZ2" s="18">
        <f t="shared" ref="AZ2:AZ26" si="0">SUM(B2:AY2)</f>
        <v>44.994999999999997</v>
      </c>
    </row>
    <row r="3" spans="1:52" x14ac:dyDescent="0.35">
      <c r="A3" s="13" t="s">
        <v>127</v>
      </c>
      <c r="B3" s="20">
        <f>MIN(MAX(0,(SUMPRODUCT(Oxides_min!$C3:$BB3,Factors!$C$9:$BB$9)+SUMPRODUCT(Oxides_max!$C3:$BB3,Factors!$C$9:$BB$9))/2),ABS(SUMPRODUCT(Oxides_max!$C3:$BB3,Factors!$C$9:$BB$9)-SUMPRODUCT(Oxides_min!$C3:$BB3,Factors!$C$9:$BB$9))/2)</f>
        <v>6.4761846257776163</v>
      </c>
      <c r="C3" s="20">
        <f>MIN(MAX(0,(SUMPRODUCT(Oxides_min!$C3:$BB3,Factors!$C$10:$BB$10)+SUMPRODUCT(Oxides_max!$C3:$BB3,Factors!$C$10:$BB$10))/2),ABS(SUMPRODUCT(Oxides_max!$C3:$BB3,Factors!$C$10:$BB$10)-SUMPRODUCT(Oxides_min!$C3:$BB3,Factors!$C$10:$BB$10))/2)</f>
        <v>0.23371835627382123</v>
      </c>
      <c r="D3" s="20">
        <f>MIN(MAX(0,(SUMPRODUCT(Oxides_min!$C3:$BB3,Factors!$C$11:$BB$11)+SUMPRODUCT(Oxides_max!$C3:$BB3,Factors!$C$11:$BB$11))/2),ABS(SUMPRODUCT(Oxides_max!$C3:$BB3,Factors!$C$11:$BB$11)-SUMPRODUCT(Oxides_min!$C3:$BB3,Factors!$C$11:$BB$11))/2)</f>
        <v>0</v>
      </c>
      <c r="E3" s="20">
        <f>MIN(MAX(0,(SUMPRODUCT(Oxides_min!$C3:$BB3,Factors!$C$12:$BB$12)+SUMPRODUCT(Oxides_max!$C3:$BB3,Factors!$C$12:$BB$12))/2),ABS(SUMPRODUCT(Oxides_max!$C3:$BB3,Factors!$C$12:$BB$12)-SUMPRODUCT(Oxides_min!$C3:$BB3,Factors!$C$12:$BB$12))/2)</f>
        <v>0</v>
      </c>
      <c r="F3" s="20">
        <f>MIN(MAX(0,(SUMPRODUCT(Oxides_min!$C3:$BB3,Factors!$C$13:$BB$13)+SUMPRODUCT(Oxides_max!$C3:$BB3,Factors!$C$13:$BB$13))/2),ABS(SUMPRODUCT(Oxides_max!$C3:$BB3,Factors!$C$13:$BB$13)-SUMPRODUCT(Oxides_min!$C3:$BB3,Factors!$C$13:$BB$13))/2)</f>
        <v>0</v>
      </c>
      <c r="G3" s="20">
        <f>MIN(MAX(0,(SUMPRODUCT(Oxides_min!$C3:$BB3,Factors!$C$14:$BB$14)+SUMPRODUCT(Oxides_max!$C3:$BB3,Factors!$C$14:$BB$14))/2),ABS(SUMPRODUCT(Oxides_max!$C3:$BB3,Factors!$C$14:$BB$14)-SUMPRODUCT(Oxides_min!$C3:$BB3,Factors!$C$14:$BB$14))/2)</f>
        <v>0</v>
      </c>
      <c r="H3" s="20">
        <f>MIN(MAX(0,(SUMPRODUCT(Oxides_min!$C3:$BB3,Factors!$C$15:$BB$15)+SUMPRODUCT(Oxides_max!$C3:$BB3,Factors!$C$15:$BB$15))/2),ABS(SUMPRODUCT(Oxides_max!$C3:$BB3,Factors!$C$15:$BB$15)-SUMPRODUCT(Oxides_min!$C3:$BB3,Factors!$C$15:$BB$15))/2)</f>
        <v>0</v>
      </c>
      <c r="I3" s="20">
        <f>MIN(MAX(0,(SUMPRODUCT(Oxides_min!$C3:$BB3,Factors!$C$16:$BB$16)+SUMPRODUCT(Oxides_max!$C3:$BB3,Factors!$C$16:$BB$16))/2),ABS(SUMPRODUCT(Oxides_max!$C3:$BB3,Factors!$C$16:$BB$16)-SUMPRODUCT(Oxides_min!$C3:$BB3,Factors!$C$16:$BB$16))/2)</f>
        <v>0.23319275096041422</v>
      </c>
      <c r="J3" s="20">
        <f>MIN(MAX(0,(SUMPRODUCT(Oxides_min!$C3:$BB3,Factors!$C$17:$BB$17)+SUMPRODUCT(Oxides_max!$C3:$BB3,Factors!$C$17:$BB$17))/2),ABS(SUMPRODUCT(Oxides_max!$C3:$BB3,Factors!$C$17:$BB$17)-SUMPRODUCT(Oxides_min!$C3:$BB3,Factors!$C$17:$BB$17))/2)</f>
        <v>0</v>
      </c>
      <c r="K3" s="20">
        <f>MIN(MAX(0,(SUMPRODUCT(Oxides_min!$C3:$BB3,Factors!$C$18:$BB$18)+SUMPRODUCT(Oxides_max!$C3:$BB3,Factors!$C$18:$BB$18))/2),ABS(SUMPRODUCT(Oxides_max!$C3:$BB3,Factors!$C$18:$BB$18)-SUMPRODUCT(Oxides_min!$C3:$BB3,Factors!$C$18:$BB$18))/2)</f>
        <v>0</v>
      </c>
      <c r="L3" s="20">
        <f>MIN(MAX(0,(SUMPRODUCT(Oxides_min!$C3:$BB3,Factors!$C$19:$BB$19)+SUMPRODUCT(Oxides_max!$C3:$BB3,Factors!$C$19:$BB$19))/2),ABS(SUMPRODUCT(Oxides_max!$C3:$BB3,Factors!$C$19:$BB$19)-SUMPRODUCT(Oxides_min!$C3:$BB3,Factors!$C$19:$BB$19))/2)</f>
        <v>0</v>
      </c>
      <c r="M3" s="20">
        <f>MIN(MAX(0,(SUMPRODUCT(Oxides_min!$C3:$BB3,Factors!$C$20:$BB$20)+SUMPRODUCT(Oxides_max!$C3:$BB3,Factors!$C$20:$BB$20))/2),ABS(SUMPRODUCT(Oxides_max!$C3:$BB3,Factors!$C$20:$BB$20)-SUMPRODUCT(Oxides_min!$C3:$BB3,Factors!$C$20:$BB$20))/2)</f>
        <v>0</v>
      </c>
      <c r="N3" s="20">
        <f>MIN(MAX(0,(SUMPRODUCT(Oxides_min!$C3:$BB3,Factors!$C$21:$BB$21)+SUMPRODUCT(Oxides_max!$C3:$BB3,Factors!$C$21:$BB$21))/2),ABS(SUMPRODUCT(Oxides_max!$C3:$BB3,Factors!$C$21:$BB$21)-SUMPRODUCT(Oxides_min!$C3:$BB3,Factors!$C$21:$BB$21))/2)</f>
        <v>0.8933698307684077</v>
      </c>
      <c r="O3" s="20">
        <f>MIN(MAX(0,(SUMPRODUCT(Oxides_min!$C3:$BB3,Factors!$C$22:$BB$22)+SUMPRODUCT(Oxides_max!$C3:$BB3,Factors!$C$22:$BB$22))/2),ABS(SUMPRODUCT(Oxides_max!$C3:$BB3,Factors!$C$22:$BB$22)-SUMPRODUCT(Oxides_min!$C3:$BB3,Factors!$C$22:$BB$22))/2)</f>
        <v>0.4227989075362627</v>
      </c>
      <c r="P3" s="20">
        <f>MIN(MAX(0,(SUMPRODUCT(Oxides_min!$C3:$BB3,Factors!$C$23:$BB$23)+SUMPRODUCT(Oxides_max!$C3:$BB3,Factors!$C$23:$BB$23))/2),ABS(SUMPRODUCT(Oxides_max!$C3:$BB3,Factors!$C$23:$BB$23)-SUMPRODUCT(Oxides_min!$C3:$BB3,Factors!$C$23:$BB$23))/2)</f>
        <v>0.44782685258860205</v>
      </c>
      <c r="Q3" s="20">
        <f>MIN(MAX(0,(SUMPRODUCT(Oxides_min!$C3:$BB3,Factors!$C$24:$BB$24)+SUMPRODUCT(Oxides_max!$C3:$BB3,Factors!$C$24:$BB$24))/2),ABS(SUMPRODUCT(Oxides_max!$C3:$BB3,Factors!$C$24:$BB$24)-SUMPRODUCT(Oxides_min!$C3:$BB3,Factors!$C$24:$BB$24))/2)</f>
        <v>0</v>
      </c>
      <c r="R3" s="20">
        <f>MIN(MAX(0,(SUMPRODUCT(Oxides_min!$C3:$BB3,Factors!$C$25:$BB$25)+SUMPRODUCT(Oxides_max!$C3:$BB3,Factors!$C$25:$BB$25))/2),ABS(SUMPRODUCT(Oxides_max!$C3:$BB3,Factors!$C$25:$BB$25)-SUMPRODUCT(Oxides_min!$C3:$BB3,Factors!$C$25:$BB$25))/2)</f>
        <v>0</v>
      </c>
      <c r="S3" s="20">
        <f>MIN(MAX(0,(SUMPRODUCT(Oxides_min!$C3:$BB3,Factors!$C$26:$BB$26)+SUMPRODUCT(Oxides_max!$C3:$BB3,Factors!$C$26:$BB$26))/2),ABS(SUMPRODUCT(Oxides_max!$C3:$BB3,Factors!$C$26:$BB$26)-SUMPRODUCT(Oxides_min!$C3:$BB3,Factors!$C$26:$BB$26))/2)</f>
        <v>0</v>
      </c>
      <c r="T3" s="20">
        <f>MIN(MAX(0,(SUMPRODUCT(Oxides_min!$C3:$BB3,Factors!$C$27:$BB$27)+SUMPRODUCT(Oxides_max!$C3:$BB3,Factors!$C$27:$BB$27))/2),ABS(SUMPRODUCT(Oxides_max!$C3:$BB3,Factors!$C$27:$BB$27)-SUMPRODUCT(Oxides_min!$C3:$BB3,Factors!$C$27:$BB$27))/2)</f>
        <v>0</v>
      </c>
      <c r="U3" s="20">
        <f>MIN(MAX(0,(SUMPRODUCT(Oxides_min!$C3:$BB3,Factors!$C$28:$BB$28)+SUMPRODUCT(Oxides_max!$C3:$BB3,Factors!$C$28:$BB$28))/2),ABS(SUMPRODUCT(Oxides_max!$C3:$BB3,Factors!$C$28:$BB$28)-SUMPRODUCT(Oxides_min!$C3:$BB3,Factors!$C$28:$BB$28))/2)</f>
        <v>0</v>
      </c>
      <c r="V3" s="20">
        <f>MIN(MAX(0,(SUMPRODUCT(Oxides_min!$C3:$BB3,Factors!$C$29:$BB$29)+SUMPRODUCT(Oxides_max!$C3:$BB3,Factors!$C$29:$BB$29))/2),ABS(SUMPRODUCT(Oxides_max!$C3:$BB3,Factors!$C$29:$BB$29)-SUMPRODUCT(Oxides_min!$C3:$BB3,Factors!$C$29:$BB$29))/2)</f>
        <v>0</v>
      </c>
      <c r="W3" s="20">
        <f>MIN(MAX(0,(SUMPRODUCT(Oxides_min!$C3:$BB3,Factors!$C$30:$BB$30)+SUMPRODUCT(Oxides_max!$C3:$BB3,Factors!$C$30:$BB$30))/2),ABS(SUMPRODUCT(Oxides_max!$C3:$BB3,Factors!$C$30:$BB$30)-SUMPRODUCT(Oxides_min!$C3:$BB3,Factors!$C$30:$BB$30))/2)</f>
        <v>0</v>
      </c>
      <c r="X3" s="20">
        <f>MIN(MAX(0,(SUMPRODUCT(Oxides_min!$C3:$BB3,Factors!$C$31:$BB$31)+SUMPRODUCT(Oxides_max!$C3:$BB3,Factors!$C$31:$BB$31))/2),ABS(SUMPRODUCT(Oxides_max!$C3:$BB3,Factors!$C$31:$BB$31)-SUMPRODUCT(Oxides_min!$C3:$BB3,Factors!$C$31:$BB$31))/2)</f>
        <v>0</v>
      </c>
      <c r="Y3" s="20">
        <f>MIN(MAX(0,(SUMPRODUCT(Oxides_min!$C3:$BB3,Factors!$C$32:$BB$32)+SUMPRODUCT(Oxides_max!$C3:$BB3,Factors!$C$32:$BB$32))/2),ABS(SUMPRODUCT(Oxides_max!$C3:$BB3,Factors!$C$32:$BB$32)-SUMPRODUCT(Oxides_min!$C3:$BB3,Factors!$C$32:$BB$32))/2)</f>
        <v>0</v>
      </c>
      <c r="Z3" s="20">
        <f>MIN(MAX(0,(SUMPRODUCT(Oxides_min!$C3:$BB3,Factors!$C$33:$BB$33)+SUMPRODUCT(Oxides_max!$C3:$BB3,Factors!$C$33:$BB$33))/2),ABS(SUMPRODUCT(Oxides_max!$C3:$BB3,Factors!$C$33:$BB$33)-SUMPRODUCT(Oxides_min!$C3:$BB3,Factors!$C$33:$BB$33))/2)</f>
        <v>0.13092804520880374</v>
      </c>
      <c r="AA3" s="20">
        <f>MIN(MAX(0,(SUMPRODUCT(Oxides_min!$C3:$BB3,Factors!$C$34:$BB$34)+SUMPRODUCT(Oxides_max!$C3:$BB3,Factors!$C$34:$BB$34))/2),ABS(SUMPRODUCT(Oxides_max!$C3:$BB3,Factors!$C$34:$BB$34)-SUMPRODUCT(Oxides_min!$C3:$BB3,Factors!$C$34:$BB$34))/2)</f>
        <v>0</v>
      </c>
      <c r="AB3" s="20">
        <f>MIN(MAX(0,(SUMPRODUCT(Oxides_min!$C3:$BB3,Factors!$C$35:$BB$35)+SUMPRODUCT(Oxides_max!$C3:$BB3,Factors!$C$35:$BB$35))/2),ABS(SUMPRODUCT(Oxides_max!$C3:$BB3,Factors!$C$35:$BB$35)-SUMPRODUCT(Oxides_min!$C3:$BB3,Factors!$C$35:$BB$35))/2)</f>
        <v>0</v>
      </c>
      <c r="AC3" s="20">
        <f>MIN(MAX(0,(SUMPRODUCT(Oxides_min!$C3:$BB3,Factors!$C$36:$BB$36)+SUMPRODUCT(Oxides_max!$C3:$BB3,Factors!$C$36:$BB$36))/2),ABS(SUMPRODUCT(Oxides_max!$C3:$BB3,Factors!$C$36:$BB$36)-SUMPRODUCT(Oxides_min!$C3:$BB3,Factors!$C$36:$BB$36))/2)</f>
        <v>0.34115180985707472</v>
      </c>
      <c r="AD3" s="20">
        <f>MIN(MAX(0,(SUMPRODUCT(Oxides_min!$C3:$BB3,Factors!$C$37:$BB$37)+SUMPRODUCT(Oxides_max!$C3:$BB3,Factors!$C$37:$BB$37))/2),ABS(SUMPRODUCT(Oxides_max!$C3:$BB3,Factors!$C$37:$BB$37)-SUMPRODUCT(Oxides_min!$C3:$BB3,Factors!$C$37:$BB$37))/2)</f>
        <v>0.11190674437968359</v>
      </c>
      <c r="AE3" s="20">
        <f>MIN(MAX(0,(SUMPRODUCT(Oxides_min!$C3:$BB3,Factors!$C$38:$BB$38)+SUMPRODUCT(Oxides_max!$C3:$BB3,Factors!$C$38:$BB$38))/2),ABS(SUMPRODUCT(Oxides_max!$C3:$BB3,Factors!$C$38:$BB$38)-SUMPRODUCT(Oxides_min!$C3:$BB3,Factors!$C$38:$BB$38))/2)</f>
        <v>2</v>
      </c>
      <c r="AF3" s="20">
        <f>MIN(MAX(0,(SUMPRODUCT(Oxides_min!$C3:$BB3,Factors!$C$39:$BB$39)+SUMPRODUCT(Oxides_max!$C3:$BB3,Factors!$C$39:$BB$39))/2),ABS(SUMPRODUCT(Oxides_max!$C3:$BB3,Factors!$C$39:$BB$39)-SUMPRODUCT(Oxides_min!$C3:$BB3,Factors!$C$39:$BB$39))/2)</f>
        <v>0</v>
      </c>
      <c r="AG3" s="20">
        <f>MIN(MAX(0,(SUMPRODUCT(Oxides_min!$C3:$BB3,Factors!$C$40:$BB$40)+SUMPRODUCT(Oxides_max!$C3:$BB3,Factors!$C$40:$BB$40))/2),ABS(SUMPRODUCT(Oxides_max!$C3:$BB3,Factors!$C$40:$BB$40)-SUMPRODUCT(Oxides_min!$C3:$BB3,Factors!$C$40:$BB$40))/2)</f>
        <v>1.0985148031118519</v>
      </c>
      <c r="AH3" s="20">
        <f>MIN(MAX(0,(SUMPRODUCT(Oxides_min!$C3:$BB3,Factors!$C$41:$BB$41)+SUMPRODUCT(Oxides_max!$C3:$BB3,Factors!$C$41:$BB$41))/2),ABS(SUMPRODUCT(Oxides_max!$C3:$BB3,Factors!$C$41:$BB$41)-SUMPRODUCT(Oxides_min!$C3:$BB3,Factors!$C$41:$BB$41))/2)</f>
        <v>2.2037517482979753E-2</v>
      </c>
      <c r="AI3" s="20">
        <f>MIN(MAX(0,(SUMPRODUCT(Oxides_min!$C3:$BB3,Factors!$C$42:$BB$42)+SUMPRODUCT(Oxides_max!$C3:$BB3,Factors!$C$42:$BB$42))/2),ABS(SUMPRODUCT(Oxides_max!$C3:$BB3,Factors!$C$42:$BB$42)-SUMPRODUCT(Oxides_min!$C3:$BB3,Factors!$C$42:$BB$42))/2)</f>
        <v>0</v>
      </c>
      <c r="AJ3" s="20">
        <f>MIN(MAX(0,(SUMPRODUCT(Oxides_min!$C3:$BB3,Factors!$C$43:$BB$43)+SUMPRODUCT(Oxides_max!$C3:$BB3,Factors!$C$43:$BB$43))/2),ABS(SUMPRODUCT(Oxides_max!$C3:$BB3,Factors!$C$43:$BB$43)-SUMPRODUCT(Oxides_min!$C3:$BB3,Factors!$C$43:$BB$43))/2)</f>
        <v>0.59058296607552907</v>
      </c>
      <c r="AK3" s="20">
        <f>MIN(MAX(0,(SUMPRODUCT(Oxides_min!$C3:$BB3,Factors!$C$44:$BB$44)+SUMPRODUCT(Oxides_max!$C3:$BB3,Factors!$C$44:$BB$44))/2),ABS(SUMPRODUCT(Oxides_max!$C3:$BB3,Factors!$C$44:$BB$44)-SUMPRODUCT(Oxides_min!$C3:$BB3,Factors!$C$44:$BB$44))/2)</f>
        <v>9.9337586769677841</v>
      </c>
      <c r="AL3" s="20">
        <f>MIN(MAX(0,(SUMPRODUCT(Oxides_min!$C3:$BB3,Factors!$C$45:$BB$45)+SUMPRODUCT(Oxides_max!$C3:$BB3,Factors!$C$45:$BB$45))/2),ABS(SUMPRODUCT(Oxides_max!$C3:$BB3,Factors!$C$45:$BB$45)-SUMPRODUCT(Oxides_min!$C3:$BB3,Factors!$C$45:$BB$45))/2)</f>
        <v>5.9763884361223401</v>
      </c>
      <c r="AM3" s="20">
        <f>MIN(MAX(0,(SUMPRODUCT(Oxides_min!$C3:$BB3,Factors!$C$46:$BB$46)+SUMPRODUCT(Oxides_max!$C3:$BB3,Factors!$C$46:$BB$46))/2),ABS(SUMPRODUCT(Oxides_max!$C3:$BB3,Factors!$C$46:$BB$46)-SUMPRODUCT(Oxides_min!$C3:$BB3,Factors!$C$46:$BB$46))/2)</f>
        <v>1.4953256142766285</v>
      </c>
      <c r="AN3" s="20">
        <f>MIN(MAX(0,(SUMPRODUCT(Oxides_min!$C3:$BB3,Factors!$C$47:$BB$47)+SUMPRODUCT(Oxides_max!$C3:$BB3,Factors!$C$47:$BB$47))/2),ABS(SUMPRODUCT(Oxides_max!$C3:$BB3,Factors!$C$47:$BB$47)-SUMPRODUCT(Oxides_min!$C3:$BB3,Factors!$C$47:$BB$47))/2)</f>
        <v>5.5728139181707137</v>
      </c>
      <c r="AO3" s="20">
        <f>MIN(MAX(0,(SUMPRODUCT(Oxides_min!$C3:$BB3,Factors!$C$48:$BB$48)+SUMPRODUCT(Oxides_max!$C3:$BB3,Factors!$C$48:$BB$48))/2),ABS(SUMPRODUCT(Oxides_max!$C3:$BB3,Factors!$C$48:$BB$48)-SUMPRODUCT(Oxides_min!$C3:$BB3,Factors!$C$48:$BB$48))/2)</f>
        <v>1.0348334035908775</v>
      </c>
      <c r="AP3" s="20">
        <f>MIN(MAX(0,(SUMPRODUCT(Oxides_min!$C3:$BB3,Factors!$C$49:$BB$49)+SUMPRODUCT(Oxides_max!$C3:$BB3,Factors!$C$49:$BB$49))/2),ABS(SUMPRODUCT(Oxides_max!$C3:$BB3,Factors!$C$49:$BB$49)-SUMPRODUCT(Oxides_min!$C3:$BB3,Factors!$C$49:$BB$49))/2)</f>
        <v>0.17272316544718336</v>
      </c>
      <c r="AQ3" s="20">
        <f>MIN(MAX(0,(SUMPRODUCT(Oxides_min!$C3:$BB3,Factors!$C$50:$BB$50)+SUMPRODUCT(Oxides_max!$C3:$BB3,Factors!$C$50:$BB$50))/2),ABS(SUMPRODUCT(Oxides_max!$C3:$BB3,Factors!$C$50:$BB$50)-SUMPRODUCT(Oxides_min!$C3:$BB3,Factors!$C$50:$BB$50))/2)</f>
        <v>0.52055603218785251</v>
      </c>
      <c r="AR3" s="20">
        <f>MIN(MAX(0,(SUMPRODUCT(Oxides_min!$C3:$BB3,Factors!$C$51:$BB$51)+SUMPRODUCT(Oxides_max!$C3:$BB3,Factors!$C$51:$BB$51))/2),ABS(SUMPRODUCT(Oxides_max!$C3:$BB3,Factors!$C$51:$BB$51)-SUMPRODUCT(Oxides_min!$C3:$BB3,Factors!$C$51:$BB$51))/2)</f>
        <v>0</v>
      </c>
      <c r="AS3" s="20">
        <f>MIN(MAX(0,(SUMPRODUCT(Oxides_min!$C3:$BB3,Factors!$C$52:$BB$52)+SUMPRODUCT(Oxides_max!$C3:$BB3,Factors!$C$52:$BB$52))/2),ABS(SUMPRODUCT(Oxides_max!$C3:$BB3,Factors!$C$52:$BB$52)-SUMPRODUCT(Oxides_min!$C3:$BB3,Factors!$C$52:$BB$52))/2)</f>
        <v>0.174264136172677</v>
      </c>
      <c r="AT3" s="20">
        <f>MIN(MAX(0,(SUMPRODUCT(Oxides_min!$C3:$BB3,Factors!$C$53:$BB$53)+SUMPRODUCT(Oxides_max!$C3:$BB3,Factors!$C$53:$BB$53))/2),ABS(SUMPRODUCT(Oxides_max!$C3:$BB3,Factors!$C$53:$BB$53)-SUMPRODUCT(Oxides_min!$C3:$BB3,Factors!$C$53:$BB$53))/2)</f>
        <v>0</v>
      </c>
      <c r="AU3" s="20">
        <f>MIN(MAX(0,(SUMPRODUCT(Oxides_min!$C3:$BB3,Factors!$C$54:$BB$54)+SUMPRODUCT(Oxides_max!$C3:$BB3,Factors!$C$54:$BB$54))/2),ABS(SUMPRODUCT(Oxides_max!$C3:$BB3,Factors!$C$54:$BB$54)-SUMPRODUCT(Oxides_min!$C3:$BB3,Factors!$C$54:$BB$54))/2)</f>
        <v>0</v>
      </c>
      <c r="AV3" s="20">
        <f>MIN(MAX(0,(SUMPRODUCT(Oxides_min!$C3:$BB3,Factors!$C$55:$BB$55)+SUMPRODUCT(Oxides_max!$C3:$BB3,Factors!$C$55:$BB$55))/2),ABS(SUMPRODUCT(Oxides_max!$C3:$BB3,Factors!$C$55:$BB$55)-SUMPRODUCT(Oxides_min!$C3:$BB3,Factors!$C$55:$BB$55))/2)</f>
        <v>0</v>
      </c>
      <c r="AW3" s="20">
        <f>MIN(MAX(0,(SUMPRODUCT(Oxides_min!$C3:$BB3,Factors!$C$56:$BB$56)+SUMPRODUCT(Oxides_max!$C3:$BB3,Factors!$C$56:$BB$56))/2),ABS(SUMPRODUCT(Oxides_max!$C3:$BB3,Factors!$C$56:$BB$56)-SUMPRODUCT(Oxides_min!$C3:$BB3,Factors!$C$56:$BB$56))/2)</f>
        <v>0</v>
      </c>
      <c r="AX3" s="20">
        <f>MIN(MAX(0,(SUMPRODUCT(Oxides_min!$C3:$BB3,Factors!$C$57:$BB$57)+SUMPRODUCT(Oxides_max!$C3:$BB3,Factors!$C$57:$BB$57))/2),ABS(SUMPRODUCT(Oxides_max!$C3:$BB3,Factors!$C$57:$BB$57)-SUMPRODUCT(Oxides_min!$C3:$BB3,Factors!$C$57:$BB$57))/2)</f>
        <v>0</v>
      </c>
      <c r="AY3" s="20">
        <f>MIN(MAX(0,(SUMPRODUCT(Oxides_min!$C3:$BB3,Factors!$C$58:$BB$58)+SUMPRODUCT(Oxides_max!$C3:$BB3,Factors!$C$58:$BB$58))/2),ABS(SUMPRODUCT(Oxides_max!$C3:$BB3,Factors!$C$58:$BB$58)-SUMPRODUCT(Oxides_min!$C3:$BB3,Factors!$C$58:$BB$58))/2)</f>
        <v>0</v>
      </c>
      <c r="AZ3" s="18">
        <f t="shared" si="0"/>
        <v>37.882876592957103</v>
      </c>
    </row>
    <row r="4" spans="1:52" x14ac:dyDescent="0.35">
      <c r="A4" s="13" t="s">
        <v>129</v>
      </c>
      <c r="B4" s="20">
        <f>MIN(MAX(0,(SUMPRODUCT(Oxides_min!$C4:$BB4,Factors!$C$9:$BB$9)+SUMPRODUCT(Oxides_max!$C4:$BB4,Factors!$C$9:$BB$9))/2),ABS(SUMPRODUCT(Oxides_max!$C4:$BB4,Factors!$C$9:$BB$9)-SUMPRODUCT(Oxides_min!$C4:$BB4,Factors!$C$9:$BB$9))/2)</f>
        <v>5.2216152007866441</v>
      </c>
      <c r="C4" s="20">
        <f>MIN(MAX(0,(SUMPRODUCT(Oxides_min!$C4:$BB4,Factors!$C$10:$BB$10)+SUMPRODUCT(Oxides_max!$C4:$BB4,Factors!$C$10:$BB$10))/2),ABS(SUMPRODUCT(Oxides_max!$C4:$BB4,Factors!$C$10:$BB$10)-SUMPRODUCT(Oxides_min!$C4:$BB4,Factors!$C$10:$BB$10))/2)</f>
        <v>0.46743671254764246</v>
      </c>
      <c r="D4" s="20">
        <f>MIN(MAX(0,(SUMPRODUCT(Oxides_min!$C4:$BB4,Factors!$C$11:$BB$11)+SUMPRODUCT(Oxides_max!$C4:$BB4,Factors!$C$11:$BB$11))/2),ABS(SUMPRODUCT(Oxides_max!$C4:$BB4,Factors!$C$11:$BB$11)-SUMPRODUCT(Oxides_min!$C4:$BB4,Factors!$C$11:$BB$11))/2)</f>
        <v>0</v>
      </c>
      <c r="E4" s="20">
        <f>MIN(MAX(0,(SUMPRODUCT(Oxides_min!$C4:$BB4,Factors!$C$12:$BB$12)+SUMPRODUCT(Oxides_max!$C4:$BB4,Factors!$C$12:$BB$12))/2),ABS(SUMPRODUCT(Oxides_max!$C4:$BB4,Factors!$C$12:$BB$12)-SUMPRODUCT(Oxides_min!$C4:$BB4,Factors!$C$12:$BB$12))/2)</f>
        <v>0</v>
      </c>
      <c r="F4" s="20">
        <f>MIN(MAX(0,(SUMPRODUCT(Oxides_min!$C4:$BB4,Factors!$C$13:$BB$13)+SUMPRODUCT(Oxides_max!$C4:$BB4,Factors!$C$13:$BB$13))/2),ABS(SUMPRODUCT(Oxides_max!$C4:$BB4,Factors!$C$13:$BB$13)-SUMPRODUCT(Oxides_min!$C4:$BB4,Factors!$C$13:$BB$13))/2)</f>
        <v>0</v>
      </c>
      <c r="G4" s="20">
        <f>MIN(MAX(0,(SUMPRODUCT(Oxides_min!$C4:$BB4,Factors!$C$14:$BB$14)+SUMPRODUCT(Oxides_max!$C4:$BB4,Factors!$C$14:$BB$14))/2),ABS(SUMPRODUCT(Oxides_max!$C4:$BB4,Factors!$C$14:$BB$14)-SUMPRODUCT(Oxides_min!$C4:$BB4,Factors!$C$14:$BB$14))/2)</f>
        <v>0</v>
      </c>
      <c r="H4" s="20">
        <f>MIN(MAX(0,(SUMPRODUCT(Oxides_min!$C4:$BB4,Factors!$C$15:$BB$15)+SUMPRODUCT(Oxides_max!$C4:$BB4,Factors!$C$15:$BB$15))/2),ABS(SUMPRODUCT(Oxides_max!$C4:$BB4,Factors!$C$15:$BB$15)-SUMPRODUCT(Oxides_min!$C4:$BB4,Factors!$C$15:$BB$15))/2)</f>
        <v>5.2925692670867643E-2</v>
      </c>
      <c r="I4" s="20">
        <f>MIN(MAX(0,(SUMPRODUCT(Oxides_min!$C4:$BB4,Factors!$C$16:$BB$16)+SUMPRODUCT(Oxides_max!$C4:$BB4,Factors!$C$16:$BB$16))/2),ABS(SUMPRODUCT(Oxides_max!$C4:$BB4,Factors!$C$16:$BB$16)-SUMPRODUCT(Oxides_min!$C4:$BB4,Factors!$C$16:$BB$16))/2)</f>
        <v>0.19432729246701186</v>
      </c>
      <c r="J4" s="20">
        <f>MIN(MAX(0,(SUMPRODUCT(Oxides_min!$C4:$BB4,Factors!$C$17:$BB$17)+SUMPRODUCT(Oxides_max!$C4:$BB4,Factors!$C$17:$BB$17))/2),ABS(SUMPRODUCT(Oxides_max!$C4:$BB4,Factors!$C$17:$BB$17)-SUMPRODUCT(Oxides_min!$C4:$BB4,Factors!$C$17:$BB$17))/2)</f>
        <v>0</v>
      </c>
      <c r="K4" s="20">
        <f>MIN(MAX(0,(SUMPRODUCT(Oxides_min!$C4:$BB4,Factors!$C$18:$BB$18)+SUMPRODUCT(Oxides_max!$C4:$BB4,Factors!$C$18:$BB$18))/2),ABS(SUMPRODUCT(Oxides_max!$C4:$BB4,Factors!$C$18:$BB$18)-SUMPRODUCT(Oxides_min!$C4:$BB4,Factors!$C$18:$BB$18))/2)</f>
        <v>0</v>
      </c>
      <c r="L4" s="20">
        <f>MIN(MAX(0,(SUMPRODUCT(Oxides_min!$C4:$BB4,Factors!$C$19:$BB$19)+SUMPRODUCT(Oxides_max!$C4:$BB4,Factors!$C$19:$BB$19))/2),ABS(SUMPRODUCT(Oxides_max!$C4:$BB4,Factors!$C$19:$BB$19)-SUMPRODUCT(Oxides_min!$C4:$BB4,Factors!$C$19:$BB$19))/2)</f>
        <v>0</v>
      </c>
      <c r="M4" s="20">
        <f>MIN(MAX(0,(SUMPRODUCT(Oxides_min!$C4:$BB4,Factors!$C$20:$BB$20)+SUMPRODUCT(Oxides_max!$C4:$BB4,Factors!$C$20:$BB$20))/2),ABS(SUMPRODUCT(Oxides_max!$C4:$BB4,Factors!$C$20:$BB$20)-SUMPRODUCT(Oxides_min!$C4:$BB4,Factors!$C$20:$BB$20))/2)</f>
        <v>0</v>
      </c>
      <c r="N4" s="20">
        <f>MIN(MAX(0,(SUMPRODUCT(Oxides_min!$C4:$BB4,Factors!$C$21:$BB$21)+SUMPRODUCT(Oxides_max!$C4:$BB4,Factors!$C$21:$BB$21))/2),ABS(SUMPRODUCT(Oxides_max!$C4:$BB4,Factors!$C$21:$BB$21)-SUMPRODUCT(Oxides_min!$C4:$BB4,Factors!$C$21:$BB$21))/2)</f>
        <v>0.21440875938441784</v>
      </c>
      <c r="O4" s="20">
        <f>MIN(MAX(0,(SUMPRODUCT(Oxides_min!$C4:$BB4,Factors!$C$22:$BB$22)+SUMPRODUCT(Oxides_max!$C4:$BB4,Factors!$C$22:$BB$22))/2),ABS(SUMPRODUCT(Oxides_max!$C4:$BB4,Factors!$C$22:$BB$22)-SUMPRODUCT(Oxides_min!$C4:$BB4,Factors!$C$22:$BB$22))/2)</f>
        <v>0</v>
      </c>
      <c r="P4" s="20">
        <f>MIN(MAX(0,(SUMPRODUCT(Oxides_min!$C4:$BB4,Factors!$C$23:$BB$23)+SUMPRODUCT(Oxides_max!$C4:$BB4,Factors!$C$23:$BB$23))/2),ABS(SUMPRODUCT(Oxides_max!$C4:$BB4,Factors!$C$23:$BB$23)-SUMPRODUCT(Oxides_min!$C4:$BB4,Factors!$C$23:$BB$23))/2)</f>
        <v>0</v>
      </c>
      <c r="Q4" s="20">
        <f>MIN(MAX(0,(SUMPRODUCT(Oxides_min!$C4:$BB4,Factors!$C$24:$BB$24)+SUMPRODUCT(Oxides_max!$C4:$BB4,Factors!$C$24:$BB$24))/2),ABS(SUMPRODUCT(Oxides_max!$C4:$BB4,Factors!$C$24:$BB$24)-SUMPRODUCT(Oxides_min!$C4:$BB4,Factors!$C$24:$BB$24))/2)</f>
        <v>0.13924793569863664</v>
      </c>
      <c r="R4" s="20">
        <f>MIN(MAX(0,(SUMPRODUCT(Oxides_min!$C4:$BB4,Factors!$C$25:$BB$25)+SUMPRODUCT(Oxides_max!$C4:$BB4,Factors!$C$25:$BB$25))/2),ABS(SUMPRODUCT(Oxides_max!$C4:$BB4,Factors!$C$25:$BB$25)-SUMPRODUCT(Oxides_min!$C4:$BB4,Factors!$C$25:$BB$25))/2)</f>
        <v>0</v>
      </c>
      <c r="S4" s="20">
        <f>MIN(MAX(0,(SUMPRODUCT(Oxides_min!$C4:$BB4,Factors!$C$26:$BB$26)+SUMPRODUCT(Oxides_max!$C4:$BB4,Factors!$C$26:$BB$26))/2),ABS(SUMPRODUCT(Oxides_max!$C4:$BB4,Factors!$C$26:$BB$26)-SUMPRODUCT(Oxides_min!$C4:$BB4,Factors!$C$26:$BB$26))/2)</f>
        <v>0</v>
      </c>
      <c r="T4" s="20">
        <f>MIN(MAX(0,(SUMPRODUCT(Oxides_min!$C4:$BB4,Factors!$C$27:$BB$27)+SUMPRODUCT(Oxides_max!$C4:$BB4,Factors!$C$27:$BB$27))/2),ABS(SUMPRODUCT(Oxides_max!$C4:$BB4,Factors!$C$27:$BB$27)-SUMPRODUCT(Oxides_min!$C4:$BB4,Factors!$C$27:$BB$27))/2)</f>
        <v>0</v>
      </c>
      <c r="U4" s="20">
        <f>MIN(MAX(0,(SUMPRODUCT(Oxides_min!$C4:$BB4,Factors!$C$28:$BB$28)+SUMPRODUCT(Oxides_max!$C4:$BB4,Factors!$C$28:$BB$28))/2),ABS(SUMPRODUCT(Oxides_max!$C4:$BB4,Factors!$C$28:$BB$28)-SUMPRODUCT(Oxides_min!$C4:$BB4,Factors!$C$28:$BB$28))/2)</f>
        <v>0</v>
      </c>
      <c r="V4" s="20">
        <f>MIN(MAX(0,(SUMPRODUCT(Oxides_min!$C4:$BB4,Factors!$C$29:$BB$29)+SUMPRODUCT(Oxides_max!$C4:$BB4,Factors!$C$29:$BB$29))/2),ABS(SUMPRODUCT(Oxides_max!$C4:$BB4,Factors!$C$29:$BB$29)-SUMPRODUCT(Oxides_min!$C4:$BB4,Factors!$C$29:$BB$29))/2)</f>
        <v>0</v>
      </c>
      <c r="W4" s="20">
        <f>MIN(MAX(0,(SUMPRODUCT(Oxides_min!$C4:$BB4,Factors!$C$30:$BB$30)+SUMPRODUCT(Oxides_max!$C4:$BB4,Factors!$C$30:$BB$30))/2),ABS(SUMPRODUCT(Oxides_max!$C4:$BB4,Factors!$C$30:$BB$30)-SUMPRODUCT(Oxides_min!$C4:$BB4,Factors!$C$30:$BB$30))/2)</f>
        <v>0</v>
      </c>
      <c r="X4" s="20">
        <f>MIN(MAX(0,(SUMPRODUCT(Oxides_min!$C4:$BB4,Factors!$C$31:$BB$31)+SUMPRODUCT(Oxides_max!$C4:$BB4,Factors!$C$31:$BB$31))/2),ABS(SUMPRODUCT(Oxides_max!$C4:$BB4,Factors!$C$31:$BB$31)-SUMPRODUCT(Oxides_min!$C4:$BB4,Factors!$C$31:$BB$31))/2)</f>
        <v>0</v>
      </c>
      <c r="Y4" s="20">
        <f>MIN(MAX(0,(SUMPRODUCT(Oxides_min!$C4:$BB4,Factors!$C$32:$BB$32)+SUMPRODUCT(Oxides_max!$C4:$BB4,Factors!$C$32:$BB$32))/2),ABS(SUMPRODUCT(Oxides_max!$C4:$BB4,Factors!$C$32:$BB$32)-SUMPRODUCT(Oxides_min!$C4:$BB4,Factors!$C$32:$BB$32))/2)</f>
        <v>0</v>
      </c>
      <c r="Z4" s="20">
        <f>MIN(MAX(0,(SUMPRODUCT(Oxides_min!$C4:$BB4,Factors!$C$33:$BB$33)+SUMPRODUCT(Oxides_max!$C4:$BB4,Factors!$C$33:$BB$33))/2),ABS(SUMPRODUCT(Oxides_max!$C4:$BB4,Factors!$C$33:$BB$33)-SUMPRODUCT(Oxides_min!$C4:$BB4,Factors!$C$33:$BB$33))/2)</f>
        <v>0.8728536347253586</v>
      </c>
      <c r="AA4" s="20">
        <f>MIN(MAX(0,(SUMPRODUCT(Oxides_min!$C4:$BB4,Factors!$C$34:$BB$34)+SUMPRODUCT(Oxides_max!$C4:$BB4,Factors!$C$34:$BB$34))/2),ABS(SUMPRODUCT(Oxides_max!$C4:$BB4,Factors!$C$34:$BB$34)-SUMPRODUCT(Oxides_min!$C4:$BB4,Factors!$C$34:$BB$34))/2)</f>
        <v>0</v>
      </c>
      <c r="AB4" s="20">
        <f>MIN(MAX(0,(SUMPRODUCT(Oxides_min!$C4:$BB4,Factors!$C$35:$BB$35)+SUMPRODUCT(Oxides_max!$C4:$BB4,Factors!$C$35:$BB$35))/2),ABS(SUMPRODUCT(Oxides_max!$C4:$BB4,Factors!$C$35:$BB$35)-SUMPRODUCT(Oxides_min!$C4:$BB4,Factors!$C$35:$BB$35))/2)</f>
        <v>0</v>
      </c>
      <c r="AC4" s="20">
        <f>MIN(MAX(0,(SUMPRODUCT(Oxides_min!$C4:$BB4,Factors!$C$36:$BB$36)+SUMPRODUCT(Oxides_max!$C4:$BB4,Factors!$C$36:$BB$36))/2),ABS(SUMPRODUCT(Oxides_max!$C4:$BB4,Factors!$C$36:$BB$36)-SUMPRODUCT(Oxides_min!$C4:$BB4,Factors!$C$36:$BB$36))/2)</f>
        <v>0</v>
      </c>
      <c r="AD4" s="20">
        <f>MIN(MAX(0,(SUMPRODUCT(Oxides_min!$C4:$BB4,Factors!$C$37:$BB$37)+SUMPRODUCT(Oxides_max!$C4:$BB4,Factors!$C$37:$BB$37))/2),ABS(SUMPRODUCT(Oxides_max!$C4:$BB4,Factors!$C$37:$BB$37)-SUMPRODUCT(Oxides_min!$C4:$BB4,Factors!$C$37:$BB$37))/2)</f>
        <v>0</v>
      </c>
      <c r="AE4" s="20">
        <f>MIN(MAX(0,(SUMPRODUCT(Oxides_min!$C4:$BB4,Factors!$C$38:$BB$38)+SUMPRODUCT(Oxides_max!$C4:$BB4,Factors!$C$38:$BB$38))/2),ABS(SUMPRODUCT(Oxides_max!$C4:$BB4,Factors!$C$38:$BB$38)-SUMPRODUCT(Oxides_min!$C4:$BB4,Factors!$C$38:$BB$38))/2)</f>
        <v>0</v>
      </c>
      <c r="AF4" s="20">
        <f>MIN(MAX(0,(SUMPRODUCT(Oxides_min!$C4:$BB4,Factors!$C$39:$BB$39)+SUMPRODUCT(Oxides_max!$C4:$BB4,Factors!$C$39:$BB$39))/2),ABS(SUMPRODUCT(Oxides_max!$C4:$BB4,Factors!$C$39:$BB$39)-SUMPRODUCT(Oxides_min!$C4:$BB4,Factors!$C$39:$BB$39))/2)</f>
        <v>0</v>
      </c>
      <c r="AG4" s="20">
        <f>MIN(MAX(0,(SUMPRODUCT(Oxides_min!$C4:$BB4,Factors!$C$40:$BB$40)+SUMPRODUCT(Oxides_max!$C4:$BB4,Factors!$C$40:$BB$40))/2),ABS(SUMPRODUCT(Oxides_max!$C4:$BB4,Factors!$C$40:$BB$40)-SUMPRODUCT(Oxides_min!$C4:$BB4,Factors!$C$40:$BB$40))/2)</f>
        <v>1.3182177637342223</v>
      </c>
      <c r="AH4" s="20">
        <f>MIN(MAX(0,(SUMPRODUCT(Oxides_min!$C4:$BB4,Factors!$C$41:$BB$41)+SUMPRODUCT(Oxides_max!$C4:$BB4,Factors!$C$41:$BB$41))/2),ABS(SUMPRODUCT(Oxides_max!$C4:$BB4,Factors!$C$41:$BB$41)-SUMPRODUCT(Oxides_min!$C4:$BB4,Factors!$C$41:$BB$41))/2)</f>
        <v>2.2037517482979752</v>
      </c>
      <c r="AI4" s="20">
        <f>MIN(MAX(0,(SUMPRODUCT(Oxides_min!$C4:$BB4,Factors!$C$42:$BB$42)+SUMPRODUCT(Oxides_max!$C4:$BB4,Factors!$C$42:$BB$42))/2),ABS(SUMPRODUCT(Oxides_max!$C4:$BB4,Factors!$C$42:$BB$42)-SUMPRODUCT(Oxides_min!$C4:$BB4,Factors!$C$42:$BB$42))/2)</f>
        <v>0</v>
      </c>
      <c r="AJ4" s="20">
        <f>MIN(MAX(0,(SUMPRODUCT(Oxides_min!$C4:$BB4,Factors!$C$43:$BB$43)+SUMPRODUCT(Oxides_max!$C4:$BB4,Factors!$C$43:$BB$43))/2),ABS(SUMPRODUCT(Oxides_max!$C4:$BB4,Factors!$C$43:$BB$43)-SUMPRODUCT(Oxides_min!$C4:$BB4,Factors!$C$43:$BB$43))/2)</f>
        <v>5.5121076833716032</v>
      </c>
      <c r="AK4" s="20">
        <f>MIN(MAX(0,(SUMPRODUCT(Oxides_min!$C4:$BB4,Factors!$C$44:$BB$44)+SUMPRODUCT(Oxides_max!$C4:$BB4,Factors!$C$44:$BB$44))/2),ABS(SUMPRODUCT(Oxides_max!$C4:$BB4,Factors!$C$44:$BB$44)-SUMPRODUCT(Oxides_min!$C4:$BB4,Factors!$C$44:$BB$44))/2)</f>
        <v>4.2634157411878912E-2</v>
      </c>
      <c r="AL4" s="20">
        <f>MIN(MAX(0,(SUMPRODUCT(Oxides_min!$C4:$BB4,Factors!$C$45:$BB$45)+SUMPRODUCT(Oxides_max!$C4:$BB4,Factors!$C$45:$BB$45))/2),ABS(SUMPRODUCT(Oxides_max!$C4:$BB4,Factors!$C$45:$BB$45)-SUMPRODUCT(Oxides_min!$C4:$BB4,Factors!$C$45:$BB$45))/2)</f>
        <v>0.12806546648833586</v>
      </c>
      <c r="AM4" s="20">
        <f>MIN(MAX(0,(SUMPRODUCT(Oxides_min!$C4:$BB4,Factors!$C$46:$BB$46)+SUMPRODUCT(Oxides_max!$C4:$BB4,Factors!$C$46:$BB$46))/2),ABS(SUMPRODUCT(Oxides_max!$C4:$BB4,Factors!$C$46:$BB$46)-SUMPRODUCT(Oxides_min!$C4:$BB4,Factors!$C$46:$BB$46))/2)</f>
        <v>4.2723588979332247E-2</v>
      </c>
      <c r="AN4" s="20">
        <f>MIN(MAX(0,(SUMPRODUCT(Oxides_min!$C4:$BB4,Factors!$C$47:$BB$47)+SUMPRODUCT(Oxides_max!$C4:$BB4,Factors!$C$47:$BB$47))/2),ABS(SUMPRODUCT(Oxides_max!$C4:$BB4,Factors!$C$47:$BB$47)-SUMPRODUCT(Oxides_min!$C4:$BB4,Factors!$C$47:$BB$47))/2)</f>
        <v>0.21433899685271976</v>
      </c>
      <c r="AO4" s="20">
        <f>MIN(MAX(0,(SUMPRODUCT(Oxides_min!$C4:$BB4,Factors!$C$48:$BB$48)+SUMPRODUCT(Oxides_max!$C4:$BB4,Factors!$C$48:$BB$48))/2),ABS(SUMPRODUCT(Oxides_max!$C4:$BB4,Factors!$C$48:$BB$48)-SUMPRODUCT(Oxides_min!$C4:$BB4,Factors!$C$48:$BB$48))/2)</f>
        <v>0.40962155558805563</v>
      </c>
      <c r="AP4" s="20">
        <f>MIN(MAX(0,(SUMPRODUCT(Oxides_min!$C4:$BB4,Factors!$C$49:$BB$49)+SUMPRODUCT(Oxides_max!$C4:$BB4,Factors!$C$49:$BB$49))/2),ABS(SUMPRODUCT(Oxides_max!$C4:$BB4,Factors!$C$49:$BB$49)-SUMPRODUCT(Oxides_min!$C4:$BB4,Factors!$C$49:$BB$49))/2)</f>
        <v>8.6361582723591679E-2</v>
      </c>
      <c r="AQ4" s="20">
        <f>MIN(MAX(0,(SUMPRODUCT(Oxides_min!$C4:$BB4,Factors!$C$50:$BB$50)+SUMPRODUCT(Oxides_max!$C4:$BB4,Factors!$C$50:$BB$50))/2),ABS(SUMPRODUCT(Oxides_max!$C4:$BB4,Factors!$C$50:$BB$50)-SUMPRODUCT(Oxides_min!$C4:$BB4,Factors!$C$50:$BB$50))/2)</f>
        <v>1.6050477659125455</v>
      </c>
      <c r="AR4" s="20">
        <f>MIN(MAX(0,(SUMPRODUCT(Oxides_min!$C4:$BB4,Factors!$C$51:$BB$51)+SUMPRODUCT(Oxides_max!$C4:$BB4,Factors!$C$51:$BB$51))/2),ABS(SUMPRODUCT(Oxides_max!$C4:$BB4,Factors!$C$51:$BB$51)-SUMPRODUCT(Oxides_min!$C4:$BB4,Factors!$C$51:$BB$51))/2)</f>
        <v>0.34752242531523364</v>
      </c>
      <c r="AS4" s="20">
        <f>MIN(MAX(0,(SUMPRODUCT(Oxides_min!$C4:$BB4,Factors!$C$52:$BB$52)+SUMPRODUCT(Oxides_max!$C4:$BB4,Factors!$C$52:$BB$52))/2),ABS(SUMPRODUCT(Oxides_max!$C4:$BB4,Factors!$C$52:$BB$52)-SUMPRODUCT(Oxides_min!$C4:$BB4,Factors!$C$52:$BB$52))/2)</f>
        <v>1.7426413617267698</v>
      </c>
      <c r="AT4" s="20">
        <f>MIN(MAX(0,(SUMPRODUCT(Oxides_min!$C4:$BB4,Factors!$C$53:$BB$53)+SUMPRODUCT(Oxides_max!$C4:$BB4,Factors!$C$53:$BB$53))/2),ABS(SUMPRODUCT(Oxides_max!$C4:$BB4,Factors!$C$53:$BB$53)-SUMPRODUCT(Oxides_min!$C4:$BB4,Factors!$C$53:$BB$53))/2)</f>
        <v>0.5237855863501617</v>
      </c>
      <c r="AU4" s="20">
        <f>MIN(MAX(0,(SUMPRODUCT(Oxides_min!$C4:$BB4,Factors!$C$54:$BB$54)+SUMPRODUCT(Oxides_max!$C4:$BB4,Factors!$C$54:$BB$54))/2),ABS(SUMPRODUCT(Oxides_max!$C4:$BB4,Factors!$C$54:$BB$54)-SUMPRODUCT(Oxides_min!$C4:$BB4,Factors!$C$54:$BB$54))/2)</f>
        <v>1.311783851613662</v>
      </c>
      <c r="AV4" s="20">
        <f>MIN(MAX(0,(SUMPRODUCT(Oxides_min!$C4:$BB4,Factors!$C$55:$BB$55)+SUMPRODUCT(Oxides_max!$C4:$BB4,Factors!$C$55:$BB$55))/2),ABS(SUMPRODUCT(Oxides_max!$C4:$BB4,Factors!$C$55:$BB$55)-SUMPRODUCT(Oxides_min!$C4:$BB4,Factors!$C$55:$BB$55))/2)</f>
        <v>0.30646422752967978</v>
      </c>
      <c r="AW4" s="20">
        <f>MIN(MAX(0,(SUMPRODUCT(Oxides_min!$C4:$BB4,Factors!$C$56:$BB$56)+SUMPRODUCT(Oxides_max!$C4:$BB4,Factors!$C$56:$BB$56))/2),ABS(SUMPRODUCT(Oxides_max!$C4:$BB4,Factors!$C$56:$BB$56)-SUMPRODUCT(Oxides_min!$C4:$BB4,Factors!$C$56:$BB$56))/2)</f>
        <v>2.1955177410064275</v>
      </c>
      <c r="AX4" s="20">
        <f>MIN(MAX(0,(SUMPRODUCT(Oxides_min!$C4:$BB4,Factors!$C$57:$BB$57)+SUMPRODUCT(Oxides_max!$C4:$BB4,Factors!$C$57:$BB$57))/2),ABS(SUMPRODUCT(Oxides_max!$C4:$BB4,Factors!$C$57:$BB$57)-SUMPRODUCT(Oxides_min!$C4:$BB4,Factors!$C$57:$BB$57))/2)</f>
        <v>0.571599268817226</v>
      </c>
      <c r="AY4" s="20">
        <f>MIN(MAX(0,(SUMPRODUCT(Oxides_min!$C4:$BB4,Factors!$C$58:$BB$58)+SUMPRODUCT(Oxides_max!$C4:$BB4,Factors!$C$58:$BB$58))/2),ABS(SUMPRODUCT(Oxides_max!$C4:$BB4,Factors!$C$58:$BB$58)-SUMPRODUCT(Oxides_min!$C4:$BB4,Factors!$C$58:$BB$58))/2)</f>
        <v>0</v>
      </c>
      <c r="AZ4" s="18">
        <f t="shared" si="0"/>
        <v>25.725000000000001</v>
      </c>
    </row>
    <row r="5" spans="1:52" x14ac:dyDescent="0.35">
      <c r="A5" s="13" t="s">
        <v>131</v>
      </c>
      <c r="B5" s="20">
        <f>MIN(MAX(0,(SUMPRODUCT(Oxides_min!$C5:$BB5,Factors!$C$9:$BB$9)+SUMPRODUCT(Oxides_max!$C5:$BB5,Factors!$C$9:$BB$9))/2),ABS(SUMPRODUCT(Oxides_max!$C5:$BB5,Factors!$C$9:$BB$9)-SUMPRODUCT(Oxides_min!$C5:$BB5,Factors!$C$9:$BB$9))/2)</f>
        <v>3.9923663275957146</v>
      </c>
      <c r="C5" s="20">
        <f>MIN(MAX(0,(SUMPRODUCT(Oxides_min!$C5:$BB5,Factors!$C$10:$BB$10)+SUMPRODUCT(Oxides_max!$C5:$BB5,Factors!$C$10:$BB$10))/2),ABS(SUMPRODUCT(Oxides_max!$C5:$BB5,Factors!$C$10:$BB$10)-SUMPRODUCT(Oxides_min!$C5:$BB5,Factors!$C$10:$BB$10))/2)</f>
        <v>0.11685917813691062</v>
      </c>
      <c r="D5" s="20">
        <f>MIN(MAX(0,(SUMPRODUCT(Oxides_min!$C5:$BB5,Factors!$C$11:$BB$11)+SUMPRODUCT(Oxides_max!$C5:$BB5,Factors!$C$11:$BB$11))/2),ABS(SUMPRODUCT(Oxides_max!$C5:$BB5,Factors!$C$11:$BB$11)-SUMPRODUCT(Oxides_min!$C5:$BB5,Factors!$C$11:$BB$11))/2)</f>
        <v>0</v>
      </c>
      <c r="E5" s="20">
        <f>MIN(MAX(0,(SUMPRODUCT(Oxides_min!$C5:$BB5,Factors!$C$12:$BB$12)+SUMPRODUCT(Oxides_max!$C5:$BB5,Factors!$C$12:$BB$12))/2),ABS(SUMPRODUCT(Oxides_max!$C5:$BB5,Factors!$C$12:$BB$12)-SUMPRODUCT(Oxides_min!$C5:$BB5,Factors!$C$12:$BB$12))/2)</f>
        <v>0</v>
      </c>
      <c r="F5" s="20">
        <f>MIN(MAX(0,(SUMPRODUCT(Oxides_min!$C5:$BB5,Factors!$C$13:$BB$13)+SUMPRODUCT(Oxides_max!$C5:$BB5,Factors!$C$13:$BB$13))/2),ABS(SUMPRODUCT(Oxides_max!$C5:$BB5,Factors!$C$13:$BB$13)-SUMPRODUCT(Oxides_min!$C5:$BB5,Factors!$C$13:$BB$13))/2)</f>
        <v>0</v>
      </c>
      <c r="G5" s="20">
        <f>MIN(MAX(0,(SUMPRODUCT(Oxides_min!$C5:$BB5,Factors!$C$14:$BB$14)+SUMPRODUCT(Oxides_max!$C5:$BB5,Factors!$C$14:$BB$14))/2),ABS(SUMPRODUCT(Oxides_max!$C5:$BB5,Factors!$C$14:$BB$14)-SUMPRODUCT(Oxides_min!$C5:$BB5,Factors!$C$14:$BB$14))/2)</f>
        <v>0</v>
      </c>
      <c r="H5" s="20">
        <f>MIN(MAX(0,(SUMPRODUCT(Oxides_min!$C5:$BB5,Factors!$C$15:$BB$15)+SUMPRODUCT(Oxides_max!$C5:$BB5,Factors!$C$15:$BB$15))/2),ABS(SUMPRODUCT(Oxides_max!$C5:$BB5,Factors!$C$15:$BB$15)-SUMPRODUCT(Oxides_min!$C5:$BB5,Factors!$C$15:$BB$15))/2)</f>
        <v>0</v>
      </c>
      <c r="I5" s="20">
        <f>MIN(MAX(0,(SUMPRODUCT(Oxides_min!$C5:$BB5,Factors!$C$16:$BB$16)+SUMPRODUCT(Oxides_max!$C5:$BB5,Factors!$C$16:$BB$16))/2),ABS(SUMPRODUCT(Oxides_max!$C5:$BB5,Factors!$C$16:$BB$16)-SUMPRODUCT(Oxides_min!$C5:$BB5,Factors!$C$16:$BB$16))/2)</f>
        <v>0.11659637548020711</v>
      </c>
      <c r="J5" s="20">
        <f>MIN(MAX(0,(SUMPRODUCT(Oxides_min!$C5:$BB5,Factors!$C$17:$BB$17)+SUMPRODUCT(Oxides_max!$C5:$BB5,Factors!$C$17:$BB$17))/2),ABS(SUMPRODUCT(Oxides_max!$C5:$BB5,Factors!$C$17:$BB$17)-SUMPRODUCT(Oxides_min!$C5:$BB5,Factors!$C$17:$BB$17))/2)</f>
        <v>0</v>
      </c>
      <c r="K5" s="20">
        <f>MIN(MAX(0,(SUMPRODUCT(Oxides_min!$C5:$BB5,Factors!$C$18:$BB$18)+SUMPRODUCT(Oxides_max!$C5:$BB5,Factors!$C$18:$BB$18))/2),ABS(SUMPRODUCT(Oxides_max!$C5:$BB5,Factors!$C$18:$BB$18)-SUMPRODUCT(Oxides_min!$C5:$BB5,Factors!$C$18:$BB$18))/2)</f>
        <v>0</v>
      </c>
      <c r="L5" s="20">
        <f>MIN(MAX(0,(SUMPRODUCT(Oxides_min!$C5:$BB5,Factors!$C$19:$BB$19)+SUMPRODUCT(Oxides_max!$C5:$BB5,Factors!$C$19:$BB$19))/2),ABS(SUMPRODUCT(Oxides_max!$C5:$BB5,Factors!$C$19:$BB$19)-SUMPRODUCT(Oxides_min!$C5:$BB5,Factors!$C$19:$BB$19))/2)</f>
        <v>0</v>
      </c>
      <c r="M5" s="20">
        <f>MIN(MAX(0,(SUMPRODUCT(Oxides_min!$C5:$BB5,Factors!$C$20:$BB$20)+SUMPRODUCT(Oxides_max!$C5:$BB5,Factors!$C$20:$BB$20))/2),ABS(SUMPRODUCT(Oxides_max!$C5:$BB5,Factors!$C$20:$BB$20)-SUMPRODUCT(Oxides_min!$C5:$BB5,Factors!$C$20:$BB$20))/2)</f>
        <v>0</v>
      </c>
      <c r="N5" s="20">
        <f>MIN(MAX(0,(SUMPRODUCT(Oxides_min!$C5:$BB5,Factors!$C$21:$BB$21)+SUMPRODUCT(Oxides_max!$C5:$BB5,Factors!$C$21:$BB$21))/2),ABS(SUMPRODUCT(Oxides_max!$C5:$BB5,Factors!$C$21:$BB$21)-SUMPRODUCT(Oxides_min!$C5:$BB5,Factors!$C$21:$BB$21))/2)</f>
        <v>1.0720437969220886</v>
      </c>
      <c r="O5" s="20">
        <f>MIN(MAX(0,(SUMPRODUCT(Oxides_min!$C5:$BB5,Factors!$C$22:$BB$22)+SUMPRODUCT(Oxides_max!$C5:$BB5,Factors!$C$22:$BB$22))/2),ABS(SUMPRODUCT(Oxides_max!$C5:$BB5,Factors!$C$22:$BB$22)-SUMPRODUCT(Oxides_min!$C5:$BB5,Factors!$C$22:$BB$22))/2)</f>
        <v>0.4227989075362627</v>
      </c>
      <c r="P5" s="20">
        <f>MIN(MAX(0,(SUMPRODUCT(Oxides_min!$C5:$BB5,Factors!$C$23:$BB$23)+SUMPRODUCT(Oxides_max!$C5:$BB5,Factors!$C$23:$BB$23))/2),ABS(SUMPRODUCT(Oxides_max!$C5:$BB5,Factors!$C$23:$BB$23)-SUMPRODUCT(Oxides_min!$C5:$BB5,Factors!$C$23:$BB$23))/2)</f>
        <v>0.22391342629430103</v>
      </c>
      <c r="Q5" s="20">
        <f>MIN(MAX(0,(SUMPRODUCT(Oxides_min!$C5:$BB5,Factors!$C$24:$BB$24)+SUMPRODUCT(Oxides_max!$C5:$BB5,Factors!$C$24:$BB$24))/2),ABS(SUMPRODUCT(Oxides_max!$C5:$BB5,Factors!$C$24:$BB$24)-SUMPRODUCT(Oxides_min!$C5:$BB5,Factors!$C$24:$BB$24))/2)</f>
        <v>0</v>
      </c>
      <c r="R5" s="20">
        <f>MIN(MAX(0,(SUMPRODUCT(Oxides_min!$C5:$BB5,Factors!$C$25:$BB$25)+SUMPRODUCT(Oxides_max!$C5:$BB5,Factors!$C$25:$BB$25))/2),ABS(SUMPRODUCT(Oxides_max!$C5:$BB5,Factors!$C$25:$BB$25)-SUMPRODUCT(Oxides_min!$C5:$BB5,Factors!$C$25:$BB$25))/2)</f>
        <v>7.4186225794092037E-2</v>
      </c>
      <c r="S5" s="20">
        <f>MIN(MAX(0,(SUMPRODUCT(Oxides_min!$C5:$BB5,Factors!$C$26:$BB$26)+SUMPRODUCT(Oxides_max!$C5:$BB5,Factors!$C$26:$BB$26))/2),ABS(SUMPRODUCT(Oxides_max!$C5:$BB5,Factors!$C$26:$BB$26)-SUMPRODUCT(Oxides_min!$C5:$BB5,Factors!$C$26:$BB$26))/2)</f>
        <v>0</v>
      </c>
      <c r="T5" s="20">
        <f>MIN(MAX(0,(SUMPRODUCT(Oxides_min!$C5:$BB5,Factors!$C$27:$BB$27)+SUMPRODUCT(Oxides_max!$C5:$BB5,Factors!$C$27:$BB$27))/2),ABS(SUMPRODUCT(Oxides_max!$C5:$BB5,Factors!$C$27:$BB$27)-SUMPRODUCT(Oxides_min!$C5:$BB5,Factors!$C$27:$BB$27))/2)</f>
        <v>0</v>
      </c>
      <c r="U5" s="20">
        <f>MIN(MAX(0,(SUMPRODUCT(Oxides_min!$C5:$BB5,Factors!$C$28:$BB$28)+SUMPRODUCT(Oxides_max!$C5:$BB5,Factors!$C$28:$BB$28))/2),ABS(SUMPRODUCT(Oxides_max!$C5:$BB5,Factors!$C$28:$BB$28)-SUMPRODUCT(Oxides_min!$C5:$BB5,Factors!$C$28:$BB$28))/2)</f>
        <v>0</v>
      </c>
      <c r="V5" s="20">
        <f>MIN(MAX(0,(SUMPRODUCT(Oxides_min!$C5:$BB5,Factors!$C$29:$BB$29)+SUMPRODUCT(Oxides_max!$C5:$BB5,Factors!$C$29:$BB$29))/2),ABS(SUMPRODUCT(Oxides_max!$C5:$BB5,Factors!$C$29:$BB$29)-SUMPRODUCT(Oxides_min!$C5:$BB5,Factors!$C$29:$BB$29))/2)</f>
        <v>0</v>
      </c>
      <c r="W5" s="20">
        <f>MIN(MAX(0,(SUMPRODUCT(Oxides_min!$C5:$BB5,Factors!$C$30:$BB$30)+SUMPRODUCT(Oxides_max!$C5:$BB5,Factors!$C$30:$BB$30))/2),ABS(SUMPRODUCT(Oxides_max!$C5:$BB5,Factors!$C$30:$BB$30)-SUMPRODUCT(Oxides_min!$C5:$BB5,Factors!$C$30:$BB$30))/2)</f>
        <v>0</v>
      </c>
      <c r="X5" s="20">
        <f>MIN(MAX(0,(SUMPRODUCT(Oxides_min!$C5:$BB5,Factors!$C$31:$BB$31)+SUMPRODUCT(Oxides_max!$C5:$BB5,Factors!$C$31:$BB$31))/2),ABS(SUMPRODUCT(Oxides_max!$C5:$BB5,Factors!$C$31:$BB$31)-SUMPRODUCT(Oxides_min!$C5:$BB5,Factors!$C$31:$BB$31))/2)</f>
        <v>0</v>
      </c>
      <c r="Y5" s="20">
        <f>MIN(MAX(0,(SUMPRODUCT(Oxides_min!$C5:$BB5,Factors!$C$32:$BB$32)+SUMPRODUCT(Oxides_max!$C5:$BB5,Factors!$C$32:$BB$32))/2),ABS(SUMPRODUCT(Oxides_max!$C5:$BB5,Factors!$C$32:$BB$32)-SUMPRODUCT(Oxides_min!$C5:$BB5,Factors!$C$32:$BB$32))/2)</f>
        <v>0</v>
      </c>
      <c r="Z5" s="20">
        <f>MIN(MAX(0,(SUMPRODUCT(Oxides_min!$C5:$BB5,Factors!$C$33:$BB$33)+SUMPRODUCT(Oxides_max!$C5:$BB5,Factors!$C$33:$BB$33))/2),ABS(SUMPRODUCT(Oxides_max!$C5:$BB5,Factors!$C$33:$BB$33)-SUMPRODUCT(Oxides_min!$C5:$BB5,Factors!$C$33:$BB$33))/2)</f>
        <v>0</v>
      </c>
      <c r="AA5" s="20">
        <f>MIN(MAX(0,(SUMPRODUCT(Oxides_min!$C5:$BB5,Factors!$C$34:$BB$34)+SUMPRODUCT(Oxides_max!$C5:$BB5,Factors!$C$34:$BB$34))/2),ABS(SUMPRODUCT(Oxides_max!$C5:$BB5,Factors!$C$34:$BB$34)-SUMPRODUCT(Oxides_min!$C5:$BB5,Factors!$C$34:$BB$34))/2)</f>
        <v>0</v>
      </c>
      <c r="AB5" s="20">
        <f>MIN(MAX(0,(SUMPRODUCT(Oxides_min!$C5:$BB5,Factors!$C$35:$BB$35)+SUMPRODUCT(Oxides_max!$C5:$BB5,Factors!$C$35:$BB$35))/2),ABS(SUMPRODUCT(Oxides_max!$C5:$BB5,Factors!$C$35:$BB$35)-SUMPRODUCT(Oxides_min!$C5:$BB5,Factors!$C$35:$BB$35))/2)</f>
        <v>0</v>
      </c>
      <c r="AC5" s="20">
        <f>MIN(MAX(0,(SUMPRODUCT(Oxides_min!$C5:$BB5,Factors!$C$36:$BB$36)+SUMPRODUCT(Oxides_max!$C5:$BB5,Factors!$C$36:$BB$36))/2),ABS(SUMPRODUCT(Oxides_max!$C5:$BB5,Factors!$C$36:$BB$36)-SUMPRODUCT(Oxides_min!$C5:$BB5,Factors!$C$36:$BB$36))/2)</f>
        <v>0.34115180985707472</v>
      </c>
      <c r="AD5" s="20">
        <f>MIN(MAX(0,(SUMPRODUCT(Oxides_min!$C5:$BB5,Factors!$C$37:$BB$37)+SUMPRODUCT(Oxides_max!$C5:$BB5,Factors!$C$37:$BB$37))/2),ABS(SUMPRODUCT(Oxides_max!$C5:$BB5,Factors!$C$37:$BB$37)-SUMPRODUCT(Oxides_min!$C5:$BB5,Factors!$C$37:$BB$37))/2)</f>
        <v>0</v>
      </c>
      <c r="AE5" s="20">
        <f>MIN(MAX(0,(SUMPRODUCT(Oxides_min!$C5:$BB5,Factors!$C$38:$BB$38)+SUMPRODUCT(Oxides_max!$C5:$BB5,Factors!$C$38:$BB$38))/2),ABS(SUMPRODUCT(Oxides_max!$C5:$BB5,Factors!$C$38:$BB$38)-SUMPRODUCT(Oxides_min!$C5:$BB5,Factors!$C$38:$BB$38))/2)</f>
        <v>1.25</v>
      </c>
      <c r="AF5" s="20">
        <f>MIN(MAX(0,(SUMPRODUCT(Oxides_min!$C5:$BB5,Factors!$C$39:$BB$39)+SUMPRODUCT(Oxides_max!$C5:$BB5,Factors!$C$39:$BB$39))/2),ABS(SUMPRODUCT(Oxides_max!$C5:$BB5,Factors!$C$39:$BB$39)-SUMPRODUCT(Oxides_min!$C5:$BB5,Factors!$C$39:$BB$39))/2)</f>
        <v>0</v>
      </c>
      <c r="AG5" s="20">
        <f>MIN(MAX(0,(SUMPRODUCT(Oxides_min!$C5:$BB5,Factors!$C$40:$BB$40)+SUMPRODUCT(Oxides_max!$C5:$BB5,Factors!$C$40:$BB$40))/2),ABS(SUMPRODUCT(Oxides_max!$C5:$BB5,Factors!$C$40:$BB$40)-SUMPRODUCT(Oxides_min!$C5:$BB5,Factors!$C$40:$BB$40))/2)</f>
        <v>0.65910888186711114</v>
      </c>
      <c r="AH5" s="20">
        <f>MIN(MAX(0,(SUMPRODUCT(Oxides_min!$C5:$BB5,Factors!$C$41:$BB$41)+SUMPRODUCT(Oxides_max!$C5:$BB5,Factors!$C$41:$BB$41))/2),ABS(SUMPRODUCT(Oxides_max!$C5:$BB5,Factors!$C$41:$BB$41)-SUMPRODUCT(Oxides_min!$C5:$BB5,Factors!$C$41:$BB$41))/2)</f>
        <v>2.2037517482979753E-2</v>
      </c>
      <c r="AI5" s="20">
        <f>MIN(MAX(0,(SUMPRODUCT(Oxides_min!$C5:$BB5,Factors!$C$42:$BB$42)+SUMPRODUCT(Oxides_max!$C5:$BB5,Factors!$C$42:$BB$42))/2),ABS(SUMPRODUCT(Oxides_max!$C5:$BB5,Factors!$C$42:$BB$42)-SUMPRODUCT(Oxides_min!$C5:$BB5,Factors!$C$42:$BB$42))/2)</f>
        <v>0</v>
      </c>
      <c r="AJ5" s="20">
        <f>MIN(MAX(0,(SUMPRODUCT(Oxides_min!$C5:$BB5,Factors!$C$43:$BB$43)+SUMPRODUCT(Oxides_max!$C5:$BB5,Factors!$C$43:$BB$43))/2),ABS(SUMPRODUCT(Oxides_max!$C5:$BB5,Factors!$C$43:$BB$43)-SUMPRODUCT(Oxides_min!$C5:$BB5,Factors!$C$43:$BB$43))/2)</f>
        <v>0.78744395476737217</v>
      </c>
      <c r="AK5" s="20">
        <f>MIN(MAX(0,(SUMPRODUCT(Oxides_min!$C5:$BB5,Factors!$C$44:$BB$44)+SUMPRODUCT(Oxides_max!$C5:$BB5,Factors!$C$44:$BB$44))/2),ABS(SUMPRODUCT(Oxides_max!$C5:$BB5,Factors!$C$44:$BB$44)-SUMPRODUCT(Oxides_min!$C5:$BB5,Factors!$C$44:$BB$44))/2)</f>
        <v>4.6897573153066796</v>
      </c>
      <c r="AL5" s="20">
        <f>MIN(MAX(0,(SUMPRODUCT(Oxides_min!$C5:$BB5,Factors!$C$45:$BB$45)+SUMPRODUCT(Oxides_max!$C5:$BB5,Factors!$C$45:$BB$45))/2),ABS(SUMPRODUCT(Oxides_max!$C5:$BB5,Factors!$C$45:$BB$45)-SUMPRODUCT(Oxides_min!$C5:$BB5,Factors!$C$45:$BB$45))/2)</f>
        <v>3.8419639946500759</v>
      </c>
      <c r="AM5" s="20">
        <f>MIN(MAX(0,(SUMPRODUCT(Oxides_min!$C5:$BB5,Factors!$C$46:$BB$46)+SUMPRODUCT(Oxides_max!$C5:$BB5,Factors!$C$46:$BB$46))/2),ABS(SUMPRODUCT(Oxides_max!$C5:$BB5,Factors!$C$46:$BB$46)-SUMPRODUCT(Oxides_min!$C5:$BB5,Factors!$C$46:$BB$46))/2)</f>
        <v>1.0680897244833061</v>
      </c>
      <c r="AN5" s="20">
        <f>MIN(MAX(0,(SUMPRODUCT(Oxides_min!$C5:$BB5,Factors!$C$47:$BB$47)+SUMPRODUCT(Oxides_max!$C5:$BB5,Factors!$C$47:$BB$47))/2),ABS(SUMPRODUCT(Oxides_max!$C5:$BB5,Factors!$C$47:$BB$47)-SUMPRODUCT(Oxides_min!$C5:$BB5,Factors!$C$47:$BB$47))/2)</f>
        <v>3.6437629464962362</v>
      </c>
      <c r="AO5" s="20">
        <f>MIN(MAX(0,(SUMPRODUCT(Oxides_min!$C5:$BB5,Factors!$C$48:$BB$48)+SUMPRODUCT(Oxides_max!$C5:$BB5,Factors!$C$48:$BB$48))/2),ABS(SUMPRODUCT(Oxides_max!$C5:$BB5,Factors!$C$48:$BB$48)-SUMPRODUCT(Oxides_min!$C5:$BB5,Factors!$C$48:$BB$48))/2)</f>
        <v>0.948597286624971</v>
      </c>
      <c r="AP5" s="20">
        <f>MIN(MAX(0,(SUMPRODUCT(Oxides_min!$C5:$BB5,Factors!$C$49:$BB$49)+SUMPRODUCT(Oxides_max!$C5:$BB5,Factors!$C$49:$BB$49))/2),ABS(SUMPRODUCT(Oxides_max!$C5:$BB5,Factors!$C$49:$BB$49)-SUMPRODUCT(Oxides_min!$C5:$BB5,Factors!$C$49:$BB$49))/2)</f>
        <v>0.21590395680897917</v>
      </c>
      <c r="AQ5" s="20">
        <f>MIN(MAX(0,(SUMPRODUCT(Oxides_min!$C5:$BB5,Factors!$C$50:$BB$50)+SUMPRODUCT(Oxides_max!$C5:$BB5,Factors!$C$50:$BB$50))/2),ABS(SUMPRODUCT(Oxides_max!$C5:$BB5,Factors!$C$50:$BB$50)-SUMPRODUCT(Oxides_min!$C5:$BB5,Factors!$C$50:$BB$50))/2)</f>
        <v>0.65069504023481572</v>
      </c>
      <c r="AR5" s="20">
        <f>MIN(MAX(0,(SUMPRODUCT(Oxides_min!$C5:$BB5,Factors!$C$51:$BB$51)+SUMPRODUCT(Oxides_max!$C5:$BB5,Factors!$C$51:$BB$51))/2),ABS(SUMPRODUCT(Oxides_max!$C5:$BB5,Factors!$C$51:$BB$51)-SUMPRODUCT(Oxides_min!$C5:$BB5,Factors!$C$51:$BB$51))/2)</f>
        <v>0</v>
      </c>
      <c r="AS5" s="20">
        <f>MIN(MAX(0,(SUMPRODUCT(Oxides_min!$C5:$BB5,Factors!$C$52:$BB$52)+SUMPRODUCT(Oxides_max!$C5:$BB5,Factors!$C$52:$BB$52))/2),ABS(SUMPRODUCT(Oxides_max!$C5:$BB5,Factors!$C$52:$BB$52)-SUMPRODUCT(Oxides_min!$C5:$BB5,Factors!$C$52:$BB$52))/2)</f>
        <v>0.26139620425901544</v>
      </c>
      <c r="AT5" s="20">
        <f>MIN(MAX(0,(SUMPRODUCT(Oxides_min!$C5:$BB5,Factors!$C$53:$BB$53)+SUMPRODUCT(Oxides_max!$C5:$BB5,Factors!$C$53:$BB$53))/2),ABS(SUMPRODUCT(Oxides_max!$C5:$BB5,Factors!$C$53:$BB$53)-SUMPRODUCT(Oxides_min!$C5:$BB5,Factors!$C$53:$BB$53))/2)</f>
        <v>0</v>
      </c>
      <c r="AU5" s="20">
        <f>MIN(MAX(0,(SUMPRODUCT(Oxides_min!$C5:$BB5,Factors!$C$54:$BB$54)+SUMPRODUCT(Oxides_max!$C5:$BB5,Factors!$C$54:$BB$54))/2),ABS(SUMPRODUCT(Oxides_max!$C5:$BB5,Factors!$C$54:$BB$54)-SUMPRODUCT(Oxides_min!$C5:$BB5,Factors!$C$54:$BB$54))/2)</f>
        <v>0</v>
      </c>
      <c r="AV5" s="20">
        <f>MIN(MAX(0,(SUMPRODUCT(Oxides_min!$C5:$BB5,Factors!$C$55:$BB$55)+SUMPRODUCT(Oxides_max!$C5:$BB5,Factors!$C$55:$BB$55))/2),ABS(SUMPRODUCT(Oxides_max!$C5:$BB5,Factors!$C$55:$BB$55)-SUMPRODUCT(Oxides_min!$C5:$BB5,Factors!$C$55:$BB$55))/2)</f>
        <v>0</v>
      </c>
      <c r="AW5" s="20">
        <f>MIN(MAX(0,(SUMPRODUCT(Oxides_min!$C5:$BB5,Factors!$C$56:$BB$56)+SUMPRODUCT(Oxides_max!$C5:$BB5,Factors!$C$56:$BB$56))/2),ABS(SUMPRODUCT(Oxides_max!$C5:$BB5,Factors!$C$56:$BB$56)-SUMPRODUCT(Oxides_min!$C5:$BB5,Factors!$C$56:$BB$56))/2)</f>
        <v>0</v>
      </c>
      <c r="AX5" s="20">
        <f>MIN(MAX(0,(SUMPRODUCT(Oxides_min!$C5:$BB5,Factors!$C$57:$BB$57)+SUMPRODUCT(Oxides_max!$C5:$BB5,Factors!$C$57:$BB$57))/2),ABS(SUMPRODUCT(Oxides_max!$C5:$BB5,Factors!$C$57:$BB$57)-SUMPRODUCT(Oxides_min!$C5:$BB5,Factors!$C$57:$BB$57))/2)</f>
        <v>0</v>
      </c>
      <c r="AY5" s="20">
        <f>MIN(MAX(0,(SUMPRODUCT(Oxides_min!$C5:$BB5,Factors!$C$58:$BB$58)+SUMPRODUCT(Oxides_max!$C5:$BB5,Factors!$C$58:$BB$58))/2),ABS(SUMPRODUCT(Oxides_max!$C5:$BB5,Factors!$C$58:$BB$58)-SUMPRODUCT(Oxides_min!$C5:$BB5,Factors!$C$58:$BB$58))/2)</f>
        <v>0</v>
      </c>
      <c r="AZ5" s="18">
        <f t="shared" si="0"/>
        <v>24.39867287059819</v>
      </c>
    </row>
    <row r="6" spans="1:52" x14ac:dyDescent="0.35">
      <c r="A6" s="13" t="s">
        <v>133</v>
      </c>
      <c r="B6" s="20">
        <f>MIN(MAX(0,(SUMPRODUCT(Oxides_min!$C6:$BB6,Factors!$C$9:$BB$9)+SUMPRODUCT(Oxides_max!$C6:$BB6,Factors!$C$9:$BB$9))/2),ABS(SUMPRODUCT(Oxides_max!$C6:$BB6,Factors!$C$9:$BB$9)-SUMPRODUCT(Oxides_min!$C6:$BB6,Factors!$C$9:$BB$9))/2)</f>
        <v>4.9033540028895466</v>
      </c>
      <c r="C6" s="20">
        <f>MIN(MAX(0,(SUMPRODUCT(Oxides_min!$C6:$BB6,Factors!$C$10:$BB$10)+SUMPRODUCT(Oxides_max!$C6:$BB6,Factors!$C$10:$BB$10))/2),ABS(SUMPRODUCT(Oxides_max!$C6:$BB6,Factors!$C$10:$BB$10)-SUMPRODUCT(Oxides_min!$C6:$BB6,Factors!$C$10:$BB$10))/2)</f>
        <v>0.23371835627382123</v>
      </c>
      <c r="D6" s="20">
        <f>MIN(MAX(0,(SUMPRODUCT(Oxides_min!$C6:$BB6,Factors!$C$11:$BB$11)+SUMPRODUCT(Oxides_max!$C6:$BB6,Factors!$C$11:$BB$11))/2),ABS(SUMPRODUCT(Oxides_max!$C6:$BB6,Factors!$C$11:$BB$11)-SUMPRODUCT(Oxides_min!$C6:$BB6,Factors!$C$11:$BB$11))/2)</f>
        <v>0</v>
      </c>
      <c r="E6" s="20">
        <f>MIN(MAX(0,(SUMPRODUCT(Oxides_min!$C6:$BB6,Factors!$C$12:$BB$12)+SUMPRODUCT(Oxides_max!$C6:$BB6,Factors!$C$12:$BB$12))/2),ABS(SUMPRODUCT(Oxides_max!$C6:$BB6,Factors!$C$12:$BB$12)-SUMPRODUCT(Oxides_min!$C6:$BB6,Factors!$C$12:$BB$12))/2)</f>
        <v>0</v>
      </c>
      <c r="F6" s="20">
        <f>MIN(MAX(0,(SUMPRODUCT(Oxides_min!$C6:$BB6,Factors!$C$13:$BB$13)+SUMPRODUCT(Oxides_max!$C6:$BB6,Factors!$C$13:$BB$13))/2),ABS(SUMPRODUCT(Oxides_max!$C6:$BB6,Factors!$C$13:$BB$13)-SUMPRODUCT(Oxides_min!$C6:$BB6,Factors!$C$13:$BB$13))/2)</f>
        <v>0</v>
      </c>
      <c r="G6" s="20">
        <f>MIN(MAX(0,(SUMPRODUCT(Oxides_min!$C6:$BB6,Factors!$C$14:$BB$14)+SUMPRODUCT(Oxides_max!$C6:$BB6,Factors!$C$14:$BB$14))/2),ABS(SUMPRODUCT(Oxides_max!$C6:$BB6,Factors!$C$14:$BB$14)-SUMPRODUCT(Oxides_min!$C6:$BB6,Factors!$C$14:$BB$14))/2)</f>
        <v>0</v>
      </c>
      <c r="H6" s="20">
        <f>MIN(MAX(0,(SUMPRODUCT(Oxides_min!$C6:$BB6,Factors!$C$15:$BB$15)+SUMPRODUCT(Oxides_max!$C6:$BB6,Factors!$C$15:$BB$15))/2),ABS(SUMPRODUCT(Oxides_max!$C6:$BB6,Factors!$C$15:$BB$15)-SUMPRODUCT(Oxides_min!$C6:$BB6,Factors!$C$15:$BB$15))/2)</f>
        <v>0</v>
      </c>
      <c r="I6" s="20">
        <f>MIN(MAX(0,(SUMPRODUCT(Oxides_min!$C6:$BB6,Factors!$C$16:$BB$16)+SUMPRODUCT(Oxides_max!$C6:$BB6,Factors!$C$16:$BB$16))/2),ABS(SUMPRODUCT(Oxides_max!$C6:$BB6,Factors!$C$16:$BB$16)-SUMPRODUCT(Oxides_min!$C6:$BB6,Factors!$C$16:$BB$16))/2)</f>
        <v>0.19432729246701186</v>
      </c>
      <c r="J6" s="20">
        <f>MIN(MAX(0,(SUMPRODUCT(Oxides_min!$C6:$BB6,Factors!$C$17:$BB$17)+SUMPRODUCT(Oxides_max!$C6:$BB6,Factors!$C$17:$BB$17))/2),ABS(SUMPRODUCT(Oxides_max!$C6:$BB6,Factors!$C$17:$BB$17)-SUMPRODUCT(Oxides_min!$C6:$BB6,Factors!$C$17:$BB$17))/2)</f>
        <v>0</v>
      </c>
      <c r="K6" s="20">
        <f>MIN(MAX(0,(SUMPRODUCT(Oxides_min!$C6:$BB6,Factors!$C$18:$BB$18)+SUMPRODUCT(Oxides_max!$C6:$BB6,Factors!$C$18:$BB$18))/2),ABS(SUMPRODUCT(Oxides_max!$C6:$BB6,Factors!$C$18:$BB$18)-SUMPRODUCT(Oxides_min!$C6:$BB6,Factors!$C$18:$BB$18))/2)</f>
        <v>0</v>
      </c>
      <c r="L6" s="20">
        <f>MIN(MAX(0,(SUMPRODUCT(Oxides_min!$C6:$BB6,Factors!$C$19:$BB$19)+SUMPRODUCT(Oxides_max!$C6:$BB6,Factors!$C$19:$BB$19))/2),ABS(SUMPRODUCT(Oxides_max!$C6:$BB6,Factors!$C$19:$BB$19)-SUMPRODUCT(Oxides_min!$C6:$BB6,Factors!$C$19:$BB$19))/2)</f>
        <v>0</v>
      </c>
      <c r="M6" s="20">
        <f>MIN(MAX(0,(SUMPRODUCT(Oxides_min!$C6:$BB6,Factors!$C$20:$BB$20)+SUMPRODUCT(Oxides_max!$C6:$BB6,Factors!$C$20:$BB$20))/2),ABS(SUMPRODUCT(Oxides_max!$C6:$BB6,Factors!$C$20:$BB$20)-SUMPRODUCT(Oxides_min!$C6:$BB6,Factors!$C$20:$BB$20))/2)</f>
        <v>0</v>
      </c>
      <c r="N6" s="20">
        <f>MIN(MAX(0,(SUMPRODUCT(Oxides_min!$C6:$BB6,Factors!$C$21:$BB$21)+SUMPRODUCT(Oxides_max!$C6:$BB6,Factors!$C$21:$BB$21))/2),ABS(SUMPRODUCT(Oxides_max!$C6:$BB6,Factors!$C$21:$BB$21)-SUMPRODUCT(Oxides_min!$C6:$BB6,Factors!$C$21:$BB$21))/2)</f>
        <v>1.4293917292294518</v>
      </c>
      <c r="O6" s="20">
        <f>MIN(MAX(0,(SUMPRODUCT(Oxides_min!$C6:$BB6,Factors!$C$22:$BB$22)+SUMPRODUCT(Oxides_max!$C6:$BB6,Factors!$C$22:$BB$22))/2),ABS(SUMPRODUCT(Oxides_max!$C6:$BB6,Factors!$C$22:$BB$22)-SUMPRODUCT(Oxides_min!$C6:$BB6,Factors!$C$22:$BB$22))/2)</f>
        <v>0.4227989075362627</v>
      </c>
      <c r="P6" s="20">
        <f>MIN(MAX(0,(SUMPRODUCT(Oxides_min!$C6:$BB6,Factors!$C$23:$BB$23)+SUMPRODUCT(Oxides_max!$C6:$BB6,Factors!$C$23:$BB$23))/2),ABS(SUMPRODUCT(Oxides_max!$C6:$BB6,Factors!$C$23:$BB$23)-SUMPRODUCT(Oxides_min!$C6:$BB6,Factors!$C$23:$BB$23))/2)</f>
        <v>0</v>
      </c>
      <c r="Q6" s="20">
        <f>MIN(MAX(0,(SUMPRODUCT(Oxides_min!$C6:$BB6,Factors!$C$24:$BB$24)+SUMPRODUCT(Oxides_max!$C6:$BB6,Factors!$C$24:$BB$24))/2),ABS(SUMPRODUCT(Oxides_max!$C6:$BB6,Factors!$C$24:$BB$24)-SUMPRODUCT(Oxides_min!$C6:$BB6,Factors!$C$24:$BB$24))/2)</f>
        <v>0</v>
      </c>
      <c r="R6" s="20">
        <f>MIN(MAX(0,(SUMPRODUCT(Oxides_min!$C6:$BB6,Factors!$C$25:$BB$25)+SUMPRODUCT(Oxides_max!$C6:$BB6,Factors!$C$25:$BB$25))/2),ABS(SUMPRODUCT(Oxides_max!$C6:$BB6,Factors!$C$25:$BB$25)-SUMPRODUCT(Oxides_min!$C6:$BB6,Factors!$C$25:$BB$25))/2)</f>
        <v>0</v>
      </c>
      <c r="S6" s="20">
        <f>MIN(MAX(0,(SUMPRODUCT(Oxides_min!$C6:$BB6,Factors!$C$26:$BB$26)+SUMPRODUCT(Oxides_max!$C6:$BB6,Factors!$C$26:$BB$26))/2),ABS(SUMPRODUCT(Oxides_max!$C6:$BB6,Factors!$C$26:$BB$26)-SUMPRODUCT(Oxides_min!$C6:$BB6,Factors!$C$26:$BB$26))/2)</f>
        <v>0</v>
      </c>
      <c r="T6" s="20">
        <f>MIN(MAX(0,(SUMPRODUCT(Oxides_min!$C6:$BB6,Factors!$C$27:$BB$27)+SUMPRODUCT(Oxides_max!$C6:$BB6,Factors!$C$27:$BB$27))/2),ABS(SUMPRODUCT(Oxides_max!$C6:$BB6,Factors!$C$27:$BB$27)-SUMPRODUCT(Oxides_min!$C6:$BB6,Factors!$C$27:$BB$27))/2)</f>
        <v>0</v>
      </c>
      <c r="U6" s="20">
        <f>MIN(MAX(0,(SUMPRODUCT(Oxides_min!$C6:$BB6,Factors!$C$28:$BB$28)+SUMPRODUCT(Oxides_max!$C6:$BB6,Factors!$C$28:$BB$28))/2),ABS(SUMPRODUCT(Oxides_max!$C6:$BB6,Factors!$C$28:$BB$28)-SUMPRODUCT(Oxides_min!$C6:$BB6,Factors!$C$28:$BB$28))/2)</f>
        <v>0</v>
      </c>
      <c r="V6" s="20">
        <f>MIN(MAX(0,(SUMPRODUCT(Oxides_min!$C6:$BB6,Factors!$C$29:$BB$29)+SUMPRODUCT(Oxides_max!$C6:$BB6,Factors!$C$29:$BB$29))/2),ABS(SUMPRODUCT(Oxides_max!$C6:$BB6,Factors!$C$29:$BB$29)-SUMPRODUCT(Oxides_min!$C6:$BB6,Factors!$C$29:$BB$29))/2)</f>
        <v>0</v>
      </c>
      <c r="W6" s="20">
        <f>MIN(MAX(0,(SUMPRODUCT(Oxides_min!$C6:$BB6,Factors!$C$30:$BB$30)+SUMPRODUCT(Oxides_max!$C6:$BB6,Factors!$C$30:$BB$30))/2),ABS(SUMPRODUCT(Oxides_max!$C6:$BB6,Factors!$C$30:$BB$30)-SUMPRODUCT(Oxides_min!$C6:$BB6,Factors!$C$30:$BB$30))/2)</f>
        <v>0</v>
      </c>
      <c r="X6" s="20">
        <f>MIN(MAX(0,(SUMPRODUCT(Oxides_min!$C6:$BB6,Factors!$C$31:$BB$31)+SUMPRODUCT(Oxides_max!$C6:$BB6,Factors!$C$31:$BB$31))/2),ABS(SUMPRODUCT(Oxides_max!$C6:$BB6,Factors!$C$31:$BB$31)-SUMPRODUCT(Oxides_min!$C6:$BB6,Factors!$C$31:$BB$31))/2)</f>
        <v>0</v>
      </c>
      <c r="Y6" s="20">
        <f>MIN(MAX(0,(SUMPRODUCT(Oxides_min!$C6:$BB6,Factors!$C$32:$BB$32)+SUMPRODUCT(Oxides_max!$C6:$BB6,Factors!$C$32:$BB$32))/2),ABS(SUMPRODUCT(Oxides_max!$C6:$BB6,Factors!$C$32:$BB$32)-SUMPRODUCT(Oxides_min!$C6:$BB6,Factors!$C$32:$BB$32))/2)</f>
        <v>0</v>
      </c>
      <c r="Z6" s="20">
        <f>MIN(MAX(0,(SUMPRODUCT(Oxides_min!$C6:$BB6,Factors!$C$33:$BB$33)+SUMPRODUCT(Oxides_max!$C6:$BB6,Factors!$C$33:$BB$33))/2),ABS(SUMPRODUCT(Oxides_max!$C6:$BB6,Factors!$C$33:$BB$33)-SUMPRODUCT(Oxides_min!$C6:$BB6,Factors!$C$33:$BB$33))/2)</f>
        <v>0</v>
      </c>
      <c r="AA6" s="20">
        <f>MIN(MAX(0,(SUMPRODUCT(Oxides_min!$C6:$BB6,Factors!$C$34:$BB$34)+SUMPRODUCT(Oxides_max!$C6:$BB6,Factors!$C$34:$BB$34))/2),ABS(SUMPRODUCT(Oxides_max!$C6:$BB6,Factors!$C$34:$BB$34)-SUMPRODUCT(Oxides_min!$C6:$BB6,Factors!$C$34:$BB$34))/2)</f>
        <v>0</v>
      </c>
      <c r="AB6" s="20">
        <f>MIN(MAX(0,(SUMPRODUCT(Oxides_min!$C6:$BB6,Factors!$C$35:$BB$35)+SUMPRODUCT(Oxides_max!$C6:$BB6,Factors!$C$35:$BB$35))/2),ABS(SUMPRODUCT(Oxides_max!$C6:$BB6,Factors!$C$35:$BB$35)-SUMPRODUCT(Oxides_min!$C6:$BB6,Factors!$C$35:$BB$35))/2)</f>
        <v>0</v>
      </c>
      <c r="AC6" s="20">
        <f>MIN(MAX(0,(SUMPRODUCT(Oxides_min!$C6:$BB6,Factors!$C$36:$BB$36)+SUMPRODUCT(Oxides_max!$C6:$BB6,Factors!$C$36:$BB$36))/2),ABS(SUMPRODUCT(Oxides_max!$C6:$BB6,Factors!$C$36:$BB$36)-SUMPRODUCT(Oxides_min!$C6:$BB6,Factors!$C$36:$BB$36))/2)</f>
        <v>0.40938217182848957</v>
      </c>
      <c r="AD6" s="20">
        <f>MIN(MAX(0,(SUMPRODUCT(Oxides_min!$C6:$BB6,Factors!$C$37:$BB$37)+SUMPRODUCT(Oxides_max!$C6:$BB6,Factors!$C$37:$BB$37))/2),ABS(SUMPRODUCT(Oxides_max!$C6:$BB6,Factors!$C$37:$BB$37)-SUMPRODUCT(Oxides_min!$C6:$BB6,Factors!$C$37:$BB$37))/2)</f>
        <v>0</v>
      </c>
      <c r="AE6" s="20">
        <f>MIN(MAX(0,(SUMPRODUCT(Oxides_min!$C6:$BB6,Factors!$C$38:$BB$38)+SUMPRODUCT(Oxides_max!$C6:$BB6,Factors!$C$38:$BB$38))/2),ABS(SUMPRODUCT(Oxides_max!$C6:$BB6,Factors!$C$38:$BB$38)-SUMPRODUCT(Oxides_min!$C6:$BB6,Factors!$C$38:$BB$38))/2)</f>
        <v>1.25</v>
      </c>
      <c r="AF6" s="20">
        <f>MIN(MAX(0,(SUMPRODUCT(Oxides_min!$C6:$BB6,Factors!$C$39:$BB$39)+SUMPRODUCT(Oxides_max!$C6:$BB6,Factors!$C$39:$BB$39))/2),ABS(SUMPRODUCT(Oxides_max!$C6:$BB6,Factors!$C$39:$BB$39)-SUMPRODUCT(Oxides_min!$C6:$BB6,Factors!$C$39:$BB$39))/2)</f>
        <v>0</v>
      </c>
      <c r="AG6" s="20">
        <f>MIN(MAX(0,(SUMPRODUCT(Oxides_min!$C6:$BB6,Factors!$C$40:$BB$40)+SUMPRODUCT(Oxides_max!$C6:$BB6,Factors!$C$40:$BB$40))/2),ABS(SUMPRODUCT(Oxides_max!$C6:$BB6,Factors!$C$40:$BB$40)-SUMPRODUCT(Oxides_min!$C6:$BB6,Factors!$C$40:$BB$40))/2)</f>
        <v>0.87881184248948152</v>
      </c>
      <c r="AH6" s="20">
        <f>MIN(MAX(0,(SUMPRODUCT(Oxides_min!$C6:$BB6,Factors!$C$41:$BB$41)+SUMPRODUCT(Oxides_max!$C6:$BB6,Factors!$C$41:$BB$41))/2),ABS(SUMPRODUCT(Oxides_max!$C6:$BB6,Factors!$C$41:$BB$41)-SUMPRODUCT(Oxides_min!$C6:$BB6,Factors!$C$41:$BB$41))/2)</f>
        <v>4.4075034965959506E-2</v>
      </c>
      <c r="AI6" s="20">
        <f>MIN(MAX(0,(SUMPRODUCT(Oxides_min!$C6:$BB6,Factors!$C$42:$BB$42)+SUMPRODUCT(Oxides_max!$C6:$BB6,Factors!$C$42:$BB$42))/2),ABS(SUMPRODUCT(Oxides_max!$C6:$BB6,Factors!$C$42:$BB$42)-SUMPRODUCT(Oxides_min!$C6:$BB6,Factors!$C$42:$BB$42))/2)</f>
        <v>0</v>
      </c>
      <c r="AJ6" s="20">
        <f>MIN(MAX(0,(SUMPRODUCT(Oxides_min!$C6:$BB6,Factors!$C$43:$BB$43)+SUMPRODUCT(Oxides_max!$C6:$BB6,Factors!$C$43:$BB$43))/2),ABS(SUMPRODUCT(Oxides_max!$C6:$BB6,Factors!$C$43:$BB$43)-SUMPRODUCT(Oxides_min!$C6:$BB6,Factors!$C$43:$BB$43))/2)</f>
        <v>1.1811659321510581</v>
      </c>
      <c r="AK6" s="20">
        <f>MIN(MAX(0,(SUMPRODUCT(Oxides_min!$C6:$BB6,Factors!$C$44:$BB$44)+SUMPRODUCT(Oxides_max!$C6:$BB6,Factors!$C$44:$BB$44))/2),ABS(SUMPRODUCT(Oxides_max!$C6:$BB6,Factors!$C$44:$BB$44)-SUMPRODUCT(Oxides_min!$C6:$BB6,Factors!$C$44:$BB$44))/2)</f>
        <v>4.6897573153066796</v>
      </c>
      <c r="AL6" s="20">
        <f>MIN(MAX(0,(SUMPRODUCT(Oxides_min!$C6:$BB6,Factors!$C$45:$BB$45)+SUMPRODUCT(Oxides_max!$C6:$BB6,Factors!$C$45:$BB$45))/2),ABS(SUMPRODUCT(Oxides_max!$C6:$BB6,Factors!$C$45:$BB$45)-SUMPRODUCT(Oxides_min!$C6:$BB6,Factors!$C$45:$BB$45))/2)</f>
        <v>5.122618659533436</v>
      </c>
      <c r="AM6" s="20">
        <f>MIN(MAX(0,(SUMPRODUCT(Oxides_min!$C6:$BB6,Factors!$C$46:$BB$46)+SUMPRODUCT(Oxides_max!$C6:$BB6,Factors!$C$46:$BB$46))/2),ABS(SUMPRODUCT(Oxides_max!$C6:$BB6,Factors!$C$46:$BB$46)-SUMPRODUCT(Oxides_min!$C6:$BB6,Factors!$C$46:$BB$46))/2)</f>
        <v>1.0680897244833061</v>
      </c>
      <c r="AN6" s="20">
        <f>MIN(MAX(0,(SUMPRODUCT(Oxides_min!$C6:$BB6,Factors!$C$47:$BB$47)+SUMPRODUCT(Oxides_max!$C6:$BB6,Factors!$C$47:$BB$47))/2),ABS(SUMPRODUCT(Oxides_max!$C6:$BB6,Factors!$C$47:$BB$47)-SUMPRODUCT(Oxides_min!$C6:$BB6,Factors!$C$47:$BB$47))/2)</f>
        <v>4.0724409402016759</v>
      </c>
      <c r="AO6" s="20">
        <f>MIN(MAX(0,(SUMPRODUCT(Oxides_min!$C6:$BB6,Factors!$C$48:$BB$48)+SUMPRODUCT(Oxides_max!$C6:$BB6,Factors!$C$48:$BB$48))/2),ABS(SUMPRODUCT(Oxides_max!$C6:$BB6,Factors!$C$48:$BB$48)-SUMPRODUCT(Oxides_min!$C6:$BB6,Factors!$C$48:$BB$48))/2)</f>
        <v>0.99171534510792414</v>
      </c>
      <c r="AP6" s="20">
        <f>MIN(MAX(0,(SUMPRODUCT(Oxides_min!$C6:$BB6,Factors!$C$49:$BB$49)+SUMPRODUCT(Oxides_max!$C6:$BB6,Factors!$C$49:$BB$49))/2),ABS(SUMPRODUCT(Oxides_max!$C6:$BB6,Factors!$C$49:$BB$49)-SUMPRODUCT(Oxides_min!$C6:$BB6,Factors!$C$49:$BB$49))/2)</f>
        <v>0.21590395680897917</v>
      </c>
      <c r="AQ6" s="20">
        <f>MIN(MAX(0,(SUMPRODUCT(Oxides_min!$C6:$BB6,Factors!$C$50:$BB$50)+SUMPRODUCT(Oxides_max!$C6:$BB6,Factors!$C$50:$BB$50))/2),ABS(SUMPRODUCT(Oxides_max!$C6:$BB6,Factors!$C$50:$BB$50)-SUMPRODUCT(Oxides_min!$C6:$BB6,Factors!$C$50:$BB$50))/2)</f>
        <v>0.8675933869797543</v>
      </c>
      <c r="AR6" s="20">
        <f>MIN(MAX(0,(SUMPRODUCT(Oxides_min!$C6:$BB6,Factors!$C$51:$BB$51)+SUMPRODUCT(Oxides_max!$C6:$BB6,Factors!$C$51:$BB$51))/2),ABS(SUMPRODUCT(Oxides_max!$C6:$BB6,Factors!$C$51:$BB$51)-SUMPRODUCT(Oxides_min!$C6:$BB6,Factors!$C$51:$BB$51))/2)</f>
        <v>0</v>
      </c>
      <c r="AS6" s="20">
        <f>MIN(MAX(0,(SUMPRODUCT(Oxides_min!$C6:$BB6,Factors!$C$52:$BB$52)+SUMPRODUCT(Oxides_max!$C6:$BB6,Factors!$C$52:$BB$52))/2),ABS(SUMPRODUCT(Oxides_max!$C6:$BB6,Factors!$C$52:$BB$52)-SUMPRODUCT(Oxides_min!$C6:$BB6,Factors!$C$52:$BB$52))/2)</f>
        <v>0.348528272345354</v>
      </c>
      <c r="AT6" s="20">
        <f>MIN(MAX(0,(SUMPRODUCT(Oxides_min!$C6:$BB6,Factors!$C$53:$BB$53)+SUMPRODUCT(Oxides_max!$C6:$BB6,Factors!$C$53:$BB$53))/2),ABS(SUMPRODUCT(Oxides_max!$C6:$BB6,Factors!$C$53:$BB$53)-SUMPRODUCT(Oxides_min!$C6:$BB6,Factors!$C$53:$BB$53))/2)</f>
        <v>0</v>
      </c>
      <c r="AU6" s="20">
        <f>MIN(MAX(0,(SUMPRODUCT(Oxides_min!$C6:$BB6,Factors!$C$54:$BB$54)+SUMPRODUCT(Oxides_max!$C6:$BB6,Factors!$C$54:$BB$54))/2),ABS(SUMPRODUCT(Oxides_max!$C6:$BB6,Factors!$C$54:$BB$54)-SUMPRODUCT(Oxides_min!$C6:$BB6,Factors!$C$54:$BB$54))/2)</f>
        <v>0</v>
      </c>
      <c r="AV6" s="20">
        <f>MIN(MAX(0,(SUMPRODUCT(Oxides_min!$C6:$BB6,Factors!$C$55:$BB$55)+SUMPRODUCT(Oxides_max!$C6:$BB6,Factors!$C$55:$BB$55))/2),ABS(SUMPRODUCT(Oxides_max!$C6:$BB6,Factors!$C$55:$BB$55)-SUMPRODUCT(Oxides_min!$C6:$BB6,Factors!$C$55:$BB$55))/2)</f>
        <v>0</v>
      </c>
      <c r="AW6" s="20">
        <f>MIN(MAX(0,(SUMPRODUCT(Oxides_min!$C6:$BB6,Factors!$C$56:$BB$56)+SUMPRODUCT(Oxides_max!$C6:$BB6,Factors!$C$56:$BB$56))/2),ABS(SUMPRODUCT(Oxides_max!$C6:$BB6,Factors!$C$56:$BB$56)-SUMPRODUCT(Oxides_min!$C6:$BB6,Factors!$C$56:$BB$56))/2)</f>
        <v>0</v>
      </c>
      <c r="AX6" s="20">
        <f>MIN(MAX(0,(SUMPRODUCT(Oxides_min!$C6:$BB6,Factors!$C$57:$BB$57)+SUMPRODUCT(Oxides_max!$C6:$BB6,Factors!$C$57:$BB$57))/2),ABS(SUMPRODUCT(Oxides_max!$C6:$BB6,Factors!$C$57:$BB$57)-SUMPRODUCT(Oxides_min!$C6:$BB6,Factors!$C$57:$BB$57))/2)</f>
        <v>0</v>
      </c>
      <c r="AY6" s="20">
        <f>MIN(MAX(0,(SUMPRODUCT(Oxides_min!$C6:$BB6,Factors!$C$58:$BB$58)+SUMPRODUCT(Oxides_max!$C6:$BB6,Factors!$C$58:$BB$58))/2),ABS(SUMPRODUCT(Oxides_max!$C6:$BB6,Factors!$C$58:$BB$58)-SUMPRODUCT(Oxides_min!$C6:$BB6,Factors!$C$58:$BB$58))/2)</f>
        <v>0</v>
      </c>
      <c r="AZ6" s="18">
        <f t="shared" si="0"/>
        <v>28.323672870598195</v>
      </c>
    </row>
    <row r="7" spans="1:52" x14ac:dyDescent="0.35">
      <c r="A7" s="13" t="s">
        <v>135</v>
      </c>
      <c r="B7" s="20">
        <f>MIN(MAX(0,(SUMPRODUCT(Oxides_min!$C7:$BB7,Factors!$C$9:$BB$9)+SUMPRODUCT(Oxides_max!$C7:$BB7,Factors!$C$9:$BB$9))/2),ABS(SUMPRODUCT(Oxides_max!$C7:$BB7,Factors!$C$9:$BB$9)-SUMPRODUCT(Oxides_min!$C7:$BB7,Factors!$C$9:$BB$9))/2)</f>
        <v>13.522541784724959</v>
      </c>
      <c r="C7" s="20">
        <f>MIN(MAX(0,(SUMPRODUCT(Oxides_min!$C7:$BB7,Factors!$C$10:$BB$10)+SUMPRODUCT(Oxides_max!$C7:$BB7,Factors!$C$10:$BB$10))/2),ABS(SUMPRODUCT(Oxides_max!$C7:$BB7,Factors!$C$10:$BB$10)-SUMPRODUCT(Oxides_min!$C7:$BB7,Factors!$C$10:$BB$10))/2)</f>
        <v>1.4023101376429272</v>
      </c>
      <c r="D7" s="20">
        <f>MIN(MAX(0,(SUMPRODUCT(Oxides_min!$C7:$BB7,Factors!$C$11:$BB$11)+SUMPRODUCT(Oxides_max!$C7:$BB7,Factors!$C$11:$BB$11))/2),ABS(SUMPRODUCT(Oxides_max!$C7:$BB7,Factors!$C$11:$BB$11)-SUMPRODUCT(Oxides_min!$C7:$BB7,Factors!$C$11:$BB$11))/2)</f>
        <v>0.74918612658861838</v>
      </c>
      <c r="E7" s="20">
        <f>MIN(MAX(0,(SUMPRODUCT(Oxides_min!$C7:$BB7,Factors!$C$12:$BB$12)+SUMPRODUCT(Oxides_max!$C7:$BB7,Factors!$C$12:$BB$12))/2),ABS(SUMPRODUCT(Oxides_max!$C7:$BB7,Factors!$C$12:$BB$12)-SUMPRODUCT(Oxides_min!$C7:$BB7,Factors!$C$12:$BB$12))/2)</f>
        <v>0</v>
      </c>
      <c r="F7" s="20">
        <f>MIN(MAX(0,(SUMPRODUCT(Oxides_min!$C7:$BB7,Factors!$C$13:$BB$13)+SUMPRODUCT(Oxides_max!$C7:$BB7,Factors!$C$13:$BB$13))/2),ABS(SUMPRODUCT(Oxides_max!$C7:$BB7,Factors!$C$13:$BB$13)-SUMPRODUCT(Oxides_min!$C7:$BB7,Factors!$C$13:$BB$13))/2)</f>
        <v>0</v>
      </c>
      <c r="G7" s="20">
        <f>MIN(MAX(0,(SUMPRODUCT(Oxides_min!$C7:$BB7,Factors!$C$14:$BB$14)+SUMPRODUCT(Oxides_max!$C7:$BB7,Factors!$C$14:$BB$14))/2),ABS(SUMPRODUCT(Oxides_max!$C7:$BB7,Factors!$C$14:$BB$14)-SUMPRODUCT(Oxides_min!$C7:$BB7,Factors!$C$14:$BB$14))/2)</f>
        <v>0</v>
      </c>
      <c r="H7" s="20">
        <f>MIN(MAX(0,(SUMPRODUCT(Oxides_min!$C7:$BB7,Factors!$C$15:$BB$15)+SUMPRODUCT(Oxides_max!$C7:$BB7,Factors!$C$15:$BB$15))/2),ABS(SUMPRODUCT(Oxides_max!$C7:$BB7,Factors!$C$15:$BB$15)-SUMPRODUCT(Oxides_min!$C7:$BB7,Factors!$C$15:$BB$15))/2)</f>
        <v>3.1755415602520589</v>
      </c>
      <c r="I7" s="20">
        <f>MIN(MAX(0,(SUMPRODUCT(Oxides_min!$C7:$BB7,Factors!$C$16:$BB$16)+SUMPRODUCT(Oxides_max!$C7:$BB7,Factors!$C$16:$BB$16))/2),ABS(SUMPRODUCT(Oxides_max!$C7:$BB7,Factors!$C$16:$BB$16)-SUMPRODUCT(Oxides_min!$C7:$BB7,Factors!$C$16:$BB$16))/2)</f>
        <v>8.510724207057013</v>
      </c>
      <c r="J7" s="20">
        <f>MIN(MAX(0,(SUMPRODUCT(Oxides_min!$C7:$BB7,Factors!$C$17:$BB$17)+SUMPRODUCT(Oxides_max!$C7:$BB7,Factors!$C$17:$BB$17))/2),ABS(SUMPRODUCT(Oxides_max!$C7:$BB7,Factors!$C$17:$BB$17)-SUMPRODUCT(Oxides_min!$C7:$BB7,Factors!$C$17:$BB$17))/2)</f>
        <v>1.1423314298238874</v>
      </c>
      <c r="K7" s="20">
        <f>MIN(MAX(0,(SUMPRODUCT(Oxides_min!$C7:$BB7,Factors!$C$18:$BB$18)+SUMPRODUCT(Oxides_max!$C7:$BB7,Factors!$C$18:$BB$18))/2),ABS(SUMPRODUCT(Oxides_max!$C7:$BB7,Factors!$C$18:$BB$18)-SUMPRODUCT(Oxides_min!$C7:$BB7,Factors!$C$18:$BB$18))/2)</f>
        <v>0</v>
      </c>
      <c r="L7" s="20">
        <f>MIN(MAX(0,(SUMPRODUCT(Oxides_min!$C7:$BB7,Factors!$C$19:$BB$19)+SUMPRODUCT(Oxides_max!$C7:$BB7,Factors!$C$19:$BB$19))/2),ABS(SUMPRODUCT(Oxides_max!$C7:$BB7,Factors!$C$19:$BB$19)-SUMPRODUCT(Oxides_min!$C7:$BB7,Factors!$C$19:$BB$19))/2)</f>
        <v>0</v>
      </c>
      <c r="M7" s="20">
        <f>MIN(MAX(0,(SUMPRODUCT(Oxides_min!$C7:$BB7,Factors!$C$20:$BB$20)+SUMPRODUCT(Oxides_max!$C7:$BB7,Factors!$C$20:$BB$20))/2),ABS(SUMPRODUCT(Oxides_max!$C7:$BB7,Factors!$C$20:$BB$20)-SUMPRODUCT(Oxides_min!$C7:$BB7,Factors!$C$20:$BB$20))/2)</f>
        <v>0.90456282254863041</v>
      </c>
      <c r="N7" s="20">
        <f>MIN(MAX(0,(SUMPRODUCT(Oxides_min!$C7:$BB7,Factors!$C$21:$BB$21)+SUMPRODUCT(Oxides_max!$C7:$BB7,Factors!$C$21:$BB$21))/2),ABS(SUMPRODUCT(Oxides_max!$C7:$BB7,Factors!$C$21:$BB$21)-SUMPRODUCT(Oxides_min!$C7:$BB7,Factors!$C$21:$BB$21))/2)</f>
        <v>2.8587834584589045</v>
      </c>
      <c r="O7" s="20">
        <f>MIN(MAX(0,(SUMPRODUCT(Oxides_min!$C7:$BB7,Factors!$C$22:$BB$22)+SUMPRODUCT(Oxides_max!$C7:$BB7,Factors!$C$22:$BB$22))/2),ABS(SUMPRODUCT(Oxides_max!$C7:$BB7,Factors!$C$22:$BB$22)-SUMPRODUCT(Oxides_min!$C7:$BB7,Factors!$C$22:$BB$22))/2)</f>
        <v>0</v>
      </c>
      <c r="P7" s="20">
        <f>MIN(MAX(0,(SUMPRODUCT(Oxides_min!$C7:$BB7,Factors!$C$23:$BB$23)+SUMPRODUCT(Oxides_max!$C7:$BB7,Factors!$C$23:$BB$23))/2),ABS(SUMPRODUCT(Oxides_max!$C7:$BB7,Factors!$C$23:$BB$23)-SUMPRODUCT(Oxides_min!$C7:$BB7,Factors!$C$23:$BB$23))/2)</f>
        <v>0</v>
      </c>
      <c r="Q7" s="20">
        <f>MIN(MAX(0,(SUMPRODUCT(Oxides_min!$C7:$BB7,Factors!$C$24:$BB$24)+SUMPRODUCT(Oxides_max!$C7:$BB7,Factors!$C$24:$BB$24))/2),ABS(SUMPRODUCT(Oxides_max!$C7:$BB7,Factors!$C$24:$BB$24)-SUMPRODUCT(Oxides_min!$C7:$BB7,Factors!$C$24:$BB$24))/2)</f>
        <v>0</v>
      </c>
      <c r="R7" s="20">
        <f>MIN(MAX(0,(SUMPRODUCT(Oxides_min!$C7:$BB7,Factors!$C$25:$BB$25)+SUMPRODUCT(Oxides_max!$C7:$BB7,Factors!$C$25:$BB$25))/2),ABS(SUMPRODUCT(Oxides_max!$C7:$BB7,Factors!$C$25:$BB$25)-SUMPRODUCT(Oxides_min!$C7:$BB7,Factors!$C$25:$BB$25))/2)</f>
        <v>0.11127933869113804</v>
      </c>
      <c r="S7" s="20">
        <f>MIN(MAX(0,(SUMPRODUCT(Oxides_min!$C7:$BB7,Factors!$C$26:$BB$26)+SUMPRODUCT(Oxides_max!$C7:$BB7,Factors!$C$26:$BB$26))/2),ABS(SUMPRODUCT(Oxides_max!$C7:$BB7,Factors!$C$26:$BB$26)-SUMPRODUCT(Oxides_min!$C7:$BB7,Factors!$C$26:$BB$26))/2)</f>
        <v>0</v>
      </c>
      <c r="T7" s="20">
        <f>MIN(MAX(0,(SUMPRODUCT(Oxides_min!$C7:$BB7,Factors!$C$27:$BB$27)+SUMPRODUCT(Oxides_max!$C7:$BB7,Factors!$C$27:$BB$27))/2),ABS(SUMPRODUCT(Oxides_max!$C7:$BB7,Factors!$C$27:$BB$27)-SUMPRODUCT(Oxides_min!$C7:$BB7,Factors!$C$27:$BB$27))/2)</f>
        <v>0</v>
      </c>
      <c r="U7" s="20">
        <f>MIN(MAX(0,(SUMPRODUCT(Oxides_min!$C7:$BB7,Factors!$C$28:$BB$28)+SUMPRODUCT(Oxides_max!$C7:$BB7,Factors!$C$28:$BB$28))/2),ABS(SUMPRODUCT(Oxides_max!$C7:$BB7,Factors!$C$28:$BB$28)-SUMPRODUCT(Oxides_min!$C7:$BB7,Factors!$C$28:$BB$28))/2)</f>
        <v>0</v>
      </c>
      <c r="V7" s="20">
        <f>MIN(MAX(0,(SUMPRODUCT(Oxides_min!$C7:$BB7,Factors!$C$29:$BB$29)+SUMPRODUCT(Oxides_max!$C7:$BB7,Factors!$C$29:$BB$29))/2),ABS(SUMPRODUCT(Oxides_max!$C7:$BB7,Factors!$C$29:$BB$29)-SUMPRODUCT(Oxides_min!$C7:$BB7,Factors!$C$29:$BB$29))/2)</f>
        <v>0</v>
      </c>
      <c r="W7" s="20">
        <f>MIN(MAX(0,(SUMPRODUCT(Oxides_min!$C7:$BB7,Factors!$C$30:$BB$30)+SUMPRODUCT(Oxides_max!$C7:$BB7,Factors!$C$30:$BB$30))/2),ABS(SUMPRODUCT(Oxides_max!$C7:$BB7,Factors!$C$30:$BB$30)-SUMPRODUCT(Oxides_min!$C7:$BB7,Factors!$C$30:$BB$30))/2)</f>
        <v>0</v>
      </c>
      <c r="X7" s="20">
        <f>MIN(MAX(0,(SUMPRODUCT(Oxides_min!$C7:$BB7,Factors!$C$31:$BB$31)+SUMPRODUCT(Oxides_max!$C7:$BB7,Factors!$C$31:$BB$31))/2),ABS(SUMPRODUCT(Oxides_max!$C7:$BB7,Factors!$C$31:$BB$31)-SUMPRODUCT(Oxides_min!$C7:$BB7,Factors!$C$31:$BB$31))/2)</f>
        <v>0</v>
      </c>
      <c r="Y7" s="20">
        <f>MIN(MAX(0,(SUMPRODUCT(Oxides_min!$C7:$BB7,Factors!$C$32:$BB$32)+SUMPRODUCT(Oxides_max!$C7:$BB7,Factors!$C$32:$BB$32))/2),ABS(SUMPRODUCT(Oxides_max!$C7:$BB7,Factors!$C$32:$BB$32)-SUMPRODUCT(Oxides_min!$C7:$BB7,Factors!$C$32:$BB$32))/2)</f>
        <v>0</v>
      </c>
      <c r="Z7" s="20">
        <f>MIN(MAX(0,(SUMPRODUCT(Oxides_min!$C7:$BB7,Factors!$C$33:$BB$33)+SUMPRODUCT(Oxides_max!$C7:$BB7,Factors!$C$33:$BB$33))/2),ABS(SUMPRODUCT(Oxides_max!$C7:$BB7,Factors!$C$33:$BB$33)-SUMPRODUCT(Oxides_min!$C7:$BB7,Factors!$C$33:$BB$33))/2)</f>
        <v>2.1821340868133962E-2</v>
      </c>
      <c r="AA7" s="20">
        <f>MIN(MAX(0,(SUMPRODUCT(Oxides_min!$C7:$BB7,Factors!$C$34:$BB$34)+SUMPRODUCT(Oxides_max!$C7:$BB7,Factors!$C$34:$BB$34))/2),ABS(SUMPRODUCT(Oxides_max!$C7:$BB7,Factors!$C$34:$BB$34)-SUMPRODUCT(Oxides_min!$C7:$BB7,Factors!$C$34:$BB$34))/2)</f>
        <v>0</v>
      </c>
      <c r="AB7" s="20">
        <f>MIN(MAX(0,(SUMPRODUCT(Oxides_min!$C7:$BB7,Factors!$C$35:$BB$35)+SUMPRODUCT(Oxides_max!$C7:$BB7,Factors!$C$35:$BB$35))/2),ABS(SUMPRODUCT(Oxides_max!$C7:$BB7,Factors!$C$35:$BB$35)-SUMPRODUCT(Oxides_min!$C7:$BB7,Factors!$C$35:$BB$35))/2)</f>
        <v>0</v>
      </c>
      <c r="AC7" s="20">
        <f>MIN(MAX(0,(SUMPRODUCT(Oxides_min!$C7:$BB7,Factors!$C$36:$BB$36)+SUMPRODUCT(Oxides_max!$C7:$BB7,Factors!$C$36:$BB$36))/2),ABS(SUMPRODUCT(Oxides_max!$C7:$BB7,Factors!$C$36:$BB$36)-SUMPRODUCT(Oxides_min!$C7:$BB7,Factors!$C$36:$BB$36))/2)</f>
        <v>0</v>
      </c>
      <c r="AD7" s="20">
        <f>MIN(MAX(0,(SUMPRODUCT(Oxides_min!$C7:$BB7,Factors!$C$37:$BB$37)+SUMPRODUCT(Oxides_max!$C7:$BB7,Factors!$C$37:$BB$37))/2),ABS(SUMPRODUCT(Oxides_max!$C7:$BB7,Factors!$C$37:$BB$37)-SUMPRODUCT(Oxides_min!$C7:$BB7,Factors!$C$37:$BB$37))/2)</f>
        <v>0.10071606994171522</v>
      </c>
      <c r="AE7" s="20">
        <f>MIN(MAX(0,(SUMPRODUCT(Oxides_min!$C7:$BB7,Factors!$C$38:$BB$38)+SUMPRODUCT(Oxides_max!$C7:$BB7,Factors!$C$38:$BB$38))/2),ABS(SUMPRODUCT(Oxides_max!$C7:$BB7,Factors!$C$38:$BB$38)-SUMPRODUCT(Oxides_min!$C7:$BB7,Factors!$C$38:$BB$38))/2)</f>
        <v>0.25</v>
      </c>
      <c r="AF7" s="20">
        <f>MIN(MAX(0,(SUMPRODUCT(Oxides_min!$C7:$BB7,Factors!$C$39:$BB$39)+SUMPRODUCT(Oxides_max!$C7:$BB7,Factors!$C$39:$BB$39))/2),ABS(SUMPRODUCT(Oxides_max!$C7:$BB7,Factors!$C$39:$BB$39)-SUMPRODUCT(Oxides_min!$C7:$BB7,Factors!$C$39:$BB$39))/2)</f>
        <v>0</v>
      </c>
      <c r="AG7" s="20">
        <f>MIN(MAX(0,(SUMPRODUCT(Oxides_min!$C7:$BB7,Factors!$C$40:$BB$40)+SUMPRODUCT(Oxides_max!$C7:$BB7,Factors!$C$40:$BB$40))/2),ABS(SUMPRODUCT(Oxides_max!$C7:$BB7,Factors!$C$40:$BB$40)-SUMPRODUCT(Oxides_min!$C7:$BB7,Factors!$C$40:$BB$40))/2)</f>
        <v>1.5379207243565927</v>
      </c>
      <c r="AH7" s="20">
        <f>MIN(MAX(0,(SUMPRODUCT(Oxides_min!$C7:$BB7,Factors!$C$41:$BB$41)+SUMPRODUCT(Oxides_max!$C7:$BB7,Factors!$C$41:$BB$41))/2),ABS(SUMPRODUCT(Oxides_max!$C7:$BB7,Factors!$C$41:$BB$41)-SUMPRODUCT(Oxides_min!$C7:$BB7,Factors!$C$41:$BB$41))/2)</f>
        <v>0.22037517482979752</v>
      </c>
      <c r="AI7" s="20">
        <f>MIN(MAX(0,(SUMPRODUCT(Oxides_min!$C7:$BB7,Factors!$C$42:$BB$42)+SUMPRODUCT(Oxides_max!$C7:$BB7,Factors!$C$42:$BB$42))/2),ABS(SUMPRODUCT(Oxides_max!$C7:$BB7,Factors!$C$42:$BB$42)-SUMPRODUCT(Oxides_min!$C7:$BB7,Factors!$C$42:$BB$42))/2)</f>
        <v>0</v>
      </c>
      <c r="AJ7" s="20">
        <f>MIN(MAX(0,(SUMPRODUCT(Oxides_min!$C7:$BB7,Factors!$C$43:$BB$43)+SUMPRODUCT(Oxides_max!$C7:$BB7,Factors!$C$43:$BB$43))/2),ABS(SUMPRODUCT(Oxides_max!$C7:$BB7,Factors!$C$43:$BB$43)-SUMPRODUCT(Oxides_min!$C7:$BB7,Factors!$C$43:$BB$43))/2)</f>
        <v>1.1811659321510581</v>
      </c>
      <c r="AK7" s="20">
        <f>MIN(MAX(0,(SUMPRODUCT(Oxides_min!$C7:$BB7,Factors!$C$44:$BB$44)+SUMPRODUCT(Oxides_max!$C7:$BB7,Factors!$C$44:$BB$44))/2),ABS(SUMPRODUCT(Oxides_max!$C7:$BB7,Factors!$C$44:$BB$44)-SUMPRODUCT(Oxides_min!$C7:$BB7,Factors!$C$44:$BB$44))/2)</f>
        <v>4.6897573153066796</v>
      </c>
      <c r="AL7" s="20">
        <f>MIN(MAX(0,(SUMPRODUCT(Oxides_min!$C7:$BB7,Factors!$C$45:$BB$45)+SUMPRODUCT(Oxides_max!$C7:$BB7,Factors!$C$45:$BB$45))/2),ABS(SUMPRODUCT(Oxides_max!$C7:$BB7,Factors!$C$45:$BB$45)-SUMPRODUCT(Oxides_min!$C7:$BB7,Factors!$C$45:$BB$45))/2)</f>
        <v>3.8419639946500759</v>
      </c>
      <c r="AM7" s="20">
        <f>MIN(MAX(0,(SUMPRODUCT(Oxides_min!$C7:$BB7,Factors!$C$46:$BB$46)+SUMPRODUCT(Oxides_max!$C7:$BB7,Factors!$C$46:$BB$46))/2),ABS(SUMPRODUCT(Oxides_max!$C7:$BB7,Factors!$C$46:$BB$46)-SUMPRODUCT(Oxides_min!$C7:$BB7,Factors!$C$46:$BB$46))/2)</f>
        <v>0.76902460162798036</v>
      </c>
      <c r="AN7" s="20">
        <f>MIN(MAX(0,(SUMPRODUCT(Oxides_min!$C7:$BB7,Factors!$C$47:$BB$47)+SUMPRODUCT(Oxides_max!$C7:$BB7,Factors!$C$47:$BB$47))/2),ABS(SUMPRODUCT(Oxides_max!$C7:$BB7,Factors!$C$47:$BB$47)-SUMPRODUCT(Oxides_min!$C7:$BB7,Factors!$C$47:$BB$47))/2)</f>
        <v>2.3577289653799172</v>
      </c>
      <c r="AO7" s="20">
        <f>MIN(MAX(0,(SUMPRODUCT(Oxides_min!$C7:$BB7,Factors!$C$48:$BB$48)+SUMPRODUCT(Oxides_max!$C7:$BB7,Factors!$C$48:$BB$48))/2),ABS(SUMPRODUCT(Oxides_max!$C7:$BB7,Factors!$C$48:$BB$48)-SUMPRODUCT(Oxides_min!$C7:$BB7,Factors!$C$48:$BB$48))/2)</f>
        <v>0.47429864331248539</v>
      </c>
      <c r="AP7" s="20">
        <f>MIN(MAX(0,(SUMPRODUCT(Oxides_min!$C7:$BB7,Factors!$C$49:$BB$49)+SUMPRODUCT(Oxides_max!$C7:$BB7,Factors!$C$49:$BB$49))/2),ABS(SUMPRODUCT(Oxides_max!$C7:$BB7,Factors!$C$49:$BB$49)-SUMPRODUCT(Oxides_min!$C7:$BB7,Factors!$C$49:$BB$49))/2)</f>
        <v>4.3180791361795839E-2</v>
      </c>
      <c r="AQ7" s="20">
        <f>MIN(MAX(0,(SUMPRODUCT(Oxides_min!$C7:$BB7,Factors!$C$50:$BB$50)+SUMPRODUCT(Oxides_max!$C7:$BB7,Factors!$C$50:$BB$50))/2),ABS(SUMPRODUCT(Oxides_max!$C7:$BB7,Factors!$C$50:$BB$50)-SUMPRODUCT(Oxides_min!$C7:$BB7,Factors!$C$50:$BB$50))/2)</f>
        <v>0.30365768544291399</v>
      </c>
      <c r="AR7" s="20">
        <f>MIN(MAX(0,(SUMPRODUCT(Oxides_min!$C7:$BB7,Factors!$C$51:$BB$51)+SUMPRODUCT(Oxides_max!$C7:$BB7,Factors!$C$51:$BB$51))/2),ABS(SUMPRODUCT(Oxides_max!$C7:$BB7,Factors!$C$51:$BB$51)-SUMPRODUCT(Oxides_min!$C7:$BB7,Factors!$C$51:$BB$51))/2)</f>
        <v>4.3440303164404205E-2</v>
      </c>
      <c r="AS7" s="20">
        <f>MIN(MAX(0,(SUMPRODUCT(Oxides_min!$C7:$BB7,Factors!$C$52:$BB$52)+SUMPRODUCT(Oxides_max!$C7:$BB7,Factors!$C$52:$BB$52))/2),ABS(SUMPRODUCT(Oxides_max!$C7:$BB7,Factors!$C$52:$BB$52)-SUMPRODUCT(Oxides_min!$C7:$BB7,Factors!$C$52:$BB$52))/2)</f>
        <v>0.26139620425901544</v>
      </c>
      <c r="AT7" s="20">
        <f>MIN(MAX(0,(SUMPRODUCT(Oxides_min!$C7:$BB7,Factors!$C$53:$BB$53)+SUMPRODUCT(Oxides_max!$C7:$BB7,Factors!$C$53:$BB$53))/2),ABS(SUMPRODUCT(Oxides_max!$C7:$BB7,Factors!$C$53:$BB$53)-SUMPRODUCT(Oxides_min!$C7:$BB7,Factors!$C$53:$BB$53))/2)</f>
        <v>5.2378558635016156E-2</v>
      </c>
      <c r="AU7" s="20">
        <f>MIN(MAX(0,(SUMPRODUCT(Oxides_min!$C7:$BB7,Factors!$C$54:$BB$54)+SUMPRODUCT(Oxides_max!$C7:$BB7,Factors!$C$54:$BB$54))/2),ABS(SUMPRODUCT(Oxides_max!$C7:$BB7,Factors!$C$54:$BB$54)-SUMPRODUCT(Oxides_min!$C7:$BB7,Factors!$C$54:$BB$54))/2)</f>
        <v>0.15304144935492725</v>
      </c>
      <c r="AV7" s="20">
        <f>MIN(MAX(0,(SUMPRODUCT(Oxides_min!$C7:$BB7,Factors!$C$55:$BB$55)+SUMPRODUCT(Oxides_max!$C7:$BB7,Factors!$C$55:$BB$55))/2),ABS(SUMPRODUCT(Oxides_max!$C7:$BB7,Factors!$C$55:$BB$55)-SUMPRODUCT(Oxides_min!$C7:$BB7,Factors!$C$55:$BB$55))/2)</f>
        <v>2.1890301966405699E-2</v>
      </c>
      <c r="AW7" s="20">
        <f>MIN(MAX(0,(SUMPRODUCT(Oxides_min!$C7:$BB7,Factors!$C$56:$BB$56)+SUMPRODUCT(Oxides_max!$C7:$BB7,Factors!$C$56:$BB$56))/2),ABS(SUMPRODUCT(Oxides_max!$C7:$BB7,Factors!$C$56:$BB$56)-SUMPRODUCT(Oxides_min!$C7:$BB7,Factors!$C$56:$BB$56))/2)</f>
        <v>0.13173106446038566</v>
      </c>
      <c r="AX7" s="20">
        <f>MIN(MAX(0,(SUMPRODUCT(Oxides_min!$C7:$BB7,Factors!$C$57:$BB$57)+SUMPRODUCT(Oxides_max!$C7:$BB7,Factors!$C$57:$BB$57))/2),ABS(SUMPRODUCT(Oxides_max!$C7:$BB7,Factors!$C$57:$BB$57)-SUMPRODUCT(Oxides_min!$C7:$BB7,Factors!$C$57:$BB$57))/2)</f>
        <v>2.1984587262200997E-2</v>
      </c>
      <c r="AY7" s="20">
        <f>MIN(MAX(0,(SUMPRODUCT(Oxides_min!$C7:$BB7,Factors!$C$58:$BB$58)+SUMPRODUCT(Oxides_max!$C7:$BB7,Factors!$C$58:$BB$58))/2),ABS(SUMPRODUCT(Oxides_max!$C7:$BB7,Factors!$C$58:$BB$58)-SUMPRODUCT(Oxides_min!$C7:$BB7,Factors!$C$58:$BB$58))/2)</f>
        <v>0</v>
      </c>
      <c r="AZ7" s="18">
        <f t="shared" si="0"/>
        <v>48.854734574119661</v>
      </c>
    </row>
    <row r="8" spans="1:52" x14ac:dyDescent="0.35">
      <c r="A8" s="13" t="s">
        <v>137</v>
      </c>
      <c r="B8" s="20">
        <f>MIN(MAX(0,(SUMPRODUCT(Oxides_min!$C8:$BB8,Factors!$C$9:$BB$9)+SUMPRODUCT(Oxides_max!$C8:$BB8,Factors!$C$9:$BB$9))/2),ABS(SUMPRODUCT(Oxides_max!$C8:$BB8,Factors!$C$9:$BB$9)-SUMPRODUCT(Oxides_min!$C8:$BB8,Factors!$C$9:$BB$9))/2)</f>
        <v>3.7010405917785327</v>
      </c>
      <c r="C8" s="20">
        <f>MIN(MAX(0,(SUMPRODUCT(Oxides_min!$C8:$BB8,Factors!$C$10:$BB$10)+SUMPRODUCT(Oxides_max!$C8:$BB8,Factors!$C$10:$BB$10))/2),ABS(SUMPRODUCT(Oxides_max!$C8:$BB8,Factors!$C$10:$BB$10)-SUMPRODUCT(Oxides_min!$C8:$BB8,Factors!$C$10:$BB$10))/2)</f>
        <v>0.35057753441073186</v>
      </c>
      <c r="D8" s="20">
        <f>MIN(MAX(0,(SUMPRODUCT(Oxides_min!$C8:$BB8,Factors!$C$11:$BB$11)+SUMPRODUCT(Oxides_max!$C8:$BB8,Factors!$C$11:$BB$11))/2),ABS(SUMPRODUCT(Oxides_max!$C8:$BB8,Factors!$C$11:$BB$11)-SUMPRODUCT(Oxides_min!$C8:$BB8,Factors!$C$11:$BB$11))/2)</f>
        <v>0</v>
      </c>
      <c r="E8" s="20">
        <f>MIN(MAX(0,(SUMPRODUCT(Oxides_min!$C8:$BB8,Factors!$C$12:$BB$12)+SUMPRODUCT(Oxides_max!$C8:$BB8,Factors!$C$12:$BB$12))/2),ABS(SUMPRODUCT(Oxides_max!$C8:$BB8,Factors!$C$12:$BB$12)-SUMPRODUCT(Oxides_min!$C8:$BB8,Factors!$C$12:$BB$12))/2)</f>
        <v>0</v>
      </c>
      <c r="F8" s="20">
        <f>MIN(MAX(0,(SUMPRODUCT(Oxides_min!$C8:$BB8,Factors!$C$13:$BB$13)+SUMPRODUCT(Oxides_max!$C8:$BB8,Factors!$C$13:$BB$13))/2),ABS(SUMPRODUCT(Oxides_max!$C8:$BB8,Factors!$C$13:$BB$13)-SUMPRODUCT(Oxides_min!$C8:$BB8,Factors!$C$13:$BB$13))/2)</f>
        <v>0</v>
      </c>
      <c r="G8" s="20">
        <f>MIN(MAX(0,(SUMPRODUCT(Oxides_min!$C8:$BB8,Factors!$C$14:$BB$14)+SUMPRODUCT(Oxides_max!$C8:$BB8,Factors!$C$14:$BB$14))/2),ABS(SUMPRODUCT(Oxides_max!$C8:$BB8,Factors!$C$14:$BB$14)-SUMPRODUCT(Oxides_min!$C8:$BB8,Factors!$C$14:$BB$14))/2)</f>
        <v>0</v>
      </c>
      <c r="H8" s="20">
        <f>MIN(MAX(0,(SUMPRODUCT(Oxides_min!$C8:$BB8,Factors!$C$15:$BB$15)+SUMPRODUCT(Oxides_max!$C8:$BB8,Factors!$C$15:$BB$15))/2),ABS(SUMPRODUCT(Oxides_max!$C8:$BB8,Factors!$C$15:$BB$15)-SUMPRODUCT(Oxides_min!$C8:$BB8,Factors!$C$15:$BB$15))/2)</f>
        <v>0</v>
      </c>
      <c r="I8" s="20">
        <f>MIN(MAX(0,(SUMPRODUCT(Oxides_min!$C8:$BB8,Factors!$C$16:$BB$16)+SUMPRODUCT(Oxides_max!$C8:$BB8,Factors!$C$16:$BB$16))/2),ABS(SUMPRODUCT(Oxides_max!$C8:$BB8,Factors!$C$16:$BB$16)-SUMPRODUCT(Oxides_min!$C8:$BB8,Factors!$C$16:$BB$16))/2)</f>
        <v>0.23319275096041422</v>
      </c>
      <c r="J8" s="20">
        <f>MIN(MAX(0,(SUMPRODUCT(Oxides_min!$C8:$BB8,Factors!$C$17:$BB$17)+SUMPRODUCT(Oxides_max!$C8:$BB8,Factors!$C$17:$BB$17))/2),ABS(SUMPRODUCT(Oxides_max!$C8:$BB8,Factors!$C$17:$BB$17)-SUMPRODUCT(Oxides_min!$C8:$BB8,Factors!$C$17:$BB$17))/2)</f>
        <v>0.19361549658031987</v>
      </c>
      <c r="K8" s="20">
        <f>MIN(MAX(0,(SUMPRODUCT(Oxides_min!$C8:$BB8,Factors!$C$18:$BB$18)+SUMPRODUCT(Oxides_max!$C8:$BB8,Factors!$C$18:$BB$18))/2),ABS(SUMPRODUCT(Oxides_max!$C8:$BB8,Factors!$C$18:$BB$18)-SUMPRODUCT(Oxides_min!$C8:$BB8,Factors!$C$18:$BB$18))/2)</f>
        <v>0</v>
      </c>
      <c r="L8" s="20">
        <f>MIN(MAX(0,(SUMPRODUCT(Oxides_min!$C8:$BB8,Factors!$C$19:$BB$19)+SUMPRODUCT(Oxides_max!$C8:$BB8,Factors!$C$19:$BB$19))/2),ABS(SUMPRODUCT(Oxides_max!$C8:$BB8,Factors!$C$19:$BB$19)-SUMPRODUCT(Oxides_min!$C8:$BB8,Factors!$C$19:$BB$19))/2)</f>
        <v>0</v>
      </c>
      <c r="M8" s="20">
        <f>MIN(MAX(0,(SUMPRODUCT(Oxides_min!$C8:$BB8,Factors!$C$20:$BB$20)+SUMPRODUCT(Oxides_max!$C8:$BB8,Factors!$C$20:$BB$20))/2),ABS(SUMPRODUCT(Oxides_max!$C8:$BB8,Factors!$C$20:$BB$20)-SUMPRODUCT(Oxides_min!$C8:$BB8,Factors!$C$20:$BB$20))/2)</f>
        <v>0</v>
      </c>
      <c r="N8" s="20">
        <f>MIN(MAX(0,(SUMPRODUCT(Oxides_min!$C8:$BB8,Factors!$C$21:$BB$21)+SUMPRODUCT(Oxides_max!$C8:$BB8,Factors!$C$21:$BB$21))/2),ABS(SUMPRODUCT(Oxides_max!$C8:$BB8,Factors!$C$21:$BB$21)-SUMPRODUCT(Oxides_min!$C8:$BB8,Factors!$C$21:$BB$21))/2)</f>
        <v>1.7867396615368136</v>
      </c>
      <c r="O8" s="20">
        <f>MIN(MAX(0,(SUMPRODUCT(Oxides_min!$C8:$BB8,Factors!$C$22:$BB$22)+SUMPRODUCT(Oxides_max!$C8:$BB8,Factors!$C$22:$BB$22))/2),ABS(SUMPRODUCT(Oxides_max!$C8:$BB8,Factors!$C$22:$BB$22)-SUMPRODUCT(Oxides_min!$C8:$BB8,Factors!$C$22:$BB$22))/2)</f>
        <v>1.268396722608788</v>
      </c>
      <c r="P8" s="20">
        <f>MIN(MAX(0,(SUMPRODUCT(Oxides_min!$C8:$BB8,Factors!$C$23:$BB$23)+SUMPRODUCT(Oxides_max!$C8:$BB8,Factors!$C$23:$BB$23))/2),ABS(SUMPRODUCT(Oxides_max!$C8:$BB8,Factors!$C$23:$BB$23)-SUMPRODUCT(Oxides_min!$C8:$BB8,Factors!$C$23:$BB$23))/2)</f>
        <v>0</v>
      </c>
      <c r="Q8" s="20">
        <f>MIN(MAX(0,(SUMPRODUCT(Oxides_min!$C8:$BB8,Factors!$C$24:$BB$24)+SUMPRODUCT(Oxides_max!$C8:$BB8,Factors!$C$24:$BB$24))/2),ABS(SUMPRODUCT(Oxides_max!$C8:$BB8,Factors!$C$24:$BB$24)-SUMPRODUCT(Oxides_min!$C8:$BB8,Factors!$C$24:$BB$24))/2)</f>
        <v>0</v>
      </c>
      <c r="R8" s="20">
        <f>MIN(MAX(0,(SUMPRODUCT(Oxides_min!$C8:$BB8,Factors!$C$25:$BB$25)+SUMPRODUCT(Oxides_max!$C8:$BB8,Factors!$C$25:$BB$25))/2),ABS(SUMPRODUCT(Oxides_max!$C8:$BB8,Factors!$C$25:$BB$25)-SUMPRODUCT(Oxides_min!$C8:$BB8,Factors!$C$25:$BB$25))/2)</f>
        <v>0.22255867738227608</v>
      </c>
      <c r="S8" s="20">
        <f>MIN(MAX(0,(SUMPRODUCT(Oxides_min!$C8:$BB8,Factors!$C$26:$BB$26)+SUMPRODUCT(Oxides_max!$C8:$BB8,Factors!$C$26:$BB$26))/2),ABS(SUMPRODUCT(Oxides_max!$C8:$BB8,Factors!$C$26:$BB$26)-SUMPRODUCT(Oxides_min!$C8:$BB8,Factors!$C$26:$BB$26))/2)</f>
        <v>0</v>
      </c>
      <c r="T8" s="20">
        <f>MIN(MAX(0,(SUMPRODUCT(Oxides_min!$C8:$BB8,Factors!$C$27:$BB$27)+SUMPRODUCT(Oxides_max!$C8:$BB8,Factors!$C$27:$BB$27))/2),ABS(SUMPRODUCT(Oxides_max!$C8:$BB8,Factors!$C$27:$BB$27)-SUMPRODUCT(Oxides_min!$C8:$BB8,Factors!$C$27:$BB$27))/2)</f>
        <v>0</v>
      </c>
      <c r="U8" s="20">
        <f>MIN(MAX(0,(SUMPRODUCT(Oxides_min!$C8:$BB8,Factors!$C$28:$BB$28)+SUMPRODUCT(Oxides_max!$C8:$BB8,Factors!$C$28:$BB$28))/2),ABS(SUMPRODUCT(Oxides_max!$C8:$BB8,Factors!$C$28:$BB$28)-SUMPRODUCT(Oxides_min!$C8:$BB8,Factors!$C$28:$BB$28))/2)</f>
        <v>0</v>
      </c>
      <c r="V8" s="20">
        <f>MIN(MAX(0,(SUMPRODUCT(Oxides_min!$C8:$BB8,Factors!$C$29:$BB$29)+SUMPRODUCT(Oxides_max!$C8:$BB8,Factors!$C$29:$BB$29))/2),ABS(SUMPRODUCT(Oxides_max!$C8:$BB8,Factors!$C$29:$BB$29)-SUMPRODUCT(Oxides_min!$C8:$BB8,Factors!$C$29:$BB$29))/2)</f>
        <v>0</v>
      </c>
      <c r="W8" s="20">
        <f>MIN(MAX(0,(SUMPRODUCT(Oxides_min!$C8:$BB8,Factors!$C$30:$BB$30)+SUMPRODUCT(Oxides_max!$C8:$BB8,Factors!$C$30:$BB$30))/2),ABS(SUMPRODUCT(Oxides_max!$C8:$BB8,Factors!$C$30:$BB$30)-SUMPRODUCT(Oxides_min!$C8:$BB8,Factors!$C$30:$BB$30))/2)</f>
        <v>0</v>
      </c>
      <c r="X8" s="20">
        <f>MIN(MAX(0,(SUMPRODUCT(Oxides_min!$C8:$BB8,Factors!$C$31:$BB$31)+SUMPRODUCT(Oxides_max!$C8:$BB8,Factors!$C$31:$BB$31))/2),ABS(SUMPRODUCT(Oxides_max!$C8:$BB8,Factors!$C$31:$BB$31)-SUMPRODUCT(Oxides_min!$C8:$BB8,Factors!$C$31:$BB$31))/2)</f>
        <v>0</v>
      </c>
      <c r="Y8" s="20">
        <f>MIN(MAX(0,(SUMPRODUCT(Oxides_min!$C8:$BB8,Factors!$C$32:$BB$32)+SUMPRODUCT(Oxides_max!$C8:$BB8,Factors!$C$32:$BB$32))/2),ABS(SUMPRODUCT(Oxides_max!$C8:$BB8,Factors!$C$32:$BB$32)-SUMPRODUCT(Oxides_min!$C8:$BB8,Factors!$C$32:$BB$32))/2)</f>
        <v>0</v>
      </c>
      <c r="Z8" s="20">
        <f>MIN(MAX(0,(SUMPRODUCT(Oxides_min!$C8:$BB8,Factors!$C$33:$BB$33)+SUMPRODUCT(Oxides_max!$C8:$BB8,Factors!$C$33:$BB$33))/2),ABS(SUMPRODUCT(Oxides_max!$C8:$BB8,Factors!$C$33:$BB$33)-SUMPRODUCT(Oxides_min!$C8:$BB8,Factors!$C$33:$BB$33))/2)</f>
        <v>0.98196033906602764</v>
      </c>
      <c r="AA8" s="20">
        <f>MIN(MAX(0,(SUMPRODUCT(Oxides_min!$C8:$BB8,Factors!$C$34:$BB$34)+SUMPRODUCT(Oxides_max!$C8:$BB8,Factors!$C$34:$BB$34))/2),ABS(SUMPRODUCT(Oxides_max!$C8:$BB8,Factors!$C$34:$BB$34)-SUMPRODUCT(Oxides_min!$C8:$BB8,Factors!$C$34:$BB$34))/2)</f>
        <v>0</v>
      </c>
      <c r="AB8" s="20">
        <f>MIN(MAX(0,(SUMPRODUCT(Oxides_min!$C8:$BB8,Factors!$C$35:$BB$35)+SUMPRODUCT(Oxides_max!$C8:$BB8,Factors!$C$35:$BB$35))/2),ABS(SUMPRODUCT(Oxides_max!$C8:$BB8,Factors!$C$35:$BB$35)-SUMPRODUCT(Oxides_min!$C8:$BB8,Factors!$C$35:$BB$35))/2)</f>
        <v>0.16018586756935685</v>
      </c>
      <c r="AC8" s="20">
        <f>MIN(MAX(0,(SUMPRODUCT(Oxides_min!$C8:$BB8,Factors!$C$36:$BB$36)+SUMPRODUCT(Oxides_max!$C8:$BB8,Factors!$C$36:$BB$36))/2),ABS(SUMPRODUCT(Oxides_max!$C8:$BB8,Factors!$C$36:$BB$36)-SUMPRODUCT(Oxides_min!$C8:$BB8,Factors!$C$36:$BB$36))/2)</f>
        <v>0.20469108591424481</v>
      </c>
      <c r="AD8" s="20">
        <f>MIN(MAX(0,(SUMPRODUCT(Oxides_min!$C8:$BB8,Factors!$C$37:$BB$37)+SUMPRODUCT(Oxides_max!$C8:$BB8,Factors!$C$37:$BB$37))/2),ABS(SUMPRODUCT(Oxides_max!$C8:$BB8,Factors!$C$37:$BB$37)-SUMPRODUCT(Oxides_min!$C8:$BB8,Factors!$C$37:$BB$37))/2)</f>
        <v>2.7976686094920898E-2</v>
      </c>
      <c r="AE8" s="20">
        <f>MIN(MAX(0,(SUMPRODUCT(Oxides_min!$C8:$BB8,Factors!$C$38:$BB$38)+SUMPRODUCT(Oxides_max!$C8:$BB8,Factors!$C$38:$BB$38))/2),ABS(SUMPRODUCT(Oxides_max!$C8:$BB8,Factors!$C$38:$BB$38)-SUMPRODUCT(Oxides_min!$C8:$BB8,Factors!$C$38:$BB$38))/2)</f>
        <v>0.75</v>
      </c>
      <c r="AF8" s="20">
        <f>MIN(MAX(0,(SUMPRODUCT(Oxides_min!$C8:$BB8,Factors!$C$39:$BB$39)+SUMPRODUCT(Oxides_max!$C8:$BB8,Factors!$C$39:$BB$39))/2),ABS(SUMPRODUCT(Oxides_max!$C8:$BB8,Factors!$C$39:$BB$39)-SUMPRODUCT(Oxides_min!$C8:$BB8,Factors!$C$39:$BB$39))/2)</f>
        <v>0.5</v>
      </c>
      <c r="AG8" s="20">
        <f>MIN(MAX(0,(SUMPRODUCT(Oxides_min!$C8:$BB8,Factors!$C$40:$BB$40)+SUMPRODUCT(Oxides_max!$C8:$BB8,Factors!$C$40:$BB$40))/2),ABS(SUMPRODUCT(Oxides_max!$C8:$BB8,Factors!$C$40:$BB$40)-SUMPRODUCT(Oxides_min!$C8:$BB8,Factors!$C$40:$BB$40))/2)</f>
        <v>2.1970296062237039E-2</v>
      </c>
      <c r="AH8" s="20">
        <f>MIN(MAX(0,(SUMPRODUCT(Oxides_min!$C8:$BB8,Factors!$C$41:$BB$41)+SUMPRODUCT(Oxides_max!$C8:$BB8,Factors!$C$41:$BB$41))/2),ABS(SUMPRODUCT(Oxides_max!$C8:$BB8,Factors!$C$41:$BB$41)-SUMPRODUCT(Oxides_min!$C8:$BB8,Factors!$C$41:$BB$41))/2)</f>
        <v>8.8150069931919005E-3</v>
      </c>
      <c r="AI8" s="20">
        <f>MIN(MAX(0,(SUMPRODUCT(Oxides_min!$C8:$BB8,Factors!$C$42:$BB$42)+SUMPRODUCT(Oxides_max!$C8:$BB8,Factors!$C$42:$BB$42))/2),ABS(SUMPRODUCT(Oxides_max!$C8:$BB8,Factors!$C$42:$BB$42)-SUMPRODUCT(Oxides_min!$C8:$BB8,Factors!$C$42:$BB$42))/2)</f>
        <v>0</v>
      </c>
      <c r="AJ8" s="20">
        <f>MIN(MAX(0,(SUMPRODUCT(Oxides_min!$C8:$BB8,Factors!$C$43:$BB$43)+SUMPRODUCT(Oxides_max!$C8:$BB8,Factors!$C$43:$BB$43))/2),ABS(SUMPRODUCT(Oxides_max!$C8:$BB8,Factors!$C$43:$BB$43)-SUMPRODUCT(Oxides_min!$C8:$BB8,Factors!$C$43:$BB$43))/2)</f>
        <v>0.19686098869184304</v>
      </c>
      <c r="AK8" s="20">
        <f>MIN(MAX(0,(SUMPRODUCT(Oxides_min!$C8:$BB8,Factors!$C$44:$BB$44)+SUMPRODUCT(Oxides_max!$C8:$BB8,Factors!$C$44:$BB$44))/2),ABS(SUMPRODUCT(Oxides_max!$C8:$BB8,Factors!$C$44:$BB$44)-SUMPRODUCT(Oxides_min!$C8:$BB8,Factors!$C$44:$BB$44))/2)</f>
        <v>0.38370741670691016</v>
      </c>
      <c r="AL8" s="20">
        <f>MIN(MAX(0,(SUMPRODUCT(Oxides_min!$C8:$BB8,Factors!$C$45:$BB$45)+SUMPRODUCT(Oxides_max!$C8:$BB8,Factors!$C$45:$BB$45))/2),ABS(SUMPRODUCT(Oxides_max!$C8:$BB8,Factors!$C$45:$BB$45)-SUMPRODUCT(Oxides_min!$C8:$BB8,Factors!$C$45:$BB$45))/2)</f>
        <v>0.51226186595334355</v>
      </c>
      <c r="AM8" s="20">
        <f>MIN(MAX(0,(SUMPRODUCT(Oxides_min!$C8:$BB8,Factors!$C$46:$BB$46)+SUMPRODUCT(Oxides_max!$C8:$BB8,Factors!$C$46:$BB$46))/2),ABS(SUMPRODUCT(Oxides_max!$C8:$BB8,Factors!$C$46:$BB$46)-SUMPRODUCT(Oxides_min!$C8:$BB8,Factors!$C$46:$BB$46))/2)</f>
        <v>8.5447177958664494E-2</v>
      </c>
      <c r="AN8" s="20">
        <f>MIN(MAX(0,(SUMPRODUCT(Oxides_min!$C8:$BB8,Factors!$C$47:$BB$47)+SUMPRODUCT(Oxides_max!$C8:$BB8,Factors!$C$47:$BB$47))/2),ABS(SUMPRODUCT(Oxides_max!$C8:$BB8,Factors!$C$47:$BB$47)-SUMPRODUCT(Oxides_min!$C8:$BB8,Factors!$C$47:$BB$47))/2)</f>
        <v>0.30007459559380767</v>
      </c>
      <c r="AO8" s="20">
        <f>MIN(MAX(0,(SUMPRODUCT(Oxides_min!$C8:$BB8,Factors!$C$48:$BB$48)+SUMPRODUCT(Oxides_max!$C8:$BB8,Factors!$C$48:$BB$48))/2),ABS(SUMPRODUCT(Oxides_max!$C8:$BB8,Factors!$C$48:$BB$48)-SUMPRODUCT(Oxides_min!$C8:$BB8,Factors!$C$48:$BB$48))/2)</f>
        <v>6.467708772442983E-2</v>
      </c>
      <c r="AP8" s="20">
        <f>MIN(MAX(0,(SUMPRODUCT(Oxides_min!$C8:$BB8,Factors!$C$49:$BB$49)+SUMPRODUCT(Oxides_max!$C8:$BB8,Factors!$C$49:$BB$49))/2),ABS(SUMPRODUCT(Oxides_max!$C8:$BB8,Factors!$C$49:$BB$49)-SUMPRODUCT(Oxides_min!$C8:$BB8,Factors!$C$49:$BB$49))/2)</f>
        <v>1.295423740853875E-2</v>
      </c>
      <c r="AQ8" s="20">
        <f>MIN(MAX(0,(SUMPRODUCT(Oxides_min!$C8:$BB8,Factors!$C$50:$BB$50)+SUMPRODUCT(Oxides_max!$C8:$BB8,Factors!$C$50:$BB$50))/2),ABS(SUMPRODUCT(Oxides_max!$C8:$BB8,Factors!$C$50:$BB$50)-SUMPRODUCT(Oxides_min!$C8:$BB8,Factors!$C$50:$BB$50))/2)</f>
        <v>6.5069504023481564E-2</v>
      </c>
      <c r="AR8" s="20">
        <f>MIN(MAX(0,(SUMPRODUCT(Oxides_min!$C8:$BB8,Factors!$C$51:$BB$51)+SUMPRODUCT(Oxides_max!$C8:$BB8,Factors!$C$51:$BB$51))/2),ABS(SUMPRODUCT(Oxides_max!$C8:$BB8,Factors!$C$51:$BB$51)-SUMPRODUCT(Oxides_min!$C8:$BB8,Factors!$C$51:$BB$51))/2)</f>
        <v>0</v>
      </c>
      <c r="AS8" s="20">
        <f>MIN(MAX(0,(SUMPRODUCT(Oxides_min!$C8:$BB8,Factors!$C$52:$BB$52)+SUMPRODUCT(Oxides_max!$C8:$BB8,Factors!$C$52:$BB$52))/2),ABS(SUMPRODUCT(Oxides_max!$C8:$BB8,Factors!$C$52:$BB$52)-SUMPRODUCT(Oxides_min!$C8:$BB8,Factors!$C$52:$BB$52))/2)</f>
        <v>4.3566034043169249E-2</v>
      </c>
      <c r="AT8" s="20">
        <f>MIN(MAX(0,(SUMPRODUCT(Oxides_min!$C8:$BB8,Factors!$C$53:$BB$53)+SUMPRODUCT(Oxides_max!$C8:$BB8,Factors!$C$53:$BB$53))/2),ABS(SUMPRODUCT(Oxides_max!$C8:$BB8,Factors!$C$53:$BB$53)-SUMPRODUCT(Oxides_min!$C8:$BB8,Factors!$C$53:$BB$53))/2)</f>
        <v>0</v>
      </c>
      <c r="AU8" s="20">
        <f>MIN(MAX(0,(SUMPRODUCT(Oxides_min!$C8:$BB8,Factors!$C$54:$BB$54)+SUMPRODUCT(Oxides_max!$C8:$BB8,Factors!$C$54:$BB$54))/2),ABS(SUMPRODUCT(Oxides_max!$C8:$BB8,Factors!$C$54:$BB$54)-SUMPRODUCT(Oxides_min!$C8:$BB8,Factors!$C$54:$BB$54))/2)</f>
        <v>2.1863064193561037E-2</v>
      </c>
      <c r="AV8" s="20">
        <f>MIN(MAX(0,(SUMPRODUCT(Oxides_min!$C8:$BB8,Factors!$C$55:$BB$55)+SUMPRODUCT(Oxides_max!$C8:$BB8,Factors!$C$55:$BB$55))/2),ABS(SUMPRODUCT(Oxides_max!$C8:$BB8,Factors!$C$55:$BB$55)-SUMPRODUCT(Oxides_min!$C8:$BB8,Factors!$C$55:$BB$55))/2)</f>
        <v>0</v>
      </c>
      <c r="AW8" s="20">
        <f>MIN(MAX(0,(SUMPRODUCT(Oxides_min!$C8:$BB8,Factors!$C$56:$BB$56)+SUMPRODUCT(Oxides_max!$C8:$BB8,Factors!$C$56:$BB$56))/2),ABS(SUMPRODUCT(Oxides_max!$C8:$BB8,Factors!$C$56:$BB$56)-SUMPRODUCT(Oxides_min!$C8:$BB8,Factors!$C$56:$BB$56))/2)</f>
        <v>1.3173106446038564E-2</v>
      </c>
      <c r="AX8" s="20">
        <f>MIN(MAX(0,(SUMPRODUCT(Oxides_min!$C8:$BB8,Factors!$C$57:$BB$57)+SUMPRODUCT(Oxides_max!$C8:$BB8,Factors!$C$57:$BB$57))/2),ABS(SUMPRODUCT(Oxides_max!$C8:$BB8,Factors!$C$57:$BB$57)-SUMPRODUCT(Oxides_min!$C8:$BB8,Factors!$C$57:$BB$57))/2)</f>
        <v>0</v>
      </c>
      <c r="AY8" s="20">
        <f>MIN(MAX(0,(SUMPRODUCT(Oxides_min!$C8:$BB8,Factors!$C$58:$BB$58)+SUMPRODUCT(Oxides_max!$C8:$BB8,Factors!$C$58:$BB$58))/2),ABS(SUMPRODUCT(Oxides_max!$C8:$BB8,Factors!$C$58:$BB$58)-SUMPRODUCT(Oxides_min!$C8:$BB8,Factors!$C$58:$BB$58))/2)</f>
        <v>0</v>
      </c>
      <c r="AZ8" s="18">
        <f t="shared" si="0"/>
        <v>12.111375795701644</v>
      </c>
    </row>
    <row r="9" spans="1:52" x14ac:dyDescent="0.35">
      <c r="A9" s="13" t="s">
        <v>139</v>
      </c>
      <c r="B9" s="20">
        <f>MIN(MAX(0,(SUMPRODUCT(Oxides_min!$C9:$BB9,Factors!$C$9:$BB$9)+SUMPRODUCT(Oxides_max!$C9:$BB9,Factors!$C$9:$BB$9))/2),ABS(SUMPRODUCT(Oxides_max!$C9:$BB9,Factors!$C$9:$BB$9)-SUMPRODUCT(Oxides_min!$C9:$BB9,Factors!$C$9:$BB$9))/2)</f>
        <v>9.7398724689963458</v>
      </c>
      <c r="C9" s="20">
        <f>MIN(MAX(0,(SUMPRODUCT(Oxides_min!$C9:$BB9,Factors!$C$10:$BB$10)+SUMPRODUCT(Oxides_max!$C9:$BB9,Factors!$C$10:$BB$10))/2),ABS(SUMPRODUCT(Oxides_max!$C9:$BB9,Factors!$C$10:$BB$10)-SUMPRODUCT(Oxides_min!$C9:$BB9,Factors!$C$10:$BB$10))/2)</f>
        <v>0.46743671254764246</v>
      </c>
      <c r="D9" s="20">
        <f>MIN(MAX(0,(SUMPRODUCT(Oxides_min!$C9:$BB9,Factors!$C$11:$BB$11)+SUMPRODUCT(Oxides_max!$C9:$BB9,Factors!$C$11:$BB$11))/2),ABS(SUMPRODUCT(Oxides_max!$C9:$BB9,Factors!$C$11:$BB$11)-SUMPRODUCT(Oxides_min!$C9:$BB9,Factors!$C$11:$BB$11))/2)</f>
        <v>0</v>
      </c>
      <c r="E9" s="20">
        <f>MIN(MAX(0,(SUMPRODUCT(Oxides_min!$C9:$BB9,Factors!$C$12:$BB$12)+SUMPRODUCT(Oxides_max!$C9:$BB9,Factors!$C$12:$BB$12))/2),ABS(SUMPRODUCT(Oxides_max!$C9:$BB9,Factors!$C$12:$BB$12)-SUMPRODUCT(Oxides_min!$C9:$BB9,Factors!$C$12:$BB$12))/2)</f>
        <v>0</v>
      </c>
      <c r="F9" s="20">
        <f>MIN(MAX(0,(SUMPRODUCT(Oxides_min!$C9:$BB9,Factors!$C$13:$BB$13)+SUMPRODUCT(Oxides_max!$C9:$BB9,Factors!$C$13:$BB$13))/2),ABS(SUMPRODUCT(Oxides_max!$C9:$BB9,Factors!$C$13:$BB$13)-SUMPRODUCT(Oxides_min!$C9:$BB9,Factors!$C$13:$BB$13))/2)</f>
        <v>0</v>
      </c>
      <c r="G9" s="20">
        <f>MIN(MAX(0,(SUMPRODUCT(Oxides_min!$C9:$BB9,Factors!$C$14:$BB$14)+SUMPRODUCT(Oxides_max!$C9:$BB9,Factors!$C$14:$BB$14))/2),ABS(SUMPRODUCT(Oxides_max!$C9:$BB9,Factors!$C$14:$BB$14)-SUMPRODUCT(Oxides_min!$C9:$BB9,Factors!$C$14:$BB$14))/2)</f>
        <v>0</v>
      </c>
      <c r="H9" s="20">
        <f>MIN(MAX(0,(SUMPRODUCT(Oxides_min!$C9:$BB9,Factors!$C$15:$BB$15)+SUMPRODUCT(Oxides_max!$C9:$BB9,Factors!$C$15:$BB$15))/2),ABS(SUMPRODUCT(Oxides_max!$C9:$BB9,Factors!$C$15:$BB$15)-SUMPRODUCT(Oxides_min!$C9:$BB9,Factors!$C$15:$BB$15))/2)</f>
        <v>1.5877707801260295</v>
      </c>
      <c r="I9" s="20">
        <f>MIN(MAX(0,(SUMPRODUCT(Oxides_min!$C9:$BB9,Factors!$C$16:$BB$16)+SUMPRODUCT(Oxides_max!$C9:$BB9,Factors!$C$16:$BB$16))/2),ABS(SUMPRODUCT(Oxides_max!$C9:$BB9,Factors!$C$16:$BB$16)-SUMPRODUCT(Oxides_min!$C9:$BB9,Factors!$C$16:$BB$16))/2)</f>
        <v>1.3988615228540833</v>
      </c>
      <c r="J9" s="20">
        <f>MIN(MAX(0,(SUMPRODUCT(Oxides_min!$C9:$BB9,Factors!$C$17:$BB$17)+SUMPRODUCT(Oxides_max!$C9:$BB9,Factors!$C$17:$BB$17))/2),ABS(SUMPRODUCT(Oxides_max!$C9:$BB9,Factors!$C$17:$BB$17)-SUMPRODUCT(Oxides_min!$C9:$BB9,Factors!$C$17:$BB$17))/2)</f>
        <v>0</v>
      </c>
      <c r="K9" s="20">
        <f>MIN(MAX(0,(SUMPRODUCT(Oxides_min!$C9:$BB9,Factors!$C$18:$BB$18)+SUMPRODUCT(Oxides_max!$C9:$BB9,Factors!$C$18:$BB$18))/2),ABS(SUMPRODUCT(Oxides_max!$C9:$BB9,Factors!$C$18:$BB$18)-SUMPRODUCT(Oxides_min!$C9:$BB9,Factors!$C$18:$BB$18))/2)</f>
        <v>0</v>
      </c>
      <c r="L9" s="20">
        <f>MIN(MAX(0,(SUMPRODUCT(Oxides_min!$C9:$BB9,Factors!$C$19:$BB$19)+SUMPRODUCT(Oxides_max!$C9:$BB9,Factors!$C$19:$BB$19))/2),ABS(SUMPRODUCT(Oxides_max!$C9:$BB9,Factors!$C$19:$BB$19)-SUMPRODUCT(Oxides_min!$C9:$BB9,Factors!$C$19:$BB$19))/2)</f>
        <v>0</v>
      </c>
      <c r="M9" s="20">
        <f>MIN(MAX(0,(SUMPRODUCT(Oxides_min!$C9:$BB9,Factors!$C$20:$BB$20)+SUMPRODUCT(Oxides_max!$C9:$BB9,Factors!$C$20:$BB$20))/2),ABS(SUMPRODUCT(Oxides_max!$C9:$BB9,Factors!$C$20:$BB$20)-SUMPRODUCT(Oxides_min!$C9:$BB9,Factors!$C$20:$BB$20))/2)</f>
        <v>0</v>
      </c>
      <c r="N9" s="20">
        <f>MIN(MAX(0,(SUMPRODUCT(Oxides_min!$C9:$BB9,Factors!$C$21:$BB$21)+SUMPRODUCT(Oxides_max!$C9:$BB9,Factors!$C$21:$BB$21))/2),ABS(SUMPRODUCT(Oxides_max!$C9:$BB9,Factors!$C$21:$BB$21)-SUMPRODUCT(Oxides_min!$C9:$BB9,Factors!$C$21:$BB$21))/2)</f>
        <v>1.3579221427679795</v>
      </c>
      <c r="O9" s="20">
        <f>MIN(MAX(0,(SUMPRODUCT(Oxides_min!$C9:$BB9,Factors!$C$22:$BB$22)+SUMPRODUCT(Oxides_max!$C9:$BB9,Factors!$C$22:$BB$22))/2),ABS(SUMPRODUCT(Oxides_max!$C9:$BB9,Factors!$C$22:$BB$22)-SUMPRODUCT(Oxides_min!$C9:$BB9,Factors!$C$22:$BB$22))/2)</f>
        <v>2.1139945376813136</v>
      </c>
      <c r="P9" s="20">
        <f>MIN(MAX(0,(SUMPRODUCT(Oxides_min!$C9:$BB9,Factors!$C$23:$BB$23)+SUMPRODUCT(Oxides_max!$C9:$BB9,Factors!$C$23:$BB$23))/2),ABS(SUMPRODUCT(Oxides_max!$C9:$BB9,Factors!$C$23:$BB$23)-SUMPRODUCT(Oxides_min!$C9:$BB9,Factors!$C$23:$BB$23))/2)</f>
        <v>0.89565370517720411</v>
      </c>
      <c r="Q9" s="20">
        <f>MIN(MAX(0,(SUMPRODUCT(Oxides_min!$C9:$BB9,Factors!$C$24:$BB$24)+SUMPRODUCT(Oxides_max!$C9:$BB9,Factors!$C$24:$BB$24))/2),ABS(SUMPRODUCT(Oxides_max!$C9:$BB9,Factors!$C$24:$BB$24)-SUMPRODUCT(Oxides_min!$C9:$BB9,Factors!$C$24:$BB$24))/2)</f>
        <v>0</v>
      </c>
      <c r="R9" s="20">
        <f>MIN(MAX(0,(SUMPRODUCT(Oxides_min!$C9:$BB9,Factors!$C$25:$BB$25)+SUMPRODUCT(Oxides_max!$C9:$BB9,Factors!$C$25:$BB$25))/2),ABS(SUMPRODUCT(Oxides_max!$C9:$BB9,Factors!$C$25:$BB$25)-SUMPRODUCT(Oxides_min!$C9:$BB9,Factors!$C$25:$BB$25))/2)</f>
        <v>0</v>
      </c>
      <c r="S9" s="20">
        <f>MIN(MAX(0,(SUMPRODUCT(Oxides_min!$C9:$BB9,Factors!$C$26:$BB$26)+SUMPRODUCT(Oxides_max!$C9:$BB9,Factors!$C$26:$BB$26))/2),ABS(SUMPRODUCT(Oxides_max!$C9:$BB9,Factors!$C$26:$BB$26)-SUMPRODUCT(Oxides_min!$C9:$BB9,Factors!$C$26:$BB$26))/2)</f>
        <v>0</v>
      </c>
      <c r="T9" s="20">
        <f>MIN(MAX(0,(SUMPRODUCT(Oxides_min!$C9:$BB9,Factors!$C$27:$BB$27)+SUMPRODUCT(Oxides_max!$C9:$BB9,Factors!$C$27:$BB$27))/2),ABS(SUMPRODUCT(Oxides_max!$C9:$BB9,Factors!$C$27:$BB$27)-SUMPRODUCT(Oxides_min!$C9:$BB9,Factors!$C$27:$BB$27))/2)</f>
        <v>0</v>
      </c>
      <c r="U9" s="20">
        <f>MIN(MAX(0,(SUMPRODUCT(Oxides_min!$C9:$BB9,Factors!$C$28:$BB$28)+SUMPRODUCT(Oxides_max!$C9:$BB9,Factors!$C$28:$BB$28))/2),ABS(SUMPRODUCT(Oxides_max!$C9:$BB9,Factors!$C$28:$BB$28)-SUMPRODUCT(Oxides_min!$C9:$BB9,Factors!$C$28:$BB$28))/2)</f>
        <v>0</v>
      </c>
      <c r="V9" s="20">
        <f>MIN(MAX(0,(SUMPRODUCT(Oxides_min!$C9:$BB9,Factors!$C$29:$BB$29)+SUMPRODUCT(Oxides_max!$C9:$BB9,Factors!$C$29:$BB$29))/2),ABS(SUMPRODUCT(Oxides_max!$C9:$BB9,Factors!$C$29:$BB$29)-SUMPRODUCT(Oxides_min!$C9:$BB9,Factors!$C$29:$BB$29))/2)</f>
        <v>0</v>
      </c>
      <c r="W9" s="20">
        <f>MIN(MAX(0,(SUMPRODUCT(Oxides_min!$C9:$BB9,Factors!$C$30:$BB$30)+SUMPRODUCT(Oxides_max!$C9:$BB9,Factors!$C$30:$BB$30))/2),ABS(SUMPRODUCT(Oxides_max!$C9:$BB9,Factors!$C$30:$BB$30)-SUMPRODUCT(Oxides_min!$C9:$BB9,Factors!$C$30:$BB$30))/2)</f>
        <v>0</v>
      </c>
      <c r="X9" s="20">
        <f>MIN(MAX(0,(SUMPRODUCT(Oxides_min!$C9:$BB9,Factors!$C$31:$BB$31)+SUMPRODUCT(Oxides_max!$C9:$BB9,Factors!$C$31:$BB$31))/2),ABS(SUMPRODUCT(Oxides_max!$C9:$BB9,Factors!$C$31:$BB$31)-SUMPRODUCT(Oxides_min!$C9:$BB9,Factors!$C$31:$BB$31))/2)</f>
        <v>0</v>
      </c>
      <c r="Y9" s="20">
        <f>MIN(MAX(0,(SUMPRODUCT(Oxides_min!$C9:$BB9,Factors!$C$32:$BB$32)+SUMPRODUCT(Oxides_max!$C9:$BB9,Factors!$C$32:$BB$32))/2),ABS(SUMPRODUCT(Oxides_max!$C9:$BB9,Factors!$C$32:$BB$32)-SUMPRODUCT(Oxides_min!$C9:$BB9,Factors!$C$32:$BB$32))/2)</f>
        <v>0</v>
      </c>
      <c r="Z9" s="20">
        <f>MIN(MAX(0,(SUMPRODUCT(Oxides_min!$C9:$BB9,Factors!$C$33:$BB$33)+SUMPRODUCT(Oxides_max!$C9:$BB9,Factors!$C$33:$BB$33))/2),ABS(SUMPRODUCT(Oxides_max!$C9:$BB9,Factors!$C$33:$BB$33)-SUMPRODUCT(Oxides_min!$C9:$BB9,Factors!$C$33:$BB$33))/2)</f>
        <v>1.0910670434066985</v>
      </c>
      <c r="AA9" s="20">
        <f>MIN(MAX(0,(SUMPRODUCT(Oxides_min!$C9:$BB9,Factors!$C$34:$BB$34)+SUMPRODUCT(Oxides_max!$C9:$BB9,Factors!$C$34:$BB$34))/2),ABS(SUMPRODUCT(Oxides_max!$C9:$BB9,Factors!$C$34:$BB$34)-SUMPRODUCT(Oxides_min!$C9:$BB9,Factors!$C$34:$BB$34))/2)</f>
        <v>0</v>
      </c>
      <c r="AB9" s="20">
        <f>MIN(MAX(0,(SUMPRODUCT(Oxides_min!$C9:$BB9,Factors!$C$35:$BB$35)+SUMPRODUCT(Oxides_max!$C9:$BB9,Factors!$C$35:$BB$35))/2),ABS(SUMPRODUCT(Oxides_max!$C9:$BB9,Factors!$C$35:$BB$35)-SUMPRODUCT(Oxides_min!$C9:$BB9,Factors!$C$35:$BB$35))/2)</f>
        <v>0.60069700338508814</v>
      </c>
      <c r="AC9" s="20">
        <f>MIN(MAX(0,(SUMPRODUCT(Oxides_min!$C9:$BB9,Factors!$C$36:$BB$36)+SUMPRODUCT(Oxides_max!$C9:$BB9,Factors!$C$36:$BB$36))/2),ABS(SUMPRODUCT(Oxides_max!$C9:$BB9,Factors!$C$36:$BB$36)-SUMPRODUCT(Oxides_min!$C9:$BB9,Factors!$C$36:$BB$36))/2)</f>
        <v>0</v>
      </c>
      <c r="AD9" s="20">
        <f>MIN(MAX(0,(SUMPRODUCT(Oxides_min!$C9:$BB9,Factors!$C$37:$BB$37)+SUMPRODUCT(Oxides_max!$C9:$BB9,Factors!$C$37:$BB$37))/2),ABS(SUMPRODUCT(Oxides_max!$C9:$BB9,Factors!$C$37:$BB$37)-SUMPRODUCT(Oxides_min!$C9:$BB9,Factors!$C$37:$BB$37))/2)</f>
        <v>0.16786011656952537</v>
      </c>
      <c r="AE9" s="20">
        <f>MIN(MAX(0,(SUMPRODUCT(Oxides_min!$C9:$BB9,Factors!$C$38:$BB$38)+SUMPRODUCT(Oxides_max!$C9:$BB9,Factors!$C$38:$BB$38))/2),ABS(SUMPRODUCT(Oxides_max!$C9:$BB9,Factors!$C$38:$BB$38)-SUMPRODUCT(Oxides_min!$C9:$BB9,Factors!$C$38:$BB$38))/2)</f>
        <v>0.8</v>
      </c>
      <c r="AF9" s="20">
        <f>MIN(MAX(0,(SUMPRODUCT(Oxides_min!$C9:$BB9,Factors!$C$39:$BB$39)+SUMPRODUCT(Oxides_max!$C9:$BB9,Factors!$C$39:$BB$39))/2),ABS(SUMPRODUCT(Oxides_max!$C9:$BB9,Factors!$C$39:$BB$39)-SUMPRODUCT(Oxides_min!$C9:$BB9,Factors!$C$39:$BB$39))/2)</f>
        <v>0</v>
      </c>
      <c r="AG9" s="20">
        <f>MIN(MAX(0,(SUMPRODUCT(Oxides_min!$C9:$BB9,Factors!$C$40:$BB$40)+SUMPRODUCT(Oxides_max!$C9:$BB9,Factors!$C$40:$BB$40))/2),ABS(SUMPRODUCT(Oxides_max!$C9:$BB9,Factors!$C$40:$BB$40)-SUMPRODUCT(Oxides_min!$C9:$BB9,Factors!$C$40:$BB$40))/2)</f>
        <v>1.3182177637342223</v>
      </c>
      <c r="AH9" s="20">
        <f>MIN(MAX(0,(SUMPRODUCT(Oxides_min!$C9:$BB9,Factors!$C$41:$BB$41)+SUMPRODUCT(Oxides_max!$C9:$BB9,Factors!$C$41:$BB$41))/2),ABS(SUMPRODUCT(Oxides_max!$C9:$BB9,Factors!$C$41:$BB$41)-SUMPRODUCT(Oxides_min!$C9:$BB9,Factors!$C$41:$BB$41))/2)</f>
        <v>0</v>
      </c>
      <c r="AI9" s="20">
        <f>MIN(MAX(0,(SUMPRODUCT(Oxides_min!$C9:$BB9,Factors!$C$42:$BB$42)+SUMPRODUCT(Oxides_max!$C9:$BB9,Factors!$C$42:$BB$42))/2),ABS(SUMPRODUCT(Oxides_max!$C9:$BB9,Factors!$C$42:$BB$42)-SUMPRODUCT(Oxides_min!$C9:$BB9,Factors!$C$42:$BB$42))/2)</f>
        <v>0</v>
      </c>
      <c r="AJ9" s="20">
        <f>MIN(MAX(0,(SUMPRODUCT(Oxides_min!$C9:$BB9,Factors!$C$43:$BB$43)+SUMPRODUCT(Oxides_max!$C9:$BB9,Factors!$C$43:$BB$43))/2),ABS(SUMPRODUCT(Oxides_max!$C9:$BB9,Factors!$C$43:$BB$43)-SUMPRODUCT(Oxides_min!$C9:$BB9,Factors!$C$43:$BB$43))/2)</f>
        <v>1.1811659321510581</v>
      </c>
      <c r="AK9" s="20">
        <f>MIN(MAX(0,(SUMPRODUCT(Oxides_min!$C9:$BB9,Factors!$C$44:$BB$44)+SUMPRODUCT(Oxides_max!$C9:$BB9,Factors!$C$44:$BB$44))/2),ABS(SUMPRODUCT(Oxides_max!$C9:$BB9,Factors!$C$44:$BB$44)-SUMPRODUCT(Oxides_min!$C9:$BB9,Factors!$C$44:$BB$44))/2)</f>
        <v>3.837074167069102</v>
      </c>
      <c r="AL9" s="20">
        <f>MIN(MAX(0,(SUMPRODUCT(Oxides_min!$C9:$BB9,Factors!$C$45:$BB$45)+SUMPRODUCT(Oxides_max!$C9:$BB9,Factors!$C$45:$BB$45))/2),ABS(SUMPRODUCT(Oxides_max!$C9:$BB9,Factors!$C$45:$BB$45)-SUMPRODUCT(Oxides_min!$C9:$BB9,Factors!$C$45:$BB$45))/2)</f>
        <v>5.1226186595334351</v>
      </c>
      <c r="AM9" s="20">
        <f>MIN(MAX(0,(SUMPRODUCT(Oxides_min!$C9:$BB9,Factors!$C$46:$BB$46)+SUMPRODUCT(Oxides_max!$C9:$BB9,Factors!$C$46:$BB$46))/2),ABS(SUMPRODUCT(Oxides_max!$C9:$BB9,Factors!$C$46:$BB$46)-SUMPRODUCT(Oxides_min!$C9:$BB9,Factors!$C$46:$BB$46))/2)</f>
        <v>0.85447177958664489</v>
      </c>
      <c r="AN9" s="20">
        <f>MIN(MAX(0,(SUMPRODUCT(Oxides_min!$C9:$BB9,Factors!$C$47:$BB$47)+SUMPRODUCT(Oxides_max!$C9:$BB9,Factors!$C$47:$BB$47))/2),ABS(SUMPRODUCT(Oxides_max!$C9:$BB9,Factors!$C$47:$BB$47)-SUMPRODUCT(Oxides_min!$C9:$BB9,Factors!$C$47:$BB$47))/2)</f>
        <v>2.5720679622326372</v>
      </c>
      <c r="AO9" s="20">
        <f>MIN(MAX(0,(SUMPRODUCT(Oxides_min!$C9:$BB9,Factors!$C$48:$BB$48)+SUMPRODUCT(Oxides_max!$C9:$BB9,Factors!$C$48:$BB$48))/2),ABS(SUMPRODUCT(Oxides_max!$C9:$BB9,Factors!$C$48:$BB$48)-SUMPRODUCT(Oxides_min!$C9:$BB9,Factors!$C$48:$BB$48))/2)</f>
        <v>0.86236116965906451</v>
      </c>
      <c r="AP9" s="20">
        <f>MIN(MAX(0,(SUMPRODUCT(Oxides_min!$C9:$BB9,Factors!$C$49:$BB$49)+SUMPRODUCT(Oxides_max!$C9:$BB9,Factors!$C$49:$BB$49))/2),ABS(SUMPRODUCT(Oxides_max!$C9:$BB9,Factors!$C$49:$BB$49)-SUMPRODUCT(Oxides_min!$C9:$BB9,Factors!$C$49:$BB$49))/2)</f>
        <v>0.12954237408538749</v>
      </c>
      <c r="AQ9" s="20">
        <f>MIN(MAX(0,(SUMPRODUCT(Oxides_min!$C9:$BB9,Factors!$C$50:$BB$50)+SUMPRODUCT(Oxides_max!$C9:$BB9,Factors!$C$50:$BB$50))/2),ABS(SUMPRODUCT(Oxides_max!$C9:$BB9,Factors!$C$50:$BB$50)-SUMPRODUCT(Oxides_min!$C9:$BB9,Factors!$C$50:$BB$50))/2)</f>
        <v>0.43379669348987715</v>
      </c>
      <c r="AR9" s="20">
        <f>MIN(MAX(0,(SUMPRODUCT(Oxides_min!$C9:$BB9,Factors!$C$51:$BB$51)+SUMPRODUCT(Oxides_max!$C9:$BB9,Factors!$C$51:$BB$51))/2),ABS(SUMPRODUCT(Oxides_max!$C9:$BB9,Factors!$C$51:$BB$51)-SUMPRODUCT(Oxides_min!$C9:$BB9,Factors!$C$51:$BB$51))/2)</f>
        <v>0</v>
      </c>
      <c r="AS9" s="20">
        <f>MIN(MAX(0,(SUMPRODUCT(Oxides_min!$C9:$BB9,Factors!$C$52:$BB$52)+SUMPRODUCT(Oxides_max!$C9:$BB9,Factors!$C$52:$BB$52))/2),ABS(SUMPRODUCT(Oxides_max!$C9:$BB9,Factors!$C$52:$BB$52)-SUMPRODUCT(Oxides_min!$C9:$BB9,Factors!$C$52:$BB$52))/2)</f>
        <v>0.13069810212950772</v>
      </c>
      <c r="AT9" s="20">
        <f>MIN(MAX(0,(SUMPRODUCT(Oxides_min!$C9:$BB9,Factors!$C$53:$BB$53)+SUMPRODUCT(Oxides_max!$C9:$BB9,Factors!$C$53:$BB$53))/2),ABS(SUMPRODUCT(Oxides_max!$C9:$BB9,Factors!$C$53:$BB$53)-SUMPRODUCT(Oxides_min!$C9:$BB9,Factors!$C$53:$BB$53))/2)</f>
        <v>0</v>
      </c>
      <c r="AU9" s="20">
        <f>MIN(MAX(0,(SUMPRODUCT(Oxides_min!$C9:$BB9,Factors!$C$54:$BB$54)+SUMPRODUCT(Oxides_max!$C9:$BB9,Factors!$C$54:$BB$54))/2),ABS(SUMPRODUCT(Oxides_max!$C9:$BB9,Factors!$C$54:$BB$54)-SUMPRODUCT(Oxides_min!$C9:$BB9,Factors!$C$54:$BB$54))/2)</f>
        <v>0</v>
      </c>
      <c r="AV9" s="20">
        <f>MIN(MAX(0,(SUMPRODUCT(Oxides_min!$C9:$BB9,Factors!$C$55:$BB$55)+SUMPRODUCT(Oxides_max!$C9:$BB9,Factors!$C$55:$BB$55))/2),ABS(SUMPRODUCT(Oxides_max!$C9:$BB9,Factors!$C$55:$BB$55)-SUMPRODUCT(Oxides_min!$C9:$BB9,Factors!$C$55:$BB$55))/2)</f>
        <v>0</v>
      </c>
      <c r="AW9" s="20">
        <f>MIN(MAX(0,(SUMPRODUCT(Oxides_min!$C9:$BB9,Factors!$C$56:$BB$56)+SUMPRODUCT(Oxides_max!$C9:$BB9,Factors!$C$56:$BB$56))/2),ABS(SUMPRODUCT(Oxides_max!$C9:$BB9,Factors!$C$56:$BB$56)-SUMPRODUCT(Oxides_min!$C9:$BB9,Factors!$C$56:$BB$56))/2)</f>
        <v>0</v>
      </c>
      <c r="AX9" s="20">
        <f>MIN(MAX(0,(SUMPRODUCT(Oxides_min!$C9:$BB9,Factors!$C$57:$BB$57)+SUMPRODUCT(Oxides_max!$C9:$BB9,Factors!$C$57:$BB$57))/2),ABS(SUMPRODUCT(Oxides_max!$C9:$BB9,Factors!$C$57:$BB$57)-SUMPRODUCT(Oxides_min!$C9:$BB9,Factors!$C$57:$BB$57))/2)</f>
        <v>0</v>
      </c>
      <c r="AY9" s="20">
        <f>MIN(MAX(0,(SUMPRODUCT(Oxides_min!$C9:$BB9,Factors!$C$58:$BB$58)+SUMPRODUCT(Oxides_max!$C9:$BB9,Factors!$C$58:$BB$58))/2),ABS(SUMPRODUCT(Oxides_max!$C9:$BB9,Factors!$C$58:$BB$58)-SUMPRODUCT(Oxides_min!$C9:$BB9,Factors!$C$58:$BB$58))/2)</f>
        <v>0</v>
      </c>
      <c r="AZ9" s="18">
        <f t="shared" si="0"/>
        <v>36.663150637182852</v>
      </c>
    </row>
    <row r="10" spans="1:52" x14ac:dyDescent="0.35">
      <c r="A10" s="13" t="s">
        <v>141</v>
      </c>
      <c r="B10" s="20">
        <f>MIN(MAX(0,(SUMPRODUCT(Oxides_min!$C10:$BB10,Factors!$C$9:$BB$9)+SUMPRODUCT(Oxides_max!$C10:$BB10,Factors!$C$9:$BB$9))/2),ABS(SUMPRODUCT(Oxides_max!$C10:$BB10,Factors!$C$9:$BB$9)-SUMPRODUCT(Oxides_min!$C10:$BB10,Factors!$C$9:$BB$9))/2)</f>
        <v>6.7295301191366867</v>
      </c>
      <c r="C10" s="20">
        <f>MIN(MAX(0,(SUMPRODUCT(Oxides_min!$C10:$BB10,Factors!$C$10:$BB$10)+SUMPRODUCT(Oxides_max!$C10:$BB10,Factors!$C$10:$BB$10))/2),ABS(SUMPRODUCT(Oxides_max!$C10:$BB10,Factors!$C$10:$BB$10)-SUMPRODUCT(Oxides_min!$C10:$BB10,Factors!$C$10:$BB$10))/2)</f>
        <v>0.46743671254764246</v>
      </c>
      <c r="D10" s="20">
        <f>MIN(MAX(0,(SUMPRODUCT(Oxides_min!$C10:$BB10,Factors!$C$11:$BB$11)+SUMPRODUCT(Oxides_max!$C10:$BB10,Factors!$C$11:$BB$11))/2),ABS(SUMPRODUCT(Oxides_max!$C10:$BB10,Factors!$C$11:$BB$11)-SUMPRODUCT(Oxides_min!$C10:$BB10,Factors!$C$11:$BB$11))/2)</f>
        <v>0</v>
      </c>
      <c r="E10" s="20">
        <f>MIN(MAX(0,(SUMPRODUCT(Oxides_min!$C10:$BB10,Factors!$C$12:$BB$12)+SUMPRODUCT(Oxides_max!$C10:$BB10,Factors!$C$12:$BB$12))/2),ABS(SUMPRODUCT(Oxides_max!$C10:$BB10,Factors!$C$12:$BB$12)-SUMPRODUCT(Oxides_min!$C10:$BB10,Factors!$C$12:$BB$12))/2)</f>
        <v>0.25911282076252617</v>
      </c>
      <c r="F10" s="20">
        <f>MIN(MAX(0,(SUMPRODUCT(Oxides_min!$C10:$BB10,Factors!$C$13:$BB$13)+SUMPRODUCT(Oxides_max!$C10:$BB10,Factors!$C$13:$BB$13))/2),ABS(SUMPRODUCT(Oxides_max!$C10:$BB10,Factors!$C$13:$BB$13)-SUMPRODUCT(Oxides_min!$C10:$BB10,Factors!$C$13:$BB$13))/2)</f>
        <v>0</v>
      </c>
      <c r="G10" s="20">
        <f>MIN(MAX(0,(SUMPRODUCT(Oxides_min!$C10:$BB10,Factors!$C$14:$BB$14)+SUMPRODUCT(Oxides_max!$C10:$BB10,Factors!$C$14:$BB$14))/2),ABS(SUMPRODUCT(Oxides_max!$C10:$BB10,Factors!$C$14:$BB$14)-SUMPRODUCT(Oxides_min!$C10:$BB10,Factors!$C$14:$BB$14))/2)</f>
        <v>0</v>
      </c>
      <c r="H10" s="20">
        <f>MIN(MAX(0,(SUMPRODUCT(Oxides_min!$C10:$BB10,Factors!$C$15:$BB$15)+SUMPRODUCT(Oxides_max!$C10:$BB10,Factors!$C$15:$BB$15))/2),ABS(SUMPRODUCT(Oxides_max!$C10:$BB10,Factors!$C$15:$BB$15)-SUMPRODUCT(Oxides_min!$C10:$BB10,Factors!$C$15:$BB$15))/2)</f>
        <v>0</v>
      </c>
      <c r="I10" s="20">
        <f>MIN(MAX(0,(SUMPRODUCT(Oxides_min!$C10:$BB10,Factors!$C$16:$BB$16)+SUMPRODUCT(Oxides_max!$C10:$BB10,Factors!$C$16:$BB$16))/2),ABS(SUMPRODUCT(Oxides_max!$C10:$BB10,Factors!$C$16:$BB$16)-SUMPRODUCT(Oxides_min!$C10:$BB10,Factors!$C$16:$BB$16))/2)</f>
        <v>1.1659637548020712</v>
      </c>
      <c r="J10" s="20">
        <f>MIN(MAX(0,(SUMPRODUCT(Oxides_min!$C10:$BB10,Factors!$C$17:$BB$17)+SUMPRODUCT(Oxides_max!$C10:$BB10,Factors!$C$17:$BB$17))/2),ABS(SUMPRODUCT(Oxides_max!$C10:$BB10,Factors!$C$17:$BB$17)-SUMPRODUCT(Oxides_min!$C10:$BB10,Factors!$C$17:$BB$17))/2)</f>
        <v>0</v>
      </c>
      <c r="K10" s="20">
        <f>MIN(MAX(0,(SUMPRODUCT(Oxides_min!$C10:$BB10,Factors!$C$18:$BB$18)+SUMPRODUCT(Oxides_max!$C10:$BB10,Factors!$C$18:$BB$18))/2),ABS(SUMPRODUCT(Oxides_max!$C10:$BB10,Factors!$C$18:$BB$18)-SUMPRODUCT(Oxides_min!$C10:$BB10,Factors!$C$18:$BB$18))/2)</f>
        <v>0</v>
      </c>
      <c r="L10" s="20">
        <f>MIN(MAX(0,(SUMPRODUCT(Oxides_min!$C10:$BB10,Factors!$C$19:$BB$19)+SUMPRODUCT(Oxides_max!$C10:$BB10,Factors!$C$19:$BB$19))/2),ABS(SUMPRODUCT(Oxides_max!$C10:$BB10,Factors!$C$19:$BB$19)-SUMPRODUCT(Oxides_min!$C10:$BB10,Factors!$C$19:$BB$19))/2)</f>
        <v>0</v>
      </c>
      <c r="M10" s="20">
        <f>MIN(MAX(0,(SUMPRODUCT(Oxides_min!$C10:$BB10,Factors!$C$20:$BB$20)+SUMPRODUCT(Oxides_max!$C10:$BB10,Factors!$C$20:$BB$20))/2),ABS(SUMPRODUCT(Oxides_max!$C10:$BB10,Factors!$C$20:$BB$20)-SUMPRODUCT(Oxides_min!$C10:$BB10,Factors!$C$20:$BB$20))/2)</f>
        <v>0</v>
      </c>
      <c r="N10" s="20">
        <f>MIN(MAX(0,(SUMPRODUCT(Oxides_min!$C10:$BB10,Factors!$C$21:$BB$21)+SUMPRODUCT(Oxides_max!$C10:$BB10,Factors!$C$21:$BB$21))/2),ABS(SUMPRODUCT(Oxides_max!$C10:$BB10,Factors!$C$21:$BB$21)-SUMPRODUCT(Oxides_min!$C10:$BB10,Factors!$C$21:$BB$21))/2)</f>
        <v>0.8933698307684077</v>
      </c>
      <c r="O10" s="20">
        <f>MIN(MAX(0,(SUMPRODUCT(Oxides_min!$C10:$BB10,Factors!$C$22:$BB$22)+SUMPRODUCT(Oxides_max!$C10:$BB10,Factors!$C$22:$BB$22))/2),ABS(SUMPRODUCT(Oxides_max!$C10:$BB10,Factors!$C$22:$BB$22)-SUMPRODUCT(Oxides_min!$C10:$BB10,Factors!$C$22:$BB$22))/2)</f>
        <v>0</v>
      </c>
      <c r="P10" s="20">
        <f>MIN(MAX(0,(SUMPRODUCT(Oxides_min!$C10:$BB10,Factors!$C$23:$BB$23)+SUMPRODUCT(Oxides_max!$C10:$BB10,Factors!$C$23:$BB$23))/2),ABS(SUMPRODUCT(Oxides_max!$C10:$BB10,Factors!$C$23:$BB$23)-SUMPRODUCT(Oxides_min!$C10:$BB10,Factors!$C$23:$BB$23))/2)</f>
        <v>0</v>
      </c>
      <c r="Q10" s="20">
        <f>MIN(MAX(0,(SUMPRODUCT(Oxides_min!$C10:$BB10,Factors!$C$24:$BB$24)+SUMPRODUCT(Oxides_max!$C10:$BB10,Factors!$C$24:$BB$24))/2),ABS(SUMPRODUCT(Oxides_max!$C10:$BB10,Factors!$C$24:$BB$24)-SUMPRODUCT(Oxides_min!$C10:$BB10,Factors!$C$24:$BB$24))/2)</f>
        <v>0</v>
      </c>
      <c r="R10" s="20">
        <f>MIN(MAX(0,(SUMPRODUCT(Oxides_min!$C10:$BB10,Factors!$C$25:$BB$25)+SUMPRODUCT(Oxides_max!$C10:$BB10,Factors!$C$25:$BB$25))/2),ABS(SUMPRODUCT(Oxides_max!$C10:$BB10,Factors!$C$25:$BB$25)-SUMPRODUCT(Oxides_min!$C10:$BB10,Factors!$C$25:$BB$25))/2)</f>
        <v>0</v>
      </c>
      <c r="S10" s="20">
        <f>MIN(MAX(0,(SUMPRODUCT(Oxides_min!$C10:$BB10,Factors!$C$26:$BB$26)+SUMPRODUCT(Oxides_max!$C10:$BB10,Factors!$C$26:$BB$26))/2),ABS(SUMPRODUCT(Oxides_max!$C10:$BB10,Factors!$C$26:$BB$26)-SUMPRODUCT(Oxides_min!$C10:$BB10,Factors!$C$26:$BB$26))/2)</f>
        <v>0</v>
      </c>
      <c r="T10" s="20">
        <f>MIN(MAX(0,(SUMPRODUCT(Oxides_min!$C10:$BB10,Factors!$C$27:$BB$27)+SUMPRODUCT(Oxides_max!$C10:$BB10,Factors!$C$27:$BB$27))/2),ABS(SUMPRODUCT(Oxides_max!$C10:$BB10,Factors!$C$27:$BB$27)-SUMPRODUCT(Oxides_min!$C10:$BB10,Factors!$C$27:$BB$27))/2)</f>
        <v>0</v>
      </c>
      <c r="U10" s="20">
        <f>MIN(MAX(0,(SUMPRODUCT(Oxides_min!$C10:$BB10,Factors!$C$28:$BB$28)+SUMPRODUCT(Oxides_max!$C10:$BB10,Factors!$C$28:$BB$28))/2),ABS(SUMPRODUCT(Oxides_max!$C10:$BB10,Factors!$C$28:$BB$28)-SUMPRODUCT(Oxides_min!$C10:$BB10,Factors!$C$28:$BB$28))/2)</f>
        <v>0</v>
      </c>
      <c r="V10" s="20">
        <f>MIN(MAX(0,(SUMPRODUCT(Oxides_min!$C10:$BB10,Factors!$C$29:$BB$29)+SUMPRODUCT(Oxides_max!$C10:$BB10,Factors!$C$29:$BB$29))/2),ABS(SUMPRODUCT(Oxides_max!$C10:$BB10,Factors!$C$29:$BB$29)-SUMPRODUCT(Oxides_min!$C10:$BB10,Factors!$C$29:$BB$29))/2)</f>
        <v>0</v>
      </c>
      <c r="W10" s="20">
        <f>MIN(MAX(0,(SUMPRODUCT(Oxides_min!$C10:$BB10,Factors!$C$30:$BB$30)+SUMPRODUCT(Oxides_max!$C10:$BB10,Factors!$C$30:$BB$30))/2),ABS(SUMPRODUCT(Oxides_max!$C10:$BB10,Factors!$C$30:$BB$30)-SUMPRODUCT(Oxides_min!$C10:$BB10,Factors!$C$30:$BB$30))/2)</f>
        <v>0.69904939562708002</v>
      </c>
      <c r="X10" s="20">
        <f>MIN(MAX(0,(SUMPRODUCT(Oxides_min!$C10:$BB10,Factors!$C$31:$BB$31)+SUMPRODUCT(Oxides_max!$C10:$BB10,Factors!$C$31:$BB$31))/2),ABS(SUMPRODUCT(Oxides_max!$C10:$BB10,Factors!$C$31:$BB$31)-SUMPRODUCT(Oxides_min!$C10:$BB10,Factors!$C$31:$BB$31))/2)</f>
        <v>0.28663988357665593</v>
      </c>
      <c r="Y10" s="20">
        <f>MIN(MAX(0,(SUMPRODUCT(Oxides_min!$C10:$BB10,Factors!$C$32:$BB$32)+SUMPRODUCT(Oxides_max!$C10:$BB10,Factors!$C$32:$BB$32))/2),ABS(SUMPRODUCT(Oxides_max!$C10:$BB10,Factors!$C$32:$BB$32)-SUMPRODUCT(Oxides_min!$C10:$BB10,Factors!$C$32:$BB$32))/2)</f>
        <v>0</v>
      </c>
      <c r="Z10" s="20">
        <f>MIN(MAX(0,(SUMPRODUCT(Oxides_min!$C10:$BB10,Factors!$C$33:$BB$33)+SUMPRODUCT(Oxides_max!$C10:$BB10,Factors!$C$33:$BB$33))/2),ABS(SUMPRODUCT(Oxides_max!$C10:$BB10,Factors!$C$33:$BB$33)-SUMPRODUCT(Oxides_min!$C10:$BB10,Factors!$C$33:$BB$33))/2)</f>
        <v>0.43642681736267919</v>
      </c>
      <c r="AA10" s="20">
        <f>MIN(MAX(0,(SUMPRODUCT(Oxides_min!$C10:$BB10,Factors!$C$34:$BB$34)+SUMPRODUCT(Oxides_max!$C10:$BB10,Factors!$C$34:$BB$34))/2),ABS(SUMPRODUCT(Oxides_max!$C10:$BB10,Factors!$C$34:$BB$34)-SUMPRODUCT(Oxides_min!$C10:$BB10,Factors!$C$34:$BB$34))/2)</f>
        <v>0</v>
      </c>
      <c r="AB10" s="20">
        <f>MIN(MAX(0,(SUMPRODUCT(Oxides_min!$C10:$BB10,Factors!$C$35:$BB$35)+SUMPRODUCT(Oxides_max!$C10:$BB10,Factors!$C$35:$BB$35))/2),ABS(SUMPRODUCT(Oxides_max!$C10:$BB10,Factors!$C$35:$BB$35)-SUMPRODUCT(Oxides_min!$C10:$BB10,Factors!$C$35:$BB$35))/2)</f>
        <v>0</v>
      </c>
      <c r="AC10" s="20">
        <f>MIN(MAX(0,(SUMPRODUCT(Oxides_min!$C10:$BB10,Factors!$C$36:$BB$36)+SUMPRODUCT(Oxides_max!$C10:$BB10,Factors!$C$36:$BB$36))/2),ABS(SUMPRODUCT(Oxides_max!$C10:$BB10,Factors!$C$36:$BB$36)-SUMPRODUCT(Oxides_min!$C10:$BB10,Factors!$C$36:$BB$36))/2)</f>
        <v>0</v>
      </c>
      <c r="AD10" s="20">
        <f>MIN(MAX(0,(SUMPRODUCT(Oxides_min!$C10:$BB10,Factors!$C$37:$BB$37)+SUMPRODUCT(Oxides_max!$C10:$BB10,Factors!$C$37:$BB$37))/2),ABS(SUMPRODUCT(Oxides_max!$C10:$BB10,Factors!$C$37:$BB$37)-SUMPRODUCT(Oxides_min!$C10:$BB10,Factors!$C$37:$BB$37))/2)</f>
        <v>0.16786011656952537</v>
      </c>
      <c r="AE10" s="20">
        <f>MIN(MAX(0,(SUMPRODUCT(Oxides_min!$C10:$BB10,Factors!$C$38:$BB$38)+SUMPRODUCT(Oxides_max!$C10:$BB10,Factors!$C$38:$BB$38))/2),ABS(SUMPRODUCT(Oxides_max!$C10:$BB10,Factors!$C$38:$BB$38)-SUMPRODUCT(Oxides_min!$C10:$BB10,Factors!$C$38:$BB$38))/2)</f>
        <v>0</v>
      </c>
      <c r="AF10" s="20">
        <f>MIN(MAX(0,(SUMPRODUCT(Oxides_min!$C10:$BB10,Factors!$C$39:$BB$39)+SUMPRODUCT(Oxides_max!$C10:$BB10,Factors!$C$39:$BB$39))/2),ABS(SUMPRODUCT(Oxides_max!$C10:$BB10,Factors!$C$39:$BB$39)-SUMPRODUCT(Oxides_min!$C10:$BB10,Factors!$C$39:$BB$39))/2)</f>
        <v>0</v>
      </c>
      <c r="AG10" s="20">
        <f>MIN(MAX(0,(SUMPRODUCT(Oxides_min!$C10:$BB10,Factors!$C$40:$BB$40)+SUMPRODUCT(Oxides_max!$C10:$BB10,Factors!$C$40:$BB$40))/2),ABS(SUMPRODUCT(Oxides_max!$C10:$BB10,Factors!$C$40:$BB$40)-SUMPRODUCT(Oxides_min!$C10:$BB10,Factors!$C$40:$BB$40))/2)</f>
        <v>3.5152473699579261</v>
      </c>
      <c r="AH10" s="20">
        <f>MIN(MAX(0,(SUMPRODUCT(Oxides_min!$C10:$BB10,Factors!$C$41:$BB$41)+SUMPRODUCT(Oxides_max!$C10:$BB10,Factors!$C$41:$BB$41))/2),ABS(SUMPRODUCT(Oxides_max!$C10:$BB10,Factors!$C$41:$BB$41)-SUMPRODUCT(Oxides_min!$C10:$BB10,Factors!$C$41:$BB$41))/2)</f>
        <v>0</v>
      </c>
      <c r="AI10" s="20">
        <f>MIN(MAX(0,(SUMPRODUCT(Oxides_min!$C10:$BB10,Factors!$C$42:$BB$42)+SUMPRODUCT(Oxides_max!$C10:$BB10,Factors!$C$42:$BB$42))/2),ABS(SUMPRODUCT(Oxides_max!$C10:$BB10,Factors!$C$42:$BB$42)-SUMPRODUCT(Oxides_min!$C10:$BB10,Factors!$C$42:$BB$42))/2)</f>
        <v>0</v>
      </c>
      <c r="AJ10" s="20">
        <f>MIN(MAX(0,(SUMPRODUCT(Oxides_min!$C10:$BB10,Factors!$C$43:$BB$43)+SUMPRODUCT(Oxides_max!$C10:$BB10,Factors!$C$43:$BB$43))/2),ABS(SUMPRODUCT(Oxides_max!$C10:$BB10,Factors!$C$43:$BB$43)-SUMPRODUCT(Oxides_min!$C10:$BB10,Factors!$C$43:$BB$43))/2)</f>
        <v>0.59058296607552907</v>
      </c>
      <c r="AK10" s="20">
        <f>MIN(MAX(0,(SUMPRODUCT(Oxides_min!$C10:$BB10,Factors!$C$44:$BB$44)+SUMPRODUCT(Oxides_max!$C10:$BB10,Factors!$C$44:$BB$44))/2),ABS(SUMPRODUCT(Oxides_max!$C10:$BB10,Factors!$C$44:$BB$44)-SUMPRODUCT(Oxides_min!$C10:$BB10,Factors!$C$44:$BB$44))/2)</f>
        <v>1.2790247223563673</v>
      </c>
      <c r="AL10" s="20">
        <f>MIN(MAX(0,(SUMPRODUCT(Oxides_min!$C10:$BB10,Factors!$C$45:$BB$45)+SUMPRODUCT(Oxides_max!$C10:$BB10,Factors!$C$45:$BB$45))/2),ABS(SUMPRODUCT(Oxides_max!$C10:$BB10,Factors!$C$45:$BB$45)-SUMPRODUCT(Oxides_min!$C10:$BB10,Factors!$C$45:$BB$45))/2)</f>
        <v>8.1408833680002779</v>
      </c>
      <c r="AM10" s="20">
        <f>MIN(MAX(0,(SUMPRODUCT(Oxides_min!$C10:$BB10,Factors!$C$46:$BB$46)+SUMPRODUCT(Oxides_max!$C10:$BB10,Factors!$C$46:$BB$46))/2),ABS(SUMPRODUCT(Oxides_max!$C10:$BB10,Factors!$C$46:$BB$46)-SUMPRODUCT(Oxides_min!$C10:$BB10,Factors!$C$46:$BB$46))/2)</f>
        <v>0.42723588979332244</v>
      </c>
      <c r="AN10" s="20">
        <f>MIN(MAX(0,(SUMPRODUCT(Oxides_min!$C10:$BB10,Factors!$C$47:$BB$47)+SUMPRODUCT(Oxides_max!$C10:$BB10,Factors!$C$47:$BB$47))/2),ABS(SUMPRODUCT(Oxides_max!$C10:$BB10,Factors!$C$47:$BB$47)-SUMPRODUCT(Oxides_min!$C10:$BB10,Factors!$C$47:$BB$47))/2)</f>
        <v>1.7147119748217581</v>
      </c>
      <c r="AO10" s="20">
        <f>MIN(MAX(0,(SUMPRODUCT(Oxides_min!$C10:$BB10,Factors!$C$48:$BB$48)+SUMPRODUCT(Oxides_max!$C10:$BB10,Factors!$C$48:$BB$48))/2),ABS(SUMPRODUCT(Oxides_max!$C10:$BB10,Factors!$C$48:$BB$48)-SUMPRODUCT(Oxides_min!$C10:$BB10,Factors!$C$48:$BB$48))/2)</f>
        <v>0</v>
      </c>
      <c r="AP10" s="20">
        <f>MIN(MAX(0,(SUMPRODUCT(Oxides_min!$C10:$BB10,Factors!$C$49:$BB$49)+SUMPRODUCT(Oxides_max!$C10:$BB10,Factors!$C$49:$BB$49))/2),ABS(SUMPRODUCT(Oxides_max!$C10:$BB10,Factors!$C$49:$BB$49)-SUMPRODUCT(Oxides_min!$C10:$BB10,Factors!$C$49:$BB$49))/2)</f>
        <v>0</v>
      </c>
      <c r="AQ10" s="20">
        <f>MIN(MAX(0,(SUMPRODUCT(Oxides_min!$C10:$BB10,Factors!$C$50:$BB$50)+SUMPRODUCT(Oxides_max!$C10:$BB10,Factors!$C$50:$BB$50))/2),ABS(SUMPRODUCT(Oxides_max!$C10:$BB10,Factors!$C$50:$BB$50)-SUMPRODUCT(Oxides_min!$C10:$BB10,Factors!$C$50:$BB$50))/2)</f>
        <v>0</v>
      </c>
      <c r="AR10" s="20">
        <f>MIN(MAX(0,(SUMPRODUCT(Oxides_min!$C10:$BB10,Factors!$C$51:$BB$51)+SUMPRODUCT(Oxides_max!$C10:$BB10,Factors!$C$51:$BB$51))/2),ABS(SUMPRODUCT(Oxides_max!$C10:$BB10,Factors!$C$51:$BB$51)-SUMPRODUCT(Oxides_min!$C10:$BB10,Factors!$C$51:$BB$51))/2)</f>
        <v>0</v>
      </c>
      <c r="AS10" s="20">
        <f>MIN(MAX(0,(SUMPRODUCT(Oxides_min!$C10:$BB10,Factors!$C$52:$BB$52)+SUMPRODUCT(Oxides_max!$C10:$BB10,Factors!$C$52:$BB$52))/2),ABS(SUMPRODUCT(Oxides_max!$C10:$BB10,Factors!$C$52:$BB$52)-SUMPRODUCT(Oxides_min!$C10:$BB10,Factors!$C$52:$BB$52))/2)</f>
        <v>0</v>
      </c>
      <c r="AT10" s="20">
        <f>MIN(MAX(0,(SUMPRODUCT(Oxides_min!$C10:$BB10,Factors!$C$53:$BB$53)+SUMPRODUCT(Oxides_max!$C10:$BB10,Factors!$C$53:$BB$53))/2),ABS(SUMPRODUCT(Oxides_max!$C10:$BB10,Factors!$C$53:$BB$53)-SUMPRODUCT(Oxides_min!$C10:$BB10,Factors!$C$53:$BB$53))/2)</f>
        <v>0</v>
      </c>
      <c r="AU10" s="20">
        <f>MIN(MAX(0,(SUMPRODUCT(Oxides_min!$C10:$BB10,Factors!$C$54:$BB$54)+SUMPRODUCT(Oxides_max!$C10:$BB10,Factors!$C$54:$BB$54))/2),ABS(SUMPRODUCT(Oxides_max!$C10:$BB10,Factors!$C$54:$BB$54)-SUMPRODUCT(Oxides_min!$C10:$BB10,Factors!$C$54:$BB$54))/2)</f>
        <v>0</v>
      </c>
      <c r="AV10" s="20">
        <f>MIN(MAX(0,(SUMPRODUCT(Oxides_min!$C10:$BB10,Factors!$C$55:$BB$55)+SUMPRODUCT(Oxides_max!$C10:$BB10,Factors!$C$55:$BB$55))/2),ABS(SUMPRODUCT(Oxides_max!$C10:$BB10,Factors!$C$55:$BB$55)-SUMPRODUCT(Oxides_min!$C10:$BB10,Factors!$C$55:$BB$55))/2)</f>
        <v>0</v>
      </c>
      <c r="AW10" s="20">
        <f>MIN(MAX(0,(SUMPRODUCT(Oxides_min!$C10:$BB10,Factors!$C$56:$BB$56)+SUMPRODUCT(Oxides_max!$C10:$BB10,Factors!$C$56:$BB$56))/2),ABS(SUMPRODUCT(Oxides_max!$C10:$BB10,Factors!$C$56:$BB$56)-SUMPRODUCT(Oxides_min!$C10:$BB10,Factors!$C$56:$BB$56))/2)</f>
        <v>0.52692425784154262</v>
      </c>
      <c r="AX10" s="20">
        <f>MIN(MAX(0,(SUMPRODUCT(Oxides_min!$C10:$BB10,Factors!$C$57:$BB$57)+SUMPRODUCT(Oxides_max!$C10:$BB10,Factors!$C$57:$BB$57))/2),ABS(SUMPRODUCT(Oxides_max!$C10:$BB10,Factors!$C$57:$BB$57)-SUMPRODUCT(Oxides_min!$C10:$BB10,Factors!$C$57:$BB$57))/2)</f>
        <v>0</v>
      </c>
      <c r="AY10" s="20">
        <f>MIN(MAX(0,(SUMPRODUCT(Oxides_min!$C10:$BB10,Factors!$C$58:$BB$58)+SUMPRODUCT(Oxides_max!$C10:$BB10,Factors!$C$58:$BB$58))/2),ABS(SUMPRODUCT(Oxides_max!$C10:$BB10,Factors!$C$58:$BB$58)-SUMPRODUCT(Oxides_min!$C10:$BB10,Factors!$C$58:$BB$58))/2)</f>
        <v>0</v>
      </c>
      <c r="AZ10" s="18">
        <f t="shared" si="0"/>
        <v>27.299999999999997</v>
      </c>
    </row>
    <row r="11" spans="1:52" x14ac:dyDescent="0.35">
      <c r="A11" s="13" t="s">
        <v>143</v>
      </c>
      <c r="B11" s="20">
        <f>MIN(MAX(0,(SUMPRODUCT(Oxides_min!$C11:$BB11,Factors!$C$9:$BB$9)+SUMPRODUCT(Oxides_max!$C11:$BB11,Factors!$C$9:$BB$9))/2),ABS(SUMPRODUCT(Oxides_max!$C11:$BB11,Factors!$C$9:$BB$9)-SUMPRODUCT(Oxides_min!$C11:$BB11,Factors!$C$9:$BB$9))/2)</f>
        <v>12.750898346711082</v>
      </c>
      <c r="C11" s="20">
        <f>MIN(MAX(0,(SUMPRODUCT(Oxides_min!$C11:$BB11,Factors!$C$10:$BB$10)+SUMPRODUCT(Oxides_max!$C11:$BB11,Factors!$C$10:$BB$10))/2),ABS(SUMPRODUCT(Oxides_max!$C11:$BB11,Factors!$C$10:$BB$10)-SUMPRODUCT(Oxides_min!$C11:$BB11,Factors!$C$10:$BB$10))/2)</f>
        <v>0.67778323319408151</v>
      </c>
      <c r="D11" s="20">
        <f>MIN(MAX(0,(SUMPRODUCT(Oxides_min!$C11:$BB11,Factors!$C$11:$BB$11)+SUMPRODUCT(Oxides_max!$C11:$BB11,Factors!$C$11:$BB$11))/2),ABS(SUMPRODUCT(Oxides_max!$C11:$BB11,Factors!$C$11:$BB$11)-SUMPRODUCT(Oxides_min!$C11:$BB11,Factors!$C$11:$BB$11))/2)</f>
        <v>2.6970700557190264</v>
      </c>
      <c r="E11" s="20">
        <f>MIN(MAX(0,(SUMPRODUCT(Oxides_min!$C11:$BB11,Factors!$C$12:$BB$12)+SUMPRODUCT(Oxides_max!$C11:$BB11,Factors!$C$12:$BB$12))/2),ABS(SUMPRODUCT(Oxides_max!$C11:$BB11,Factors!$C$12:$BB$12)-SUMPRODUCT(Oxides_min!$C11:$BB11,Factors!$C$12:$BB$12))/2)</f>
        <v>2.3320153868627354</v>
      </c>
      <c r="F11" s="20">
        <f>MIN(MAX(0,(SUMPRODUCT(Oxides_min!$C11:$BB11,Factors!$C$13:$BB$13)+SUMPRODUCT(Oxides_max!$C11:$BB11,Factors!$C$13:$BB$13))/2),ABS(SUMPRODUCT(Oxides_max!$C11:$BB11,Factors!$C$13:$BB$13)-SUMPRODUCT(Oxides_min!$C11:$BB11,Factors!$C$13:$BB$13))/2)</f>
        <v>0</v>
      </c>
      <c r="G11" s="20">
        <f>MIN(MAX(0,(SUMPRODUCT(Oxides_min!$C11:$BB11,Factors!$C$14:$BB$14)+SUMPRODUCT(Oxides_max!$C11:$BB11,Factors!$C$14:$BB$14))/2),ABS(SUMPRODUCT(Oxides_max!$C11:$BB11,Factors!$C$14:$BB$14)-SUMPRODUCT(Oxides_min!$C11:$BB11,Factors!$C$14:$BB$14))/2)</f>
        <v>0</v>
      </c>
      <c r="H11" s="20">
        <f>MIN(MAX(0,(SUMPRODUCT(Oxides_min!$C11:$BB11,Factors!$C$15:$BB$15)+SUMPRODUCT(Oxides_max!$C11:$BB11,Factors!$C$15:$BB$15))/2),ABS(SUMPRODUCT(Oxides_max!$C11:$BB11,Factors!$C$15:$BB$15)-SUMPRODUCT(Oxides_min!$C11:$BB11,Factors!$C$15:$BB$15))/2)</f>
        <v>2.6462846335433821E-2</v>
      </c>
      <c r="I11" s="20">
        <f>MIN(MAX(0,(SUMPRODUCT(Oxides_min!$C11:$BB11,Factors!$C$16:$BB$16)+SUMPRODUCT(Oxides_max!$C11:$BB11,Factors!$C$16:$BB$16))/2),ABS(SUMPRODUCT(Oxides_max!$C11:$BB11,Factors!$C$16:$BB$16)-SUMPRODUCT(Oxides_min!$C11:$BB11,Factors!$C$16:$BB$16))/2)</f>
        <v>0.97163646233505929</v>
      </c>
      <c r="J11" s="20">
        <f>MIN(MAX(0,(SUMPRODUCT(Oxides_min!$C11:$BB11,Factors!$C$17:$BB$17)+SUMPRODUCT(Oxides_max!$C11:$BB11,Factors!$C$17:$BB$17))/2),ABS(SUMPRODUCT(Oxides_max!$C11:$BB11,Factors!$C$17:$BB$17)-SUMPRODUCT(Oxides_min!$C11:$BB11,Factors!$C$17:$BB$17))/2)</f>
        <v>0.38723099316063975</v>
      </c>
      <c r="K11" s="20">
        <f>MIN(MAX(0,(SUMPRODUCT(Oxides_min!$C11:$BB11,Factors!$C$18:$BB$18)+SUMPRODUCT(Oxides_max!$C11:$BB11,Factors!$C$18:$BB$18))/2),ABS(SUMPRODUCT(Oxides_max!$C11:$BB11,Factors!$C$18:$BB$18)-SUMPRODUCT(Oxides_min!$C11:$BB11,Factors!$C$18:$BB$18))/2)</f>
        <v>0</v>
      </c>
      <c r="L11" s="20">
        <f>MIN(MAX(0,(SUMPRODUCT(Oxides_min!$C11:$BB11,Factors!$C$19:$BB$19)+SUMPRODUCT(Oxides_max!$C11:$BB11,Factors!$C$19:$BB$19))/2),ABS(SUMPRODUCT(Oxides_max!$C11:$BB11,Factors!$C$19:$BB$19)-SUMPRODUCT(Oxides_min!$C11:$BB11,Factors!$C$19:$BB$19))/2)</f>
        <v>0</v>
      </c>
      <c r="M11" s="20">
        <f>MIN(MAX(0,(SUMPRODUCT(Oxides_min!$C11:$BB11,Factors!$C$20:$BB$20)+SUMPRODUCT(Oxides_max!$C11:$BB11,Factors!$C$20:$BB$20))/2),ABS(SUMPRODUCT(Oxides_max!$C11:$BB11,Factors!$C$20:$BB$20)-SUMPRODUCT(Oxides_min!$C11:$BB11,Factors!$C$20:$BB$20))/2)</f>
        <v>9.0456282254863032E-2</v>
      </c>
      <c r="N11" s="20">
        <f>MIN(MAX(0,(SUMPRODUCT(Oxides_min!$C11:$BB11,Factors!$C$21:$BB$21)+SUMPRODUCT(Oxides_max!$C11:$BB11,Factors!$C$21:$BB$21))/2),ABS(SUMPRODUCT(Oxides_max!$C11:$BB11,Factors!$C$21:$BB$21)-SUMPRODUCT(Oxides_min!$C11:$BB11,Factors!$C$21:$BB$21))/2)</f>
        <v>2.8587834584589045</v>
      </c>
      <c r="O11" s="20">
        <f>MIN(MAX(0,(SUMPRODUCT(Oxides_min!$C11:$BB11,Factors!$C$22:$BB$22)+SUMPRODUCT(Oxides_max!$C11:$BB11,Factors!$C$22:$BB$22))/2),ABS(SUMPRODUCT(Oxides_max!$C11:$BB11,Factors!$C$22:$BB$22)-SUMPRODUCT(Oxides_min!$C11:$BB11,Factors!$C$22:$BB$22))/2)</f>
        <v>1.6911956301450508</v>
      </c>
      <c r="P11" s="20">
        <f>MIN(MAX(0,(SUMPRODUCT(Oxides_min!$C11:$BB11,Factors!$C$23:$BB$23)+SUMPRODUCT(Oxides_max!$C11:$BB11,Factors!$C$23:$BB$23))/2),ABS(SUMPRODUCT(Oxides_max!$C11:$BB11,Factors!$C$23:$BB$23)-SUMPRODUCT(Oxides_min!$C11:$BB11,Factors!$C$23:$BB$23))/2)</f>
        <v>1.0300017609537846</v>
      </c>
      <c r="Q11" s="20">
        <f>MIN(MAX(0,(SUMPRODUCT(Oxides_min!$C11:$BB11,Factors!$C$24:$BB$24)+SUMPRODUCT(Oxides_max!$C11:$BB11,Factors!$C$24:$BB$24))/2),ABS(SUMPRODUCT(Oxides_max!$C11:$BB11,Factors!$C$24:$BB$24)-SUMPRODUCT(Oxides_min!$C11:$BB11,Factors!$C$24:$BB$24))/2)</f>
        <v>0.23207989283106106</v>
      </c>
      <c r="R11" s="20">
        <f>MIN(MAX(0,(SUMPRODUCT(Oxides_min!$C11:$BB11,Factors!$C$25:$BB$25)+SUMPRODUCT(Oxides_max!$C11:$BB11,Factors!$C$25:$BB$25))/2),ABS(SUMPRODUCT(Oxides_max!$C11:$BB11,Factors!$C$25:$BB$25)-SUMPRODUCT(Oxides_min!$C11:$BB11,Factors!$C$25:$BB$25))/2)</f>
        <v>2.670704128587313</v>
      </c>
      <c r="S11" s="20">
        <f>MIN(MAX(0,(SUMPRODUCT(Oxides_min!$C11:$BB11,Factors!$C$26:$BB$26)+SUMPRODUCT(Oxides_max!$C11:$BB11,Factors!$C$26:$BB$26))/2),ABS(SUMPRODUCT(Oxides_max!$C11:$BB11,Factors!$C$26:$BB$26)-SUMPRODUCT(Oxides_min!$C11:$BB11,Factors!$C$26:$BB$26))/2)</f>
        <v>4.1507565109198313E-2</v>
      </c>
      <c r="T11" s="20">
        <f>MIN(MAX(0,(SUMPRODUCT(Oxides_min!$C11:$BB11,Factors!$C$27:$BB$27)+SUMPRODUCT(Oxides_max!$C11:$BB11,Factors!$C$27:$BB$27))/2),ABS(SUMPRODUCT(Oxides_max!$C11:$BB11,Factors!$C$27:$BB$27)-SUMPRODUCT(Oxides_min!$C11:$BB11,Factors!$C$27:$BB$27))/2)</f>
        <v>0</v>
      </c>
      <c r="U11" s="20">
        <f>MIN(MAX(0,(SUMPRODUCT(Oxides_min!$C11:$BB11,Factors!$C$28:$BB$28)+SUMPRODUCT(Oxides_max!$C11:$BB11,Factors!$C$28:$BB$28))/2),ABS(SUMPRODUCT(Oxides_max!$C11:$BB11,Factors!$C$28:$BB$28)-SUMPRODUCT(Oxides_min!$C11:$BB11,Factors!$C$28:$BB$28))/2)</f>
        <v>0</v>
      </c>
      <c r="V11" s="20">
        <f>MIN(MAX(0,(SUMPRODUCT(Oxides_min!$C11:$BB11,Factors!$C$29:$BB$29)+SUMPRODUCT(Oxides_max!$C11:$BB11,Factors!$C$29:$BB$29))/2),ABS(SUMPRODUCT(Oxides_max!$C11:$BB11,Factors!$C$29:$BB$29)-SUMPRODUCT(Oxides_min!$C11:$BB11,Factors!$C$29:$BB$29))/2)</f>
        <v>0</v>
      </c>
      <c r="W11" s="20">
        <f>MIN(MAX(0,(SUMPRODUCT(Oxides_min!$C11:$BB11,Factors!$C$30:$BB$30)+SUMPRODUCT(Oxides_max!$C11:$BB11,Factors!$C$30:$BB$30))/2),ABS(SUMPRODUCT(Oxides_max!$C11:$BB11,Factors!$C$30:$BB$30)-SUMPRODUCT(Oxides_min!$C11:$BB11,Factors!$C$30:$BB$30))/2)</f>
        <v>8.3885927475249602</v>
      </c>
      <c r="X11" s="20">
        <f>MIN(MAX(0,(SUMPRODUCT(Oxides_min!$C11:$BB11,Factors!$C$31:$BB$31)+SUMPRODUCT(Oxides_max!$C11:$BB11,Factors!$C$31:$BB$31))/2),ABS(SUMPRODUCT(Oxides_max!$C11:$BB11,Factors!$C$31:$BB$31)-SUMPRODUCT(Oxides_min!$C11:$BB11,Factors!$C$31:$BB$31))/2)</f>
        <v>2.6616560617832334</v>
      </c>
      <c r="Y11" s="20">
        <f>MIN(MAX(0,(SUMPRODUCT(Oxides_min!$C11:$BB11,Factors!$C$32:$BB$32)+SUMPRODUCT(Oxides_max!$C11:$BB11,Factors!$C$32:$BB$32))/2),ABS(SUMPRODUCT(Oxides_max!$C11:$BB11,Factors!$C$32:$BB$32)-SUMPRODUCT(Oxides_min!$C11:$BB11,Factors!$C$32:$BB$32))/2)</f>
        <v>0</v>
      </c>
      <c r="Z11" s="20">
        <f>MIN(MAX(0,(SUMPRODUCT(Oxides_min!$C11:$BB11,Factors!$C$33:$BB$33)+SUMPRODUCT(Oxides_max!$C11:$BB11,Factors!$C$33:$BB$33))/2),ABS(SUMPRODUCT(Oxides_max!$C11:$BB11,Factors!$C$33:$BB$33)-SUMPRODUCT(Oxides_min!$C11:$BB11,Factors!$C$33:$BB$33))/2)</f>
        <v>0</v>
      </c>
      <c r="AA11" s="20">
        <f>MIN(MAX(0,(SUMPRODUCT(Oxides_min!$C11:$BB11,Factors!$C$34:$BB$34)+SUMPRODUCT(Oxides_max!$C11:$BB11,Factors!$C$34:$BB$34))/2),ABS(SUMPRODUCT(Oxides_max!$C11:$BB11,Factors!$C$34:$BB$34)-SUMPRODUCT(Oxides_min!$C11:$BB11,Factors!$C$34:$BB$34))/2)</f>
        <v>0</v>
      </c>
      <c r="AB11" s="20">
        <f>MIN(MAX(0,(SUMPRODUCT(Oxides_min!$C11:$BB11,Factors!$C$35:$BB$35)+SUMPRODUCT(Oxides_max!$C11:$BB11,Factors!$C$35:$BB$35))/2),ABS(SUMPRODUCT(Oxides_max!$C11:$BB11,Factors!$C$35:$BB$35)-SUMPRODUCT(Oxides_min!$C11:$BB11,Factors!$C$35:$BB$35))/2)</f>
        <v>0</v>
      </c>
      <c r="AC11" s="20">
        <f>MIN(MAX(0,(SUMPRODUCT(Oxides_min!$C11:$BB11,Factors!$C$36:$BB$36)+SUMPRODUCT(Oxides_max!$C11:$BB11,Factors!$C$36:$BB$36))/2),ABS(SUMPRODUCT(Oxides_max!$C11:$BB11,Factors!$C$36:$BB$36)-SUMPRODUCT(Oxides_min!$C11:$BB11,Factors!$C$36:$BB$36))/2)</f>
        <v>0</v>
      </c>
      <c r="AD11" s="20">
        <f>MIN(MAX(0,(SUMPRODUCT(Oxides_min!$C11:$BB11,Factors!$C$37:$BB$37)+SUMPRODUCT(Oxides_max!$C11:$BB11,Factors!$C$37:$BB$37))/2),ABS(SUMPRODUCT(Oxides_max!$C11:$BB11,Factors!$C$37:$BB$37)-SUMPRODUCT(Oxides_min!$C11:$BB11,Factors!$C$37:$BB$37))/2)</f>
        <v>0.16786011656952537</v>
      </c>
      <c r="AE11" s="20">
        <f>MIN(MAX(0,(SUMPRODUCT(Oxides_min!$C11:$BB11,Factors!$C$38:$BB$38)+SUMPRODUCT(Oxides_max!$C11:$BB11,Factors!$C$38:$BB$38))/2),ABS(SUMPRODUCT(Oxides_max!$C11:$BB11,Factors!$C$38:$BB$38)-SUMPRODUCT(Oxides_min!$C11:$BB11,Factors!$C$38:$BB$38))/2)</f>
        <v>1.9</v>
      </c>
      <c r="AF11" s="20">
        <f>MIN(MAX(0,(SUMPRODUCT(Oxides_min!$C11:$BB11,Factors!$C$39:$BB$39)+SUMPRODUCT(Oxides_max!$C11:$BB11,Factors!$C$39:$BB$39))/2),ABS(SUMPRODUCT(Oxides_max!$C11:$BB11,Factors!$C$39:$BB$39)-SUMPRODUCT(Oxides_min!$C11:$BB11,Factors!$C$39:$BB$39))/2)</f>
        <v>0</v>
      </c>
      <c r="AG11" s="20">
        <f>MIN(MAX(0,(SUMPRODUCT(Oxides_min!$C11:$BB11,Factors!$C$40:$BB$40)+SUMPRODUCT(Oxides_max!$C11:$BB11,Factors!$C$40:$BB$40))/2),ABS(SUMPRODUCT(Oxides_max!$C11:$BB11,Factors!$C$40:$BB$40)-SUMPRODUCT(Oxides_min!$C11:$BB11,Factors!$C$40:$BB$40))/2)</f>
        <v>2.5046137510950226</v>
      </c>
      <c r="AH11" s="20">
        <f>MIN(MAX(0,(SUMPRODUCT(Oxides_min!$C11:$BB11,Factors!$C$41:$BB$41)+SUMPRODUCT(Oxides_max!$C11:$BB11,Factors!$C$41:$BB$41))/2),ABS(SUMPRODUCT(Oxides_max!$C11:$BB11,Factors!$C$41:$BB$41)-SUMPRODUCT(Oxides_min!$C11:$BB11,Factors!$C$41:$BB$41))/2)</f>
        <v>2.2037517482979752</v>
      </c>
      <c r="AI11" s="20">
        <f>MIN(MAX(0,(SUMPRODUCT(Oxides_min!$C11:$BB11,Factors!$C$42:$BB$42)+SUMPRODUCT(Oxides_max!$C11:$BB11,Factors!$C$42:$BB$42))/2),ABS(SUMPRODUCT(Oxides_max!$C11:$BB11,Factors!$C$42:$BB$42)-SUMPRODUCT(Oxides_min!$C11:$BB11,Factors!$C$42:$BB$42))/2)</f>
        <v>0</v>
      </c>
      <c r="AJ11" s="20">
        <f>MIN(MAX(0,(SUMPRODUCT(Oxides_min!$C11:$BB11,Factors!$C$43:$BB$43)+SUMPRODUCT(Oxides_max!$C11:$BB11,Factors!$C$43:$BB$43))/2),ABS(SUMPRODUCT(Oxides_max!$C11:$BB11,Factors!$C$43:$BB$43)-SUMPRODUCT(Oxides_min!$C11:$BB11,Factors!$C$43:$BB$43))/2)</f>
        <v>0.19686098869184304</v>
      </c>
      <c r="AK11" s="20">
        <f>MIN(MAX(0,(SUMPRODUCT(Oxides_min!$C11:$BB11,Factors!$C$44:$BB$44)+SUMPRODUCT(Oxides_max!$C11:$BB11,Factors!$C$44:$BB$44))/2),ABS(SUMPRODUCT(Oxides_max!$C11:$BB11,Factors!$C$44:$BB$44)-SUMPRODUCT(Oxides_min!$C11:$BB11,Factors!$C$44:$BB$44))/2)</f>
        <v>1.0658539352969727</v>
      </c>
      <c r="AL11" s="20">
        <f>MIN(MAX(0,(SUMPRODUCT(Oxides_min!$C11:$BB11,Factors!$C$45:$BB$45)+SUMPRODUCT(Oxides_max!$C11:$BB11,Factors!$C$45:$BB$45))/2),ABS(SUMPRODUCT(Oxides_max!$C11:$BB11,Factors!$C$45:$BB$45)-SUMPRODUCT(Oxides_min!$C11:$BB11,Factors!$C$45:$BB$45))/2)</f>
        <v>2.9881942180611709</v>
      </c>
      <c r="AM11" s="20">
        <f>MIN(MAX(0,(SUMPRODUCT(Oxides_min!$C11:$BB11,Factors!$C$46:$BB$46)+SUMPRODUCT(Oxides_max!$C11:$BB11,Factors!$C$46:$BB$46))/2),ABS(SUMPRODUCT(Oxides_max!$C11:$BB11,Factors!$C$46:$BB$46)-SUMPRODUCT(Oxides_min!$C11:$BB11,Factors!$C$46:$BB$46))/2)</f>
        <v>0.25634153387599345</v>
      </c>
      <c r="AN11" s="20">
        <f>MIN(MAX(0,(SUMPRODUCT(Oxides_min!$C11:$BB11,Factors!$C$47:$BB$47)+SUMPRODUCT(Oxides_max!$C11:$BB11,Factors!$C$47:$BB$47))/2),ABS(SUMPRODUCT(Oxides_max!$C11:$BB11,Factors!$C$47:$BB$47)-SUMPRODUCT(Oxides_min!$C11:$BB11,Factors!$C$47:$BB$47))/2)</f>
        <v>0.98595938552251083</v>
      </c>
      <c r="AO11" s="20">
        <f>MIN(MAX(0,(SUMPRODUCT(Oxides_min!$C11:$BB11,Factors!$C$48:$BB$48)+SUMPRODUCT(Oxides_max!$C11:$BB11,Factors!$C$48:$BB$48))/2),ABS(SUMPRODUCT(Oxides_max!$C11:$BB11,Factors!$C$48:$BB$48)-SUMPRODUCT(Oxides_min!$C11:$BB11,Factors!$C$48:$BB$48))/2)</f>
        <v>0.17247223393181291</v>
      </c>
      <c r="AP11" s="20">
        <f>MIN(MAX(0,(SUMPRODUCT(Oxides_min!$C11:$BB11,Factors!$C$49:$BB$49)+SUMPRODUCT(Oxides_max!$C11:$BB11,Factors!$C$49:$BB$49))/2),ABS(SUMPRODUCT(Oxides_max!$C11:$BB11,Factors!$C$49:$BB$49)-SUMPRODUCT(Oxides_min!$C11:$BB11,Factors!$C$49:$BB$49))/2)</f>
        <v>0</v>
      </c>
      <c r="AQ11" s="20">
        <f>MIN(MAX(0,(SUMPRODUCT(Oxides_min!$C11:$BB11,Factors!$C$50:$BB$50)+SUMPRODUCT(Oxides_max!$C11:$BB11,Factors!$C$50:$BB$50))/2),ABS(SUMPRODUCT(Oxides_max!$C11:$BB11,Factors!$C$50:$BB$50)-SUMPRODUCT(Oxides_min!$C11:$BB11,Factors!$C$50:$BB$50))/2)</f>
        <v>0</v>
      </c>
      <c r="AR11" s="20">
        <f>MIN(MAX(0,(SUMPRODUCT(Oxides_min!$C11:$BB11,Factors!$C$51:$BB$51)+SUMPRODUCT(Oxides_max!$C11:$BB11,Factors!$C$51:$BB$51))/2),ABS(SUMPRODUCT(Oxides_max!$C11:$BB11,Factors!$C$51:$BB$51)-SUMPRODUCT(Oxides_min!$C11:$BB11,Factors!$C$51:$BB$51))/2)</f>
        <v>0</v>
      </c>
      <c r="AS11" s="20">
        <f>MIN(MAX(0,(SUMPRODUCT(Oxides_min!$C11:$BB11,Factors!$C$52:$BB$52)+SUMPRODUCT(Oxides_max!$C11:$BB11,Factors!$C$52:$BB$52))/2),ABS(SUMPRODUCT(Oxides_max!$C11:$BB11,Factors!$C$52:$BB$52)-SUMPRODUCT(Oxides_min!$C11:$BB11,Factors!$C$52:$BB$52))/2)</f>
        <v>0</v>
      </c>
      <c r="AT11" s="20">
        <f>MIN(MAX(0,(SUMPRODUCT(Oxides_min!$C11:$BB11,Factors!$C$53:$BB$53)+SUMPRODUCT(Oxides_max!$C11:$BB11,Factors!$C$53:$BB$53))/2),ABS(SUMPRODUCT(Oxides_max!$C11:$BB11,Factors!$C$53:$BB$53)-SUMPRODUCT(Oxides_min!$C11:$BB11,Factors!$C$53:$BB$53))/2)</f>
        <v>0</v>
      </c>
      <c r="AU11" s="20">
        <f>MIN(MAX(0,(SUMPRODUCT(Oxides_min!$C11:$BB11,Factors!$C$54:$BB$54)+SUMPRODUCT(Oxides_max!$C11:$BB11,Factors!$C$54:$BB$54))/2),ABS(SUMPRODUCT(Oxides_max!$C11:$BB11,Factors!$C$54:$BB$54)-SUMPRODUCT(Oxides_min!$C11:$BB11,Factors!$C$54:$BB$54))/2)</f>
        <v>0</v>
      </c>
      <c r="AV11" s="20">
        <f>MIN(MAX(0,(SUMPRODUCT(Oxides_min!$C11:$BB11,Factors!$C$55:$BB$55)+SUMPRODUCT(Oxides_max!$C11:$BB11,Factors!$C$55:$BB$55))/2),ABS(SUMPRODUCT(Oxides_max!$C11:$BB11,Factors!$C$55:$BB$55)-SUMPRODUCT(Oxides_min!$C11:$BB11,Factors!$C$55:$BB$55))/2)</f>
        <v>0</v>
      </c>
      <c r="AW11" s="20">
        <f>MIN(MAX(0,(SUMPRODUCT(Oxides_min!$C11:$BB11,Factors!$C$56:$BB$56)+SUMPRODUCT(Oxides_max!$C11:$BB11,Factors!$C$56:$BB$56))/2),ABS(SUMPRODUCT(Oxides_max!$C11:$BB11,Factors!$C$56:$BB$56)-SUMPRODUCT(Oxides_min!$C11:$BB11,Factors!$C$56:$BB$56))/2)</f>
        <v>0</v>
      </c>
      <c r="AX11" s="20">
        <f>MIN(MAX(0,(SUMPRODUCT(Oxides_min!$C11:$BB11,Factors!$C$57:$BB$57)+SUMPRODUCT(Oxides_max!$C11:$BB11,Factors!$C$57:$BB$57))/2),ABS(SUMPRODUCT(Oxides_max!$C11:$BB11,Factors!$C$57:$BB$57)-SUMPRODUCT(Oxides_min!$C11:$BB11,Factors!$C$57:$BB$57))/2)</f>
        <v>0</v>
      </c>
      <c r="AY11" s="20">
        <f>MIN(MAX(0,(SUMPRODUCT(Oxides_min!$C11:$BB11,Factors!$C$58:$BB$58)+SUMPRODUCT(Oxides_max!$C11:$BB11,Factors!$C$58:$BB$58))/2),ABS(SUMPRODUCT(Oxides_max!$C11:$BB11,Factors!$C$58:$BB$58)-SUMPRODUCT(Oxides_min!$C11:$BB11,Factors!$C$58:$BB$58))/2)</f>
        <v>0</v>
      </c>
      <c r="AZ11" s="18">
        <f t="shared" si="0"/>
        <v>51.949982763309258</v>
      </c>
    </row>
    <row r="12" spans="1:52" x14ac:dyDescent="0.35">
      <c r="A12" s="13" t="s">
        <v>145</v>
      </c>
      <c r="B12" s="20">
        <f>MIN(MAX(0,(SUMPRODUCT(Oxides_min!$C12:$BB12,Factors!$C$9:$BB$9)+SUMPRODUCT(Oxides_max!$C12:$BB12,Factors!$C$9:$BB$9))/2),ABS(SUMPRODUCT(Oxides_max!$C12:$BB12,Factors!$C$9:$BB$9)-SUMPRODUCT(Oxides_min!$C12:$BB12,Factors!$C$9:$BB$9))/2)</f>
        <v>5.3745133004000039</v>
      </c>
      <c r="C12" s="20">
        <f>MIN(MAX(0,(SUMPRODUCT(Oxides_min!$C12:$BB12,Factors!$C$10:$BB$10)+SUMPRODUCT(Oxides_max!$C12:$BB12,Factors!$C$10:$BB$10))/2),ABS(SUMPRODUCT(Oxides_max!$C12:$BB12,Factors!$C$10:$BB$10)-SUMPRODUCT(Oxides_min!$C12:$BB12,Factors!$C$10:$BB$10))/2)</f>
        <v>0</v>
      </c>
      <c r="D12" s="20">
        <f>MIN(MAX(0,(SUMPRODUCT(Oxides_min!$C12:$BB12,Factors!$C$11:$BB$11)+SUMPRODUCT(Oxides_max!$C12:$BB12,Factors!$C$11:$BB$11))/2),ABS(SUMPRODUCT(Oxides_max!$C12:$BB12,Factors!$C$11:$BB$11)-SUMPRODUCT(Oxides_min!$C12:$BB12,Factors!$C$11:$BB$11))/2)</f>
        <v>0</v>
      </c>
      <c r="E12" s="20">
        <f>MIN(MAX(0,(SUMPRODUCT(Oxides_min!$C12:$BB12,Factors!$C$12:$BB$12)+SUMPRODUCT(Oxides_max!$C12:$BB12,Factors!$C$12:$BB$12))/2),ABS(SUMPRODUCT(Oxides_max!$C12:$BB12,Factors!$C$12:$BB$12)-SUMPRODUCT(Oxides_min!$C12:$BB12,Factors!$C$12:$BB$12))/2)</f>
        <v>0</v>
      </c>
      <c r="F12" s="20">
        <f>MIN(MAX(0,(SUMPRODUCT(Oxides_min!$C12:$BB12,Factors!$C$13:$BB$13)+SUMPRODUCT(Oxides_max!$C12:$BB12,Factors!$C$13:$BB$13))/2),ABS(SUMPRODUCT(Oxides_max!$C12:$BB12,Factors!$C$13:$BB$13)-SUMPRODUCT(Oxides_min!$C12:$BB12,Factors!$C$13:$BB$13))/2)</f>
        <v>0</v>
      </c>
      <c r="G12" s="20">
        <f>MIN(MAX(0,(SUMPRODUCT(Oxides_min!$C12:$BB12,Factors!$C$14:$BB$14)+SUMPRODUCT(Oxides_max!$C12:$BB12,Factors!$C$14:$BB$14))/2),ABS(SUMPRODUCT(Oxides_max!$C12:$BB12,Factors!$C$14:$BB$14)-SUMPRODUCT(Oxides_min!$C12:$BB12,Factors!$C$14:$BB$14))/2)</f>
        <v>0</v>
      </c>
      <c r="H12" s="20">
        <f>MIN(MAX(0,(SUMPRODUCT(Oxides_min!$C12:$BB12,Factors!$C$15:$BB$15)+SUMPRODUCT(Oxides_max!$C12:$BB12,Factors!$C$15:$BB$15))/2),ABS(SUMPRODUCT(Oxides_max!$C12:$BB12,Factors!$C$15:$BB$15)-SUMPRODUCT(Oxides_min!$C12:$BB12,Factors!$C$15:$BB$15))/2)</f>
        <v>0</v>
      </c>
      <c r="I12" s="20">
        <f>MIN(MAX(0,(SUMPRODUCT(Oxides_min!$C12:$BB12,Factors!$C$16:$BB$16)+SUMPRODUCT(Oxides_max!$C12:$BB12,Factors!$C$16:$BB$16))/2),ABS(SUMPRODUCT(Oxides_max!$C12:$BB12,Factors!$C$16:$BB$16)-SUMPRODUCT(Oxides_min!$C12:$BB12,Factors!$C$16:$BB$16))/2)</f>
        <v>0.15546183397360949</v>
      </c>
      <c r="J12" s="20">
        <f>MIN(MAX(0,(SUMPRODUCT(Oxides_min!$C12:$BB12,Factors!$C$17:$BB$17)+SUMPRODUCT(Oxides_max!$C12:$BB12,Factors!$C$17:$BB$17))/2),ABS(SUMPRODUCT(Oxides_max!$C12:$BB12,Factors!$C$17:$BB$17)-SUMPRODUCT(Oxides_min!$C12:$BB12,Factors!$C$17:$BB$17))/2)</f>
        <v>0</v>
      </c>
      <c r="K12" s="20">
        <f>MIN(MAX(0,(SUMPRODUCT(Oxides_min!$C12:$BB12,Factors!$C$18:$BB$18)+SUMPRODUCT(Oxides_max!$C12:$BB12,Factors!$C$18:$BB$18))/2),ABS(SUMPRODUCT(Oxides_max!$C12:$BB12,Factors!$C$18:$BB$18)-SUMPRODUCT(Oxides_min!$C12:$BB12,Factors!$C$18:$BB$18))/2)</f>
        <v>0</v>
      </c>
      <c r="L12" s="20">
        <f>MIN(MAX(0,(SUMPRODUCT(Oxides_min!$C12:$BB12,Factors!$C$19:$BB$19)+SUMPRODUCT(Oxides_max!$C12:$BB12,Factors!$C$19:$BB$19))/2),ABS(SUMPRODUCT(Oxides_max!$C12:$BB12,Factors!$C$19:$BB$19)-SUMPRODUCT(Oxides_min!$C12:$BB12,Factors!$C$19:$BB$19))/2)</f>
        <v>0</v>
      </c>
      <c r="M12" s="20">
        <f>MIN(MAX(0,(SUMPRODUCT(Oxides_min!$C12:$BB12,Factors!$C$20:$BB$20)+SUMPRODUCT(Oxides_max!$C12:$BB12,Factors!$C$20:$BB$20))/2),ABS(SUMPRODUCT(Oxides_max!$C12:$BB12,Factors!$C$20:$BB$20)-SUMPRODUCT(Oxides_min!$C12:$BB12,Factors!$C$20:$BB$20))/2)</f>
        <v>0</v>
      </c>
      <c r="N12" s="20">
        <f>MIN(MAX(0,(SUMPRODUCT(Oxides_min!$C12:$BB12,Factors!$C$21:$BB$21)+SUMPRODUCT(Oxides_max!$C12:$BB12,Factors!$C$21:$BB$21))/2),ABS(SUMPRODUCT(Oxides_max!$C12:$BB12,Factors!$C$21:$BB$21)-SUMPRODUCT(Oxides_min!$C12:$BB12,Factors!$C$21:$BB$21))/2)</f>
        <v>1.7867396615368154</v>
      </c>
      <c r="O12" s="20">
        <f>MIN(MAX(0,(SUMPRODUCT(Oxides_min!$C12:$BB12,Factors!$C$22:$BB$22)+SUMPRODUCT(Oxides_max!$C12:$BB12,Factors!$C$22:$BB$22))/2),ABS(SUMPRODUCT(Oxides_max!$C12:$BB12,Factors!$C$22:$BB$22)-SUMPRODUCT(Oxides_min!$C12:$BB12,Factors!$C$22:$BB$22))/2)</f>
        <v>4.2279890753626281</v>
      </c>
      <c r="P12" s="20">
        <f>MIN(MAX(0,(SUMPRODUCT(Oxides_min!$C12:$BB12,Factors!$C$23:$BB$23)+SUMPRODUCT(Oxides_max!$C12:$BB12,Factors!$C$23:$BB$23))/2),ABS(SUMPRODUCT(Oxides_max!$C12:$BB12,Factors!$C$23:$BB$23)-SUMPRODUCT(Oxides_min!$C12:$BB12,Factors!$C$23:$BB$23))/2)</f>
        <v>0.67174027888290311</v>
      </c>
      <c r="Q12" s="20">
        <f>MIN(MAX(0,(SUMPRODUCT(Oxides_min!$C12:$BB12,Factors!$C$24:$BB$24)+SUMPRODUCT(Oxides_max!$C12:$BB12,Factors!$C$24:$BB$24))/2),ABS(SUMPRODUCT(Oxides_max!$C12:$BB12,Factors!$C$24:$BB$24)-SUMPRODUCT(Oxides_min!$C12:$BB12,Factors!$C$24:$BB$24))/2)</f>
        <v>0</v>
      </c>
      <c r="R12" s="20">
        <f>MIN(MAX(0,(SUMPRODUCT(Oxides_min!$C12:$BB12,Factors!$C$25:$BB$25)+SUMPRODUCT(Oxides_max!$C12:$BB12,Factors!$C$25:$BB$25))/2),ABS(SUMPRODUCT(Oxides_max!$C12:$BB12,Factors!$C$25:$BB$25)-SUMPRODUCT(Oxides_min!$C12:$BB12,Factors!$C$25:$BB$25))/2)</f>
        <v>0</v>
      </c>
      <c r="S12" s="20">
        <f>MIN(MAX(0,(SUMPRODUCT(Oxides_min!$C12:$BB12,Factors!$C$26:$BB$26)+SUMPRODUCT(Oxides_max!$C12:$BB12,Factors!$C$26:$BB$26))/2),ABS(SUMPRODUCT(Oxides_max!$C12:$BB12,Factors!$C$26:$BB$26)-SUMPRODUCT(Oxides_min!$C12:$BB12,Factors!$C$26:$BB$26))/2)</f>
        <v>0</v>
      </c>
      <c r="T12" s="20">
        <f>MIN(MAX(0,(SUMPRODUCT(Oxides_min!$C12:$BB12,Factors!$C$27:$BB$27)+SUMPRODUCT(Oxides_max!$C12:$BB12,Factors!$C$27:$BB$27))/2),ABS(SUMPRODUCT(Oxides_max!$C12:$BB12,Factors!$C$27:$BB$27)-SUMPRODUCT(Oxides_min!$C12:$BB12,Factors!$C$27:$BB$27))/2)</f>
        <v>0</v>
      </c>
      <c r="U12" s="20">
        <f>MIN(MAX(0,(SUMPRODUCT(Oxides_min!$C12:$BB12,Factors!$C$28:$BB$28)+SUMPRODUCT(Oxides_max!$C12:$BB12,Factors!$C$28:$BB$28))/2),ABS(SUMPRODUCT(Oxides_max!$C12:$BB12,Factors!$C$28:$BB$28)-SUMPRODUCT(Oxides_min!$C12:$BB12,Factors!$C$28:$BB$28))/2)</f>
        <v>0</v>
      </c>
      <c r="V12" s="20">
        <f>MIN(MAX(0,(SUMPRODUCT(Oxides_min!$C12:$BB12,Factors!$C$29:$BB$29)+SUMPRODUCT(Oxides_max!$C12:$BB12,Factors!$C$29:$BB$29))/2),ABS(SUMPRODUCT(Oxides_max!$C12:$BB12,Factors!$C$29:$BB$29)-SUMPRODUCT(Oxides_min!$C12:$BB12,Factors!$C$29:$BB$29))/2)</f>
        <v>0</v>
      </c>
      <c r="W12" s="20">
        <f>MIN(MAX(0,(SUMPRODUCT(Oxides_min!$C12:$BB12,Factors!$C$30:$BB$30)+SUMPRODUCT(Oxides_max!$C12:$BB12,Factors!$C$30:$BB$30))/2),ABS(SUMPRODUCT(Oxides_max!$C12:$BB12,Factors!$C$30:$BB$30)-SUMPRODUCT(Oxides_min!$C12:$BB12,Factors!$C$30:$BB$30))/2)</f>
        <v>0</v>
      </c>
      <c r="X12" s="20">
        <f>MIN(MAX(0,(SUMPRODUCT(Oxides_min!$C12:$BB12,Factors!$C$31:$BB$31)+SUMPRODUCT(Oxides_max!$C12:$BB12,Factors!$C$31:$BB$31))/2),ABS(SUMPRODUCT(Oxides_max!$C12:$BB12,Factors!$C$31:$BB$31)-SUMPRODUCT(Oxides_min!$C12:$BB12,Factors!$C$31:$BB$31))/2)</f>
        <v>0</v>
      </c>
      <c r="Y12" s="20">
        <f>MIN(MAX(0,(SUMPRODUCT(Oxides_min!$C12:$BB12,Factors!$C$32:$BB$32)+SUMPRODUCT(Oxides_max!$C12:$BB12,Factors!$C$32:$BB$32))/2),ABS(SUMPRODUCT(Oxides_max!$C12:$BB12,Factors!$C$32:$BB$32)-SUMPRODUCT(Oxides_min!$C12:$BB12,Factors!$C$32:$BB$32))/2)</f>
        <v>0</v>
      </c>
      <c r="Z12" s="20">
        <f>MIN(MAX(0,(SUMPRODUCT(Oxides_min!$C12:$BB12,Factors!$C$33:$BB$33)+SUMPRODUCT(Oxides_max!$C12:$BB12,Factors!$C$33:$BB$33))/2),ABS(SUMPRODUCT(Oxides_max!$C12:$BB12,Factors!$C$33:$BB$33)-SUMPRODUCT(Oxides_min!$C12:$BB12,Factors!$C$33:$BB$33))/2)</f>
        <v>0</v>
      </c>
      <c r="AA12" s="20">
        <f>MIN(MAX(0,(SUMPRODUCT(Oxides_min!$C12:$BB12,Factors!$C$34:$BB$34)+SUMPRODUCT(Oxides_max!$C12:$BB12,Factors!$C$34:$BB$34))/2),ABS(SUMPRODUCT(Oxides_max!$C12:$BB12,Factors!$C$34:$BB$34)-SUMPRODUCT(Oxides_min!$C12:$BB12,Factors!$C$34:$BB$34))/2)</f>
        <v>0</v>
      </c>
      <c r="AB12" s="20">
        <f>MIN(MAX(0,(SUMPRODUCT(Oxides_min!$C12:$BB12,Factors!$C$35:$BB$35)+SUMPRODUCT(Oxides_max!$C12:$BB12,Factors!$C$35:$BB$35))/2),ABS(SUMPRODUCT(Oxides_max!$C12:$BB12,Factors!$C$35:$BB$35)-SUMPRODUCT(Oxides_min!$C12:$BB12,Factors!$C$35:$BB$35))/2)</f>
        <v>0</v>
      </c>
      <c r="AC12" s="20">
        <f>MIN(MAX(0,(SUMPRODUCT(Oxides_min!$C12:$BB12,Factors!$C$36:$BB$36)+SUMPRODUCT(Oxides_max!$C12:$BB12,Factors!$C$36:$BB$36))/2),ABS(SUMPRODUCT(Oxides_max!$C12:$BB12,Factors!$C$36:$BB$36)-SUMPRODUCT(Oxides_min!$C12:$BB12,Factors!$C$36:$BB$36))/2)</f>
        <v>0.34115180985707472</v>
      </c>
      <c r="AD12" s="20">
        <f>MIN(MAX(0,(SUMPRODUCT(Oxides_min!$C12:$BB12,Factors!$C$37:$BB$37)+SUMPRODUCT(Oxides_max!$C12:$BB12,Factors!$C$37:$BB$37))/2),ABS(SUMPRODUCT(Oxides_max!$C12:$BB12,Factors!$C$37:$BB$37)-SUMPRODUCT(Oxides_min!$C12:$BB12,Factors!$C$37:$BB$37))/2)</f>
        <v>0.11190674437968362</v>
      </c>
      <c r="AE12" s="20">
        <f>MIN(MAX(0,(SUMPRODUCT(Oxides_min!$C12:$BB12,Factors!$C$38:$BB$38)+SUMPRODUCT(Oxides_max!$C12:$BB12,Factors!$C$38:$BB$38))/2),ABS(SUMPRODUCT(Oxides_max!$C12:$BB12,Factors!$C$38:$BB$38)-SUMPRODUCT(Oxides_min!$C12:$BB12,Factors!$C$38:$BB$38))/2)</f>
        <v>1.1000000000000001</v>
      </c>
      <c r="AF12" s="20">
        <f>MIN(MAX(0,(SUMPRODUCT(Oxides_min!$C12:$BB12,Factors!$C$39:$BB$39)+SUMPRODUCT(Oxides_max!$C12:$BB12,Factors!$C$39:$BB$39))/2),ABS(SUMPRODUCT(Oxides_max!$C12:$BB12,Factors!$C$39:$BB$39)-SUMPRODUCT(Oxides_min!$C12:$BB12,Factors!$C$39:$BB$39))/2)</f>
        <v>0</v>
      </c>
      <c r="AG12" s="20">
        <f>MIN(MAX(0,(SUMPRODUCT(Oxides_min!$C12:$BB12,Factors!$C$40:$BB$40)+SUMPRODUCT(Oxides_max!$C12:$BB12,Factors!$C$40:$BB$40))/2),ABS(SUMPRODUCT(Oxides_max!$C12:$BB12,Factors!$C$40:$BB$40)-SUMPRODUCT(Oxides_min!$C12:$BB12,Factors!$C$40:$BB$40))/2)</f>
        <v>0.65910888186711114</v>
      </c>
      <c r="AH12" s="20">
        <f>MIN(MAX(0,(SUMPRODUCT(Oxides_min!$C12:$BB12,Factors!$C$41:$BB$41)+SUMPRODUCT(Oxides_max!$C12:$BB12,Factors!$C$41:$BB$41))/2),ABS(SUMPRODUCT(Oxides_max!$C12:$BB12,Factors!$C$41:$BB$41)-SUMPRODUCT(Oxides_min!$C12:$BB12,Factors!$C$41:$BB$41))/2)</f>
        <v>0</v>
      </c>
      <c r="AI12" s="20">
        <f>MIN(MAX(0,(SUMPRODUCT(Oxides_min!$C12:$BB12,Factors!$C$42:$BB$42)+SUMPRODUCT(Oxides_max!$C12:$BB12,Factors!$C$42:$BB$42))/2),ABS(SUMPRODUCT(Oxides_max!$C12:$BB12,Factors!$C$42:$BB$42)-SUMPRODUCT(Oxides_min!$C12:$BB12,Factors!$C$42:$BB$42))/2)</f>
        <v>0</v>
      </c>
      <c r="AJ12" s="20">
        <f>MIN(MAX(0,(SUMPRODUCT(Oxides_min!$C12:$BB12,Factors!$C$43:$BB$43)+SUMPRODUCT(Oxides_max!$C12:$BB12,Factors!$C$43:$BB$43))/2),ABS(SUMPRODUCT(Oxides_max!$C12:$BB12,Factors!$C$43:$BB$43)-SUMPRODUCT(Oxides_min!$C12:$BB12,Factors!$C$43:$BB$43))/2)</f>
        <v>0.19686098869184304</v>
      </c>
      <c r="AK12" s="20">
        <f>MIN(MAX(0,(SUMPRODUCT(Oxides_min!$C12:$BB12,Factors!$C$44:$BB$44)+SUMPRODUCT(Oxides_max!$C12:$BB12,Factors!$C$44:$BB$44))/2),ABS(SUMPRODUCT(Oxides_max!$C12:$BB12,Factors!$C$44:$BB$44)-SUMPRODUCT(Oxides_min!$C12:$BB12,Factors!$C$44:$BB$44))/2)</f>
        <v>5.1160988894254693</v>
      </c>
      <c r="AL12" s="20">
        <f>MIN(MAX(0,(SUMPRODUCT(Oxides_min!$C12:$BB12,Factors!$C$45:$BB$45)+SUMPRODUCT(Oxides_max!$C12:$BB12,Factors!$C$45:$BB$45))/2),ABS(SUMPRODUCT(Oxides_max!$C12:$BB12,Factors!$C$45:$BB$45)-SUMPRODUCT(Oxides_min!$C12:$BB12,Factors!$C$45:$BB$45))/2)</f>
        <v>3.8419639946500768</v>
      </c>
      <c r="AM12" s="20">
        <f>MIN(MAX(0,(SUMPRODUCT(Oxides_min!$C12:$BB12,Factors!$C$46:$BB$46)+SUMPRODUCT(Oxides_max!$C12:$BB12,Factors!$C$46:$BB$46))/2),ABS(SUMPRODUCT(Oxides_max!$C12:$BB12,Factors!$C$46:$BB$46)-SUMPRODUCT(Oxides_min!$C12:$BB12,Factors!$C$46:$BB$46))/2)</f>
        <v>0.854471779586645</v>
      </c>
      <c r="AN12" s="20">
        <f>MIN(MAX(0,(SUMPRODUCT(Oxides_min!$C12:$BB12,Factors!$C$47:$BB$47)+SUMPRODUCT(Oxides_max!$C12:$BB12,Factors!$C$47:$BB$47))/2),ABS(SUMPRODUCT(Oxides_max!$C12:$BB12,Factors!$C$47:$BB$47)-SUMPRODUCT(Oxides_min!$C12:$BB12,Factors!$C$47:$BB$47))/2)</f>
        <v>3.0007459559380765</v>
      </c>
      <c r="AO12" s="20">
        <f>MIN(MAX(0,(SUMPRODUCT(Oxides_min!$C12:$BB12,Factors!$C$48:$BB$48)+SUMPRODUCT(Oxides_max!$C12:$BB12,Factors!$C$48:$BB$48))/2),ABS(SUMPRODUCT(Oxides_max!$C12:$BB12,Factors!$C$48:$BB$48)-SUMPRODUCT(Oxides_min!$C12:$BB12,Factors!$C$48:$BB$48))/2)</f>
        <v>0.43118058482953225</v>
      </c>
      <c r="AP12" s="20">
        <f>MIN(MAX(0,(SUMPRODUCT(Oxides_min!$C12:$BB12,Factors!$C$49:$BB$49)+SUMPRODUCT(Oxides_max!$C12:$BB12,Factors!$C$49:$BB$49))/2),ABS(SUMPRODUCT(Oxides_max!$C12:$BB12,Factors!$C$49:$BB$49)-SUMPRODUCT(Oxides_min!$C12:$BB12,Factors!$C$49:$BB$49))/2)</f>
        <v>0</v>
      </c>
      <c r="AQ12" s="20">
        <f>MIN(MAX(0,(SUMPRODUCT(Oxides_min!$C12:$BB12,Factors!$C$50:$BB$50)+SUMPRODUCT(Oxides_max!$C12:$BB12,Factors!$C$50:$BB$50))/2),ABS(SUMPRODUCT(Oxides_max!$C12:$BB12,Factors!$C$50:$BB$50)-SUMPRODUCT(Oxides_min!$C12:$BB12,Factors!$C$50:$BB$50))/2)</f>
        <v>0.21689834674493857</v>
      </c>
      <c r="AR12" s="20">
        <f>MIN(MAX(0,(SUMPRODUCT(Oxides_min!$C12:$BB12,Factors!$C$51:$BB$51)+SUMPRODUCT(Oxides_max!$C12:$BB12,Factors!$C$51:$BB$51))/2),ABS(SUMPRODUCT(Oxides_max!$C12:$BB12,Factors!$C$51:$BB$51)-SUMPRODUCT(Oxides_min!$C12:$BB12,Factors!$C$51:$BB$51))/2)</f>
        <v>0</v>
      </c>
      <c r="AS12" s="20">
        <f>MIN(MAX(0,(SUMPRODUCT(Oxides_min!$C12:$BB12,Factors!$C$52:$BB$52)+SUMPRODUCT(Oxides_max!$C12:$BB12,Factors!$C$52:$BB$52))/2),ABS(SUMPRODUCT(Oxides_max!$C12:$BB12,Factors!$C$52:$BB$52)-SUMPRODUCT(Oxides_min!$C12:$BB12,Factors!$C$52:$BB$52))/2)</f>
        <v>0</v>
      </c>
      <c r="AT12" s="20">
        <f>MIN(MAX(0,(SUMPRODUCT(Oxides_min!$C12:$BB12,Factors!$C$53:$BB$53)+SUMPRODUCT(Oxides_max!$C12:$BB12,Factors!$C$53:$BB$53))/2),ABS(SUMPRODUCT(Oxides_max!$C12:$BB12,Factors!$C$53:$BB$53)-SUMPRODUCT(Oxides_min!$C12:$BB12,Factors!$C$53:$BB$53))/2)</f>
        <v>0</v>
      </c>
      <c r="AU12" s="20">
        <f>MIN(MAX(0,(SUMPRODUCT(Oxides_min!$C12:$BB12,Factors!$C$54:$BB$54)+SUMPRODUCT(Oxides_max!$C12:$BB12,Factors!$C$54:$BB$54))/2),ABS(SUMPRODUCT(Oxides_max!$C12:$BB12,Factors!$C$54:$BB$54)-SUMPRODUCT(Oxides_min!$C12:$BB12,Factors!$C$54:$BB$54))/2)</f>
        <v>0</v>
      </c>
      <c r="AV12" s="20">
        <f>MIN(MAX(0,(SUMPRODUCT(Oxides_min!$C12:$BB12,Factors!$C$55:$BB$55)+SUMPRODUCT(Oxides_max!$C12:$BB12,Factors!$C$55:$BB$55))/2),ABS(SUMPRODUCT(Oxides_max!$C12:$BB12,Factors!$C$55:$BB$55)-SUMPRODUCT(Oxides_min!$C12:$BB12,Factors!$C$55:$BB$55))/2)</f>
        <v>0</v>
      </c>
      <c r="AW12" s="20">
        <f>MIN(MAX(0,(SUMPRODUCT(Oxides_min!$C12:$BB12,Factors!$C$56:$BB$56)+SUMPRODUCT(Oxides_max!$C12:$BB12,Factors!$C$56:$BB$56))/2),ABS(SUMPRODUCT(Oxides_max!$C12:$BB12,Factors!$C$56:$BB$56)-SUMPRODUCT(Oxides_min!$C12:$BB12,Factors!$C$56:$BB$56))/2)</f>
        <v>0</v>
      </c>
      <c r="AX12" s="20">
        <f>MIN(MAX(0,(SUMPRODUCT(Oxides_min!$C12:$BB12,Factors!$C$57:$BB$57)+SUMPRODUCT(Oxides_max!$C12:$BB12,Factors!$C$57:$BB$57))/2),ABS(SUMPRODUCT(Oxides_max!$C12:$BB12,Factors!$C$57:$BB$57)-SUMPRODUCT(Oxides_min!$C12:$BB12,Factors!$C$57:$BB$57))/2)</f>
        <v>0</v>
      </c>
      <c r="AY12" s="20">
        <f>MIN(MAX(0,(SUMPRODUCT(Oxides_min!$C12:$BB12,Factors!$C$58:$BB$58)+SUMPRODUCT(Oxides_max!$C12:$BB12,Factors!$C$58:$BB$58))/2),ABS(SUMPRODUCT(Oxides_max!$C12:$BB12,Factors!$C$58:$BB$58)-SUMPRODUCT(Oxides_min!$C12:$BB12,Factors!$C$58:$BB$58))/2)</f>
        <v>0</v>
      </c>
      <c r="AZ12" s="18">
        <f t="shared" si="0"/>
        <v>28.08683212612641</v>
      </c>
    </row>
    <row r="13" spans="1:52" x14ac:dyDescent="0.35">
      <c r="A13" s="13" t="s">
        <v>147</v>
      </c>
      <c r="B13" s="20">
        <f>MIN(MAX(0,(SUMPRODUCT(Oxides_min!$C13:$BB13,Factors!$C$9:$BB$9)+SUMPRODUCT(Oxides_max!$C13:$BB13,Factors!$C$9:$BB$9))/2),ABS(SUMPRODUCT(Oxides_max!$C13:$BB13,Factors!$C$9:$BB$9)-SUMPRODUCT(Oxides_min!$C13:$BB13,Factors!$C$9:$BB$9))/2)</f>
        <v>19.716404247406263</v>
      </c>
      <c r="C13" s="20">
        <f>MIN(MAX(0,(SUMPRODUCT(Oxides_min!$C13:$BB13,Factors!$C$10:$BB$10)+SUMPRODUCT(Oxides_max!$C13:$BB13,Factors!$C$10:$BB$10))/2),ABS(SUMPRODUCT(Oxides_max!$C13:$BB13,Factors!$C$10:$BB$10)-SUMPRODUCT(Oxides_min!$C13:$BB13,Factors!$C$10:$BB$10))/2)</f>
        <v>7.0115506882146352</v>
      </c>
      <c r="D13" s="20">
        <f>MIN(MAX(0,(SUMPRODUCT(Oxides_min!$C13:$BB13,Factors!$C$11:$BB$11)+SUMPRODUCT(Oxides_max!$C13:$BB13,Factors!$C$11:$BB$11))/2),ABS(SUMPRODUCT(Oxides_max!$C13:$BB13,Factors!$C$11:$BB$11)-SUMPRODUCT(Oxides_min!$C13:$BB13,Factors!$C$11:$BB$11))/2)</f>
        <v>0.23074932698929446</v>
      </c>
      <c r="E13" s="20">
        <f>MIN(MAX(0,(SUMPRODUCT(Oxides_min!$C13:$BB13,Factors!$C$12:$BB$12)+SUMPRODUCT(Oxides_max!$C13:$BB13,Factors!$C$12:$BB$12))/2),ABS(SUMPRODUCT(Oxides_max!$C13:$BB13,Factors!$C$12:$BB$12)-SUMPRODUCT(Oxides_min!$C13:$BB13,Factors!$C$12:$BB$12))/2)</f>
        <v>0</v>
      </c>
      <c r="F13" s="20">
        <f>MIN(MAX(0,(SUMPRODUCT(Oxides_min!$C13:$BB13,Factors!$C$13:$BB$13)+SUMPRODUCT(Oxides_max!$C13:$BB13,Factors!$C$13:$BB$13))/2),ABS(SUMPRODUCT(Oxides_max!$C13:$BB13,Factors!$C$13:$BB$13)-SUMPRODUCT(Oxides_min!$C13:$BB13,Factors!$C$13:$BB$13))/2)</f>
        <v>0</v>
      </c>
      <c r="G13" s="20">
        <f>MIN(MAX(0,(SUMPRODUCT(Oxides_min!$C13:$BB13,Factors!$C$14:$BB$14)+SUMPRODUCT(Oxides_max!$C13:$BB13,Factors!$C$14:$BB$14))/2),ABS(SUMPRODUCT(Oxides_max!$C13:$BB13,Factors!$C$14:$BB$14)-SUMPRODUCT(Oxides_min!$C13:$BB13,Factors!$C$14:$BB$14))/2)</f>
        <v>0</v>
      </c>
      <c r="H13" s="20">
        <f>MIN(MAX(0,(SUMPRODUCT(Oxides_min!$C13:$BB13,Factors!$C$15:$BB$15)+SUMPRODUCT(Oxides_max!$C13:$BB13,Factors!$C$15:$BB$15))/2),ABS(SUMPRODUCT(Oxides_max!$C13:$BB13,Factors!$C$15:$BB$15)-SUMPRODUCT(Oxides_min!$C13:$BB13,Factors!$C$15:$BB$15))/2)</f>
        <v>5.0279408037324256</v>
      </c>
      <c r="I13" s="20">
        <f>MIN(MAX(0,(SUMPRODUCT(Oxides_min!$C13:$BB13,Factors!$C$16:$BB$16)+SUMPRODUCT(Oxides_max!$C13:$BB13,Factors!$C$16:$BB$16))/2),ABS(SUMPRODUCT(Oxides_max!$C13:$BB13,Factors!$C$16:$BB$16)-SUMPRODUCT(Oxides_min!$C13:$BB13,Factors!$C$16:$BB$16))/2)</f>
        <v>2.2731499746378852</v>
      </c>
      <c r="J13" s="20">
        <f>MIN(MAX(0,(SUMPRODUCT(Oxides_min!$C13:$BB13,Factors!$C$17:$BB$17)+SUMPRODUCT(Oxides_max!$C13:$BB13,Factors!$C$17:$BB$17))/2),ABS(SUMPRODUCT(Oxides_max!$C13:$BB13,Factors!$C$17:$BB$17)-SUMPRODUCT(Oxides_min!$C13:$BB13,Factors!$C$17:$BB$17))/2)</f>
        <v>0.12778622774301113</v>
      </c>
      <c r="K13" s="20">
        <f>MIN(MAX(0,(SUMPRODUCT(Oxides_min!$C13:$BB13,Factors!$C$18:$BB$18)+SUMPRODUCT(Oxides_max!$C13:$BB13,Factors!$C$18:$BB$18))/2),ABS(SUMPRODUCT(Oxides_max!$C13:$BB13,Factors!$C$18:$BB$18)-SUMPRODUCT(Oxides_min!$C13:$BB13,Factors!$C$18:$BB$18))/2)</f>
        <v>0</v>
      </c>
      <c r="L13" s="20">
        <f>MIN(MAX(0,(SUMPRODUCT(Oxides_min!$C13:$BB13,Factors!$C$19:$BB$19)+SUMPRODUCT(Oxides_max!$C13:$BB13,Factors!$C$19:$BB$19))/2),ABS(SUMPRODUCT(Oxides_max!$C13:$BB13,Factors!$C$19:$BB$19)-SUMPRODUCT(Oxides_min!$C13:$BB13,Factors!$C$19:$BB$19))/2)</f>
        <v>0</v>
      </c>
      <c r="M13" s="20">
        <f>MIN(MAX(0,(SUMPRODUCT(Oxides_min!$C13:$BB13,Factors!$C$20:$BB$20)+SUMPRODUCT(Oxides_max!$C13:$BB13,Factors!$C$20:$BB$20))/2),ABS(SUMPRODUCT(Oxides_max!$C13:$BB13,Factors!$C$20:$BB$20)-SUMPRODUCT(Oxides_min!$C13:$BB13,Factors!$C$20:$BB$20))/2)</f>
        <v>0.3829315948789202</v>
      </c>
      <c r="N13" s="20">
        <f>MIN(MAX(0,(SUMPRODUCT(Oxides_min!$C13:$BB13,Factors!$C$21:$BB$21)+SUMPRODUCT(Oxides_max!$C13:$BB13,Factors!$C$21:$BB$21))/2),ABS(SUMPRODUCT(Oxides_max!$C13:$BB13,Factors!$C$21:$BB$21)-SUMPRODUCT(Oxides_min!$C13:$BB13,Factors!$C$21:$BB$21))/2)</f>
        <v>0.16795352818446063</v>
      </c>
      <c r="O13" s="20">
        <f>MIN(MAX(0,(SUMPRODUCT(Oxides_min!$C13:$BB13,Factors!$C$22:$BB$22)+SUMPRODUCT(Oxides_max!$C13:$BB13,Factors!$C$22:$BB$22))/2),ABS(SUMPRODUCT(Oxides_max!$C13:$BB13,Factors!$C$22:$BB$22)-SUMPRODUCT(Oxides_min!$C13:$BB13,Factors!$C$22:$BB$22))/2)</f>
        <v>0</v>
      </c>
      <c r="P13" s="20">
        <f>MIN(MAX(0,(SUMPRODUCT(Oxides_min!$C13:$BB13,Factors!$C$23:$BB$23)+SUMPRODUCT(Oxides_max!$C13:$BB13,Factors!$C$23:$BB$23))/2),ABS(SUMPRODUCT(Oxides_max!$C13:$BB13,Factors!$C$23:$BB$23)-SUMPRODUCT(Oxides_min!$C13:$BB13,Factors!$C$23:$BB$23))/2)</f>
        <v>0</v>
      </c>
      <c r="Q13" s="20">
        <f>MIN(MAX(0,(SUMPRODUCT(Oxides_min!$C13:$BB13,Factors!$C$24:$BB$24)+SUMPRODUCT(Oxides_max!$C13:$BB13,Factors!$C$24:$BB$24))/2),ABS(SUMPRODUCT(Oxides_max!$C13:$BB13,Factors!$C$24:$BB$24)-SUMPRODUCT(Oxides_min!$C13:$BB13,Factors!$C$24:$BB$24))/2)</f>
        <v>0</v>
      </c>
      <c r="R13" s="20">
        <f>MIN(MAX(0,(SUMPRODUCT(Oxides_min!$C13:$BB13,Factors!$C$25:$BB$25)+SUMPRODUCT(Oxides_max!$C13:$BB13,Factors!$C$25:$BB$25))/2),ABS(SUMPRODUCT(Oxides_max!$C13:$BB13,Factors!$C$25:$BB$25)-SUMPRODUCT(Oxides_min!$C13:$BB13,Factors!$C$25:$BB$25))/2)</f>
        <v>0.9161998885570366</v>
      </c>
      <c r="S13" s="20">
        <f>MIN(MAX(0,(SUMPRODUCT(Oxides_min!$C13:$BB13,Factors!$C$26:$BB$26)+SUMPRODUCT(Oxides_max!$C13:$BB13,Factors!$C$26:$BB$26))/2),ABS(SUMPRODUCT(Oxides_max!$C13:$BB13,Factors!$C$26:$BB$26)-SUMPRODUCT(Oxides_min!$C13:$BB13,Factors!$C$26:$BB$26))/2)</f>
        <v>2.282916081005907</v>
      </c>
      <c r="T13" s="20">
        <f>MIN(MAX(0,(SUMPRODUCT(Oxides_min!$C13:$BB13,Factors!$C$27:$BB$27)+SUMPRODUCT(Oxides_max!$C13:$BB13,Factors!$C$27:$BB$27))/2),ABS(SUMPRODUCT(Oxides_max!$C13:$BB13,Factors!$C$27:$BB$27)-SUMPRODUCT(Oxides_min!$C13:$BB13,Factors!$C$27:$BB$27))/2)</f>
        <v>0</v>
      </c>
      <c r="U13" s="20">
        <f>MIN(MAX(0,(SUMPRODUCT(Oxides_min!$C13:$BB13,Factors!$C$28:$BB$28)+SUMPRODUCT(Oxides_max!$C13:$BB13,Factors!$C$28:$BB$28))/2),ABS(SUMPRODUCT(Oxides_max!$C13:$BB13,Factors!$C$28:$BB$28)-SUMPRODUCT(Oxides_min!$C13:$BB13,Factors!$C$28:$BB$28))/2)</f>
        <v>0</v>
      </c>
      <c r="V13" s="20">
        <f>MIN(MAX(0,(SUMPRODUCT(Oxides_min!$C13:$BB13,Factors!$C$29:$BB$29)+SUMPRODUCT(Oxides_max!$C13:$BB13,Factors!$C$29:$BB$29))/2),ABS(SUMPRODUCT(Oxides_max!$C13:$BB13,Factors!$C$29:$BB$29)-SUMPRODUCT(Oxides_min!$C13:$BB13,Factors!$C$29:$BB$29))/2)</f>
        <v>0</v>
      </c>
      <c r="W13" s="20">
        <f>MIN(MAX(0,(SUMPRODUCT(Oxides_min!$C13:$BB13,Factors!$C$30:$BB$30)+SUMPRODUCT(Oxides_max!$C13:$BB13,Factors!$C$30:$BB$30))/2),ABS(SUMPRODUCT(Oxides_max!$C13:$BB13,Factors!$C$30:$BB$30)-SUMPRODUCT(Oxides_min!$C13:$BB13,Factors!$C$30:$BB$30))/2)</f>
        <v>0</v>
      </c>
      <c r="X13" s="20">
        <f>MIN(MAX(0,(SUMPRODUCT(Oxides_min!$C13:$BB13,Factors!$C$31:$BB$31)+SUMPRODUCT(Oxides_max!$C13:$BB13,Factors!$C$31:$BB$31))/2),ABS(SUMPRODUCT(Oxides_max!$C13:$BB13,Factors!$C$31:$BB$31)-SUMPRODUCT(Oxides_min!$C13:$BB13,Factors!$C$31:$BB$31))/2)</f>
        <v>0</v>
      </c>
      <c r="Y13" s="20">
        <f>MIN(MAX(0,(SUMPRODUCT(Oxides_min!$C13:$BB13,Factors!$C$32:$BB$32)+SUMPRODUCT(Oxides_max!$C13:$BB13,Factors!$C$32:$BB$32))/2),ABS(SUMPRODUCT(Oxides_max!$C13:$BB13,Factors!$C$32:$BB$32)-SUMPRODUCT(Oxides_min!$C13:$BB13,Factors!$C$32:$BB$32))/2)</f>
        <v>0</v>
      </c>
      <c r="Z13" s="20">
        <f>MIN(MAX(0,(SUMPRODUCT(Oxides_min!$C13:$BB13,Factors!$C$33:$BB$33)+SUMPRODUCT(Oxides_max!$C13:$BB13,Factors!$C$33:$BB$33))/2),ABS(SUMPRODUCT(Oxides_max!$C13:$BB13,Factors!$C$33:$BB$33)-SUMPRODUCT(Oxides_min!$C13:$BB13,Factors!$C$33:$BB$33))/2)</f>
        <v>1.5274938607693772E-2</v>
      </c>
      <c r="AA13" s="20">
        <f>MIN(MAX(0,(SUMPRODUCT(Oxides_min!$C13:$BB13,Factors!$C$34:$BB$34)+SUMPRODUCT(Oxides_max!$C13:$BB13,Factors!$C$34:$BB$34))/2),ABS(SUMPRODUCT(Oxides_max!$C13:$BB13,Factors!$C$34:$BB$34)-SUMPRODUCT(Oxides_min!$C13:$BB13,Factors!$C$34:$BB$34))/2)</f>
        <v>0</v>
      </c>
      <c r="AB13" s="20">
        <f>MIN(MAX(0,(SUMPRODUCT(Oxides_min!$C13:$BB13,Factors!$C$35:$BB$35)+SUMPRODUCT(Oxides_max!$C13:$BB13,Factors!$C$35:$BB$35))/2),ABS(SUMPRODUCT(Oxides_max!$C13:$BB13,Factors!$C$35:$BB$35)-SUMPRODUCT(Oxides_min!$C13:$BB13,Factors!$C$35:$BB$35))/2)</f>
        <v>0</v>
      </c>
      <c r="AC13" s="20">
        <f>MIN(MAX(0,(SUMPRODUCT(Oxides_min!$C13:$BB13,Factors!$C$36:$BB$36)+SUMPRODUCT(Oxides_max!$C13:$BB13,Factors!$C$36:$BB$36))/2),ABS(SUMPRODUCT(Oxides_max!$C13:$BB13,Factors!$C$36:$BB$36)-SUMPRODUCT(Oxides_min!$C13:$BB13,Factors!$C$36:$BB$36))/2)</f>
        <v>0</v>
      </c>
      <c r="AD13" s="20">
        <f>MIN(MAX(0,(SUMPRODUCT(Oxides_min!$C13:$BB13,Factors!$C$37:$BB$37)+SUMPRODUCT(Oxides_max!$C13:$BB13,Factors!$C$37:$BB$37))/2),ABS(SUMPRODUCT(Oxides_max!$C13:$BB13,Factors!$C$37:$BB$37)-SUMPRODUCT(Oxides_min!$C13:$BB13,Factors!$C$37:$BB$37))/2)</f>
        <v>0.61548709408825975</v>
      </c>
      <c r="AE13" s="20">
        <f>MIN(MAX(0,(SUMPRODUCT(Oxides_min!$C13:$BB13,Factors!$C$38:$BB$38)+SUMPRODUCT(Oxides_max!$C13:$BB13,Factors!$C$38:$BB$38))/2),ABS(SUMPRODUCT(Oxides_max!$C13:$BB13,Factors!$C$38:$BB$38)-SUMPRODUCT(Oxides_min!$C13:$BB13,Factors!$C$38:$BB$38))/2)</f>
        <v>0</v>
      </c>
      <c r="AF13" s="20">
        <f>MIN(MAX(0,(SUMPRODUCT(Oxides_min!$C13:$BB13,Factors!$C$39:$BB$39)+SUMPRODUCT(Oxides_max!$C13:$BB13,Factors!$C$39:$BB$39))/2),ABS(SUMPRODUCT(Oxides_max!$C13:$BB13,Factors!$C$39:$BB$39)-SUMPRODUCT(Oxides_min!$C13:$BB13,Factors!$C$39:$BB$39))/2)</f>
        <v>0</v>
      </c>
      <c r="AG13" s="20">
        <f>MIN(MAX(0,(SUMPRODUCT(Oxides_min!$C13:$BB13,Factors!$C$40:$BB$40)+SUMPRODUCT(Oxides_max!$C13:$BB13,Factors!$C$40:$BB$40))/2),ABS(SUMPRODUCT(Oxides_max!$C13:$BB13,Factors!$C$40:$BB$40)-SUMPRODUCT(Oxides_min!$C13:$BB13,Factors!$C$40:$BB$40))/2)</f>
        <v>0</v>
      </c>
      <c r="AH13" s="20">
        <f>MIN(MAX(0,(SUMPRODUCT(Oxides_min!$C13:$BB13,Factors!$C$41:$BB$41)+SUMPRODUCT(Oxides_max!$C13:$BB13,Factors!$C$41:$BB$41))/2),ABS(SUMPRODUCT(Oxides_max!$C13:$BB13,Factors!$C$41:$BB$41)-SUMPRODUCT(Oxides_min!$C13:$BB13,Factors!$C$41:$BB$41))/2)</f>
        <v>0</v>
      </c>
      <c r="AI13" s="20">
        <f>MIN(MAX(0,(SUMPRODUCT(Oxides_min!$C13:$BB13,Factors!$C$42:$BB$42)+SUMPRODUCT(Oxides_max!$C13:$BB13,Factors!$C$42:$BB$42))/2),ABS(SUMPRODUCT(Oxides_max!$C13:$BB13,Factors!$C$42:$BB$42)-SUMPRODUCT(Oxides_min!$C13:$BB13,Factors!$C$42:$BB$42))/2)</f>
        <v>0</v>
      </c>
      <c r="AJ13" s="20">
        <f>MIN(MAX(0,(SUMPRODUCT(Oxides_min!$C13:$BB13,Factors!$C$43:$BB$43)+SUMPRODUCT(Oxides_max!$C13:$BB13,Factors!$C$43:$BB$43))/2),ABS(SUMPRODUCT(Oxides_max!$C13:$BB13,Factors!$C$43:$BB$43)-SUMPRODUCT(Oxides_min!$C13:$BB13,Factors!$C$43:$BB$43))/2)</f>
        <v>0.12795964264969797</v>
      </c>
      <c r="AK13" s="20">
        <f>MIN(MAX(0,(SUMPRODUCT(Oxides_min!$C13:$BB13,Factors!$C$44:$BB$44)+SUMPRODUCT(Oxides_max!$C13:$BB13,Factors!$C$44:$BB$44))/2),ABS(SUMPRODUCT(Oxides_max!$C13:$BB13,Factors!$C$44:$BB$44)-SUMPRODUCT(Oxides_min!$C13:$BB13,Factors!$C$44:$BB$44))/2)</f>
        <v>9.3411438889426684E-2</v>
      </c>
      <c r="AL13" s="20">
        <f>MIN(MAX(0,(SUMPRODUCT(Oxides_min!$C13:$BB13,Factors!$C$45:$BB$45)+SUMPRODUCT(Oxides_max!$C13:$BB13,Factors!$C$45:$BB$45))/2),ABS(SUMPRODUCT(Oxides_max!$C13:$BB13,Factors!$C$45:$BB$45)-SUMPRODUCT(Oxides_min!$C13:$BB13,Factors!$C$45:$BB$45))/2)</f>
        <v>2.1258867437063757E-2</v>
      </c>
      <c r="AM13" s="20">
        <f>MIN(MAX(0,(SUMPRODUCT(Oxides_min!$C13:$BB13,Factors!$C$46:$BB$46)+SUMPRODUCT(Oxides_max!$C13:$BB13,Factors!$C$46:$BB$46))/2),ABS(SUMPRODUCT(Oxides_max!$C13:$BB13,Factors!$C$46:$BB$46)-SUMPRODUCT(Oxides_min!$C13:$BB13,Factors!$C$46:$BB$46))/2)</f>
        <v>1.9097444273761512E-2</v>
      </c>
      <c r="AN13" s="20">
        <f>MIN(MAX(0,(SUMPRODUCT(Oxides_min!$C13:$BB13,Factors!$C$47:$BB$47)+SUMPRODUCT(Oxides_max!$C13:$BB13,Factors!$C$47:$BB$47))/2),ABS(SUMPRODUCT(Oxides_max!$C13:$BB13,Factors!$C$47:$BB$47)-SUMPRODUCT(Oxides_min!$C13:$BB13,Factors!$C$47:$BB$47))/2)</f>
        <v>6.7945462002312162E-2</v>
      </c>
      <c r="AO13" s="20">
        <f>MIN(MAX(0,(SUMPRODUCT(Oxides_min!$C13:$BB13,Factors!$C$48:$BB$48)+SUMPRODUCT(Oxides_max!$C13:$BB13,Factors!$C$48:$BB$48))/2),ABS(SUMPRODUCT(Oxides_max!$C13:$BB13,Factors!$C$48:$BB$48)-SUMPRODUCT(Oxides_min!$C13:$BB13,Factors!$C$48:$BB$48))/2)</f>
        <v>8.1924311117611143E-3</v>
      </c>
      <c r="AP13" s="20">
        <f>MIN(MAX(0,(SUMPRODUCT(Oxides_min!$C13:$BB13,Factors!$C$49:$BB$49)+SUMPRODUCT(Oxides_max!$C13:$BB13,Factors!$C$49:$BB$49))/2),ABS(SUMPRODUCT(Oxides_max!$C13:$BB13,Factors!$C$49:$BB$49)-SUMPRODUCT(Oxides_min!$C13:$BB13,Factors!$C$49:$BB$49))/2)</f>
        <v>1.0579293883639978E-3</v>
      </c>
      <c r="AQ13" s="20">
        <f>MIN(MAX(0,(SUMPRODUCT(Oxides_min!$C13:$BB13,Factors!$C$50:$BB$50)+SUMPRODUCT(Oxides_max!$C13:$BB13,Factors!$C$50:$BB$50))/2),ABS(SUMPRODUCT(Oxides_max!$C13:$BB13,Factors!$C$50:$BB$50)-SUMPRODUCT(Oxides_min!$C13:$BB13,Factors!$C$50:$BB$50))/2)</f>
        <v>1.4532189231910887E-2</v>
      </c>
      <c r="AR13" s="20">
        <f>MIN(MAX(0,(SUMPRODUCT(Oxides_min!$C13:$BB13,Factors!$C$51:$BB$51)+SUMPRODUCT(Oxides_max!$C13:$BB13,Factors!$C$51:$BB$51))/2),ABS(SUMPRODUCT(Oxides_max!$C13:$BB13,Factors!$C$51:$BB$51)-SUMPRODUCT(Oxides_min!$C13:$BB13,Factors!$C$51:$BB$51))/2)</f>
        <v>2.8236197056862732E-3</v>
      </c>
      <c r="AS13" s="20">
        <f>MIN(MAX(0,(SUMPRODUCT(Oxides_min!$C13:$BB13,Factors!$C$52:$BB$52)+SUMPRODUCT(Oxides_max!$C13:$BB13,Factors!$C$52:$BB$52))/2),ABS(SUMPRODUCT(Oxides_max!$C13:$BB13,Factors!$C$52:$BB$52)-SUMPRODUCT(Oxides_min!$C13:$BB13,Factors!$C$52:$BB$52))/2)</f>
        <v>1.4812451574677544E-2</v>
      </c>
      <c r="AT13" s="20">
        <f>MIN(MAX(0,(SUMPRODUCT(Oxides_min!$C13:$BB13,Factors!$C$53:$BB$53)+SUMPRODUCT(Oxides_max!$C13:$BB13,Factors!$C$53:$BB$53))/2),ABS(SUMPRODUCT(Oxides_max!$C13:$BB13,Factors!$C$53:$BB$53)-SUMPRODUCT(Oxides_min!$C13:$BB13,Factors!$C$53:$BB$53))/2)</f>
        <v>3.4919039090010773E-3</v>
      </c>
      <c r="AU13" s="20">
        <f>MIN(MAX(0,(SUMPRODUCT(Oxides_min!$C13:$BB13,Factors!$C$54:$BB$54)+SUMPRODUCT(Oxides_max!$C13:$BB13,Factors!$C$54:$BB$54))/2),ABS(SUMPRODUCT(Oxides_max!$C13:$BB13,Factors!$C$54:$BB$54)-SUMPRODUCT(Oxides_min!$C13:$BB13,Factors!$C$54:$BB$54))/2)</f>
        <v>1.0931532096780518E-2</v>
      </c>
      <c r="AV13" s="20">
        <f>MIN(MAX(0,(SUMPRODUCT(Oxides_min!$C13:$BB13,Factors!$C$55:$BB$55)+SUMPRODUCT(Oxides_max!$C13:$BB13,Factors!$C$55:$BB$55))/2),ABS(SUMPRODUCT(Oxides_max!$C13:$BB13,Factors!$C$55:$BB$55)-SUMPRODUCT(Oxides_min!$C13:$BB13,Factors!$C$55:$BB$55))/2)</f>
        <v>1.5323211376483989E-3</v>
      </c>
      <c r="AW13" s="20">
        <f>MIN(MAX(0,(SUMPRODUCT(Oxides_min!$C13:$BB13,Factors!$C$56:$BB$56)+SUMPRODUCT(Oxides_max!$C13:$BB13,Factors!$C$56:$BB$56))/2),ABS(SUMPRODUCT(Oxides_max!$C13:$BB13,Factors!$C$56:$BB$56)-SUMPRODUCT(Oxides_min!$C13:$BB13,Factors!$C$56:$BB$56))/2)</f>
        <v>5.4009736428758124E-3</v>
      </c>
      <c r="AX13" s="20">
        <f>MIN(MAX(0,(SUMPRODUCT(Oxides_min!$C13:$BB13,Factors!$C$57:$BB$57)+SUMPRODUCT(Oxides_max!$C13:$BB13,Factors!$C$57:$BB$57))/2),ABS(SUMPRODUCT(Oxides_max!$C13:$BB13,Factors!$C$57:$BB$57)-SUMPRODUCT(Oxides_min!$C13:$BB13,Factors!$C$57:$BB$57))/2)</f>
        <v>8.5739890322583895E-4</v>
      </c>
      <c r="AY13" s="20">
        <f>MIN(MAX(0,(SUMPRODUCT(Oxides_min!$C13:$BB13,Factors!$C$58:$BB$58)+SUMPRODUCT(Oxides_max!$C13:$BB13,Factors!$C$58:$BB$58))/2),ABS(SUMPRODUCT(Oxides_max!$C13:$BB13,Factors!$C$58:$BB$58)-SUMPRODUCT(Oxides_min!$C13:$BB13,Factors!$C$58:$BB$58))/2)</f>
        <v>0</v>
      </c>
      <c r="AZ13" s="18">
        <f t="shared" si="0"/>
        <v>39.161649999999995</v>
      </c>
    </row>
    <row r="14" spans="1:52" x14ac:dyDescent="0.35">
      <c r="A14" s="13" t="s">
        <v>149</v>
      </c>
      <c r="B14" s="20">
        <f>MIN(MAX(0,(SUMPRODUCT(Oxides_min!$C14:$BB14,Factors!$C$9:$BB$9)+SUMPRODUCT(Oxides_max!$C14:$BB14,Factors!$C$9:$BB$9))/2),ABS(SUMPRODUCT(Oxides_max!$C14:$BB14,Factors!$C$9:$BB$9)-SUMPRODUCT(Oxides_min!$C14:$BB14,Factors!$C$9:$BB$9))/2)</f>
        <v>12.700488803935301</v>
      </c>
      <c r="C14" s="20">
        <f>MIN(MAX(0,(SUMPRODUCT(Oxides_min!$C14:$BB14,Factors!$C$10:$BB$10)+SUMPRODUCT(Oxides_max!$C14:$BB14,Factors!$C$10:$BB$10))/2),ABS(SUMPRODUCT(Oxides_max!$C14:$BB14,Factors!$C$10:$BB$10)-SUMPRODUCT(Oxides_min!$C14:$BB14,Factors!$C$10:$BB$10))/2)</f>
        <v>2.3371835627382125</v>
      </c>
      <c r="D14" s="20">
        <f>MIN(MAX(0,(SUMPRODUCT(Oxides_min!$C14:$BB14,Factors!$C$11:$BB$11)+SUMPRODUCT(Oxides_max!$C14:$BB14,Factors!$C$11:$BB$11))/2),ABS(SUMPRODUCT(Oxides_max!$C14:$BB14,Factors!$C$11:$BB$11)-SUMPRODUCT(Oxides_min!$C14:$BB14,Factors!$C$11:$BB$11))/2)</f>
        <v>0</v>
      </c>
      <c r="E14" s="20">
        <f>MIN(MAX(0,(SUMPRODUCT(Oxides_min!$C14:$BB14,Factors!$C$12:$BB$12)+SUMPRODUCT(Oxides_max!$C14:$BB14,Factors!$C$12:$BB$12))/2),ABS(SUMPRODUCT(Oxides_max!$C14:$BB14,Factors!$C$12:$BB$12)-SUMPRODUCT(Oxides_min!$C14:$BB14,Factors!$C$12:$BB$12))/2)</f>
        <v>0</v>
      </c>
      <c r="F14" s="20">
        <f>MIN(MAX(0,(SUMPRODUCT(Oxides_min!$C14:$BB14,Factors!$C$13:$BB$13)+SUMPRODUCT(Oxides_max!$C14:$BB14,Factors!$C$13:$BB$13))/2),ABS(SUMPRODUCT(Oxides_max!$C14:$BB14,Factors!$C$13:$BB$13)-SUMPRODUCT(Oxides_min!$C14:$BB14,Factors!$C$13:$BB$13))/2)</f>
        <v>0</v>
      </c>
      <c r="G14" s="20">
        <f>MIN(MAX(0,(SUMPRODUCT(Oxides_min!$C14:$BB14,Factors!$C$14:$BB$14)+SUMPRODUCT(Oxides_max!$C14:$BB14,Factors!$C$14:$BB$14))/2),ABS(SUMPRODUCT(Oxides_max!$C14:$BB14,Factors!$C$14:$BB$14)-SUMPRODUCT(Oxides_min!$C14:$BB14,Factors!$C$14:$BB$14))/2)</f>
        <v>0</v>
      </c>
      <c r="H14" s="20">
        <f>MIN(MAX(0,(SUMPRODUCT(Oxides_min!$C14:$BB14,Factors!$C$15:$BB$15)+SUMPRODUCT(Oxides_max!$C14:$BB14,Factors!$C$15:$BB$15))/2),ABS(SUMPRODUCT(Oxides_max!$C14:$BB14,Factors!$C$15:$BB$15)-SUMPRODUCT(Oxides_min!$C14:$BB14,Factors!$C$15:$BB$15))/2)</f>
        <v>0.1323142316771691</v>
      </c>
      <c r="I14" s="20">
        <f>MIN(MAX(0,(SUMPRODUCT(Oxides_min!$C14:$BB14,Factors!$C$16:$BB$16)+SUMPRODUCT(Oxides_max!$C14:$BB14,Factors!$C$16:$BB$16))/2),ABS(SUMPRODUCT(Oxides_max!$C14:$BB14,Factors!$C$16:$BB$16)-SUMPRODUCT(Oxides_min!$C14:$BB14,Factors!$C$16:$BB$16))/2)</f>
        <v>0.38865458493402372</v>
      </c>
      <c r="J14" s="20">
        <f>MIN(MAX(0,(SUMPRODUCT(Oxides_min!$C14:$BB14,Factors!$C$17:$BB$17)+SUMPRODUCT(Oxides_max!$C14:$BB14,Factors!$C$17:$BB$17))/2),ABS(SUMPRODUCT(Oxides_max!$C14:$BB14,Factors!$C$17:$BB$17)-SUMPRODUCT(Oxides_min!$C14:$BB14,Factors!$C$17:$BB$17))/2)</f>
        <v>0.19361549658031987</v>
      </c>
      <c r="K14" s="20">
        <f>MIN(MAX(0,(SUMPRODUCT(Oxides_min!$C14:$BB14,Factors!$C$18:$BB$18)+SUMPRODUCT(Oxides_max!$C14:$BB14,Factors!$C$18:$BB$18))/2),ABS(SUMPRODUCT(Oxides_max!$C14:$BB14,Factors!$C$18:$BB$18)-SUMPRODUCT(Oxides_min!$C14:$BB14,Factors!$C$18:$BB$18))/2)</f>
        <v>0</v>
      </c>
      <c r="L14" s="20">
        <f>MIN(MAX(0,(SUMPRODUCT(Oxides_min!$C14:$BB14,Factors!$C$19:$BB$19)+SUMPRODUCT(Oxides_max!$C14:$BB14,Factors!$C$19:$BB$19))/2),ABS(SUMPRODUCT(Oxides_max!$C14:$BB14,Factors!$C$19:$BB$19)-SUMPRODUCT(Oxides_min!$C14:$BB14,Factors!$C$19:$BB$19))/2)</f>
        <v>0</v>
      </c>
      <c r="M14" s="20">
        <f>MIN(MAX(0,(SUMPRODUCT(Oxides_min!$C14:$BB14,Factors!$C$20:$BB$20)+SUMPRODUCT(Oxides_max!$C14:$BB14,Factors!$C$20:$BB$20))/2),ABS(SUMPRODUCT(Oxides_max!$C14:$BB14,Factors!$C$20:$BB$20)-SUMPRODUCT(Oxides_min!$C14:$BB14,Factors!$C$20:$BB$20))/2)</f>
        <v>0</v>
      </c>
      <c r="N14" s="20">
        <f>MIN(MAX(0,(SUMPRODUCT(Oxides_min!$C14:$BB14,Factors!$C$21:$BB$21)+SUMPRODUCT(Oxides_max!$C14:$BB14,Factors!$C$21:$BB$21))/2),ABS(SUMPRODUCT(Oxides_max!$C14:$BB14,Factors!$C$21:$BB$21)-SUMPRODUCT(Oxides_min!$C14:$BB14,Factors!$C$21:$BB$21))/2)</f>
        <v>4.2881751876883563</v>
      </c>
      <c r="O14" s="20">
        <f>MIN(MAX(0,(SUMPRODUCT(Oxides_min!$C14:$BB14,Factors!$C$22:$BB$22)+SUMPRODUCT(Oxides_max!$C14:$BB14,Factors!$C$22:$BB$22))/2),ABS(SUMPRODUCT(Oxides_max!$C14:$BB14,Factors!$C$22:$BB$22)-SUMPRODUCT(Oxides_min!$C14:$BB14,Factors!$C$22:$BB$22))/2)</f>
        <v>1.268396722608788</v>
      </c>
      <c r="P14" s="20">
        <f>MIN(MAX(0,(SUMPRODUCT(Oxides_min!$C14:$BB14,Factors!$C$23:$BB$23)+SUMPRODUCT(Oxides_max!$C14:$BB14,Factors!$C$23:$BB$23))/2),ABS(SUMPRODUCT(Oxides_max!$C14:$BB14,Factors!$C$23:$BB$23)-SUMPRODUCT(Oxides_min!$C14:$BB14,Factors!$C$23:$BB$23))/2)</f>
        <v>0</v>
      </c>
      <c r="Q14" s="20">
        <f>MIN(MAX(0,(SUMPRODUCT(Oxides_min!$C14:$BB14,Factors!$C$24:$BB$24)+SUMPRODUCT(Oxides_max!$C14:$BB14,Factors!$C$24:$BB$24))/2),ABS(SUMPRODUCT(Oxides_max!$C14:$BB14,Factors!$C$24:$BB$24)-SUMPRODUCT(Oxides_min!$C14:$BB14,Factors!$C$24:$BB$24))/2)</f>
        <v>0</v>
      </c>
      <c r="R14" s="20">
        <f>MIN(MAX(0,(SUMPRODUCT(Oxides_min!$C14:$BB14,Factors!$C$25:$BB$25)+SUMPRODUCT(Oxides_max!$C14:$BB14,Factors!$C$25:$BB$25))/2),ABS(SUMPRODUCT(Oxides_max!$C14:$BB14,Factors!$C$25:$BB$25)-SUMPRODUCT(Oxides_min!$C14:$BB14,Factors!$C$25:$BB$25))/2)</f>
        <v>0.74186225794092031</v>
      </c>
      <c r="S14" s="20">
        <f>MIN(MAX(0,(SUMPRODUCT(Oxides_min!$C14:$BB14,Factors!$C$26:$BB$26)+SUMPRODUCT(Oxides_max!$C14:$BB14,Factors!$C$26:$BB$26))/2),ABS(SUMPRODUCT(Oxides_max!$C14:$BB14,Factors!$C$26:$BB$26)-SUMPRODUCT(Oxides_min!$C14:$BB14,Factors!$C$26:$BB$26))/2)</f>
        <v>0</v>
      </c>
      <c r="T14" s="20">
        <f>MIN(MAX(0,(SUMPRODUCT(Oxides_min!$C14:$BB14,Factors!$C$27:$BB$27)+SUMPRODUCT(Oxides_max!$C14:$BB14,Factors!$C$27:$BB$27))/2),ABS(SUMPRODUCT(Oxides_max!$C14:$BB14,Factors!$C$27:$BB$27)-SUMPRODUCT(Oxides_min!$C14:$BB14,Factors!$C$27:$BB$27))/2)</f>
        <v>0</v>
      </c>
      <c r="U14" s="20">
        <f>MIN(MAX(0,(SUMPRODUCT(Oxides_min!$C14:$BB14,Factors!$C$28:$BB$28)+SUMPRODUCT(Oxides_max!$C14:$BB14,Factors!$C$28:$BB$28))/2),ABS(SUMPRODUCT(Oxides_max!$C14:$BB14,Factors!$C$28:$BB$28)-SUMPRODUCT(Oxides_min!$C14:$BB14,Factors!$C$28:$BB$28))/2)</f>
        <v>0</v>
      </c>
      <c r="V14" s="20">
        <f>MIN(MAX(0,(SUMPRODUCT(Oxides_min!$C14:$BB14,Factors!$C$29:$BB$29)+SUMPRODUCT(Oxides_max!$C14:$BB14,Factors!$C$29:$BB$29))/2),ABS(SUMPRODUCT(Oxides_max!$C14:$BB14,Factors!$C$29:$BB$29)-SUMPRODUCT(Oxides_min!$C14:$BB14,Factors!$C$29:$BB$29))/2)</f>
        <v>0</v>
      </c>
      <c r="W14" s="20">
        <f>MIN(MAX(0,(SUMPRODUCT(Oxides_min!$C14:$BB14,Factors!$C$30:$BB$30)+SUMPRODUCT(Oxides_max!$C14:$BB14,Factors!$C$30:$BB$30))/2),ABS(SUMPRODUCT(Oxides_max!$C14:$BB14,Factors!$C$30:$BB$30)-SUMPRODUCT(Oxides_min!$C14:$BB14,Factors!$C$30:$BB$30))/2)</f>
        <v>0</v>
      </c>
      <c r="X14" s="20">
        <f>MIN(MAX(0,(SUMPRODUCT(Oxides_min!$C14:$BB14,Factors!$C$31:$BB$31)+SUMPRODUCT(Oxides_max!$C14:$BB14,Factors!$C$31:$BB$31))/2),ABS(SUMPRODUCT(Oxides_max!$C14:$BB14,Factors!$C$31:$BB$31)-SUMPRODUCT(Oxides_min!$C14:$BB14,Factors!$C$31:$BB$31))/2)</f>
        <v>0</v>
      </c>
      <c r="Y14" s="20">
        <f>MIN(MAX(0,(SUMPRODUCT(Oxides_min!$C14:$BB14,Factors!$C$32:$BB$32)+SUMPRODUCT(Oxides_max!$C14:$BB14,Factors!$C$32:$BB$32))/2),ABS(SUMPRODUCT(Oxides_max!$C14:$BB14,Factors!$C$32:$BB$32)-SUMPRODUCT(Oxides_min!$C14:$BB14,Factors!$C$32:$BB$32))/2)</f>
        <v>0</v>
      </c>
      <c r="Z14" s="20">
        <f>MIN(MAX(0,(SUMPRODUCT(Oxides_min!$C14:$BB14,Factors!$C$33:$BB$33)+SUMPRODUCT(Oxides_max!$C14:$BB14,Factors!$C$33:$BB$33))/2),ABS(SUMPRODUCT(Oxides_max!$C14:$BB14,Factors!$C$33:$BB$33)-SUMPRODUCT(Oxides_min!$C14:$BB14,Factors!$C$33:$BB$33))/2)</f>
        <v>2.1821340868133956</v>
      </c>
      <c r="AA14" s="20">
        <f>MIN(MAX(0,(SUMPRODUCT(Oxides_min!$C14:$BB14,Factors!$C$34:$BB$34)+SUMPRODUCT(Oxides_max!$C14:$BB14,Factors!$C$34:$BB$34))/2),ABS(SUMPRODUCT(Oxides_max!$C14:$BB14,Factors!$C$34:$BB$34)-SUMPRODUCT(Oxides_min!$C14:$BB14,Factors!$C$34:$BB$34))/2)</f>
        <v>0</v>
      </c>
      <c r="AB14" s="20">
        <f>MIN(MAX(0,(SUMPRODUCT(Oxides_min!$C14:$BB14,Factors!$C$35:$BB$35)+SUMPRODUCT(Oxides_max!$C14:$BB14,Factors!$C$35:$BB$35))/2),ABS(SUMPRODUCT(Oxides_max!$C14:$BB14,Factors!$C$35:$BB$35)-SUMPRODUCT(Oxides_min!$C14:$BB14,Factors!$C$35:$BB$35))/2)</f>
        <v>0</v>
      </c>
      <c r="AC14" s="20">
        <f>MIN(MAX(0,(SUMPRODUCT(Oxides_min!$C14:$BB14,Factors!$C$36:$BB$36)+SUMPRODUCT(Oxides_max!$C14:$BB14,Factors!$C$36:$BB$36))/2),ABS(SUMPRODUCT(Oxides_max!$C14:$BB14,Factors!$C$36:$BB$36)-SUMPRODUCT(Oxides_min!$C14:$BB14,Factors!$C$36:$BB$36))/2)</f>
        <v>0</v>
      </c>
      <c r="AD14" s="20">
        <f>MIN(MAX(0,(SUMPRODUCT(Oxides_min!$C14:$BB14,Factors!$C$37:$BB$37)+SUMPRODUCT(Oxides_max!$C14:$BB14,Factors!$C$37:$BB$37))/2),ABS(SUMPRODUCT(Oxides_max!$C14:$BB14,Factors!$C$37:$BB$37)-SUMPRODUCT(Oxides_min!$C14:$BB14,Factors!$C$37:$BB$37))/2)</f>
        <v>8.3930058284762687E-2</v>
      </c>
      <c r="AE14" s="20">
        <f>MIN(MAX(0,(SUMPRODUCT(Oxides_min!$C14:$BB14,Factors!$C$38:$BB$38)+SUMPRODUCT(Oxides_max!$C14:$BB14,Factors!$C$38:$BB$38))/2),ABS(SUMPRODUCT(Oxides_max!$C14:$BB14,Factors!$C$38:$BB$38)-SUMPRODUCT(Oxides_min!$C14:$BB14,Factors!$C$38:$BB$38))/2)</f>
        <v>1</v>
      </c>
      <c r="AF14" s="20">
        <f>MIN(MAX(0,(SUMPRODUCT(Oxides_min!$C14:$BB14,Factors!$C$39:$BB$39)+SUMPRODUCT(Oxides_max!$C14:$BB14,Factors!$C$39:$BB$39))/2),ABS(SUMPRODUCT(Oxides_max!$C14:$BB14,Factors!$C$39:$BB$39)-SUMPRODUCT(Oxides_min!$C14:$BB14,Factors!$C$39:$BB$39))/2)</f>
        <v>0.15</v>
      </c>
      <c r="AG14" s="20">
        <f>MIN(MAX(0,(SUMPRODUCT(Oxides_min!$C14:$BB14,Factors!$C$40:$BB$40)+SUMPRODUCT(Oxides_max!$C14:$BB14,Factors!$C$40:$BB$40))/2),ABS(SUMPRODUCT(Oxides_max!$C14:$BB14,Factors!$C$40:$BB$40)-SUMPRODUCT(Oxides_min!$C14:$BB14,Factors!$C$40:$BB$40))/2)</f>
        <v>4.1743562518250368</v>
      </c>
      <c r="AH14" s="20">
        <f>MIN(MAX(0,(SUMPRODUCT(Oxides_min!$C14:$BB14,Factors!$C$41:$BB$41)+SUMPRODUCT(Oxides_max!$C14:$BB14,Factors!$C$41:$BB$41))/2),ABS(SUMPRODUCT(Oxides_max!$C14:$BB14,Factors!$C$41:$BB$41)-SUMPRODUCT(Oxides_min!$C14:$BB14,Factors!$C$41:$BB$41))/2)</f>
        <v>0.66112552448939255</v>
      </c>
      <c r="AI14" s="20">
        <f>MIN(MAX(0,(SUMPRODUCT(Oxides_min!$C14:$BB14,Factors!$C$42:$BB$42)+SUMPRODUCT(Oxides_max!$C14:$BB14,Factors!$C$42:$BB$42))/2),ABS(SUMPRODUCT(Oxides_max!$C14:$BB14,Factors!$C$42:$BB$42)-SUMPRODUCT(Oxides_min!$C14:$BB14,Factors!$C$42:$BB$42))/2)</f>
        <v>0</v>
      </c>
      <c r="AJ14" s="20">
        <f>MIN(MAX(0,(SUMPRODUCT(Oxides_min!$C14:$BB14,Factors!$C$43:$BB$43)+SUMPRODUCT(Oxides_max!$C14:$BB14,Factors!$C$43:$BB$43))/2),ABS(SUMPRODUCT(Oxides_max!$C14:$BB14,Factors!$C$43:$BB$43)-SUMPRODUCT(Oxides_min!$C14:$BB14,Factors!$C$43:$BB$43))/2)</f>
        <v>1.9686098869184305</v>
      </c>
      <c r="AK14" s="20">
        <f>MIN(MAX(0,(SUMPRODUCT(Oxides_min!$C14:$BB14,Factors!$C$44:$BB$44)+SUMPRODUCT(Oxides_max!$C14:$BB14,Factors!$C$44:$BB$44))/2),ABS(SUMPRODUCT(Oxides_max!$C14:$BB14,Factors!$C$44:$BB$44)-SUMPRODUCT(Oxides_min!$C14:$BB14,Factors!$C$44:$BB$44))/2)</f>
        <v>5.1160988894254693</v>
      </c>
      <c r="AL14" s="20">
        <f>MIN(MAX(0,(SUMPRODUCT(Oxides_min!$C14:$BB14,Factors!$C$45:$BB$45)+SUMPRODUCT(Oxides_max!$C14:$BB14,Factors!$C$45:$BB$45))/2),ABS(SUMPRODUCT(Oxides_max!$C14:$BB14,Factors!$C$45:$BB$45)-SUMPRODUCT(Oxides_min!$C14:$BB14,Factors!$C$45:$BB$45))/2)</f>
        <v>6.8301582127112468</v>
      </c>
      <c r="AM14" s="20">
        <f>MIN(MAX(0,(SUMPRODUCT(Oxides_min!$C14:$BB14,Factors!$C$46:$BB$46)+SUMPRODUCT(Oxides_max!$C14:$BB14,Factors!$C$46:$BB$46))/2),ABS(SUMPRODUCT(Oxides_max!$C14:$BB14,Factors!$C$46:$BB$46)-SUMPRODUCT(Oxides_min!$C14:$BB14,Factors!$C$46:$BB$46))/2)</f>
        <v>1.2817076693799674</v>
      </c>
      <c r="AN14" s="20">
        <f>MIN(MAX(0,(SUMPRODUCT(Oxides_min!$C14:$BB14,Factors!$C$47:$BB$47)+SUMPRODUCT(Oxides_max!$C14:$BB14,Factors!$C$47:$BB$47))/2),ABS(SUMPRODUCT(Oxides_max!$C14:$BB14,Factors!$C$47:$BB$47)-SUMPRODUCT(Oxides_min!$C14:$BB14,Factors!$C$47:$BB$47))/2)</f>
        <v>3.8581019433489558</v>
      </c>
      <c r="AO14" s="20">
        <f>MIN(MAX(0,(SUMPRODUCT(Oxides_min!$C14:$BB14,Factors!$C$48:$BB$48)+SUMPRODUCT(Oxides_max!$C14:$BB14,Factors!$C$48:$BB$48))/2),ABS(SUMPRODUCT(Oxides_max!$C14:$BB14,Factors!$C$48:$BB$48)-SUMPRODUCT(Oxides_min!$C14:$BB14,Factors!$C$48:$BB$48))/2)</f>
        <v>0.948597286624971</v>
      </c>
      <c r="AP14" s="20">
        <f>MIN(MAX(0,(SUMPRODUCT(Oxides_min!$C14:$BB14,Factors!$C$49:$BB$49)+SUMPRODUCT(Oxides_max!$C14:$BB14,Factors!$C$49:$BB$49))/2),ABS(SUMPRODUCT(Oxides_max!$C14:$BB14,Factors!$C$49:$BB$49)-SUMPRODUCT(Oxides_min!$C14:$BB14,Factors!$C$49:$BB$49))/2)</f>
        <v>0.17272316544718336</v>
      </c>
      <c r="AQ14" s="20">
        <f>MIN(MAX(0,(SUMPRODUCT(Oxides_min!$C14:$BB14,Factors!$C$50:$BB$50)+SUMPRODUCT(Oxides_max!$C14:$BB14,Factors!$C$50:$BB$50))/2),ABS(SUMPRODUCT(Oxides_max!$C14:$BB14,Factors!$C$50:$BB$50)-SUMPRODUCT(Oxides_min!$C14:$BB14,Factors!$C$50:$BB$50))/2)</f>
        <v>0.78083404828177883</v>
      </c>
      <c r="AR14" s="20">
        <f>MIN(MAX(0,(SUMPRODUCT(Oxides_min!$C14:$BB14,Factors!$C$51:$BB$51)+SUMPRODUCT(Oxides_max!$C14:$BB14,Factors!$C$51:$BB$51))/2),ABS(SUMPRODUCT(Oxides_max!$C14:$BB14,Factors!$C$51:$BB$51)-SUMPRODUCT(Oxides_min!$C14:$BB14,Factors!$C$51:$BB$51))/2)</f>
        <v>0</v>
      </c>
      <c r="AS14" s="20">
        <f>MIN(MAX(0,(SUMPRODUCT(Oxides_min!$C14:$BB14,Factors!$C$52:$BB$52)+SUMPRODUCT(Oxides_max!$C14:$BB14,Factors!$C$52:$BB$52))/2),ABS(SUMPRODUCT(Oxides_max!$C14:$BB14,Factors!$C$52:$BB$52)-SUMPRODUCT(Oxides_min!$C14:$BB14,Factors!$C$52:$BB$52))/2)</f>
        <v>0.43566034043169244</v>
      </c>
      <c r="AT14" s="20">
        <f>MIN(MAX(0,(SUMPRODUCT(Oxides_min!$C14:$BB14,Factors!$C$53:$BB$53)+SUMPRODUCT(Oxides_max!$C14:$BB14,Factors!$C$53:$BB$53))/2),ABS(SUMPRODUCT(Oxides_max!$C14:$BB14,Factors!$C$53:$BB$53)-SUMPRODUCT(Oxides_min!$C14:$BB14,Factors!$C$53:$BB$53))/2)</f>
        <v>0</v>
      </c>
      <c r="AU14" s="20">
        <f>MIN(MAX(0,(SUMPRODUCT(Oxides_min!$C14:$BB14,Factors!$C$54:$BB$54)+SUMPRODUCT(Oxides_max!$C14:$BB14,Factors!$C$54:$BB$54))/2),ABS(SUMPRODUCT(Oxides_max!$C14:$BB14,Factors!$C$54:$BB$54)-SUMPRODUCT(Oxides_min!$C14:$BB14,Factors!$C$54:$BB$54))/2)</f>
        <v>0.21863064193561035</v>
      </c>
      <c r="AV14" s="20">
        <f>MIN(MAX(0,(SUMPRODUCT(Oxides_min!$C14:$BB14,Factors!$C$55:$BB$55)+SUMPRODUCT(Oxides_max!$C14:$BB14,Factors!$C$55:$BB$55))/2),ABS(SUMPRODUCT(Oxides_max!$C14:$BB14,Factors!$C$55:$BB$55)-SUMPRODUCT(Oxides_min!$C14:$BB14,Factors!$C$55:$BB$55))/2)</f>
        <v>0</v>
      </c>
      <c r="AW14" s="20">
        <f>MIN(MAX(0,(SUMPRODUCT(Oxides_min!$C14:$BB14,Factors!$C$56:$BB$56)+SUMPRODUCT(Oxides_max!$C14:$BB14,Factors!$C$56:$BB$56))/2),ABS(SUMPRODUCT(Oxides_max!$C14:$BB14,Factors!$C$56:$BB$56)-SUMPRODUCT(Oxides_min!$C14:$BB14,Factors!$C$56:$BB$56))/2)</f>
        <v>0.13173106446038566</v>
      </c>
      <c r="AX14" s="20">
        <f>MIN(MAX(0,(SUMPRODUCT(Oxides_min!$C14:$BB14,Factors!$C$57:$BB$57)+SUMPRODUCT(Oxides_max!$C14:$BB14,Factors!$C$57:$BB$57))/2),ABS(SUMPRODUCT(Oxides_max!$C14:$BB14,Factors!$C$57:$BB$57)-SUMPRODUCT(Oxides_min!$C14:$BB14,Factors!$C$57:$BB$57))/2)</f>
        <v>0</v>
      </c>
      <c r="AY14" s="20">
        <f>MIN(MAX(0,(SUMPRODUCT(Oxides_min!$C14:$BB14,Factors!$C$58:$BB$58)+SUMPRODUCT(Oxides_max!$C14:$BB14,Factors!$C$58:$BB$58))/2),ABS(SUMPRODUCT(Oxides_max!$C14:$BB14,Factors!$C$58:$BB$58)-SUMPRODUCT(Oxides_min!$C14:$BB14,Factors!$C$58:$BB$58))/2)</f>
        <v>0</v>
      </c>
      <c r="AZ14" s="18">
        <f t="shared" si="0"/>
        <v>52.045089918481366</v>
      </c>
    </row>
    <row r="15" spans="1:52" x14ac:dyDescent="0.35">
      <c r="A15" s="13" t="s">
        <v>151</v>
      </c>
      <c r="B15" s="20">
        <f>MIN(MAX(0,(SUMPRODUCT(Oxides_min!$C15:$BB15,Factors!$C$9:$BB$9)+SUMPRODUCT(Oxides_max!$C15:$BB15,Factors!$C$9:$BB$9))/2),ABS(SUMPRODUCT(Oxides_max!$C15:$BB15,Factors!$C$9:$BB$9)-SUMPRODUCT(Oxides_min!$C15:$BB15,Factors!$C$9:$BB$9))/2)</f>
        <v>6.7560371794054355</v>
      </c>
      <c r="C15" s="20">
        <f>MIN(MAX(0,(SUMPRODUCT(Oxides_min!$C15:$BB15,Factors!$C$10:$BB$10)+SUMPRODUCT(Oxides_max!$C15:$BB15,Factors!$C$10:$BB$10))/2),ABS(SUMPRODUCT(Oxides_max!$C15:$BB15,Factors!$C$10:$BB$10)-SUMPRODUCT(Oxides_min!$C15:$BB15,Factors!$C$10:$BB$10))/2)</f>
        <v>0.11685917813691062</v>
      </c>
      <c r="D15" s="20">
        <f>MIN(MAX(0,(SUMPRODUCT(Oxides_min!$C15:$BB15,Factors!$C$11:$BB$11)+SUMPRODUCT(Oxides_max!$C15:$BB15,Factors!$C$11:$BB$11))/2),ABS(SUMPRODUCT(Oxides_max!$C15:$BB15,Factors!$C$11:$BB$11)-SUMPRODUCT(Oxides_min!$C15:$BB15,Factors!$C$11:$BB$11))/2)</f>
        <v>0</v>
      </c>
      <c r="E15" s="20">
        <f>MIN(MAX(0,(SUMPRODUCT(Oxides_min!$C15:$BB15,Factors!$C$12:$BB$12)+SUMPRODUCT(Oxides_max!$C15:$BB15,Factors!$C$12:$BB$12))/2),ABS(SUMPRODUCT(Oxides_max!$C15:$BB15,Factors!$C$12:$BB$12)-SUMPRODUCT(Oxides_min!$C15:$BB15,Factors!$C$12:$BB$12))/2)</f>
        <v>0</v>
      </c>
      <c r="F15" s="20">
        <f>MIN(MAX(0,(SUMPRODUCT(Oxides_min!$C15:$BB15,Factors!$C$13:$BB$13)+SUMPRODUCT(Oxides_max!$C15:$BB15,Factors!$C$13:$BB$13))/2),ABS(SUMPRODUCT(Oxides_max!$C15:$BB15,Factors!$C$13:$BB$13)-SUMPRODUCT(Oxides_min!$C15:$BB15,Factors!$C$13:$BB$13))/2)</f>
        <v>0</v>
      </c>
      <c r="G15" s="20">
        <f>MIN(MAX(0,(SUMPRODUCT(Oxides_min!$C15:$BB15,Factors!$C$14:$BB$14)+SUMPRODUCT(Oxides_max!$C15:$BB15,Factors!$C$14:$BB$14))/2),ABS(SUMPRODUCT(Oxides_max!$C15:$BB15,Factors!$C$14:$BB$14)-SUMPRODUCT(Oxides_min!$C15:$BB15,Factors!$C$14:$BB$14))/2)</f>
        <v>0</v>
      </c>
      <c r="H15" s="20">
        <f>MIN(MAX(0,(SUMPRODUCT(Oxides_min!$C15:$BB15,Factors!$C$15:$BB$15)+SUMPRODUCT(Oxides_max!$C15:$BB15,Factors!$C$15:$BB$15))/2),ABS(SUMPRODUCT(Oxides_max!$C15:$BB15,Factors!$C$15:$BB$15)-SUMPRODUCT(Oxides_min!$C15:$BB15,Factors!$C$15:$BB$15))/2)</f>
        <v>0.26462846335433821</v>
      </c>
      <c r="I15" s="20">
        <f>MIN(MAX(0,(SUMPRODUCT(Oxides_min!$C15:$BB15,Factors!$C$16:$BB$16)+SUMPRODUCT(Oxides_max!$C15:$BB15,Factors!$C$16:$BB$16))/2),ABS(SUMPRODUCT(Oxides_max!$C15:$BB15,Factors!$C$16:$BB$16)-SUMPRODUCT(Oxides_min!$C15:$BB15,Factors!$C$16:$BB$16))/2)</f>
        <v>0.52457307107028117</v>
      </c>
      <c r="J15" s="20">
        <f>MIN(MAX(0,(SUMPRODUCT(Oxides_min!$C15:$BB15,Factors!$C$17:$BB$17)+SUMPRODUCT(Oxides_max!$C15:$BB15,Factors!$C$17:$BB$17))/2),ABS(SUMPRODUCT(Oxides_max!$C15:$BB15,Factors!$C$17:$BB$17)-SUMPRODUCT(Oxides_min!$C15:$BB15,Factors!$C$17:$BB$17))/2)</f>
        <v>0</v>
      </c>
      <c r="K15" s="20">
        <f>MIN(MAX(0,(SUMPRODUCT(Oxides_min!$C15:$BB15,Factors!$C$18:$BB$18)+SUMPRODUCT(Oxides_max!$C15:$BB15,Factors!$C$18:$BB$18))/2),ABS(SUMPRODUCT(Oxides_max!$C15:$BB15,Factors!$C$18:$BB$18)-SUMPRODUCT(Oxides_min!$C15:$BB15,Factors!$C$18:$BB$18))/2)</f>
        <v>0</v>
      </c>
      <c r="L15" s="20">
        <f>MIN(MAX(0,(SUMPRODUCT(Oxides_min!$C15:$BB15,Factors!$C$19:$BB$19)+SUMPRODUCT(Oxides_max!$C15:$BB15,Factors!$C$19:$BB$19))/2),ABS(SUMPRODUCT(Oxides_max!$C15:$BB15,Factors!$C$19:$BB$19)-SUMPRODUCT(Oxides_min!$C15:$BB15,Factors!$C$19:$BB$19))/2)</f>
        <v>0</v>
      </c>
      <c r="M15" s="20">
        <f>MIN(MAX(0,(SUMPRODUCT(Oxides_min!$C15:$BB15,Factors!$C$20:$BB$20)+SUMPRODUCT(Oxides_max!$C15:$BB15,Factors!$C$20:$BB$20))/2),ABS(SUMPRODUCT(Oxides_max!$C15:$BB15,Factors!$C$20:$BB$20)-SUMPRODUCT(Oxides_min!$C15:$BB15,Factors!$C$20:$BB$20))/2)</f>
        <v>0</v>
      </c>
      <c r="N15" s="20">
        <f>MIN(MAX(0,(SUMPRODUCT(Oxides_min!$C15:$BB15,Factors!$C$21:$BB$21)+SUMPRODUCT(Oxides_max!$C15:$BB15,Factors!$C$21:$BB$21))/2),ABS(SUMPRODUCT(Oxides_max!$C15:$BB15,Factors!$C$21:$BB$21)-SUMPRODUCT(Oxides_min!$C15:$BB15,Factors!$C$21:$BB$21))/2)</f>
        <v>0.71469586461472612</v>
      </c>
      <c r="O15" s="20">
        <f>MIN(MAX(0,(SUMPRODUCT(Oxides_min!$C15:$BB15,Factors!$C$22:$BB$22)+SUMPRODUCT(Oxides_max!$C15:$BB15,Factors!$C$22:$BB$22))/2),ABS(SUMPRODUCT(Oxides_max!$C15:$BB15,Factors!$C$22:$BB$22)-SUMPRODUCT(Oxides_min!$C15:$BB15,Factors!$C$22:$BB$22))/2)</f>
        <v>0</v>
      </c>
      <c r="P15" s="20">
        <f>MIN(MAX(0,(SUMPRODUCT(Oxides_min!$C15:$BB15,Factors!$C$23:$BB$23)+SUMPRODUCT(Oxides_max!$C15:$BB15,Factors!$C$23:$BB$23))/2),ABS(SUMPRODUCT(Oxides_max!$C15:$BB15,Factors!$C$23:$BB$23)-SUMPRODUCT(Oxides_min!$C15:$BB15,Factors!$C$23:$BB$23))/2)</f>
        <v>0</v>
      </c>
      <c r="Q15" s="20">
        <f>MIN(MAX(0,(SUMPRODUCT(Oxides_min!$C15:$BB15,Factors!$C$24:$BB$24)+SUMPRODUCT(Oxides_max!$C15:$BB15,Factors!$C$24:$BB$24))/2),ABS(SUMPRODUCT(Oxides_max!$C15:$BB15,Factors!$C$24:$BB$24)-SUMPRODUCT(Oxides_min!$C15:$BB15,Factors!$C$24:$BB$24))/2)</f>
        <v>0</v>
      </c>
      <c r="R15" s="20">
        <f>MIN(MAX(0,(SUMPRODUCT(Oxides_min!$C15:$BB15,Factors!$C$25:$BB$25)+SUMPRODUCT(Oxides_max!$C15:$BB15,Factors!$C$25:$BB$25))/2),ABS(SUMPRODUCT(Oxides_max!$C15:$BB15,Factors!$C$25:$BB$25)-SUMPRODUCT(Oxides_min!$C15:$BB15,Factors!$C$25:$BB$25))/2)</f>
        <v>0</v>
      </c>
      <c r="S15" s="20">
        <f>MIN(MAX(0,(SUMPRODUCT(Oxides_min!$C15:$BB15,Factors!$C$26:$BB$26)+SUMPRODUCT(Oxides_max!$C15:$BB15,Factors!$C$26:$BB$26))/2),ABS(SUMPRODUCT(Oxides_max!$C15:$BB15,Factors!$C$26:$BB$26)-SUMPRODUCT(Oxides_min!$C15:$BB15,Factors!$C$26:$BB$26))/2)</f>
        <v>0</v>
      </c>
      <c r="T15" s="20">
        <f>MIN(MAX(0,(SUMPRODUCT(Oxides_min!$C15:$BB15,Factors!$C$27:$BB$27)+SUMPRODUCT(Oxides_max!$C15:$BB15,Factors!$C$27:$BB$27))/2),ABS(SUMPRODUCT(Oxides_max!$C15:$BB15,Factors!$C$27:$BB$27)-SUMPRODUCT(Oxides_min!$C15:$BB15,Factors!$C$27:$BB$27))/2)</f>
        <v>0</v>
      </c>
      <c r="U15" s="20">
        <f>MIN(MAX(0,(SUMPRODUCT(Oxides_min!$C15:$BB15,Factors!$C$28:$BB$28)+SUMPRODUCT(Oxides_max!$C15:$BB15,Factors!$C$28:$BB$28))/2),ABS(SUMPRODUCT(Oxides_max!$C15:$BB15,Factors!$C$28:$BB$28)-SUMPRODUCT(Oxides_min!$C15:$BB15,Factors!$C$28:$BB$28))/2)</f>
        <v>0</v>
      </c>
      <c r="V15" s="20">
        <f>MIN(MAX(0,(SUMPRODUCT(Oxides_min!$C15:$BB15,Factors!$C$29:$BB$29)+SUMPRODUCT(Oxides_max!$C15:$BB15,Factors!$C$29:$BB$29))/2),ABS(SUMPRODUCT(Oxides_max!$C15:$BB15,Factors!$C$29:$BB$29)-SUMPRODUCT(Oxides_min!$C15:$BB15,Factors!$C$29:$BB$29))/2)</f>
        <v>0</v>
      </c>
      <c r="W15" s="20">
        <f>MIN(MAX(0,(SUMPRODUCT(Oxides_min!$C15:$BB15,Factors!$C$30:$BB$30)+SUMPRODUCT(Oxides_max!$C15:$BB15,Factors!$C$30:$BB$30))/2),ABS(SUMPRODUCT(Oxides_max!$C15:$BB15,Factors!$C$30:$BB$30)-SUMPRODUCT(Oxides_min!$C15:$BB15,Factors!$C$30:$BB$30))/2)</f>
        <v>0</v>
      </c>
      <c r="X15" s="20">
        <f>MIN(MAX(0,(SUMPRODUCT(Oxides_min!$C15:$BB15,Factors!$C$31:$BB$31)+SUMPRODUCT(Oxides_max!$C15:$BB15,Factors!$C$31:$BB$31))/2),ABS(SUMPRODUCT(Oxides_max!$C15:$BB15,Factors!$C$31:$BB$31)-SUMPRODUCT(Oxides_min!$C15:$BB15,Factors!$C$31:$BB$31))/2)</f>
        <v>0</v>
      </c>
      <c r="Y15" s="20">
        <f>MIN(MAX(0,(SUMPRODUCT(Oxides_min!$C15:$BB15,Factors!$C$32:$BB$32)+SUMPRODUCT(Oxides_max!$C15:$BB15,Factors!$C$32:$BB$32))/2),ABS(SUMPRODUCT(Oxides_max!$C15:$BB15,Factors!$C$32:$BB$32)-SUMPRODUCT(Oxides_min!$C15:$BB15,Factors!$C$32:$BB$32))/2)</f>
        <v>0</v>
      </c>
      <c r="Z15" s="20">
        <f>MIN(MAX(0,(SUMPRODUCT(Oxides_min!$C15:$BB15,Factors!$C$33:$BB$33)+SUMPRODUCT(Oxides_max!$C15:$BB15,Factors!$C$33:$BB$33))/2),ABS(SUMPRODUCT(Oxides_max!$C15:$BB15,Factors!$C$33:$BB$33)-SUMPRODUCT(Oxides_min!$C15:$BB15,Factors!$C$33:$BB$33))/2)</f>
        <v>0.8728536347253586</v>
      </c>
      <c r="AA15" s="20">
        <f>MIN(MAX(0,(SUMPRODUCT(Oxides_min!$C15:$BB15,Factors!$C$34:$BB$34)+SUMPRODUCT(Oxides_max!$C15:$BB15,Factors!$C$34:$BB$34))/2),ABS(SUMPRODUCT(Oxides_max!$C15:$BB15,Factors!$C$34:$BB$34)-SUMPRODUCT(Oxides_min!$C15:$BB15,Factors!$C$34:$BB$34))/2)</f>
        <v>0</v>
      </c>
      <c r="AB15" s="20">
        <f>MIN(MAX(0,(SUMPRODUCT(Oxides_min!$C15:$BB15,Factors!$C$35:$BB$35)+SUMPRODUCT(Oxides_max!$C15:$BB15,Factors!$C$35:$BB$35))/2),ABS(SUMPRODUCT(Oxides_max!$C15:$BB15,Factors!$C$35:$BB$35)-SUMPRODUCT(Oxides_min!$C15:$BB15,Factors!$C$35:$BB$35))/2)</f>
        <v>0</v>
      </c>
      <c r="AC15" s="20">
        <f>MIN(MAX(0,(SUMPRODUCT(Oxides_min!$C15:$BB15,Factors!$C$36:$BB$36)+SUMPRODUCT(Oxides_max!$C15:$BB15,Factors!$C$36:$BB$36))/2),ABS(SUMPRODUCT(Oxides_max!$C15:$BB15,Factors!$C$36:$BB$36)-SUMPRODUCT(Oxides_min!$C15:$BB15,Factors!$C$36:$BB$36))/2)</f>
        <v>0</v>
      </c>
      <c r="AD15" s="20">
        <f>MIN(MAX(0,(SUMPRODUCT(Oxides_min!$C15:$BB15,Factors!$C$37:$BB$37)+SUMPRODUCT(Oxides_max!$C15:$BB15,Factors!$C$37:$BB$37))/2),ABS(SUMPRODUCT(Oxides_max!$C15:$BB15,Factors!$C$37:$BB$37)-SUMPRODUCT(Oxides_min!$C15:$BB15,Factors!$C$37:$BB$37))/2)</f>
        <v>0.16786011656952537</v>
      </c>
      <c r="AE15" s="20">
        <f>MIN(MAX(0,(SUMPRODUCT(Oxides_min!$C15:$BB15,Factors!$C$38:$BB$38)+SUMPRODUCT(Oxides_max!$C15:$BB15,Factors!$C$38:$BB$38))/2),ABS(SUMPRODUCT(Oxides_max!$C15:$BB15,Factors!$C$38:$BB$38)-SUMPRODUCT(Oxides_min!$C15:$BB15,Factors!$C$38:$BB$38))/2)</f>
        <v>0</v>
      </c>
      <c r="AF15" s="20">
        <f>MIN(MAX(0,(SUMPRODUCT(Oxides_min!$C15:$BB15,Factors!$C$39:$BB$39)+SUMPRODUCT(Oxides_max!$C15:$BB15,Factors!$C$39:$BB$39))/2),ABS(SUMPRODUCT(Oxides_max!$C15:$BB15,Factors!$C$39:$BB$39)-SUMPRODUCT(Oxides_min!$C15:$BB15,Factors!$C$39:$BB$39))/2)</f>
        <v>0</v>
      </c>
      <c r="AG15" s="20">
        <f>MIN(MAX(0,(SUMPRODUCT(Oxides_min!$C15:$BB15,Factors!$C$40:$BB$40)+SUMPRODUCT(Oxides_max!$C15:$BB15,Factors!$C$40:$BB$40))/2),ABS(SUMPRODUCT(Oxides_max!$C15:$BB15,Factors!$C$40:$BB$40)-SUMPRODUCT(Oxides_min!$C15:$BB15,Factors!$C$40:$BB$40))/2)</f>
        <v>0</v>
      </c>
      <c r="AH15" s="20">
        <f>MIN(MAX(0,(SUMPRODUCT(Oxides_min!$C15:$BB15,Factors!$C$41:$BB$41)+SUMPRODUCT(Oxides_max!$C15:$BB15,Factors!$C$41:$BB$41))/2),ABS(SUMPRODUCT(Oxides_max!$C15:$BB15,Factors!$C$41:$BB$41)-SUMPRODUCT(Oxides_min!$C15:$BB15,Factors!$C$41:$BB$41))/2)</f>
        <v>0</v>
      </c>
      <c r="AI15" s="20">
        <f>MIN(MAX(0,(SUMPRODUCT(Oxides_min!$C15:$BB15,Factors!$C$42:$BB$42)+SUMPRODUCT(Oxides_max!$C15:$BB15,Factors!$C$42:$BB$42))/2),ABS(SUMPRODUCT(Oxides_max!$C15:$BB15,Factors!$C$42:$BB$42)-SUMPRODUCT(Oxides_min!$C15:$BB15,Factors!$C$42:$BB$42))/2)</f>
        <v>0</v>
      </c>
      <c r="AJ15" s="20">
        <f>MIN(MAX(0,(SUMPRODUCT(Oxides_min!$C15:$BB15,Factors!$C$43:$BB$43)+SUMPRODUCT(Oxides_max!$C15:$BB15,Factors!$C$43:$BB$43))/2),ABS(SUMPRODUCT(Oxides_max!$C15:$BB15,Factors!$C$43:$BB$43)-SUMPRODUCT(Oxides_min!$C15:$BB15,Factors!$C$43:$BB$43))/2)</f>
        <v>5.9058296607552894</v>
      </c>
      <c r="AK15" s="20">
        <f>MIN(MAX(0,(SUMPRODUCT(Oxides_min!$C15:$BB15,Factors!$C$44:$BB$44)+SUMPRODUCT(Oxides_max!$C15:$BB15,Factors!$C$44:$BB$44))/2),ABS(SUMPRODUCT(Oxides_max!$C15:$BB15,Factors!$C$44:$BB$44)-SUMPRODUCT(Oxides_min!$C15:$BB15,Factors!$C$44:$BB$44))/2)</f>
        <v>1.7053662964751564</v>
      </c>
      <c r="AL15" s="20">
        <f>MIN(MAX(0,(SUMPRODUCT(Oxides_min!$C15:$BB15,Factors!$C$45:$BB$45)+SUMPRODUCT(Oxides_max!$C15:$BB15,Factors!$C$45:$BB$45))/2),ABS(SUMPRODUCT(Oxides_max!$C15:$BB15,Factors!$C$45:$BB$45)-SUMPRODUCT(Oxides_min!$C15:$BB15,Factors!$C$45:$BB$45))/2)</f>
        <v>0.64032733244167939</v>
      </c>
      <c r="AM15" s="20">
        <f>MIN(MAX(0,(SUMPRODUCT(Oxides_min!$C15:$BB15,Factors!$C$46:$BB$46)+SUMPRODUCT(Oxides_max!$C15:$BB15,Factors!$C$46:$BB$46))/2),ABS(SUMPRODUCT(Oxides_max!$C15:$BB15,Factors!$C$46:$BB$46)-SUMPRODUCT(Oxides_min!$C15:$BB15,Factors!$C$46:$BB$46))/2)</f>
        <v>0.21361794489666122</v>
      </c>
      <c r="AN15" s="20">
        <f>MIN(MAX(0,(SUMPRODUCT(Oxides_min!$C15:$BB15,Factors!$C$47:$BB$47)+SUMPRODUCT(Oxides_max!$C15:$BB15,Factors!$C$47:$BB$47))/2),ABS(SUMPRODUCT(Oxides_max!$C15:$BB15,Factors!$C$47:$BB$47)-SUMPRODUCT(Oxides_min!$C15:$BB15,Factors!$C$47:$BB$47))/2)</f>
        <v>1.7147119748217581</v>
      </c>
      <c r="AO15" s="20">
        <f>MIN(MAX(0,(SUMPRODUCT(Oxides_min!$C15:$BB15,Factors!$C$48:$BB$48)+SUMPRODUCT(Oxides_max!$C15:$BB15,Factors!$C$48:$BB$48))/2),ABS(SUMPRODUCT(Oxides_max!$C15:$BB15,Factors!$C$48:$BB$48)-SUMPRODUCT(Oxides_min!$C15:$BB15,Factors!$C$48:$BB$48))/2)</f>
        <v>0.43118058482953225</v>
      </c>
      <c r="AP15" s="20">
        <f>MIN(MAX(0,(SUMPRODUCT(Oxides_min!$C15:$BB15,Factors!$C$49:$BB$49)+SUMPRODUCT(Oxides_max!$C15:$BB15,Factors!$C$49:$BB$49))/2),ABS(SUMPRODUCT(Oxides_max!$C15:$BB15,Factors!$C$49:$BB$49)-SUMPRODUCT(Oxides_min!$C15:$BB15,Factors!$C$49:$BB$49))/2)</f>
        <v>0.12954237408538749</v>
      </c>
      <c r="AQ15" s="20">
        <f>MIN(MAX(0,(SUMPRODUCT(Oxides_min!$C15:$BB15,Factors!$C$50:$BB$50)+SUMPRODUCT(Oxides_max!$C15:$BB15,Factors!$C$50:$BB$50))/2),ABS(SUMPRODUCT(Oxides_max!$C15:$BB15,Factors!$C$50:$BB$50)-SUMPRODUCT(Oxides_min!$C15:$BB15,Factors!$C$50:$BB$50))/2)</f>
        <v>1.3013900804696314</v>
      </c>
      <c r="AR15" s="20">
        <f>MIN(MAX(0,(SUMPRODUCT(Oxides_min!$C15:$BB15,Factors!$C$51:$BB$51)+SUMPRODUCT(Oxides_max!$C15:$BB15,Factors!$C$51:$BB$51))/2),ABS(SUMPRODUCT(Oxides_max!$C15:$BB15,Factors!$C$51:$BB$51)-SUMPRODUCT(Oxides_min!$C15:$BB15,Factors!$C$51:$BB$51))/2)</f>
        <v>0.30408212215082941</v>
      </c>
      <c r="AS15" s="20">
        <f>MIN(MAX(0,(SUMPRODUCT(Oxides_min!$C15:$BB15,Factors!$C$52:$BB$52)+SUMPRODUCT(Oxides_max!$C15:$BB15,Factors!$C$52:$BB$52))/2),ABS(SUMPRODUCT(Oxides_max!$C15:$BB15,Factors!$C$52:$BB$52)-SUMPRODUCT(Oxides_min!$C15:$BB15,Factors!$C$52:$BB$52))/2)</f>
        <v>1.5248111915109237</v>
      </c>
      <c r="AT15" s="20">
        <f>MIN(MAX(0,(SUMPRODUCT(Oxides_min!$C15:$BB15,Factors!$C$53:$BB$53)+SUMPRODUCT(Oxides_max!$C15:$BB15,Factors!$C$53:$BB$53))/2),ABS(SUMPRODUCT(Oxides_max!$C15:$BB15,Factors!$C$53:$BB$53)-SUMPRODUCT(Oxides_min!$C15:$BB15,Factors!$C$53:$BB$53))/2)</f>
        <v>0.43648798862513466</v>
      </c>
      <c r="AU15" s="20">
        <f>MIN(MAX(0,(SUMPRODUCT(Oxides_min!$C15:$BB15,Factors!$C$54:$BB$54)+SUMPRODUCT(Oxides_max!$C15:$BB15,Factors!$C$54:$BB$54))/2),ABS(SUMPRODUCT(Oxides_max!$C15:$BB15,Factors!$C$54:$BB$54)-SUMPRODUCT(Oxides_min!$C15:$BB15,Factors!$C$54:$BB$54))/2)</f>
        <v>1.3117838516136622</v>
      </c>
      <c r="AV15" s="20">
        <f>MIN(MAX(0,(SUMPRODUCT(Oxides_min!$C15:$BB15,Factors!$C$55:$BB$55)+SUMPRODUCT(Oxides_max!$C15:$BB15,Factors!$C$55:$BB$55))/2),ABS(SUMPRODUCT(Oxides_max!$C15:$BB15,Factors!$C$55:$BB$55)-SUMPRODUCT(Oxides_min!$C15:$BB15,Factors!$C$55:$BB$55))/2)</f>
        <v>0.26268362359686837</v>
      </c>
      <c r="AW15" s="20">
        <f>MIN(MAX(0,(SUMPRODUCT(Oxides_min!$C15:$BB15,Factors!$C$56:$BB$56)+SUMPRODUCT(Oxides_max!$C15:$BB15,Factors!$C$56:$BB$56))/2),ABS(SUMPRODUCT(Oxides_max!$C15:$BB15,Factors!$C$56:$BB$56)-SUMPRODUCT(Oxides_min!$C15:$BB15,Factors!$C$56:$BB$56))/2)</f>
        <v>1.5368624187044992</v>
      </c>
      <c r="AX15" s="20">
        <f>MIN(MAX(0,(SUMPRODUCT(Oxides_min!$C15:$BB15,Factors!$C$57:$BB$57)+SUMPRODUCT(Oxides_max!$C15:$BB15,Factors!$C$57:$BB$57))/2),ABS(SUMPRODUCT(Oxides_max!$C15:$BB15,Factors!$C$57:$BB$57)-SUMPRODUCT(Oxides_min!$C15:$BB15,Factors!$C$57:$BB$57))/2)</f>
        <v>0.26381504714641196</v>
      </c>
      <c r="AY15" s="20">
        <f>MIN(MAX(0,(SUMPRODUCT(Oxides_min!$C15:$BB15,Factors!$C$58:$BB$58)+SUMPRODUCT(Oxides_max!$C15:$BB15,Factors!$C$58:$BB$58))/2),ABS(SUMPRODUCT(Oxides_max!$C15:$BB15,Factors!$C$58:$BB$58)-SUMPRODUCT(Oxides_min!$C15:$BB15,Factors!$C$58:$BB$58))/2)</f>
        <v>0</v>
      </c>
      <c r="AZ15" s="18">
        <f t="shared" si="0"/>
        <v>27.1</v>
      </c>
    </row>
    <row r="16" spans="1:52" x14ac:dyDescent="0.35">
      <c r="A16" s="13" t="s">
        <v>153</v>
      </c>
      <c r="B16" s="20">
        <f>MIN(MAX(0,(SUMPRODUCT(Oxides_min!$C16:$BB16,Factors!$C$9:$BB$9)+SUMPRODUCT(Oxides_max!$C16:$BB16,Factors!$C$9:$BB$9))/2),ABS(SUMPRODUCT(Oxides_max!$C16:$BB16,Factors!$C$9:$BB$9)-SUMPRODUCT(Oxides_min!$C16:$BB16,Factors!$C$9:$BB$9))/2)</f>
        <v>10.942583638394115</v>
      </c>
      <c r="C16" s="20">
        <f>MIN(MAX(0,(SUMPRODUCT(Oxides_min!$C16:$BB16,Factors!$C$10:$BB$10)+SUMPRODUCT(Oxides_max!$C16:$BB16,Factors!$C$10:$BB$10))/2),ABS(SUMPRODUCT(Oxides_max!$C16:$BB16,Factors!$C$10:$BB$10)-SUMPRODUCT(Oxides_min!$C16:$BB16,Factors!$C$10:$BB$10))/2)</f>
        <v>0.93487342509528493</v>
      </c>
      <c r="D16" s="20">
        <f>MIN(MAX(0,(SUMPRODUCT(Oxides_min!$C16:$BB16,Factors!$C$11:$BB$11)+SUMPRODUCT(Oxides_max!$C16:$BB16,Factors!$C$11:$BB$11))/2),ABS(SUMPRODUCT(Oxides_max!$C16:$BB16,Factors!$C$11:$BB$11)-SUMPRODUCT(Oxides_min!$C16:$BB16,Factors!$C$11:$BB$11))/2)</f>
        <v>0</v>
      </c>
      <c r="E16" s="20">
        <f>MIN(MAX(0,(SUMPRODUCT(Oxides_min!$C16:$BB16,Factors!$C$12:$BB$12)+SUMPRODUCT(Oxides_max!$C16:$BB16,Factors!$C$12:$BB$12))/2),ABS(SUMPRODUCT(Oxides_max!$C16:$BB16,Factors!$C$12:$BB$12)-SUMPRODUCT(Oxides_min!$C16:$BB16,Factors!$C$12:$BB$12))/2)</f>
        <v>0</v>
      </c>
      <c r="F16" s="20">
        <f>MIN(MAX(0,(SUMPRODUCT(Oxides_min!$C16:$BB16,Factors!$C$13:$BB$13)+SUMPRODUCT(Oxides_max!$C16:$BB16,Factors!$C$13:$BB$13))/2),ABS(SUMPRODUCT(Oxides_max!$C16:$BB16,Factors!$C$13:$BB$13)-SUMPRODUCT(Oxides_min!$C16:$BB16,Factors!$C$13:$BB$13))/2)</f>
        <v>0</v>
      </c>
      <c r="G16" s="20">
        <f>MIN(MAX(0,(SUMPRODUCT(Oxides_min!$C16:$BB16,Factors!$C$14:$BB$14)+SUMPRODUCT(Oxides_max!$C16:$BB16,Factors!$C$14:$BB$14))/2),ABS(SUMPRODUCT(Oxides_max!$C16:$BB16,Factors!$C$14:$BB$14)-SUMPRODUCT(Oxides_min!$C16:$BB16,Factors!$C$14:$BB$14))/2)</f>
        <v>0</v>
      </c>
      <c r="H16" s="20">
        <f>MIN(MAX(0,(SUMPRODUCT(Oxides_min!$C16:$BB16,Factors!$C$15:$BB$15)+SUMPRODUCT(Oxides_max!$C16:$BB16,Factors!$C$15:$BB$15))/2),ABS(SUMPRODUCT(Oxides_max!$C16:$BB16,Factors!$C$15:$BB$15)-SUMPRODUCT(Oxides_min!$C16:$BB16,Factors!$C$15:$BB$15))/2)</f>
        <v>0.52925692670867641</v>
      </c>
      <c r="I16" s="20">
        <f>MIN(MAX(0,(SUMPRODUCT(Oxides_min!$C16:$BB16,Factors!$C$16:$BB$16)+SUMPRODUCT(Oxides_max!$C16:$BB16,Factors!$C$16:$BB$16))/2),ABS(SUMPRODUCT(Oxides_max!$C16:$BB16,Factors!$C$16:$BB$16)-SUMPRODUCT(Oxides_min!$C16:$BB16,Factors!$C$16:$BB$16))/2)</f>
        <v>0.52457307107028117</v>
      </c>
      <c r="J16" s="20">
        <f>MIN(MAX(0,(SUMPRODUCT(Oxides_min!$C16:$BB16,Factors!$C$17:$BB$17)+SUMPRODUCT(Oxides_max!$C16:$BB16,Factors!$C$17:$BB$17))/2),ABS(SUMPRODUCT(Oxides_max!$C16:$BB16,Factors!$C$17:$BB$17)-SUMPRODUCT(Oxides_min!$C16:$BB16,Factors!$C$17:$BB$17))/2)</f>
        <v>0</v>
      </c>
      <c r="K16" s="20">
        <f>MIN(MAX(0,(SUMPRODUCT(Oxides_min!$C16:$BB16,Factors!$C$18:$BB$18)+SUMPRODUCT(Oxides_max!$C16:$BB16,Factors!$C$18:$BB$18))/2),ABS(SUMPRODUCT(Oxides_max!$C16:$BB16,Factors!$C$18:$BB$18)-SUMPRODUCT(Oxides_min!$C16:$BB16,Factors!$C$18:$BB$18))/2)</f>
        <v>0</v>
      </c>
      <c r="L16" s="20">
        <f>MIN(MAX(0,(SUMPRODUCT(Oxides_min!$C16:$BB16,Factors!$C$19:$BB$19)+SUMPRODUCT(Oxides_max!$C16:$BB16,Factors!$C$19:$BB$19))/2),ABS(SUMPRODUCT(Oxides_max!$C16:$BB16,Factors!$C$19:$BB$19)-SUMPRODUCT(Oxides_min!$C16:$BB16,Factors!$C$19:$BB$19))/2)</f>
        <v>0</v>
      </c>
      <c r="M16" s="20">
        <f>MIN(MAX(0,(SUMPRODUCT(Oxides_min!$C16:$BB16,Factors!$C$20:$BB$20)+SUMPRODUCT(Oxides_max!$C16:$BB16,Factors!$C$20:$BB$20))/2),ABS(SUMPRODUCT(Oxides_max!$C16:$BB16,Factors!$C$20:$BB$20)-SUMPRODUCT(Oxides_min!$C16:$BB16,Factors!$C$20:$BB$20))/2)</f>
        <v>0</v>
      </c>
      <c r="N16" s="20">
        <f>MIN(MAX(0,(SUMPRODUCT(Oxides_min!$C16:$BB16,Factors!$C$21:$BB$21)+SUMPRODUCT(Oxides_max!$C16:$BB16,Factors!$C$21:$BB$21))/2),ABS(SUMPRODUCT(Oxides_max!$C16:$BB16,Factors!$C$21:$BB$21)-SUMPRODUCT(Oxides_min!$C16:$BB16,Factors!$C$21:$BB$21))/2)</f>
        <v>1.3579221427679795</v>
      </c>
      <c r="O16" s="20">
        <f>MIN(MAX(0,(SUMPRODUCT(Oxides_min!$C16:$BB16,Factors!$C$22:$BB$22)+SUMPRODUCT(Oxides_max!$C16:$BB16,Factors!$C$22:$BB$22))/2),ABS(SUMPRODUCT(Oxides_max!$C16:$BB16,Factors!$C$22:$BB$22)-SUMPRODUCT(Oxides_min!$C16:$BB16,Factors!$C$22:$BB$22))/2)</f>
        <v>0.4227989075362627</v>
      </c>
      <c r="P16" s="20">
        <f>MIN(MAX(0,(SUMPRODUCT(Oxides_min!$C16:$BB16,Factors!$C$23:$BB$23)+SUMPRODUCT(Oxides_max!$C16:$BB16,Factors!$C$23:$BB$23))/2),ABS(SUMPRODUCT(Oxides_max!$C16:$BB16,Factors!$C$23:$BB$23)-SUMPRODUCT(Oxides_min!$C16:$BB16,Factors!$C$23:$BB$23))/2)</f>
        <v>0</v>
      </c>
      <c r="Q16" s="20">
        <f>MIN(MAX(0,(SUMPRODUCT(Oxides_min!$C16:$BB16,Factors!$C$24:$BB$24)+SUMPRODUCT(Oxides_max!$C16:$BB16,Factors!$C$24:$BB$24))/2),ABS(SUMPRODUCT(Oxides_max!$C16:$BB16,Factors!$C$24:$BB$24)-SUMPRODUCT(Oxides_min!$C16:$BB16,Factors!$C$24:$BB$24))/2)</f>
        <v>9.2831957132424425E-2</v>
      </c>
      <c r="R16" s="20">
        <f>MIN(MAX(0,(SUMPRODUCT(Oxides_min!$C16:$BB16,Factors!$C$25:$BB$25)+SUMPRODUCT(Oxides_max!$C16:$BB16,Factors!$C$25:$BB$25))/2),ABS(SUMPRODUCT(Oxides_max!$C16:$BB16,Factors!$C$25:$BB$25)-SUMPRODUCT(Oxides_min!$C16:$BB16,Factors!$C$25:$BB$25))/2)</f>
        <v>0</v>
      </c>
      <c r="S16" s="20">
        <f>MIN(MAX(0,(SUMPRODUCT(Oxides_min!$C16:$BB16,Factors!$C$26:$BB$26)+SUMPRODUCT(Oxides_max!$C16:$BB16,Factors!$C$26:$BB$26))/2),ABS(SUMPRODUCT(Oxides_max!$C16:$BB16,Factors!$C$26:$BB$26)-SUMPRODUCT(Oxides_min!$C16:$BB16,Factors!$C$26:$BB$26))/2)</f>
        <v>0</v>
      </c>
      <c r="T16" s="20">
        <f>MIN(MAX(0,(SUMPRODUCT(Oxides_min!$C16:$BB16,Factors!$C$27:$BB$27)+SUMPRODUCT(Oxides_max!$C16:$BB16,Factors!$C$27:$BB$27))/2),ABS(SUMPRODUCT(Oxides_max!$C16:$BB16,Factors!$C$27:$BB$27)-SUMPRODUCT(Oxides_min!$C16:$BB16,Factors!$C$27:$BB$27))/2)</f>
        <v>0</v>
      </c>
      <c r="U16" s="20">
        <f>MIN(MAX(0,(SUMPRODUCT(Oxides_min!$C16:$BB16,Factors!$C$28:$BB$28)+SUMPRODUCT(Oxides_max!$C16:$BB16,Factors!$C$28:$BB$28))/2),ABS(SUMPRODUCT(Oxides_max!$C16:$BB16,Factors!$C$28:$BB$28)-SUMPRODUCT(Oxides_min!$C16:$BB16,Factors!$C$28:$BB$28))/2)</f>
        <v>0</v>
      </c>
      <c r="V16" s="20">
        <f>MIN(MAX(0,(SUMPRODUCT(Oxides_min!$C16:$BB16,Factors!$C$29:$BB$29)+SUMPRODUCT(Oxides_max!$C16:$BB16,Factors!$C$29:$BB$29))/2),ABS(SUMPRODUCT(Oxides_max!$C16:$BB16,Factors!$C$29:$BB$29)-SUMPRODUCT(Oxides_min!$C16:$BB16,Factors!$C$29:$BB$29))/2)</f>
        <v>0</v>
      </c>
      <c r="W16" s="20">
        <f>MIN(MAX(0,(SUMPRODUCT(Oxides_min!$C16:$BB16,Factors!$C$30:$BB$30)+SUMPRODUCT(Oxides_max!$C16:$BB16,Factors!$C$30:$BB$30))/2),ABS(SUMPRODUCT(Oxides_max!$C16:$BB16,Factors!$C$30:$BB$30)-SUMPRODUCT(Oxides_min!$C16:$BB16,Factors!$C$30:$BB$30))/2)</f>
        <v>0</v>
      </c>
      <c r="X16" s="20">
        <f>MIN(MAX(0,(SUMPRODUCT(Oxides_min!$C16:$BB16,Factors!$C$31:$BB$31)+SUMPRODUCT(Oxides_max!$C16:$BB16,Factors!$C$31:$BB$31))/2),ABS(SUMPRODUCT(Oxides_max!$C16:$BB16,Factors!$C$31:$BB$31)-SUMPRODUCT(Oxides_min!$C16:$BB16,Factors!$C$31:$BB$31))/2)</f>
        <v>0</v>
      </c>
      <c r="Y16" s="20">
        <f>MIN(MAX(0,(SUMPRODUCT(Oxides_min!$C16:$BB16,Factors!$C$32:$BB$32)+SUMPRODUCT(Oxides_max!$C16:$BB16,Factors!$C$32:$BB$32))/2),ABS(SUMPRODUCT(Oxides_max!$C16:$BB16,Factors!$C$32:$BB$32)-SUMPRODUCT(Oxides_min!$C16:$BB16,Factors!$C$32:$BB$32))/2)</f>
        <v>0</v>
      </c>
      <c r="Z16" s="20">
        <f>MIN(MAX(0,(SUMPRODUCT(Oxides_min!$C16:$BB16,Factors!$C$33:$BB$33)+SUMPRODUCT(Oxides_max!$C16:$BB16,Factors!$C$33:$BB$33))/2),ABS(SUMPRODUCT(Oxides_max!$C16:$BB16,Factors!$C$33:$BB$33)-SUMPRODUCT(Oxides_min!$C16:$BB16,Factors!$C$33:$BB$33))/2)</f>
        <v>1.3092804520880383</v>
      </c>
      <c r="AA16" s="20">
        <f>MIN(MAX(0,(SUMPRODUCT(Oxides_min!$C16:$BB16,Factors!$C$34:$BB$34)+SUMPRODUCT(Oxides_max!$C16:$BB16,Factors!$C$34:$BB$34))/2),ABS(SUMPRODUCT(Oxides_max!$C16:$BB16,Factors!$C$34:$BB$34)-SUMPRODUCT(Oxides_min!$C16:$BB16,Factors!$C$34:$BB$34))/2)</f>
        <v>0</v>
      </c>
      <c r="AB16" s="20">
        <f>MIN(MAX(0,(SUMPRODUCT(Oxides_min!$C16:$BB16,Factors!$C$35:$BB$35)+SUMPRODUCT(Oxides_max!$C16:$BB16,Factors!$C$35:$BB$35))/2),ABS(SUMPRODUCT(Oxides_max!$C16:$BB16,Factors!$C$35:$BB$35)-SUMPRODUCT(Oxides_min!$C16:$BB16,Factors!$C$35:$BB$35))/2)</f>
        <v>0</v>
      </c>
      <c r="AC16" s="20">
        <f>MIN(MAX(0,(SUMPRODUCT(Oxides_min!$C16:$BB16,Factors!$C$36:$BB$36)+SUMPRODUCT(Oxides_max!$C16:$BB16,Factors!$C$36:$BB$36))/2),ABS(SUMPRODUCT(Oxides_max!$C16:$BB16,Factors!$C$36:$BB$36)-SUMPRODUCT(Oxides_min!$C16:$BB16,Factors!$C$36:$BB$36))/2)</f>
        <v>0</v>
      </c>
      <c r="AD16" s="20">
        <f>MIN(MAX(0,(SUMPRODUCT(Oxides_min!$C16:$BB16,Factors!$C$37:$BB$37)+SUMPRODUCT(Oxides_max!$C16:$BB16,Factors!$C$37:$BB$37))/2),ABS(SUMPRODUCT(Oxides_max!$C16:$BB16,Factors!$C$37:$BB$37)-SUMPRODUCT(Oxides_min!$C16:$BB16,Factors!$C$37:$BB$37))/2)</f>
        <v>0.22381348875936713</v>
      </c>
      <c r="AE16" s="20">
        <f>MIN(MAX(0,(SUMPRODUCT(Oxides_min!$C16:$BB16,Factors!$C$38:$BB$38)+SUMPRODUCT(Oxides_max!$C16:$BB16,Factors!$C$38:$BB$38))/2),ABS(SUMPRODUCT(Oxides_max!$C16:$BB16,Factors!$C$38:$BB$38)-SUMPRODUCT(Oxides_min!$C16:$BB16,Factors!$C$38:$BB$38))/2)</f>
        <v>0</v>
      </c>
      <c r="AF16" s="20">
        <f>MIN(MAX(0,(SUMPRODUCT(Oxides_min!$C16:$BB16,Factors!$C$39:$BB$39)+SUMPRODUCT(Oxides_max!$C16:$BB16,Factors!$C$39:$BB$39))/2),ABS(SUMPRODUCT(Oxides_max!$C16:$BB16,Factors!$C$39:$BB$39)-SUMPRODUCT(Oxides_min!$C16:$BB16,Factors!$C$39:$BB$39))/2)</f>
        <v>0</v>
      </c>
      <c r="AG16" s="20">
        <f>MIN(MAX(0,(SUMPRODUCT(Oxides_min!$C16:$BB16,Factors!$C$40:$BB$40)+SUMPRODUCT(Oxides_max!$C16:$BB16,Factors!$C$40:$BB$40))/2),ABS(SUMPRODUCT(Oxides_max!$C16:$BB16,Factors!$C$40:$BB$40)-SUMPRODUCT(Oxides_min!$C16:$BB16,Factors!$C$40:$BB$40))/2)</f>
        <v>3.5152473699579261</v>
      </c>
      <c r="AH16" s="20">
        <f>MIN(MAX(0,(SUMPRODUCT(Oxides_min!$C16:$BB16,Factors!$C$41:$BB$41)+SUMPRODUCT(Oxides_max!$C16:$BB16,Factors!$C$41:$BB$41))/2),ABS(SUMPRODUCT(Oxides_max!$C16:$BB16,Factors!$C$41:$BB$41)-SUMPRODUCT(Oxides_min!$C16:$BB16,Factors!$C$41:$BB$41))/2)</f>
        <v>0.22037517482979752</v>
      </c>
      <c r="AI16" s="20">
        <f>MIN(MAX(0,(SUMPRODUCT(Oxides_min!$C16:$BB16,Factors!$C$42:$BB$42)+SUMPRODUCT(Oxides_max!$C16:$BB16,Factors!$C$42:$BB$42))/2),ABS(SUMPRODUCT(Oxides_max!$C16:$BB16,Factors!$C$42:$BB$42)-SUMPRODUCT(Oxides_min!$C16:$BB16,Factors!$C$42:$BB$42))/2)</f>
        <v>0</v>
      </c>
      <c r="AJ16" s="20">
        <f>MIN(MAX(0,(SUMPRODUCT(Oxides_min!$C16:$BB16,Factors!$C$43:$BB$43)+SUMPRODUCT(Oxides_max!$C16:$BB16,Factors!$C$43:$BB$43))/2),ABS(SUMPRODUCT(Oxides_max!$C16:$BB16,Factors!$C$43:$BB$43)-SUMPRODUCT(Oxides_min!$C16:$BB16,Factors!$C$43:$BB$43))/2)</f>
        <v>1.5748879095347443</v>
      </c>
      <c r="AK16" s="20">
        <f>MIN(MAX(0,(SUMPRODUCT(Oxides_min!$C16:$BB16,Factors!$C$44:$BB$44)+SUMPRODUCT(Oxides_max!$C16:$BB16,Factors!$C$44:$BB$44))/2),ABS(SUMPRODUCT(Oxides_max!$C16:$BB16,Factors!$C$44:$BB$44)-SUMPRODUCT(Oxides_min!$C16:$BB16,Factors!$C$44:$BB$44))/2)</f>
        <v>5.1160988894254693</v>
      </c>
      <c r="AL16" s="20">
        <f>MIN(MAX(0,(SUMPRODUCT(Oxides_min!$C16:$BB16,Factors!$C$45:$BB$45)+SUMPRODUCT(Oxides_max!$C16:$BB16,Factors!$C$45:$BB$45))/2),ABS(SUMPRODUCT(Oxides_max!$C16:$BB16,Factors!$C$45:$BB$45)-SUMPRODUCT(Oxides_min!$C16:$BB16,Factors!$C$45:$BB$45))/2)</f>
        <v>6.4032733244167943</v>
      </c>
      <c r="AM16" s="20">
        <f>MIN(MAX(0,(SUMPRODUCT(Oxides_min!$C16:$BB16,Factors!$C$46:$BB$46)+SUMPRODUCT(Oxides_max!$C16:$BB16,Factors!$C$46:$BB$46))/2),ABS(SUMPRODUCT(Oxides_max!$C16:$BB16,Factors!$C$46:$BB$46)-SUMPRODUCT(Oxides_min!$C16:$BB16,Factors!$C$46:$BB$46))/2)</f>
        <v>1.2817076693799674</v>
      </c>
      <c r="AN16" s="20">
        <f>MIN(MAX(0,(SUMPRODUCT(Oxides_min!$C16:$BB16,Factors!$C$47:$BB$47)+SUMPRODUCT(Oxides_max!$C16:$BB16,Factors!$C$47:$BB$47))/2),ABS(SUMPRODUCT(Oxides_max!$C16:$BB16,Factors!$C$47:$BB$47)-SUMPRODUCT(Oxides_min!$C16:$BB16,Factors!$C$47:$BB$47))/2)</f>
        <v>6.4301699055815931</v>
      </c>
      <c r="AO16" s="20">
        <f>MIN(MAX(0,(SUMPRODUCT(Oxides_min!$C16:$BB16,Factors!$C$48:$BB$48)+SUMPRODUCT(Oxides_max!$C16:$BB16,Factors!$C$48:$BB$48))/2),ABS(SUMPRODUCT(Oxides_max!$C16:$BB16,Factors!$C$48:$BB$48)-SUMPRODUCT(Oxides_min!$C16:$BB16,Factors!$C$48:$BB$48))/2)</f>
        <v>1.5091320469033629</v>
      </c>
      <c r="AP16" s="20">
        <f>MIN(MAX(0,(SUMPRODUCT(Oxides_min!$C16:$BB16,Factors!$C$49:$BB$49)+SUMPRODUCT(Oxides_max!$C16:$BB16,Factors!$C$49:$BB$49))/2),ABS(SUMPRODUCT(Oxides_max!$C16:$BB16,Factors!$C$49:$BB$49)-SUMPRODUCT(Oxides_min!$C16:$BB16,Factors!$C$49:$BB$49))/2)</f>
        <v>0.77725424451232505</v>
      </c>
      <c r="AQ16" s="20">
        <f>MIN(MAX(0,(SUMPRODUCT(Oxides_min!$C16:$BB16,Factors!$C$50:$BB$50)+SUMPRODUCT(Oxides_max!$C16:$BB16,Factors!$C$50:$BB$50))/2),ABS(SUMPRODUCT(Oxides_max!$C16:$BB16,Factors!$C$50:$BB$50)-SUMPRODUCT(Oxides_min!$C16:$BB16,Factors!$C$50:$BB$50))/2)</f>
        <v>1.4315290885165946</v>
      </c>
      <c r="AR16" s="20">
        <f>MIN(MAX(0,(SUMPRODUCT(Oxides_min!$C16:$BB16,Factors!$C$51:$BB$51)+SUMPRODUCT(Oxides_max!$C16:$BB16,Factors!$C$51:$BB$51))/2),ABS(SUMPRODUCT(Oxides_max!$C16:$BB16,Factors!$C$51:$BB$51)-SUMPRODUCT(Oxides_min!$C16:$BB16,Factors!$C$51:$BB$51))/2)</f>
        <v>0.17376121265761682</v>
      </c>
      <c r="AS16" s="20">
        <f>MIN(MAX(0,(SUMPRODUCT(Oxides_min!$C16:$BB16,Factors!$C$52:$BB$52)+SUMPRODUCT(Oxides_max!$C16:$BB16,Factors!$C$52:$BB$52))/2),ABS(SUMPRODUCT(Oxides_max!$C16:$BB16,Factors!$C$52:$BB$52)-SUMPRODUCT(Oxides_min!$C16:$BB16,Factors!$C$52:$BB$52))/2)</f>
        <v>0.74062257873387716</v>
      </c>
      <c r="AT16" s="20">
        <f>MIN(MAX(0,(SUMPRODUCT(Oxides_min!$C16:$BB16,Factors!$C$53:$BB$53)+SUMPRODUCT(Oxides_max!$C16:$BB16,Factors!$C$53:$BB$53))/2),ABS(SUMPRODUCT(Oxides_max!$C16:$BB16,Factors!$C$53:$BB$53)-SUMPRODUCT(Oxides_min!$C16:$BB16,Factors!$C$53:$BB$53))/2)</f>
        <v>0.17459519545005386</v>
      </c>
      <c r="AU16" s="20">
        <f>MIN(MAX(0,(SUMPRODUCT(Oxides_min!$C16:$BB16,Factors!$C$54:$BB$54)+SUMPRODUCT(Oxides_max!$C16:$BB16,Factors!$C$54:$BB$54))/2),ABS(SUMPRODUCT(Oxides_max!$C16:$BB16,Factors!$C$54:$BB$54)-SUMPRODUCT(Oxides_min!$C16:$BB16,Factors!$C$54:$BB$54))/2)</f>
        <v>0.48098741225834279</v>
      </c>
      <c r="AV16" s="20">
        <f>MIN(MAX(0,(SUMPRODUCT(Oxides_min!$C16:$BB16,Factors!$C$55:$BB$55)+SUMPRODUCT(Oxides_max!$C16:$BB16,Factors!$C$55:$BB$55))/2),ABS(SUMPRODUCT(Oxides_max!$C16:$BB16,Factors!$C$55:$BB$55)-SUMPRODUCT(Oxides_min!$C16:$BB16,Factors!$C$55:$BB$55))/2)</f>
        <v>0.21890301966405698</v>
      </c>
      <c r="AW16" s="20">
        <f>MIN(MAX(0,(SUMPRODUCT(Oxides_min!$C16:$BB16,Factors!$C$56:$BB$56)+SUMPRODUCT(Oxides_max!$C16:$BB16,Factors!$C$56:$BB$56))/2),ABS(SUMPRODUCT(Oxides_max!$C16:$BB16,Factors!$C$56:$BB$56)-SUMPRODUCT(Oxides_min!$C16:$BB16,Factors!$C$56:$BB$56))/2)</f>
        <v>0.21955177410064275</v>
      </c>
      <c r="AX16" s="20">
        <f>MIN(MAX(0,(SUMPRODUCT(Oxides_min!$C16:$BB16,Factors!$C$57:$BB$57)+SUMPRODUCT(Oxides_max!$C16:$BB16,Factors!$C$57:$BB$57))/2),ABS(SUMPRODUCT(Oxides_max!$C16:$BB16,Factors!$C$57:$BB$57)-SUMPRODUCT(Oxides_min!$C16:$BB16,Factors!$C$57:$BB$57))/2)</f>
        <v>4.3969174524401994E-2</v>
      </c>
      <c r="AY16" s="20">
        <f>MIN(MAX(0,(SUMPRODUCT(Oxides_min!$C16:$BB16,Factors!$C$58:$BB$58)+SUMPRODUCT(Oxides_max!$C16:$BB16,Factors!$C$58:$BB$58))/2),ABS(SUMPRODUCT(Oxides_max!$C16:$BB16,Factors!$C$58:$BB$58)-SUMPRODUCT(Oxides_min!$C16:$BB16,Factors!$C$58:$BB$58))/2)</f>
        <v>0</v>
      </c>
      <c r="AZ16" s="18">
        <f t="shared" si="0"/>
        <v>46.65</v>
      </c>
    </row>
    <row r="17" spans="1:52" x14ac:dyDescent="0.35">
      <c r="A17" s="13" t="s">
        <v>155</v>
      </c>
      <c r="B17" s="20">
        <f>MIN(MAX(0,(SUMPRODUCT(Oxides_min!$C17:$BB17,Factors!$C$9:$BB$9)+SUMPRODUCT(Oxides_max!$C17:$BB17,Factors!$C$9:$BB$9))/2),ABS(SUMPRODUCT(Oxides_max!$C17:$BB17,Factors!$C$9:$BB$9)-SUMPRODUCT(Oxides_min!$C17:$BB17,Factors!$C$9:$BB$9))/2)</f>
        <v>1.4975557205055883</v>
      </c>
      <c r="C17" s="20">
        <f>MIN(MAX(0,(SUMPRODUCT(Oxides_min!$C17:$BB17,Factors!$C$10:$BB$10)+SUMPRODUCT(Oxides_max!$C17:$BB17,Factors!$C$10:$BB$10))/2),ABS(SUMPRODUCT(Oxides_max!$C17:$BB17,Factors!$C$10:$BB$10)-SUMPRODUCT(Oxides_min!$C17:$BB17,Factors!$C$10:$BB$10))/2)</f>
        <v>0.11685917813691062</v>
      </c>
      <c r="D17" s="20">
        <f>MIN(MAX(0,(SUMPRODUCT(Oxides_min!$C17:$BB17,Factors!$C$11:$BB$11)+SUMPRODUCT(Oxides_max!$C17:$BB17,Factors!$C$11:$BB$11))/2),ABS(SUMPRODUCT(Oxides_max!$C17:$BB17,Factors!$C$11:$BB$11)-SUMPRODUCT(Oxides_min!$C17:$BB17,Factors!$C$11:$BB$11))/2)</f>
        <v>0</v>
      </c>
      <c r="E17" s="20">
        <f>MIN(MAX(0,(SUMPRODUCT(Oxides_min!$C17:$BB17,Factors!$C$12:$BB$12)+SUMPRODUCT(Oxides_max!$C17:$BB17,Factors!$C$12:$BB$12))/2),ABS(SUMPRODUCT(Oxides_max!$C17:$BB17,Factors!$C$12:$BB$12)-SUMPRODUCT(Oxides_min!$C17:$BB17,Factors!$C$12:$BB$12))/2)</f>
        <v>0</v>
      </c>
      <c r="F17" s="20">
        <f>MIN(MAX(0,(SUMPRODUCT(Oxides_min!$C17:$BB17,Factors!$C$13:$BB$13)+SUMPRODUCT(Oxides_max!$C17:$BB17,Factors!$C$13:$BB$13))/2),ABS(SUMPRODUCT(Oxides_max!$C17:$BB17,Factors!$C$13:$BB$13)-SUMPRODUCT(Oxides_min!$C17:$BB17,Factors!$C$13:$BB$13))/2)</f>
        <v>0</v>
      </c>
      <c r="G17" s="20">
        <f>MIN(MAX(0,(SUMPRODUCT(Oxides_min!$C17:$BB17,Factors!$C$14:$BB$14)+SUMPRODUCT(Oxides_max!$C17:$BB17,Factors!$C$14:$BB$14))/2),ABS(SUMPRODUCT(Oxides_max!$C17:$BB17,Factors!$C$14:$BB$14)-SUMPRODUCT(Oxides_min!$C17:$BB17,Factors!$C$14:$BB$14))/2)</f>
        <v>0</v>
      </c>
      <c r="H17" s="20">
        <f>MIN(MAX(0,(SUMPRODUCT(Oxides_min!$C17:$BB17,Factors!$C$15:$BB$15)+SUMPRODUCT(Oxides_max!$C17:$BB17,Factors!$C$15:$BB$15))/2),ABS(SUMPRODUCT(Oxides_max!$C17:$BB17,Factors!$C$15:$BB$15)-SUMPRODUCT(Oxides_min!$C17:$BB17,Factors!$C$15:$BB$15))/2)</f>
        <v>0</v>
      </c>
      <c r="I17" s="20">
        <f>MIN(MAX(0,(SUMPRODUCT(Oxides_min!$C17:$BB17,Factors!$C$16:$BB$16)+SUMPRODUCT(Oxides_max!$C17:$BB17,Factors!$C$16:$BB$16))/2),ABS(SUMPRODUCT(Oxides_max!$C17:$BB17,Factors!$C$16:$BB$16)-SUMPRODUCT(Oxides_min!$C17:$BB17,Factors!$C$16:$BB$16))/2)</f>
        <v>0.10491461421405625</v>
      </c>
      <c r="J17" s="20">
        <f>MIN(MAX(0,(SUMPRODUCT(Oxides_min!$C17:$BB17,Factors!$C$17:$BB$17)+SUMPRODUCT(Oxides_max!$C17:$BB17,Factors!$C$17:$BB$17))/2),ABS(SUMPRODUCT(Oxides_max!$C17:$BB17,Factors!$C$17:$BB$17)-SUMPRODUCT(Oxides_min!$C17:$BB17,Factors!$C$17:$BB$17))/2)</f>
        <v>0</v>
      </c>
      <c r="K17" s="20">
        <f>MIN(MAX(0,(SUMPRODUCT(Oxides_min!$C17:$BB17,Factors!$C$18:$BB$18)+SUMPRODUCT(Oxides_max!$C17:$BB17,Factors!$C$18:$BB$18))/2),ABS(SUMPRODUCT(Oxides_max!$C17:$BB17,Factors!$C$18:$BB$18)-SUMPRODUCT(Oxides_min!$C17:$BB17,Factors!$C$18:$BB$18))/2)</f>
        <v>0</v>
      </c>
      <c r="L17" s="20">
        <f>MIN(MAX(0,(SUMPRODUCT(Oxides_min!$C17:$BB17,Factors!$C$19:$BB$19)+SUMPRODUCT(Oxides_max!$C17:$BB17,Factors!$C$19:$BB$19))/2),ABS(SUMPRODUCT(Oxides_max!$C17:$BB17,Factors!$C$19:$BB$19)-SUMPRODUCT(Oxides_min!$C17:$BB17,Factors!$C$19:$BB$19))/2)</f>
        <v>0</v>
      </c>
      <c r="M17" s="20">
        <f>MIN(MAX(0,(SUMPRODUCT(Oxides_min!$C17:$BB17,Factors!$C$20:$BB$20)+SUMPRODUCT(Oxides_max!$C17:$BB17,Factors!$C$20:$BB$20))/2),ABS(SUMPRODUCT(Oxides_max!$C17:$BB17,Factors!$C$20:$BB$20)-SUMPRODUCT(Oxides_min!$C17:$BB17,Factors!$C$20:$BB$20))/2)</f>
        <v>0</v>
      </c>
      <c r="N17" s="20">
        <f>MIN(MAX(0,(SUMPRODUCT(Oxides_min!$C17:$BB17,Factors!$C$21:$BB$21)+SUMPRODUCT(Oxides_max!$C17:$BB17,Factors!$C$21:$BB$21))/2),ABS(SUMPRODUCT(Oxides_max!$C17:$BB17,Factors!$C$21:$BB$21)-SUMPRODUCT(Oxides_min!$C17:$BB17,Factors!$C$21:$BB$21))/2)</f>
        <v>0.35734793230736306</v>
      </c>
      <c r="O17" s="20">
        <f>MIN(MAX(0,(SUMPRODUCT(Oxides_min!$C17:$BB17,Factors!$C$22:$BB$22)+SUMPRODUCT(Oxides_max!$C17:$BB17,Factors!$C$22:$BB$22))/2),ABS(SUMPRODUCT(Oxides_max!$C17:$BB17,Factors!$C$22:$BB$22)-SUMPRODUCT(Oxides_min!$C17:$BB17,Factors!$C$22:$BB$22))/2)</f>
        <v>0</v>
      </c>
      <c r="P17" s="20">
        <f>MIN(MAX(0,(SUMPRODUCT(Oxides_min!$C17:$BB17,Factors!$C$23:$BB$23)+SUMPRODUCT(Oxides_max!$C17:$BB17,Factors!$C$23:$BB$23))/2),ABS(SUMPRODUCT(Oxides_max!$C17:$BB17,Factors!$C$23:$BB$23)-SUMPRODUCT(Oxides_min!$C17:$BB17,Factors!$C$23:$BB$23))/2)</f>
        <v>0</v>
      </c>
      <c r="Q17" s="20">
        <f>MIN(MAX(0,(SUMPRODUCT(Oxides_min!$C17:$BB17,Factors!$C$24:$BB$24)+SUMPRODUCT(Oxides_max!$C17:$BB17,Factors!$C$24:$BB$24))/2),ABS(SUMPRODUCT(Oxides_max!$C17:$BB17,Factors!$C$24:$BB$24)-SUMPRODUCT(Oxides_min!$C17:$BB17,Factors!$C$24:$BB$24))/2)</f>
        <v>0</v>
      </c>
      <c r="R17" s="20">
        <f>MIN(MAX(0,(SUMPRODUCT(Oxides_min!$C17:$BB17,Factors!$C$25:$BB$25)+SUMPRODUCT(Oxides_max!$C17:$BB17,Factors!$C$25:$BB$25))/2),ABS(SUMPRODUCT(Oxides_max!$C17:$BB17,Factors!$C$25:$BB$25)-SUMPRODUCT(Oxides_min!$C17:$BB17,Factors!$C$25:$BB$25))/2)</f>
        <v>0</v>
      </c>
      <c r="S17" s="20">
        <f>MIN(MAX(0,(SUMPRODUCT(Oxides_min!$C17:$BB17,Factors!$C$26:$BB$26)+SUMPRODUCT(Oxides_max!$C17:$BB17,Factors!$C$26:$BB$26))/2),ABS(SUMPRODUCT(Oxides_max!$C17:$BB17,Factors!$C$26:$BB$26)-SUMPRODUCT(Oxides_min!$C17:$BB17,Factors!$C$26:$BB$26))/2)</f>
        <v>0</v>
      </c>
      <c r="T17" s="20">
        <f>MIN(MAX(0,(SUMPRODUCT(Oxides_min!$C17:$BB17,Factors!$C$27:$BB$27)+SUMPRODUCT(Oxides_max!$C17:$BB17,Factors!$C$27:$BB$27))/2),ABS(SUMPRODUCT(Oxides_max!$C17:$BB17,Factors!$C$27:$BB$27)-SUMPRODUCT(Oxides_min!$C17:$BB17,Factors!$C$27:$BB$27))/2)</f>
        <v>0</v>
      </c>
      <c r="U17" s="20">
        <f>MIN(MAX(0,(SUMPRODUCT(Oxides_min!$C17:$BB17,Factors!$C$28:$BB$28)+SUMPRODUCT(Oxides_max!$C17:$BB17,Factors!$C$28:$BB$28))/2),ABS(SUMPRODUCT(Oxides_max!$C17:$BB17,Factors!$C$28:$BB$28)-SUMPRODUCT(Oxides_min!$C17:$BB17,Factors!$C$28:$BB$28))/2)</f>
        <v>0</v>
      </c>
      <c r="V17" s="20">
        <f>MIN(MAX(0,(SUMPRODUCT(Oxides_min!$C17:$BB17,Factors!$C$29:$BB$29)+SUMPRODUCT(Oxides_max!$C17:$BB17,Factors!$C$29:$BB$29))/2),ABS(SUMPRODUCT(Oxides_max!$C17:$BB17,Factors!$C$29:$BB$29)-SUMPRODUCT(Oxides_min!$C17:$BB17,Factors!$C$29:$BB$29))/2)</f>
        <v>0</v>
      </c>
      <c r="W17" s="20">
        <f>MIN(MAX(0,(SUMPRODUCT(Oxides_min!$C17:$BB17,Factors!$C$30:$BB$30)+SUMPRODUCT(Oxides_max!$C17:$BB17,Factors!$C$30:$BB$30))/2),ABS(SUMPRODUCT(Oxides_max!$C17:$BB17,Factors!$C$30:$BB$30)-SUMPRODUCT(Oxides_min!$C17:$BB17,Factors!$C$30:$BB$30))/2)</f>
        <v>0</v>
      </c>
      <c r="X17" s="20">
        <f>MIN(MAX(0,(SUMPRODUCT(Oxides_min!$C17:$BB17,Factors!$C$31:$BB$31)+SUMPRODUCT(Oxides_max!$C17:$BB17,Factors!$C$31:$BB$31))/2),ABS(SUMPRODUCT(Oxides_max!$C17:$BB17,Factors!$C$31:$BB$31)-SUMPRODUCT(Oxides_min!$C17:$BB17,Factors!$C$31:$BB$31))/2)</f>
        <v>0</v>
      </c>
      <c r="Y17" s="20">
        <f>MIN(MAX(0,(SUMPRODUCT(Oxides_min!$C17:$BB17,Factors!$C$32:$BB$32)+SUMPRODUCT(Oxides_max!$C17:$BB17,Factors!$C$32:$BB$32))/2),ABS(SUMPRODUCT(Oxides_max!$C17:$BB17,Factors!$C$32:$BB$32)-SUMPRODUCT(Oxides_min!$C17:$BB17,Factors!$C$32:$BB$32))/2)</f>
        <v>0</v>
      </c>
      <c r="Z17" s="20">
        <f>MIN(MAX(0,(SUMPRODUCT(Oxides_min!$C17:$BB17,Factors!$C$33:$BB$33)+SUMPRODUCT(Oxides_max!$C17:$BB17,Factors!$C$33:$BB$33))/2),ABS(SUMPRODUCT(Oxides_max!$C17:$BB17,Factors!$C$33:$BB$33)-SUMPRODUCT(Oxides_min!$C17:$BB17,Factors!$C$33:$BB$33))/2)</f>
        <v>0</v>
      </c>
      <c r="AA17" s="20">
        <f>MIN(MAX(0,(SUMPRODUCT(Oxides_min!$C17:$BB17,Factors!$C$34:$BB$34)+SUMPRODUCT(Oxides_max!$C17:$BB17,Factors!$C$34:$BB$34))/2),ABS(SUMPRODUCT(Oxides_max!$C17:$BB17,Factors!$C$34:$BB$34)-SUMPRODUCT(Oxides_min!$C17:$BB17,Factors!$C$34:$BB$34))/2)</f>
        <v>0</v>
      </c>
      <c r="AB17" s="20">
        <f>MIN(MAX(0,(SUMPRODUCT(Oxides_min!$C17:$BB17,Factors!$C$35:$BB$35)+SUMPRODUCT(Oxides_max!$C17:$BB17,Factors!$C$35:$BB$35))/2),ABS(SUMPRODUCT(Oxides_max!$C17:$BB17,Factors!$C$35:$BB$35)-SUMPRODUCT(Oxides_min!$C17:$BB17,Factors!$C$35:$BB$35))/2)</f>
        <v>0</v>
      </c>
      <c r="AC17" s="20">
        <f>MIN(MAX(0,(SUMPRODUCT(Oxides_min!$C17:$BB17,Factors!$C$36:$BB$36)+SUMPRODUCT(Oxides_max!$C17:$BB17,Factors!$C$36:$BB$36))/2),ABS(SUMPRODUCT(Oxides_max!$C17:$BB17,Factors!$C$36:$BB$36)-SUMPRODUCT(Oxides_min!$C17:$BB17,Factors!$C$36:$BB$36))/2)</f>
        <v>0</v>
      </c>
      <c r="AD17" s="20">
        <f>MIN(MAX(0,(SUMPRODUCT(Oxides_min!$C17:$BB17,Factors!$C$37:$BB$37)+SUMPRODUCT(Oxides_max!$C17:$BB17,Factors!$C$37:$BB$37))/2),ABS(SUMPRODUCT(Oxides_max!$C17:$BB17,Factors!$C$37:$BB$37)-SUMPRODUCT(Oxides_min!$C17:$BB17,Factors!$C$37:$BB$37))/2)</f>
        <v>0</v>
      </c>
      <c r="AE17" s="20">
        <f>MIN(MAX(0,(SUMPRODUCT(Oxides_min!$C17:$BB17,Factors!$C$38:$BB$38)+SUMPRODUCT(Oxides_max!$C17:$BB17,Factors!$C$38:$BB$38))/2),ABS(SUMPRODUCT(Oxides_max!$C17:$BB17,Factors!$C$38:$BB$38)-SUMPRODUCT(Oxides_min!$C17:$BB17,Factors!$C$38:$BB$38))/2)</f>
        <v>2.5</v>
      </c>
      <c r="AF17" s="20">
        <f>MIN(MAX(0,(SUMPRODUCT(Oxides_min!$C17:$BB17,Factors!$C$39:$BB$39)+SUMPRODUCT(Oxides_max!$C17:$BB17,Factors!$C$39:$BB$39))/2),ABS(SUMPRODUCT(Oxides_max!$C17:$BB17,Factors!$C$39:$BB$39)-SUMPRODUCT(Oxides_min!$C17:$BB17,Factors!$C$39:$BB$39))/2)</f>
        <v>0</v>
      </c>
      <c r="AG17" s="20">
        <f>MIN(MAX(0,(SUMPRODUCT(Oxides_min!$C17:$BB17,Factors!$C$40:$BB$40)+SUMPRODUCT(Oxides_max!$C17:$BB17,Factors!$C$40:$BB$40))/2),ABS(SUMPRODUCT(Oxides_max!$C17:$BB17,Factors!$C$40:$BB$40)-SUMPRODUCT(Oxides_min!$C17:$BB17,Factors!$C$40:$BB$40))/2)</f>
        <v>0.87881184248948152</v>
      </c>
      <c r="AH17" s="20">
        <f>MIN(MAX(0,(SUMPRODUCT(Oxides_min!$C17:$BB17,Factors!$C$41:$BB$41)+SUMPRODUCT(Oxides_max!$C17:$BB17,Factors!$C$41:$BB$41))/2),ABS(SUMPRODUCT(Oxides_max!$C17:$BB17,Factors!$C$41:$BB$41)-SUMPRODUCT(Oxides_min!$C17:$BB17,Factors!$C$41:$BB$41))/2)</f>
        <v>0</v>
      </c>
      <c r="AI17" s="20">
        <f>MIN(MAX(0,(SUMPRODUCT(Oxides_min!$C17:$BB17,Factors!$C$42:$BB$42)+SUMPRODUCT(Oxides_max!$C17:$BB17,Factors!$C$42:$BB$42))/2),ABS(SUMPRODUCT(Oxides_max!$C17:$BB17,Factors!$C$42:$BB$42)-SUMPRODUCT(Oxides_min!$C17:$BB17,Factors!$C$42:$BB$42))/2)</f>
        <v>0</v>
      </c>
      <c r="AJ17" s="20">
        <f>MIN(MAX(0,(SUMPRODUCT(Oxides_min!$C17:$BB17,Factors!$C$43:$BB$43)+SUMPRODUCT(Oxides_max!$C17:$BB17,Factors!$C$43:$BB$43))/2),ABS(SUMPRODUCT(Oxides_max!$C17:$BB17,Factors!$C$43:$BB$43)-SUMPRODUCT(Oxides_min!$C17:$BB17,Factors!$C$43:$BB$43))/2)</f>
        <v>0.39372197738368608</v>
      </c>
      <c r="AK17" s="20">
        <f>MIN(MAX(0,(SUMPRODUCT(Oxides_min!$C17:$BB17,Factors!$C$44:$BB$44)+SUMPRODUCT(Oxides_max!$C17:$BB17,Factors!$C$44:$BB$44))/2),ABS(SUMPRODUCT(Oxides_max!$C17:$BB17,Factors!$C$44:$BB$44)-SUMPRODUCT(Oxides_min!$C17:$BB17,Factors!$C$44:$BB$44))/2)</f>
        <v>7.6741483341382031</v>
      </c>
      <c r="AL17" s="20">
        <f>MIN(MAX(0,(SUMPRODUCT(Oxides_min!$C17:$BB17,Factors!$C$45:$BB$45)+SUMPRODUCT(Oxides_max!$C17:$BB17,Factors!$C$45:$BB$45))/2),ABS(SUMPRODUCT(Oxides_max!$C17:$BB17,Factors!$C$45:$BB$45)-SUMPRODUCT(Oxides_min!$C17:$BB17,Factors!$C$45:$BB$45))/2)</f>
        <v>7.2570431010056993</v>
      </c>
      <c r="AM17" s="20">
        <f>MIN(MAX(0,(SUMPRODUCT(Oxides_min!$C17:$BB17,Factors!$C$46:$BB$46)+SUMPRODUCT(Oxides_max!$C17:$BB17,Factors!$C$46:$BB$46))/2),ABS(SUMPRODUCT(Oxides_max!$C17:$BB17,Factors!$C$46:$BB$46)-SUMPRODUCT(Oxides_min!$C17:$BB17,Factors!$C$46:$BB$46))/2)</f>
        <v>1.4953256142766285</v>
      </c>
      <c r="AN17" s="20">
        <f>MIN(MAX(0,(SUMPRODUCT(Oxides_min!$C17:$BB17,Factors!$C$47:$BB$47)+SUMPRODUCT(Oxides_max!$C17:$BB17,Factors!$C$47:$BB$47))/2),ABS(SUMPRODUCT(Oxides_max!$C17:$BB17,Factors!$C$47:$BB$47)-SUMPRODUCT(Oxides_min!$C17:$BB17,Factors!$C$47:$BB$47))/2)</f>
        <v>4.7154579307598343</v>
      </c>
      <c r="AO17" s="20">
        <f>MIN(MAX(0,(SUMPRODUCT(Oxides_min!$C17:$BB17,Factors!$C$48:$BB$48)+SUMPRODUCT(Oxides_max!$C17:$BB17,Factors!$C$48:$BB$48))/2),ABS(SUMPRODUCT(Oxides_max!$C17:$BB17,Factors!$C$48:$BB$48)-SUMPRODUCT(Oxides_min!$C17:$BB17,Factors!$C$48:$BB$48))/2)</f>
        <v>0.81924311117611126</v>
      </c>
      <c r="AP17" s="20">
        <f>MIN(MAX(0,(SUMPRODUCT(Oxides_min!$C17:$BB17,Factors!$C$49:$BB$49)+SUMPRODUCT(Oxides_max!$C17:$BB17,Factors!$C$49:$BB$49))/2),ABS(SUMPRODUCT(Oxides_max!$C17:$BB17,Factors!$C$49:$BB$49)-SUMPRODUCT(Oxides_min!$C17:$BB17,Factors!$C$49:$BB$49))/2)</f>
        <v>8.6361582723591679E-2</v>
      </c>
      <c r="AQ17" s="20">
        <f>MIN(MAX(0,(SUMPRODUCT(Oxides_min!$C17:$BB17,Factors!$C$50:$BB$50)+SUMPRODUCT(Oxides_max!$C17:$BB17,Factors!$C$50:$BB$50))/2),ABS(SUMPRODUCT(Oxides_max!$C17:$BB17,Factors!$C$50:$BB$50)-SUMPRODUCT(Oxides_min!$C17:$BB17,Factors!$C$50:$BB$50))/2)</f>
        <v>0.43379669348987715</v>
      </c>
      <c r="AR17" s="20">
        <f>MIN(MAX(0,(SUMPRODUCT(Oxides_min!$C17:$BB17,Factors!$C$51:$BB$51)+SUMPRODUCT(Oxides_max!$C17:$BB17,Factors!$C$51:$BB$51))/2),ABS(SUMPRODUCT(Oxides_max!$C17:$BB17,Factors!$C$51:$BB$51)-SUMPRODUCT(Oxides_min!$C17:$BB17,Factors!$C$51:$BB$51))/2)</f>
        <v>0</v>
      </c>
      <c r="AS17" s="20">
        <f>MIN(MAX(0,(SUMPRODUCT(Oxides_min!$C17:$BB17,Factors!$C$52:$BB$52)+SUMPRODUCT(Oxides_max!$C17:$BB17,Factors!$C$52:$BB$52))/2),ABS(SUMPRODUCT(Oxides_max!$C17:$BB17,Factors!$C$52:$BB$52)-SUMPRODUCT(Oxides_min!$C17:$BB17,Factors!$C$52:$BB$52))/2)</f>
        <v>0</v>
      </c>
      <c r="AT17" s="20">
        <f>MIN(MAX(0,(SUMPRODUCT(Oxides_min!$C17:$BB17,Factors!$C$53:$BB$53)+SUMPRODUCT(Oxides_max!$C17:$BB17,Factors!$C$53:$BB$53))/2),ABS(SUMPRODUCT(Oxides_max!$C17:$BB17,Factors!$C$53:$BB$53)-SUMPRODUCT(Oxides_min!$C17:$BB17,Factors!$C$53:$BB$53))/2)</f>
        <v>0</v>
      </c>
      <c r="AU17" s="20">
        <f>MIN(MAX(0,(SUMPRODUCT(Oxides_min!$C17:$BB17,Factors!$C$54:$BB$54)+SUMPRODUCT(Oxides_max!$C17:$BB17,Factors!$C$54:$BB$54))/2),ABS(SUMPRODUCT(Oxides_max!$C17:$BB17,Factors!$C$54:$BB$54)-SUMPRODUCT(Oxides_min!$C17:$BB17,Factors!$C$54:$BB$54))/2)</f>
        <v>0</v>
      </c>
      <c r="AV17" s="20">
        <f>MIN(MAX(0,(SUMPRODUCT(Oxides_min!$C17:$BB17,Factors!$C$55:$BB$55)+SUMPRODUCT(Oxides_max!$C17:$BB17,Factors!$C$55:$BB$55))/2),ABS(SUMPRODUCT(Oxides_max!$C17:$BB17,Factors!$C$55:$BB$55)-SUMPRODUCT(Oxides_min!$C17:$BB17,Factors!$C$55:$BB$55))/2)</f>
        <v>0</v>
      </c>
      <c r="AW17" s="20">
        <f>MIN(MAX(0,(SUMPRODUCT(Oxides_min!$C17:$BB17,Factors!$C$56:$BB$56)+SUMPRODUCT(Oxides_max!$C17:$BB17,Factors!$C$56:$BB$56))/2),ABS(SUMPRODUCT(Oxides_max!$C17:$BB17,Factors!$C$56:$BB$56)-SUMPRODUCT(Oxides_min!$C17:$BB17,Factors!$C$56:$BB$56))/2)</f>
        <v>0</v>
      </c>
      <c r="AX17" s="20">
        <f>MIN(MAX(0,(SUMPRODUCT(Oxides_min!$C17:$BB17,Factors!$C$57:$BB$57)+SUMPRODUCT(Oxides_max!$C17:$BB17,Factors!$C$57:$BB$57))/2),ABS(SUMPRODUCT(Oxides_max!$C17:$BB17,Factors!$C$57:$BB$57)-SUMPRODUCT(Oxides_min!$C17:$BB17,Factors!$C$57:$BB$57))/2)</f>
        <v>0</v>
      </c>
      <c r="AY17" s="20">
        <f>MIN(MAX(0,(SUMPRODUCT(Oxides_min!$C17:$BB17,Factors!$C$58:$BB$58)+SUMPRODUCT(Oxides_max!$C17:$BB17,Factors!$C$58:$BB$58))/2),ABS(SUMPRODUCT(Oxides_max!$C17:$BB17,Factors!$C$58:$BB$58)-SUMPRODUCT(Oxides_min!$C17:$BB17,Factors!$C$58:$BB$58))/2)</f>
        <v>0</v>
      </c>
      <c r="AZ17" s="18">
        <f t="shared" si="0"/>
        <v>28.330587632607028</v>
      </c>
    </row>
    <row r="18" spans="1:52" x14ac:dyDescent="0.35">
      <c r="A18" s="13" t="s">
        <v>157</v>
      </c>
      <c r="B18" s="20">
        <f>MIN(MAX(0,(SUMPRODUCT(Oxides_min!$C18:$BB18,Factors!$C$9:$BB$9)+SUMPRODUCT(Oxides_max!$C18:$BB18,Factors!$C$9:$BB$9))/2),ABS(SUMPRODUCT(Oxides_max!$C18:$BB18,Factors!$C$9:$BB$9)-SUMPRODUCT(Oxides_min!$C18:$BB18,Factors!$C$9:$BB$9))/2)</f>
        <v>8.6654452596490366</v>
      </c>
      <c r="C18" s="20">
        <f>MIN(MAX(0,(SUMPRODUCT(Oxides_min!$C18:$BB18,Factors!$C$10:$BB$10)+SUMPRODUCT(Oxides_max!$C18:$BB18,Factors!$C$10:$BB$10))/2),ABS(SUMPRODUCT(Oxides_max!$C18:$BB18,Factors!$C$10:$BB$10)-SUMPRODUCT(Oxides_min!$C18:$BB18,Factors!$C$10:$BB$10))/2)</f>
        <v>0.93487342509528482</v>
      </c>
      <c r="D18" s="20">
        <f>MIN(MAX(0,(SUMPRODUCT(Oxides_min!$C18:$BB18,Factors!$C$11:$BB$11)+SUMPRODUCT(Oxides_max!$C18:$BB18,Factors!$C$11:$BB$11))/2),ABS(SUMPRODUCT(Oxides_max!$C18:$BB18,Factors!$C$11:$BB$11)-SUMPRODUCT(Oxides_min!$C18:$BB18,Factors!$C$11:$BB$11))/2)</f>
        <v>2.9967445063544734E-2</v>
      </c>
      <c r="E18" s="20">
        <f>MIN(MAX(0,(SUMPRODUCT(Oxides_min!$C18:$BB18,Factors!$C$12:$BB$12)+SUMPRODUCT(Oxides_max!$C18:$BB18,Factors!$C$12:$BB$12))/2),ABS(SUMPRODUCT(Oxides_max!$C18:$BB18,Factors!$C$12:$BB$12)-SUMPRODUCT(Oxides_min!$C18:$BB18,Factors!$C$12:$BB$12))/2)</f>
        <v>0</v>
      </c>
      <c r="F18" s="20">
        <f>MIN(MAX(0,(SUMPRODUCT(Oxides_min!$C18:$BB18,Factors!$C$13:$BB$13)+SUMPRODUCT(Oxides_max!$C18:$BB18,Factors!$C$13:$BB$13))/2),ABS(SUMPRODUCT(Oxides_max!$C18:$BB18,Factors!$C$13:$BB$13)-SUMPRODUCT(Oxides_min!$C18:$BB18,Factors!$C$13:$BB$13))/2)</f>
        <v>0</v>
      </c>
      <c r="G18" s="20">
        <f>MIN(MAX(0,(SUMPRODUCT(Oxides_min!$C18:$BB18,Factors!$C$14:$BB$14)+SUMPRODUCT(Oxides_max!$C18:$BB18,Factors!$C$14:$BB$14))/2),ABS(SUMPRODUCT(Oxides_max!$C18:$BB18,Factors!$C$14:$BB$14)-SUMPRODUCT(Oxides_min!$C18:$BB18,Factors!$C$14:$BB$14))/2)</f>
        <v>0</v>
      </c>
      <c r="H18" s="20">
        <f>MIN(MAX(0,(SUMPRODUCT(Oxides_min!$C18:$BB18,Factors!$C$15:$BB$15)+SUMPRODUCT(Oxides_max!$C18:$BB18,Factors!$C$15:$BB$15))/2),ABS(SUMPRODUCT(Oxides_max!$C18:$BB18,Factors!$C$15:$BB$15)-SUMPRODUCT(Oxides_min!$C18:$BB18,Factors!$C$15:$BB$15))/2)</f>
        <v>0.39694269503150731</v>
      </c>
      <c r="I18" s="20">
        <f>MIN(MAX(0,(SUMPRODUCT(Oxides_min!$C18:$BB18,Factors!$C$16:$BB$16)+SUMPRODUCT(Oxides_max!$C18:$BB18,Factors!$C$16:$BB$16))/2),ABS(SUMPRODUCT(Oxides_max!$C18:$BB18,Factors!$C$16:$BB$16)-SUMPRODUCT(Oxides_min!$C18:$BB18,Factors!$C$16:$BB$16))/2)</f>
        <v>1.2240038324973228</v>
      </c>
      <c r="J18" s="20">
        <f>MIN(MAX(0,(SUMPRODUCT(Oxides_min!$C18:$BB18,Factors!$C$17:$BB$17)+SUMPRODUCT(Oxides_max!$C18:$BB18,Factors!$C$17:$BB$17))/2),ABS(SUMPRODUCT(Oxides_max!$C18:$BB18,Factors!$C$17:$BB$17)-SUMPRODUCT(Oxides_min!$C18:$BB18,Factors!$C$17:$BB$17))/2)</f>
        <v>0.11616929794819192</v>
      </c>
      <c r="K18" s="20">
        <f>MIN(MAX(0,(SUMPRODUCT(Oxides_min!$C18:$BB18,Factors!$C$18:$BB$18)+SUMPRODUCT(Oxides_max!$C18:$BB18,Factors!$C$18:$BB$18))/2),ABS(SUMPRODUCT(Oxides_max!$C18:$BB18,Factors!$C$18:$BB$18)-SUMPRODUCT(Oxides_min!$C18:$BB18,Factors!$C$18:$BB$18))/2)</f>
        <v>0</v>
      </c>
      <c r="L18" s="20">
        <f>MIN(MAX(0,(SUMPRODUCT(Oxides_min!$C18:$BB18,Factors!$C$19:$BB$19)+SUMPRODUCT(Oxides_max!$C18:$BB18,Factors!$C$19:$BB$19))/2),ABS(SUMPRODUCT(Oxides_max!$C18:$BB18,Factors!$C$19:$BB$19)-SUMPRODUCT(Oxides_min!$C18:$BB18,Factors!$C$19:$BB$19))/2)</f>
        <v>0</v>
      </c>
      <c r="M18" s="20">
        <f>MIN(MAX(0,(SUMPRODUCT(Oxides_min!$C18:$BB18,Factors!$C$20:$BB$20)+SUMPRODUCT(Oxides_max!$C18:$BB18,Factors!$C$20:$BB$20))/2),ABS(SUMPRODUCT(Oxides_max!$C18:$BB18,Factors!$C$20:$BB$20)-SUMPRODUCT(Oxides_min!$C18:$BB18,Factors!$C$20:$BB$20))/2)</f>
        <v>0.66334606986899558</v>
      </c>
      <c r="N18" s="20">
        <f>MIN(MAX(0,(SUMPRODUCT(Oxides_min!$C18:$BB18,Factors!$C$21:$BB$21)+SUMPRODUCT(Oxides_max!$C18:$BB18,Factors!$C$21:$BB$21))/2),ABS(SUMPRODUCT(Oxides_max!$C18:$BB18,Factors!$C$21:$BB$21)-SUMPRODUCT(Oxides_min!$C18:$BB18,Factors!$C$21:$BB$21))/2)</f>
        <v>1.6080656953831336</v>
      </c>
      <c r="O18" s="20">
        <f>MIN(MAX(0,(SUMPRODUCT(Oxides_min!$C18:$BB18,Factors!$C$22:$BB$22)+SUMPRODUCT(Oxides_max!$C18:$BB18,Factors!$C$22:$BB$22))/2),ABS(SUMPRODUCT(Oxides_max!$C18:$BB18,Factors!$C$22:$BB$22)-SUMPRODUCT(Oxides_min!$C18:$BB18,Factors!$C$22:$BB$22))/2)</f>
        <v>0.84559781507252541</v>
      </c>
      <c r="P18" s="20">
        <f>MIN(MAX(0,(SUMPRODUCT(Oxides_min!$C18:$BB18,Factors!$C$23:$BB$23)+SUMPRODUCT(Oxides_max!$C18:$BB18,Factors!$C$23:$BB$23))/2),ABS(SUMPRODUCT(Oxides_max!$C18:$BB18,Factors!$C$23:$BB$23)-SUMPRODUCT(Oxides_min!$C18:$BB18,Factors!$C$23:$BB$23))/2)</f>
        <v>0.22391342629430103</v>
      </c>
      <c r="Q18" s="20">
        <f>MIN(MAX(0,(SUMPRODUCT(Oxides_min!$C18:$BB18,Factors!$C$24:$BB$24)+SUMPRODUCT(Oxides_max!$C18:$BB18,Factors!$C$24:$BB$24))/2),ABS(SUMPRODUCT(Oxides_max!$C18:$BB18,Factors!$C$24:$BB$24)-SUMPRODUCT(Oxides_min!$C18:$BB18,Factors!$C$24:$BB$24))/2)</f>
        <v>0</v>
      </c>
      <c r="R18" s="20">
        <f>MIN(MAX(0,(SUMPRODUCT(Oxides_min!$C18:$BB18,Factors!$C$25:$BB$25)+SUMPRODUCT(Oxides_max!$C18:$BB18,Factors!$C$25:$BB$25))/2),ABS(SUMPRODUCT(Oxides_max!$C18:$BB18,Factors!$C$25:$BB$25)-SUMPRODUCT(Oxides_min!$C18:$BB18,Factors!$C$25:$BB$25))/2)</f>
        <v>0.11127933869113804</v>
      </c>
      <c r="S18" s="20">
        <f>MIN(MAX(0,(SUMPRODUCT(Oxides_min!$C18:$BB18,Factors!$C$26:$BB$26)+SUMPRODUCT(Oxides_max!$C18:$BB18,Factors!$C$26:$BB$26))/2),ABS(SUMPRODUCT(Oxides_max!$C18:$BB18,Factors!$C$26:$BB$26)-SUMPRODUCT(Oxides_min!$C18:$BB18,Factors!$C$26:$BB$26))/2)</f>
        <v>8.3015130218396627E-2</v>
      </c>
      <c r="T18" s="20">
        <f>MIN(MAX(0,(SUMPRODUCT(Oxides_min!$C18:$BB18,Factors!$C$27:$BB$27)+SUMPRODUCT(Oxides_max!$C18:$BB18,Factors!$C$27:$BB$27))/2),ABS(SUMPRODUCT(Oxides_max!$C18:$BB18,Factors!$C$27:$BB$27)-SUMPRODUCT(Oxides_min!$C18:$BB18,Factors!$C$27:$BB$27))/2)</f>
        <v>0</v>
      </c>
      <c r="U18" s="20">
        <f>MIN(MAX(0,(SUMPRODUCT(Oxides_min!$C18:$BB18,Factors!$C$28:$BB$28)+SUMPRODUCT(Oxides_max!$C18:$BB18,Factors!$C$28:$BB$28))/2),ABS(SUMPRODUCT(Oxides_max!$C18:$BB18,Factors!$C$28:$BB$28)-SUMPRODUCT(Oxides_min!$C18:$BB18,Factors!$C$28:$BB$28))/2)</f>
        <v>0</v>
      </c>
      <c r="V18" s="20">
        <f>MIN(MAX(0,(SUMPRODUCT(Oxides_min!$C18:$BB18,Factors!$C$29:$BB$29)+SUMPRODUCT(Oxides_max!$C18:$BB18,Factors!$C$29:$BB$29))/2),ABS(SUMPRODUCT(Oxides_max!$C18:$BB18,Factors!$C$29:$BB$29)-SUMPRODUCT(Oxides_min!$C18:$BB18,Factors!$C$29:$BB$29))/2)</f>
        <v>0</v>
      </c>
      <c r="W18" s="20">
        <f>MIN(MAX(0,(SUMPRODUCT(Oxides_min!$C18:$BB18,Factors!$C$30:$BB$30)+SUMPRODUCT(Oxides_max!$C18:$BB18,Factors!$C$30:$BB$30))/2),ABS(SUMPRODUCT(Oxides_max!$C18:$BB18,Factors!$C$30:$BB$30)-SUMPRODUCT(Oxides_min!$C18:$BB18,Factors!$C$30:$BB$30))/2)</f>
        <v>0</v>
      </c>
      <c r="X18" s="20">
        <f>MIN(MAX(0,(SUMPRODUCT(Oxides_min!$C18:$BB18,Factors!$C$31:$BB$31)+SUMPRODUCT(Oxides_max!$C18:$BB18,Factors!$C$31:$BB$31))/2),ABS(SUMPRODUCT(Oxides_max!$C18:$BB18,Factors!$C$31:$BB$31)-SUMPRODUCT(Oxides_min!$C18:$BB18,Factors!$C$31:$BB$31))/2)</f>
        <v>0</v>
      </c>
      <c r="Y18" s="20">
        <f>MIN(MAX(0,(SUMPRODUCT(Oxides_min!$C18:$BB18,Factors!$C$32:$BB$32)+SUMPRODUCT(Oxides_max!$C18:$BB18,Factors!$C$32:$BB$32))/2),ABS(SUMPRODUCT(Oxides_max!$C18:$BB18,Factors!$C$32:$BB$32)-SUMPRODUCT(Oxides_min!$C18:$BB18,Factors!$C$32:$BB$32))/2)</f>
        <v>0</v>
      </c>
      <c r="Z18" s="20">
        <f>MIN(MAX(0,(SUMPRODUCT(Oxides_min!$C18:$BB18,Factors!$C$33:$BB$33)+SUMPRODUCT(Oxides_max!$C18:$BB18,Factors!$C$33:$BB$33))/2),ABS(SUMPRODUCT(Oxides_max!$C18:$BB18,Factors!$C$33:$BB$33)-SUMPRODUCT(Oxides_min!$C18:$BB18,Factors!$C$33:$BB$33))/2)</f>
        <v>0.21821340868133959</v>
      </c>
      <c r="AA18" s="20">
        <f>MIN(MAX(0,(SUMPRODUCT(Oxides_min!$C18:$BB18,Factors!$C$34:$BB$34)+SUMPRODUCT(Oxides_max!$C18:$BB18,Factors!$C$34:$BB$34))/2),ABS(SUMPRODUCT(Oxides_max!$C18:$BB18,Factors!$C$34:$BB$34)-SUMPRODUCT(Oxides_min!$C18:$BB18,Factors!$C$34:$BB$34))/2)</f>
        <v>0</v>
      </c>
      <c r="AB18" s="20">
        <f>MIN(MAX(0,(SUMPRODUCT(Oxides_min!$C18:$BB18,Factors!$C$35:$BB$35)+SUMPRODUCT(Oxides_max!$C18:$BB18,Factors!$C$35:$BB$35))/2),ABS(SUMPRODUCT(Oxides_max!$C18:$BB18,Factors!$C$35:$BB$35)-SUMPRODUCT(Oxides_min!$C18:$BB18,Factors!$C$35:$BB$35))/2)</f>
        <v>4.0046466892339212E-2</v>
      </c>
      <c r="AC18" s="20">
        <f>MIN(MAX(0,(SUMPRODUCT(Oxides_min!$C18:$BB18,Factors!$C$36:$BB$36)+SUMPRODUCT(Oxides_max!$C18:$BB18,Factors!$C$36:$BB$36))/2),ABS(SUMPRODUCT(Oxides_max!$C18:$BB18,Factors!$C$36:$BB$36)-SUMPRODUCT(Oxides_min!$C18:$BB18,Factors!$C$36:$BB$36))/2)</f>
        <v>0</v>
      </c>
      <c r="AD18" s="20">
        <f>MIN(MAX(0,(SUMPRODUCT(Oxides_min!$C18:$BB18,Factors!$C$37:$BB$37)+SUMPRODUCT(Oxides_max!$C18:$BB18,Factors!$C$37:$BB$37))/2),ABS(SUMPRODUCT(Oxides_max!$C18:$BB18,Factors!$C$37:$BB$37)-SUMPRODUCT(Oxides_min!$C18:$BB18,Factors!$C$37:$BB$37))/2)</f>
        <v>5.5953372189841782E-2</v>
      </c>
      <c r="AE18" s="20">
        <f>MIN(MAX(0,(SUMPRODUCT(Oxides_min!$C18:$BB18,Factors!$C$38:$BB$38)+SUMPRODUCT(Oxides_max!$C18:$BB18,Factors!$C$38:$BB$38))/2),ABS(SUMPRODUCT(Oxides_max!$C18:$BB18,Factors!$C$38:$BB$38)-SUMPRODUCT(Oxides_min!$C18:$BB18,Factors!$C$38:$BB$38))/2)</f>
        <v>0.4</v>
      </c>
      <c r="AF18" s="20">
        <f>MIN(MAX(0,(SUMPRODUCT(Oxides_min!$C18:$BB18,Factors!$C$39:$BB$39)+SUMPRODUCT(Oxides_max!$C18:$BB18,Factors!$C$39:$BB$39))/2),ABS(SUMPRODUCT(Oxides_max!$C18:$BB18,Factors!$C$39:$BB$39)-SUMPRODUCT(Oxides_min!$C18:$BB18,Factors!$C$39:$BB$39))/2)</f>
        <v>0</v>
      </c>
      <c r="AG18" s="20">
        <f>MIN(MAX(0,(SUMPRODUCT(Oxides_min!$C18:$BB18,Factors!$C$40:$BB$40)+SUMPRODUCT(Oxides_max!$C18:$BB18,Factors!$C$40:$BB$40))/2),ABS(SUMPRODUCT(Oxides_max!$C18:$BB18,Factors!$C$40:$BB$40)-SUMPRODUCT(Oxides_min!$C18:$BB18,Factors!$C$40:$BB$40))/2)</f>
        <v>0.43940592124474076</v>
      </c>
      <c r="AH18" s="20">
        <f>MIN(MAX(0,(SUMPRODUCT(Oxides_min!$C18:$BB18,Factors!$C$41:$BB$41)+SUMPRODUCT(Oxides_max!$C18:$BB18,Factors!$C$41:$BB$41))/2),ABS(SUMPRODUCT(Oxides_max!$C18:$BB18,Factors!$C$41:$BB$41)-SUMPRODUCT(Oxides_min!$C18:$BB18,Factors!$C$41:$BB$41))/2)</f>
        <v>0</v>
      </c>
      <c r="AI18" s="20">
        <f>MIN(MAX(0,(SUMPRODUCT(Oxides_min!$C18:$BB18,Factors!$C$42:$BB$42)+SUMPRODUCT(Oxides_max!$C18:$BB18,Factors!$C$42:$BB$42))/2),ABS(SUMPRODUCT(Oxides_max!$C18:$BB18,Factors!$C$42:$BB$42)-SUMPRODUCT(Oxides_min!$C18:$BB18,Factors!$C$42:$BB$42))/2)</f>
        <v>0</v>
      </c>
      <c r="AJ18" s="20">
        <f>MIN(MAX(0,(SUMPRODUCT(Oxides_min!$C18:$BB18,Factors!$C$43:$BB$43)+SUMPRODUCT(Oxides_max!$C18:$BB18,Factors!$C$43:$BB$43))/2),ABS(SUMPRODUCT(Oxides_max!$C18:$BB18,Factors!$C$43:$BB$43)-SUMPRODUCT(Oxides_min!$C18:$BB18,Factors!$C$43:$BB$43))/2)</f>
        <v>0.59058296607552907</v>
      </c>
      <c r="AK18" s="20">
        <f>MIN(MAX(0,(SUMPRODUCT(Oxides_min!$C18:$BB18,Factors!$C$44:$BB$44)+SUMPRODUCT(Oxides_max!$C18:$BB18,Factors!$C$44:$BB$44))/2),ABS(SUMPRODUCT(Oxides_max!$C18:$BB18,Factors!$C$44:$BB$44)-SUMPRODUCT(Oxides_min!$C18:$BB18,Factors!$C$44:$BB$44))/2)</f>
        <v>11.937564075326094</v>
      </c>
      <c r="AL18" s="20">
        <f>MIN(MAX(0,(SUMPRODUCT(Oxides_min!$C18:$BB18,Factors!$C$45:$BB$45)+SUMPRODUCT(Oxides_max!$C18:$BB18,Factors!$C$45:$BB$45))/2),ABS(SUMPRODUCT(Oxides_max!$C18:$BB18,Factors!$C$45:$BB$45)-SUMPRODUCT(Oxides_min!$C18:$BB18,Factors!$C$45:$BB$45))/2)</f>
        <v>6.4032733244167943</v>
      </c>
      <c r="AM18" s="20">
        <f>MIN(MAX(0,(SUMPRODUCT(Oxides_min!$C18:$BB18,Factors!$C$46:$BB$46)+SUMPRODUCT(Oxides_max!$C18:$BB18,Factors!$C$46:$BB$46))/2),ABS(SUMPRODUCT(Oxides_max!$C18:$BB18,Factors!$C$46:$BB$46)-SUMPRODUCT(Oxides_min!$C18:$BB18,Factors!$C$46:$BB$46))/2)</f>
        <v>1.4953256142766285</v>
      </c>
      <c r="AN18" s="20">
        <f>MIN(MAX(0,(SUMPRODUCT(Oxides_min!$C18:$BB18,Factors!$C$47:$BB$47)+SUMPRODUCT(Oxides_max!$C18:$BB18,Factors!$C$47:$BB$47))/2),ABS(SUMPRODUCT(Oxides_max!$C18:$BB18,Factors!$C$47:$BB$47)-SUMPRODUCT(Oxides_min!$C18:$BB18,Factors!$C$47:$BB$47))/2)</f>
        <v>4.9297969276125544</v>
      </c>
      <c r="AO18" s="20">
        <f>MIN(MAX(0,(SUMPRODUCT(Oxides_min!$C18:$BB18,Factors!$C$48:$BB$48)+SUMPRODUCT(Oxides_max!$C18:$BB18,Factors!$C$48:$BB$48))/2),ABS(SUMPRODUCT(Oxides_max!$C18:$BB18,Factors!$C$48:$BB$48)-SUMPRODUCT(Oxides_min!$C18:$BB18,Factors!$C$48:$BB$48))/2)</f>
        <v>0.81924311117611126</v>
      </c>
      <c r="AP18" s="20">
        <f>MIN(MAX(0,(SUMPRODUCT(Oxides_min!$C18:$BB18,Factors!$C$49:$BB$49)+SUMPRODUCT(Oxides_max!$C18:$BB18,Factors!$C$49:$BB$49))/2),ABS(SUMPRODUCT(Oxides_max!$C18:$BB18,Factors!$C$49:$BB$49)-SUMPRODUCT(Oxides_min!$C18:$BB18,Factors!$C$49:$BB$49))/2)</f>
        <v>8.6361582723591679E-2</v>
      </c>
      <c r="AQ18" s="20">
        <f>MIN(MAX(0,(SUMPRODUCT(Oxides_min!$C18:$BB18,Factors!$C$50:$BB$50)+SUMPRODUCT(Oxides_max!$C18:$BB18,Factors!$C$50:$BB$50))/2),ABS(SUMPRODUCT(Oxides_max!$C18:$BB18,Factors!$C$50:$BB$50)-SUMPRODUCT(Oxides_min!$C18:$BB18,Factors!$C$50:$BB$50))/2)</f>
        <v>0.52055603218785251</v>
      </c>
      <c r="AR18" s="20">
        <f>MIN(MAX(0,(SUMPRODUCT(Oxides_min!$C18:$BB18,Factors!$C$51:$BB$51)+SUMPRODUCT(Oxides_max!$C18:$BB18,Factors!$C$51:$BB$51))/2),ABS(SUMPRODUCT(Oxides_max!$C18:$BB18,Factors!$C$51:$BB$51)-SUMPRODUCT(Oxides_min!$C18:$BB18,Factors!$C$51:$BB$51))/2)</f>
        <v>4.3440303164404205E-2</v>
      </c>
      <c r="AS18" s="20">
        <f>MIN(MAX(0,(SUMPRODUCT(Oxides_min!$C18:$BB18,Factors!$C$52:$BB$52)+SUMPRODUCT(Oxides_max!$C18:$BB18,Factors!$C$52:$BB$52))/2),ABS(SUMPRODUCT(Oxides_max!$C18:$BB18,Factors!$C$52:$BB$52)-SUMPRODUCT(Oxides_min!$C18:$BB18,Factors!$C$52:$BB$52))/2)</f>
        <v>0.21783017021584622</v>
      </c>
      <c r="AT18" s="20">
        <f>MIN(MAX(0,(SUMPRODUCT(Oxides_min!$C18:$BB18,Factors!$C$53:$BB$53)+SUMPRODUCT(Oxides_max!$C18:$BB18,Factors!$C$53:$BB$53))/2),ABS(SUMPRODUCT(Oxides_max!$C18:$BB18,Factors!$C$53:$BB$53)-SUMPRODUCT(Oxides_min!$C18:$BB18,Factors!$C$53:$BB$53))/2)</f>
        <v>0</v>
      </c>
      <c r="AU18" s="20">
        <f>MIN(MAX(0,(SUMPRODUCT(Oxides_min!$C18:$BB18,Factors!$C$54:$BB$54)+SUMPRODUCT(Oxides_max!$C18:$BB18,Factors!$C$54:$BB$54))/2),ABS(SUMPRODUCT(Oxides_max!$C18:$BB18,Factors!$C$54:$BB$54)-SUMPRODUCT(Oxides_min!$C18:$BB18,Factors!$C$54:$BB$54))/2)</f>
        <v>8.7452256774244147E-2</v>
      </c>
      <c r="AV18" s="20">
        <f>MIN(MAX(0,(SUMPRODUCT(Oxides_min!$C18:$BB18,Factors!$C$55:$BB$55)+SUMPRODUCT(Oxides_max!$C18:$BB18,Factors!$C$55:$BB$55))/2),ABS(SUMPRODUCT(Oxides_max!$C18:$BB18,Factors!$C$55:$BB$55)-SUMPRODUCT(Oxides_min!$C18:$BB18,Factors!$C$55:$BB$55))/2)</f>
        <v>0</v>
      </c>
      <c r="AW18" s="20">
        <f>MIN(MAX(0,(SUMPRODUCT(Oxides_min!$C18:$BB18,Factors!$C$56:$BB$56)+SUMPRODUCT(Oxides_max!$C18:$BB18,Factors!$C$56:$BB$56))/2),ABS(SUMPRODUCT(Oxides_max!$C18:$BB18,Factors!$C$56:$BB$56)-SUMPRODUCT(Oxides_min!$C18:$BB18,Factors!$C$56:$BB$56))/2)</f>
        <v>4.3910354820128554E-2</v>
      </c>
      <c r="AX18" s="20">
        <f>MIN(MAX(0,(SUMPRODUCT(Oxides_min!$C18:$BB18,Factors!$C$57:$BB$57)+SUMPRODUCT(Oxides_max!$C18:$BB18,Factors!$C$57:$BB$57))/2),ABS(SUMPRODUCT(Oxides_max!$C18:$BB18,Factors!$C$57:$BB$57)-SUMPRODUCT(Oxides_min!$C18:$BB18,Factors!$C$57:$BB$57))/2)</f>
        <v>0</v>
      </c>
      <c r="AY18" s="20">
        <f>MIN(MAX(0,(SUMPRODUCT(Oxides_min!$C18:$BB18,Factors!$C$58:$BB$58)+SUMPRODUCT(Oxides_max!$C18:$BB18,Factors!$C$58:$BB$58))/2),ABS(SUMPRODUCT(Oxides_max!$C18:$BB18,Factors!$C$58:$BB$58)-SUMPRODUCT(Oxides_min!$C18:$BB18,Factors!$C$58:$BB$58))/2)</f>
        <v>0</v>
      </c>
      <c r="AZ18" s="18">
        <f t="shared" si="0"/>
        <v>43.231575318591425</v>
      </c>
    </row>
    <row r="19" spans="1:52" x14ac:dyDescent="0.35">
      <c r="A19" s="13" t="s">
        <v>159</v>
      </c>
      <c r="B19" s="20">
        <f>MIN(MAX(0,(SUMPRODUCT(Oxides_min!$C19:$BB19,Factors!$C$9:$BB$9)+SUMPRODUCT(Oxides_max!$C19:$BB19,Factors!$C$9:$BB$9))/2),ABS(SUMPRODUCT(Oxides_max!$C19:$BB19,Factors!$C$9:$BB$9)-SUMPRODUCT(Oxides_min!$C19:$BB19,Factors!$C$9:$BB$9))/2)</f>
        <v>9.5572722099934406</v>
      </c>
      <c r="C19" s="20">
        <f>MIN(MAX(0,(SUMPRODUCT(Oxides_min!$C19:$BB19,Factors!$C$10:$BB$10)+SUMPRODUCT(Oxides_max!$C19:$BB19,Factors!$C$10:$BB$10))/2),ABS(SUMPRODUCT(Oxides_max!$C19:$BB19,Factors!$C$10:$BB$10)-SUMPRODUCT(Oxides_min!$C19:$BB19,Factors!$C$10:$BB$10))/2)</f>
        <v>1.8697468501905696</v>
      </c>
      <c r="D19" s="20">
        <f>MIN(MAX(0,(SUMPRODUCT(Oxides_min!$C19:$BB19,Factors!$C$11:$BB$11)+SUMPRODUCT(Oxides_max!$C19:$BB19,Factors!$C$11:$BB$11))/2),ABS(SUMPRODUCT(Oxides_max!$C19:$BB19,Factors!$C$11:$BB$11)-SUMPRODUCT(Oxides_min!$C19:$BB19,Factors!$C$11:$BB$11))/2)</f>
        <v>0.41954423088962622</v>
      </c>
      <c r="E19" s="20">
        <f>MIN(MAX(0,(SUMPRODUCT(Oxides_min!$C19:$BB19,Factors!$C$12:$BB$12)+SUMPRODUCT(Oxides_max!$C19:$BB19,Factors!$C$12:$BB$12))/2),ABS(SUMPRODUCT(Oxides_max!$C19:$BB19,Factors!$C$12:$BB$12)-SUMPRODUCT(Oxides_min!$C19:$BB19,Factors!$C$12:$BB$12))/2)</f>
        <v>2.5911282076252617</v>
      </c>
      <c r="F19" s="20">
        <f>MIN(MAX(0,(SUMPRODUCT(Oxides_min!$C19:$BB19,Factors!$C$13:$BB$13)+SUMPRODUCT(Oxides_max!$C19:$BB19,Factors!$C$13:$BB$13))/2),ABS(SUMPRODUCT(Oxides_max!$C19:$BB19,Factors!$C$13:$BB$13)-SUMPRODUCT(Oxides_min!$C19:$BB19,Factors!$C$13:$BB$13))/2)</f>
        <v>0.21199545817338758</v>
      </c>
      <c r="G19" s="20">
        <f>MIN(MAX(0,(SUMPRODUCT(Oxides_min!$C19:$BB19,Factors!$C$14:$BB$14)+SUMPRODUCT(Oxides_max!$C19:$BB19,Factors!$C$14:$BB$14))/2),ABS(SUMPRODUCT(Oxides_max!$C19:$BB19,Factors!$C$14:$BB$14)-SUMPRODUCT(Oxides_min!$C19:$BB19,Factors!$C$14:$BB$14))/2)</f>
        <v>0</v>
      </c>
      <c r="H19" s="20">
        <f>MIN(MAX(0,(SUMPRODUCT(Oxides_min!$C19:$BB19,Factors!$C$15:$BB$15)+SUMPRODUCT(Oxides_max!$C19:$BB19,Factors!$C$15:$BB$15))/2),ABS(SUMPRODUCT(Oxides_max!$C19:$BB19,Factors!$C$15:$BB$15)-SUMPRODUCT(Oxides_min!$C19:$BB19,Factors!$C$15:$BB$15))/2)</f>
        <v>0.1323142316771691</v>
      </c>
      <c r="I19" s="20">
        <f>MIN(MAX(0,(SUMPRODUCT(Oxides_min!$C19:$BB19,Factors!$C$16:$BB$16)+SUMPRODUCT(Oxides_max!$C19:$BB19,Factors!$C$16:$BB$16))/2),ABS(SUMPRODUCT(Oxides_max!$C19:$BB19,Factors!$C$16:$BB$16)-SUMPRODUCT(Oxides_min!$C19:$BB19,Factors!$C$16:$BB$16))/2)</f>
        <v>2.7593738073044678</v>
      </c>
      <c r="J19" s="20">
        <f>MIN(MAX(0,(SUMPRODUCT(Oxides_min!$C19:$BB19,Factors!$C$17:$BB$17)+SUMPRODUCT(Oxides_max!$C19:$BB19,Factors!$C$17:$BB$17))/2),ABS(SUMPRODUCT(Oxides_max!$C19:$BB19,Factors!$C$17:$BB$17)-SUMPRODUCT(Oxides_min!$C19:$BB19,Factors!$C$17:$BB$17))/2)</f>
        <v>1.7425394692228788</v>
      </c>
      <c r="K19" s="20">
        <f>MIN(MAX(0,(SUMPRODUCT(Oxides_min!$C19:$BB19,Factors!$C$18:$BB$18)+SUMPRODUCT(Oxides_max!$C19:$BB19,Factors!$C$18:$BB$18))/2),ABS(SUMPRODUCT(Oxides_max!$C19:$BB19,Factors!$C$18:$BB$18)-SUMPRODUCT(Oxides_min!$C19:$BB19,Factors!$C$18:$BB$18))/2)</f>
        <v>0</v>
      </c>
      <c r="L19" s="20">
        <f>MIN(MAX(0,(SUMPRODUCT(Oxides_min!$C19:$BB19,Factors!$C$19:$BB$19)+SUMPRODUCT(Oxides_max!$C19:$BB19,Factors!$C$19:$BB$19))/2),ABS(SUMPRODUCT(Oxides_max!$C19:$BB19,Factors!$C$19:$BB$19)-SUMPRODUCT(Oxides_min!$C19:$BB19,Factors!$C$19:$BB$19))/2)</f>
        <v>0</v>
      </c>
      <c r="M19" s="20">
        <f>MIN(MAX(0,(SUMPRODUCT(Oxides_min!$C19:$BB19,Factors!$C$20:$BB$20)+SUMPRODUCT(Oxides_max!$C19:$BB19,Factors!$C$20:$BB$20))/2),ABS(SUMPRODUCT(Oxides_max!$C19:$BB19,Factors!$C$20:$BB$20)-SUMPRODUCT(Oxides_min!$C19:$BB19,Factors!$C$20:$BB$20))/2)</f>
        <v>9.0456282254863032E-2</v>
      </c>
      <c r="N19" s="20">
        <f>MIN(MAX(0,(SUMPRODUCT(Oxides_min!$C19:$BB19,Factors!$C$21:$BB$21)+SUMPRODUCT(Oxides_max!$C19:$BB19,Factors!$C$21:$BB$21))/2),ABS(SUMPRODUCT(Oxides_max!$C19:$BB19,Factors!$C$21:$BB$21)-SUMPRODUCT(Oxides_min!$C19:$BB19,Factors!$C$21:$BB$21))/2)</f>
        <v>2.6801094923052222</v>
      </c>
      <c r="O19" s="20">
        <f>MIN(MAX(0,(SUMPRODUCT(Oxides_min!$C19:$BB19,Factors!$C$22:$BB$22)+SUMPRODUCT(Oxides_max!$C19:$BB19,Factors!$C$22:$BB$22))/2),ABS(SUMPRODUCT(Oxides_max!$C19:$BB19,Factors!$C$22:$BB$22)-SUMPRODUCT(Oxides_min!$C19:$BB19,Factors!$C$22:$BB$22))/2)</f>
        <v>1.437516285623293</v>
      </c>
      <c r="P19" s="20">
        <f>MIN(MAX(0,(SUMPRODUCT(Oxides_min!$C19:$BB19,Factors!$C$23:$BB$23)+SUMPRODUCT(Oxides_max!$C19:$BB19,Factors!$C$23:$BB$23))/2),ABS(SUMPRODUCT(Oxides_max!$C19:$BB19,Factors!$C$23:$BB$23)-SUMPRODUCT(Oxides_min!$C19:$BB19,Factors!$C$23:$BB$23))/2)</f>
        <v>0.3134787968120214</v>
      </c>
      <c r="Q19" s="20">
        <f>MIN(MAX(0,(SUMPRODUCT(Oxides_min!$C19:$BB19,Factors!$C$24:$BB$24)+SUMPRODUCT(Oxides_max!$C19:$BB19,Factors!$C$24:$BB$24))/2),ABS(SUMPRODUCT(Oxides_max!$C19:$BB19,Factors!$C$24:$BB$24)-SUMPRODUCT(Oxides_min!$C19:$BB19,Factors!$C$24:$BB$24))/2)</f>
        <v>0</v>
      </c>
      <c r="R19" s="20">
        <f>MIN(MAX(0,(SUMPRODUCT(Oxides_min!$C19:$BB19,Factors!$C$25:$BB$25)+SUMPRODUCT(Oxides_max!$C19:$BB19,Factors!$C$25:$BB$25))/2),ABS(SUMPRODUCT(Oxides_max!$C19:$BB19,Factors!$C$25:$BB$25)-SUMPRODUCT(Oxides_min!$C19:$BB19,Factors!$C$25:$BB$25))/2)</f>
        <v>2.4110523383079911</v>
      </c>
      <c r="S19" s="20">
        <f>MIN(MAX(0,(SUMPRODUCT(Oxides_min!$C19:$BB19,Factors!$C$26:$BB$26)+SUMPRODUCT(Oxides_max!$C19:$BB19,Factors!$C$26:$BB$26))/2),ABS(SUMPRODUCT(Oxides_max!$C19:$BB19,Factors!$C$26:$BB$26)-SUMPRODUCT(Oxides_min!$C19:$BB19,Factors!$C$26:$BB$26))/2)</f>
        <v>0.49809078131037959</v>
      </c>
      <c r="T19" s="20">
        <f>MIN(MAX(0,(SUMPRODUCT(Oxides_min!$C19:$BB19,Factors!$C$27:$BB$27)+SUMPRODUCT(Oxides_max!$C19:$BB19,Factors!$C$27:$BB$27))/2),ABS(SUMPRODUCT(Oxides_max!$C19:$BB19,Factors!$C$27:$BB$27)-SUMPRODUCT(Oxides_min!$C19:$BB19,Factors!$C$27:$BB$27))/2)</f>
        <v>0</v>
      </c>
      <c r="U19" s="20">
        <f>MIN(MAX(0,(SUMPRODUCT(Oxides_min!$C19:$BB19,Factors!$C$28:$BB$28)+SUMPRODUCT(Oxides_max!$C19:$BB19,Factors!$C$28:$BB$28))/2),ABS(SUMPRODUCT(Oxides_max!$C19:$BB19,Factors!$C$28:$BB$28)-SUMPRODUCT(Oxides_min!$C19:$BB19,Factors!$C$28:$BB$28))/2)</f>
        <v>0</v>
      </c>
      <c r="V19" s="20">
        <f>MIN(MAX(0,(SUMPRODUCT(Oxides_min!$C19:$BB19,Factors!$C$29:$BB$29)+SUMPRODUCT(Oxides_max!$C19:$BB19,Factors!$C$29:$BB$29))/2),ABS(SUMPRODUCT(Oxides_max!$C19:$BB19,Factors!$C$29:$BB$29)-SUMPRODUCT(Oxides_min!$C19:$BB19,Factors!$C$29:$BB$29))/2)</f>
        <v>0</v>
      </c>
      <c r="W19" s="20">
        <f>MIN(MAX(0,(SUMPRODUCT(Oxides_min!$C19:$BB19,Factors!$C$30:$BB$30)+SUMPRODUCT(Oxides_max!$C19:$BB19,Factors!$C$30:$BB$30))/2),ABS(SUMPRODUCT(Oxides_max!$C19:$BB19,Factors!$C$30:$BB$30)-SUMPRODUCT(Oxides_min!$C19:$BB19,Factors!$C$30:$BB$30))/2)</f>
        <v>1.0136216236592661</v>
      </c>
      <c r="X19" s="20">
        <f>MIN(MAX(0,(SUMPRODUCT(Oxides_min!$C19:$BB19,Factors!$C$31:$BB$31)+SUMPRODUCT(Oxides_max!$C19:$BB19,Factors!$C$31:$BB$31))/2),ABS(SUMPRODUCT(Oxides_max!$C19:$BB19,Factors!$C$31:$BB$31)-SUMPRODUCT(Oxides_min!$C19:$BB19,Factors!$C$31:$BB$31))/2)</f>
        <v>0</v>
      </c>
      <c r="Y19" s="20">
        <f>MIN(MAX(0,(SUMPRODUCT(Oxides_min!$C19:$BB19,Factors!$C$32:$BB$32)+SUMPRODUCT(Oxides_max!$C19:$BB19,Factors!$C$32:$BB$32))/2),ABS(SUMPRODUCT(Oxides_max!$C19:$BB19,Factors!$C$32:$BB$32)-SUMPRODUCT(Oxides_min!$C19:$BB19,Factors!$C$32:$BB$32))/2)</f>
        <v>0</v>
      </c>
      <c r="Z19" s="20">
        <f>MIN(MAX(0,(SUMPRODUCT(Oxides_min!$C19:$BB19,Factors!$C$33:$BB$33)+SUMPRODUCT(Oxides_max!$C19:$BB19,Factors!$C$33:$BB$33))/2),ABS(SUMPRODUCT(Oxides_max!$C19:$BB19,Factors!$C$33:$BB$33)-SUMPRODUCT(Oxides_min!$C19:$BB19,Factors!$C$33:$BB$33))/2)</f>
        <v>0</v>
      </c>
      <c r="AA19" s="20">
        <f>MIN(MAX(0,(SUMPRODUCT(Oxides_min!$C19:$BB19,Factors!$C$34:$BB$34)+SUMPRODUCT(Oxides_max!$C19:$BB19,Factors!$C$34:$BB$34))/2),ABS(SUMPRODUCT(Oxides_max!$C19:$BB19,Factors!$C$34:$BB$34)-SUMPRODUCT(Oxides_min!$C19:$BB19,Factors!$C$34:$BB$34))/2)</f>
        <v>0</v>
      </c>
      <c r="AB19" s="20">
        <f>MIN(MAX(0,(SUMPRODUCT(Oxides_min!$C19:$BB19,Factors!$C$35:$BB$35)+SUMPRODUCT(Oxides_max!$C19:$BB19,Factors!$C$35:$BB$35))/2),ABS(SUMPRODUCT(Oxides_max!$C19:$BB19,Factors!$C$35:$BB$35)-SUMPRODUCT(Oxides_min!$C19:$BB19,Factors!$C$35:$BB$35))/2)</f>
        <v>0.12013940067701763</v>
      </c>
      <c r="AC19" s="20">
        <f>MIN(MAX(0,(SUMPRODUCT(Oxides_min!$C19:$BB19,Factors!$C$36:$BB$36)+SUMPRODUCT(Oxides_max!$C19:$BB19,Factors!$C$36:$BB$36))/2),ABS(SUMPRODUCT(Oxides_max!$C19:$BB19,Factors!$C$36:$BB$36)-SUMPRODUCT(Oxides_min!$C19:$BB19,Factors!$C$36:$BB$36))/2)</f>
        <v>0</v>
      </c>
      <c r="AD19" s="20">
        <f>MIN(MAX(0,(SUMPRODUCT(Oxides_min!$C19:$BB19,Factors!$C$37:$BB$37)+SUMPRODUCT(Oxides_max!$C19:$BB19,Factors!$C$37:$BB$37))/2),ABS(SUMPRODUCT(Oxides_max!$C19:$BB19,Factors!$C$37:$BB$37)-SUMPRODUCT(Oxides_min!$C19:$BB19,Factors!$C$37:$BB$37))/2)</f>
        <v>0.12309741881765196</v>
      </c>
      <c r="AE19" s="20">
        <f>MIN(MAX(0,(SUMPRODUCT(Oxides_min!$C19:$BB19,Factors!$C$38:$BB$38)+SUMPRODUCT(Oxides_max!$C19:$BB19,Factors!$C$38:$BB$38))/2),ABS(SUMPRODUCT(Oxides_max!$C19:$BB19,Factors!$C$38:$BB$38)-SUMPRODUCT(Oxides_min!$C19:$BB19,Factors!$C$38:$BB$38))/2)</f>
        <v>0.15</v>
      </c>
      <c r="AF19" s="20">
        <f>MIN(MAX(0,(SUMPRODUCT(Oxides_min!$C19:$BB19,Factors!$C$39:$BB$39)+SUMPRODUCT(Oxides_max!$C19:$BB19,Factors!$C$39:$BB$39))/2),ABS(SUMPRODUCT(Oxides_max!$C19:$BB19,Factors!$C$39:$BB$39)-SUMPRODUCT(Oxides_min!$C19:$BB19,Factors!$C$39:$BB$39))/2)</f>
        <v>0.85</v>
      </c>
      <c r="AG19" s="20">
        <f>MIN(MAX(0,(SUMPRODUCT(Oxides_min!$C19:$BB19,Factors!$C$40:$BB$40)+SUMPRODUCT(Oxides_max!$C19:$BB19,Factors!$C$40:$BB$40))/2),ABS(SUMPRODUCT(Oxides_max!$C19:$BB19,Factors!$C$40:$BB$40)-SUMPRODUCT(Oxides_min!$C19:$BB19,Factors!$C$40:$BB$40))/2)</f>
        <v>4.3940592124474077E-2</v>
      </c>
      <c r="AH19" s="20">
        <f>MIN(MAX(0,(SUMPRODUCT(Oxides_min!$C19:$BB19,Factors!$C$41:$BB$41)+SUMPRODUCT(Oxides_max!$C19:$BB19,Factors!$C$41:$BB$41))/2),ABS(SUMPRODUCT(Oxides_max!$C19:$BB19,Factors!$C$41:$BB$41)-SUMPRODUCT(Oxides_min!$C19:$BB19,Factors!$C$41:$BB$41))/2)</f>
        <v>7.0520055945535204E-2</v>
      </c>
      <c r="AI19" s="20">
        <f>MIN(MAX(0,(SUMPRODUCT(Oxides_min!$C19:$BB19,Factors!$C$42:$BB$42)+SUMPRODUCT(Oxides_max!$C19:$BB19,Factors!$C$42:$BB$42))/2),ABS(SUMPRODUCT(Oxides_max!$C19:$BB19,Factors!$C$42:$BB$42)-SUMPRODUCT(Oxides_min!$C19:$BB19,Factors!$C$42:$BB$42))/2)</f>
        <v>0</v>
      </c>
      <c r="AJ19" s="20">
        <f>MIN(MAX(0,(SUMPRODUCT(Oxides_min!$C19:$BB19,Factors!$C$43:$BB$43)+SUMPRODUCT(Oxides_max!$C19:$BB19,Factors!$C$43:$BB$43))/2),ABS(SUMPRODUCT(Oxides_max!$C19:$BB19,Factors!$C$43:$BB$43)-SUMPRODUCT(Oxides_min!$C19:$BB19,Factors!$C$43:$BB$43))/2)</f>
        <v>1.299282525366164</v>
      </c>
      <c r="AK19" s="20">
        <f>MIN(MAX(0,(SUMPRODUCT(Oxides_min!$C19:$BB19,Factors!$C$44:$BB$44)+SUMPRODUCT(Oxides_max!$C19:$BB19,Factors!$C$44:$BB$44))/2),ABS(SUMPRODUCT(Oxides_max!$C19:$BB19,Factors!$C$44:$BB$44)-SUMPRODUCT(Oxides_min!$C19:$BB19,Factors!$C$44:$BB$44))/2)</f>
        <v>1.0232197778850938</v>
      </c>
      <c r="AL19" s="20">
        <f>MIN(MAX(0,(SUMPRODUCT(Oxides_min!$C19:$BB19,Factors!$C$45:$BB$45)+SUMPRODUCT(Oxides_max!$C19:$BB19,Factors!$C$45:$BB$45))/2),ABS(SUMPRODUCT(Oxides_max!$C19:$BB19,Factors!$C$45:$BB$45)-SUMPRODUCT(Oxides_min!$C19:$BB19,Factors!$C$45:$BB$45))/2)</f>
        <v>1.3660316425422494</v>
      </c>
      <c r="AM19" s="20">
        <f>MIN(MAX(0,(SUMPRODUCT(Oxides_min!$C19:$BB19,Factors!$C$46:$BB$46)+SUMPRODUCT(Oxides_max!$C19:$BB19,Factors!$C$46:$BB$46))/2),ABS(SUMPRODUCT(Oxides_max!$C19:$BB19,Factors!$C$46:$BB$46)-SUMPRODUCT(Oxides_min!$C19:$BB19,Factors!$C$46:$BB$46))/2)</f>
        <v>0.21361794489666122</v>
      </c>
      <c r="AN19" s="20">
        <f>MIN(MAX(0,(SUMPRODUCT(Oxides_min!$C19:$BB19,Factors!$C$47:$BB$47)+SUMPRODUCT(Oxides_max!$C19:$BB19,Factors!$C$47:$BB$47))/2),ABS(SUMPRODUCT(Oxides_max!$C19:$BB19,Factors!$C$47:$BB$47)-SUMPRODUCT(Oxides_min!$C19:$BB19,Factors!$C$47:$BB$47))/2)</f>
        <v>0.55728139181707137</v>
      </c>
      <c r="AO19" s="20">
        <f>MIN(MAX(0,(SUMPRODUCT(Oxides_min!$C19:$BB19,Factors!$C$48:$BB$48)+SUMPRODUCT(Oxides_max!$C19:$BB19,Factors!$C$48:$BB$48))/2),ABS(SUMPRODUCT(Oxides_max!$C19:$BB19,Factors!$C$48:$BB$48)-SUMPRODUCT(Oxides_min!$C19:$BB19,Factors!$C$48:$BB$48))/2)</f>
        <v>0.12935417544885966</v>
      </c>
      <c r="AP19" s="20">
        <f>MIN(MAX(0,(SUMPRODUCT(Oxides_min!$C19:$BB19,Factors!$C$49:$BB$49)+SUMPRODUCT(Oxides_max!$C19:$BB19,Factors!$C$49:$BB$49))/2),ABS(SUMPRODUCT(Oxides_max!$C19:$BB19,Factors!$C$49:$BB$49)-SUMPRODUCT(Oxides_min!$C19:$BB19,Factors!$C$49:$BB$49))/2)</f>
        <v>4.3180791361795839E-2</v>
      </c>
      <c r="AQ19" s="20">
        <f>MIN(MAX(0,(SUMPRODUCT(Oxides_min!$C19:$BB19,Factors!$C$50:$BB$50)+SUMPRODUCT(Oxides_max!$C19:$BB19,Factors!$C$50:$BB$50))/2),ABS(SUMPRODUCT(Oxides_max!$C19:$BB19,Factors!$C$50:$BB$50)-SUMPRODUCT(Oxides_min!$C19:$BB19,Factors!$C$50:$BB$50))/2)</f>
        <v>0.151828842721457</v>
      </c>
      <c r="AR19" s="20">
        <f>MIN(MAX(0,(SUMPRODUCT(Oxides_min!$C19:$BB19,Factors!$C$51:$BB$51)+SUMPRODUCT(Oxides_max!$C19:$BB19,Factors!$C$51:$BB$51))/2),ABS(SUMPRODUCT(Oxides_max!$C19:$BB19,Factors!$C$51:$BB$51)-SUMPRODUCT(Oxides_min!$C19:$BB19,Factors!$C$51:$BB$51))/2)</f>
        <v>2.1720151582202103E-2</v>
      </c>
      <c r="AS19" s="20">
        <f>MIN(MAX(0,(SUMPRODUCT(Oxides_min!$C19:$BB19,Factors!$C$52:$BB$52)+SUMPRODUCT(Oxides_max!$C19:$BB19,Factors!$C$52:$BB$52))/2),ABS(SUMPRODUCT(Oxides_max!$C19:$BB19,Factors!$C$52:$BB$52)-SUMPRODUCT(Oxides_min!$C19:$BB19,Factors!$C$52:$BB$52))/2)</f>
        <v>0.15248111915109233</v>
      </c>
      <c r="AT19" s="20">
        <f>MIN(MAX(0,(SUMPRODUCT(Oxides_min!$C19:$BB19,Factors!$C$53:$BB$53)+SUMPRODUCT(Oxides_max!$C19:$BB19,Factors!$C$53:$BB$53))/2),ABS(SUMPRODUCT(Oxides_max!$C19:$BB19,Factors!$C$53:$BB$53)-SUMPRODUCT(Oxides_min!$C19:$BB19,Factors!$C$53:$BB$53))/2)</f>
        <v>3.055415920375943E-2</v>
      </c>
      <c r="AU19" s="20">
        <f>MIN(MAX(0,(SUMPRODUCT(Oxides_min!$C19:$BB19,Factors!$C$54:$BB$54)+SUMPRODUCT(Oxides_max!$C19:$BB19,Factors!$C$54:$BB$54))/2),ABS(SUMPRODUCT(Oxides_max!$C19:$BB19,Factors!$C$54:$BB$54)-SUMPRODUCT(Oxides_min!$C19:$BB19,Factors!$C$54:$BB$54))/2)</f>
        <v>0.10931532096780518</v>
      </c>
      <c r="AV19" s="20">
        <f>MIN(MAX(0,(SUMPRODUCT(Oxides_min!$C19:$BB19,Factors!$C$55:$BB$55)+SUMPRODUCT(Oxides_max!$C19:$BB19,Factors!$C$55:$BB$55))/2),ABS(SUMPRODUCT(Oxides_max!$C19:$BB19,Factors!$C$55:$BB$55)-SUMPRODUCT(Oxides_min!$C19:$BB19,Factors!$C$55:$BB$55))/2)</f>
        <v>1.751224157312456E-2</v>
      </c>
      <c r="AW19" s="20">
        <f>MIN(MAX(0,(SUMPRODUCT(Oxides_min!$C19:$BB19,Factors!$C$56:$BB$56)+SUMPRODUCT(Oxides_max!$C19:$BB19,Factors!$C$56:$BB$56))/2),ABS(SUMPRODUCT(Oxides_max!$C19:$BB19,Factors!$C$56:$BB$56)-SUMPRODUCT(Oxides_min!$C19:$BB19,Factors!$C$56:$BB$56))/2)</f>
        <v>0.13173106446038566</v>
      </c>
      <c r="AX19" s="20">
        <f>MIN(MAX(0,(SUMPRODUCT(Oxides_min!$C19:$BB19,Factors!$C$57:$BB$57)+SUMPRODUCT(Oxides_max!$C19:$BB19,Factors!$C$57:$BB$57))/2),ABS(SUMPRODUCT(Oxides_max!$C19:$BB19,Factors!$C$57:$BB$57)-SUMPRODUCT(Oxides_min!$C19:$BB19,Factors!$C$57:$BB$57))/2)</f>
        <v>2.1984587262200997E-2</v>
      </c>
      <c r="AY19" s="20">
        <f>MIN(MAX(0,(SUMPRODUCT(Oxides_min!$C19:$BB19,Factors!$C$58:$BB$58)+SUMPRODUCT(Oxides_max!$C19:$BB19,Factors!$C$58:$BB$58))/2),ABS(SUMPRODUCT(Oxides_max!$C19:$BB19,Factors!$C$58:$BB$58)-SUMPRODUCT(Oxides_min!$C19:$BB19,Factors!$C$58:$BB$58))/2)</f>
        <v>0</v>
      </c>
      <c r="AZ19" s="18">
        <f t="shared" si="0"/>
        <v>34.355033269154433</v>
      </c>
    </row>
    <row r="20" spans="1:52" x14ac:dyDescent="0.35">
      <c r="A20" s="13" t="s">
        <v>161</v>
      </c>
      <c r="B20" s="20">
        <f>MIN(MAX(0,(SUMPRODUCT(Oxides_min!$C20:$BB20,Factors!$C$9:$BB$9)+SUMPRODUCT(Oxides_max!$C20:$BB20,Factors!$C$9:$BB$9))/2),ABS(SUMPRODUCT(Oxides_max!$C20:$BB20,Factors!$C$9:$BB$9)-SUMPRODUCT(Oxides_min!$C20:$BB20,Factors!$C$9:$BB$9))/2)</f>
        <v>11.210693491419331</v>
      </c>
      <c r="C20" s="20">
        <f>MIN(MAX(0,(SUMPRODUCT(Oxides_min!$C20:$BB20,Factors!$C$10:$BB$10)+SUMPRODUCT(Oxides_max!$C20:$BB20,Factors!$C$10:$BB$10))/2),ABS(SUMPRODUCT(Oxides_max!$C20:$BB20,Factors!$C$10:$BB$10)-SUMPRODUCT(Oxides_min!$C20:$BB20,Factors!$C$10:$BB$10))/2)</f>
        <v>1.1685917813691065</v>
      </c>
      <c r="D20" s="20">
        <f>MIN(MAX(0,(SUMPRODUCT(Oxides_min!$C20:$BB20,Factors!$C$11:$BB$11)+SUMPRODUCT(Oxides_max!$C20:$BB20,Factors!$C$11:$BB$11))/2),ABS(SUMPRODUCT(Oxides_max!$C20:$BB20,Factors!$C$11:$BB$11)-SUMPRODUCT(Oxides_min!$C20:$BB20,Factors!$C$11:$BB$11))/2)</f>
        <v>0</v>
      </c>
      <c r="E20" s="20">
        <f>MIN(MAX(0,(SUMPRODUCT(Oxides_min!$C20:$BB20,Factors!$C$12:$BB$12)+SUMPRODUCT(Oxides_max!$C20:$BB20,Factors!$C$12:$BB$12))/2),ABS(SUMPRODUCT(Oxides_max!$C20:$BB20,Factors!$C$12:$BB$12)-SUMPRODUCT(Oxides_min!$C20:$BB20,Factors!$C$12:$BB$12))/2)</f>
        <v>0</v>
      </c>
      <c r="F20" s="20">
        <f>MIN(MAX(0,(SUMPRODUCT(Oxides_min!$C20:$BB20,Factors!$C$13:$BB$13)+SUMPRODUCT(Oxides_max!$C20:$BB20,Factors!$C$13:$BB$13))/2),ABS(SUMPRODUCT(Oxides_max!$C20:$BB20,Factors!$C$13:$BB$13)-SUMPRODUCT(Oxides_min!$C20:$BB20,Factors!$C$13:$BB$13))/2)</f>
        <v>0</v>
      </c>
      <c r="G20" s="20">
        <f>MIN(MAX(0,(SUMPRODUCT(Oxides_min!$C20:$BB20,Factors!$C$14:$BB$14)+SUMPRODUCT(Oxides_max!$C20:$BB20,Factors!$C$14:$BB$14))/2),ABS(SUMPRODUCT(Oxides_max!$C20:$BB20,Factors!$C$14:$BB$14)-SUMPRODUCT(Oxides_min!$C20:$BB20,Factors!$C$14:$BB$14))/2)</f>
        <v>0</v>
      </c>
      <c r="H20" s="20">
        <f>MIN(MAX(0,(SUMPRODUCT(Oxides_min!$C20:$BB20,Factors!$C$15:$BB$15)+SUMPRODUCT(Oxides_max!$C20:$BB20,Factors!$C$15:$BB$15))/2),ABS(SUMPRODUCT(Oxides_max!$C20:$BB20,Factors!$C$15:$BB$15)-SUMPRODUCT(Oxides_min!$C20:$BB20,Factors!$C$15:$BB$15))/2)</f>
        <v>0</v>
      </c>
      <c r="I20" s="20">
        <f>MIN(MAX(0,(SUMPRODUCT(Oxides_min!$C20:$BB20,Factors!$C$16:$BB$16)+SUMPRODUCT(Oxides_max!$C20:$BB20,Factors!$C$16:$BB$16))/2),ABS(SUMPRODUCT(Oxides_max!$C20:$BB20,Factors!$C$16:$BB$16)-SUMPRODUCT(Oxides_min!$C20:$BB20,Factors!$C$16:$BB$16))/2)</f>
        <v>3.9445859270354884</v>
      </c>
      <c r="J20" s="20">
        <f>MIN(MAX(0,(SUMPRODUCT(Oxides_min!$C20:$BB20,Factors!$C$17:$BB$17)+SUMPRODUCT(Oxides_max!$C20:$BB20,Factors!$C$17:$BB$17))/2),ABS(SUMPRODUCT(Oxides_max!$C20:$BB20,Factors!$C$17:$BB$17)-SUMPRODUCT(Oxides_min!$C20:$BB20,Factors!$C$17:$BB$17))/2)</f>
        <v>0.27106169521244783</v>
      </c>
      <c r="K20" s="20">
        <f>MIN(MAX(0,(SUMPRODUCT(Oxides_min!$C20:$BB20,Factors!$C$18:$BB$18)+SUMPRODUCT(Oxides_max!$C20:$BB20,Factors!$C$18:$BB$18))/2),ABS(SUMPRODUCT(Oxides_max!$C20:$BB20,Factors!$C$18:$BB$18)-SUMPRODUCT(Oxides_min!$C20:$BB20,Factors!$C$18:$BB$18))/2)</f>
        <v>0</v>
      </c>
      <c r="L20" s="20">
        <f>MIN(MAX(0,(SUMPRODUCT(Oxides_min!$C20:$BB20,Factors!$C$19:$BB$19)+SUMPRODUCT(Oxides_max!$C20:$BB20,Factors!$C$19:$BB$19))/2),ABS(SUMPRODUCT(Oxides_max!$C20:$BB20,Factors!$C$19:$BB$19)-SUMPRODUCT(Oxides_min!$C20:$BB20,Factors!$C$19:$BB$19))/2)</f>
        <v>0</v>
      </c>
      <c r="M20" s="20">
        <f>MIN(MAX(0,(SUMPRODUCT(Oxides_min!$C20:$BB20,Factors!$C$20:$BB$20)+SUMPRODUCT(Oxides_max!$C20:$BB20,Factors!$C$20:$BB$20))/2),ABS(SUMPRODUCT(Oxides_max!$C20:$BB20,Factors!$C$20:$BB$20)-SUMPRODUCT(Oxides_min!$C20:$BB20,Factors!$C$20:$BB$20))/2)</f>
        <v>0.15076047042477173</v>
      </c>
      <c r="N20" s="20">
        <f>MIN(MAX(0,(SUMPRODUCT(Oxides_min!$C20:$BB20,Factors!$C$21:$BB$21)+SUMPRODUCT(Oxides_max!$C20:$BB20,Factors!$C$21:$BB$21))/2),ABS(SUMPRODUCT(Oxides_max!$C20:$BB20,Factors!$C$21:$BB$21)-SUMPRODUCT(Oxides_min!$C20:$BB20,Factors!$C$21:$BB$21))/2)</f>
        <v>1.0720437969220891</v>
      </c>
      <c r="O20" s="20">
        <f>MIN(MAX(0,(SUMPRODUCT(Oxides_min!$C20:$BB20,Factors!$C$22:$BB$22)+SUMPRODUCT(Oxides_max!$C20:$BB20,Factors!$C$22:$BB$22))/2),ABS(SUMPRODUCT(Oxides_max!$C20:$BB20,Factors!$C$22:$BB$22)-SUMPRODUCT(Oxides_min!$C20:$BB20,Factors!$C$22:$BB$22))/2)</f>
        <v>0</v>
      </c>
      <c r="P20" s="20">
        <f>MIN(MAX(0,(SUMPRODUCT(Oxides_min!$C20:$BB20,Factors!$C$23:$BB$23)+SUMPRODUCT(Oxides_max!$C20:$BB20,Factors!$C$23:$BB$23))/2),ABS(SUMPRODUCT(Oxides_max!$C20:$BB20,Factors!$C$23:$BB$23)-SUMPRODUCT(Oxides_min!$C20:$BB20,Factors!$C$23:$BB$23))/2)</f>
        <v>0</v>
      </c>
      <c r="Q20" s="20">
        <f>MIN(MAX(0,(SUMPRODUCT(Oxides_min!$C20:$BB20,Factors!$C$24:$BB$24)+SUMPRODUCT(Oxides_max!$C20:$BB20,Factors!$C$24:$BB$24))/2),ABS(SUMPRODUCT(Oxides_max!$C20:$BB20,Factors!$C$24:$BB$24)-SUMPRODUCT(Oxides_min!$C20:$BB20,Factors!$C$24:$BB$24))/2)</f>
        <v>0</v>
      </c>
      <c r="R20" s="20">
        <f>MIN(MAX(0,(SUMPRODUCT(Oxides_min!$C20:$BB20,Factors!$C$25:$BB$25)+SUMPRODUCT(Oxides_max!$C20:$BB20,Factors!$C$25:$BB$25))/2),ABS(SUMPRODUCT(Oxides_max!$C20:$BB20,Factors!$C$25:$BB$25)-SUMPRODUCT(Oxides_min!$C20:$BB20,Factors!$C$25:$BB$25))/2)</f>
        <v>0.18546556448523008</v>
      </c>
      <c r="S20" s="20">
        <f>MIN(MAX(0,(SUMPRODUCT(Oxides_min!$C20:$BB20,Factors!$C$26:$BB$26)+SUMPRODUCT(Oxides_max!$C20:$BB20,Factors!$C$26:$BB$26))/2),ABS(SUMPRODUCT(Oxides_max!$C20:$BB20,Factors!$C$26:$BB$26)-SUMPRODUCT(Oxides_min!$C20:$BB20,Factors!$C$26:$BB$26))/2)</f>
        <v>0</v>
      </c>
      <c r="T20" s="20">
        <f>MIN(MAX(0,(SUMPRODUCT(Oxides_min!$C20:$BB20,Factors!$C$27:$BB$27)+SUMPRODUCT(Oxides_max!$C20:$BB20,Factors!$C$27:$BB$27))/2),ABS(SUMPRODUCT(Oxides_max!$C20:$BB20,Factors!$C$27:$BB$27)-SUMPRODUCT(Oxides_min!$C20:$BB20,Factors!$C$27:$BB$27))/2)</f>
        <v>0</v>
      </c>
      <c r="U20" s="20">
        <f>MIN(MAX(0,(SUMPRODUCT(Oxides_min!$C20:$BB20,Factors!$C$28:$BB$28)+SUMPRODUCT(Oxides_max!$C20:$BB20,Factors!$C$28:$BB$28))/2),ABS(SUMPRODUCT(Oxides_max!$C20:$BB20,Factors!$C$28:$BB$28)-SUMPRODUCT(Oxides_min!$C20:$BB20,Factors!$C$28:$BB$28))/2)</f>
        <v>0</v>
      </c>
      <c r="V20" s="20">
        <f>MIN(MAX(0,(SUMPRODUCT(Oxides_min!$C20:$BB20,Factors!$C$29:$BB$29)+SUMPRODUCT(Oxides_max!$C20:$BB20,Factors!$C$29:$BB$29))/2),ABS(SUMPRODUCT(Oxides_max!$C20:$BB20,Factors!$C$29:$BB$29)-SUMPRODUCT(Oxides_min!$C20:$BB20,Factors!$C$29:$BB$29))/2)</f>
        <v>0.63057074757091347</v>
      </c>
      <c r="W20" s="20">
        <f>MIN(MAX(0,(SUMPRODUCT(Oxides_min!$C20:$BB20,Factors!$C$30:$BB$30)+SUMPRODUCT(Oxides_max!$C20:$BB20,Factors!$C$30:$BB$30))/2),ABS(SUMPRODUCT(Oxides_max!$C20:$BB20,Factors!$C$30:$BB$30)-SUMPRODUCT(Oxides_min!$C20:$BB20,Factors!$C$30:$BB$30))/2)</f>
        <v>0</v>
      </c>
      <c r="X20" s="20">
        <f>MIN(MAX(0,(SUMPRODUCT(Oxides_min!$C20:$BB20,Factors!$C$31:$BB$31)+SUMPRODUCT(Oxides_max!$C20:$BB20,Factors!$C$31:$BB$31))/2),ABS(SUMPRODUCT(Oxides_max!$C20:$BB20,Factors!$C$31:$BB$31)-SUMPRODUCT(Oxides_min!$C20:$BB20,Factors!$C$31:$BB$31))/2)</f>
        <v>0</v>
      </c>
      <c r="Y20" s="20">
        <f>MIN(MAX(0,(SUMPRODUCT(Oxides_min!$C20:$BB20,Factors!$C$32:$BB$32)+SUMPRODUCT(Oxides_max!$C20:$BB20,Factors!$C$32:$BB$32))/2),ABS(SUMPRODUCT(Oxides_max!$C20:$BB20,Factors!$C$32:$BB$32)-SUMPRODUCT(Oxides_min!$C20:$BB20,Factors!$C$32:$BB$32))/2)</f>
        <v>0</v>
      </c>
      <c r="Z20" s="20">
        <f>MIN(MAX(0,(SUMPRODUCT(Oxides_min!$C20:$BB20,Factors!$C$33:$BB$33)+SUMPRODUCT(Oxides_max!$C20:$BB20,Factors!$C$33:$BB$33))/2),ABS(SUMPRODUCT(Oxides_max!$C20:$BB20,Factors!$C$33:$BB$33)-SUMPRODUCT(Oxides_min!$C20:$BB20,Factors!$C$33:$BB$33))/2)</f>
        <v>0</v>
      </c>
      <c r="AA20" s="20">
        <f>MIN(MAX(0,(SUMPRODUCT(Oxides_min!$C20:$BB20,Factors!$C$34:$BB$34)+SUMPRODUCT(Oxides_max!$C20:$BB20,Factors!$C$34:$BB$34))/2),ABS(SUMPRODUCT(Oxides_max!$C20:$BB20,Factors!$C$34:$BB$34)-SUMPRODUCT(Oxides_min!$C20:$BB20,Factors!$C$34:$BB$34))/2)</f>
        <v>0</v>
      </c>
      <c r="AB20" s="20">
        <f>MIN(MAX(0,(SUMPRODUCT(Oxides_min!$C20:$BB20,Factors!$C$35:$BB$35)+SUMPRODUCT(Oxides_max!$C20:$BB20,Factors!$C$35:$BB$35))/2),ABS(SUMPRODUCT(Oxides_max!$C20:$BB20,Factors!$C$35:$BB$35)-SUMPRODUCT(Oxides_min!$C20:$BB20,Factors!$C$35:$BB$35))/2)</f>
        <v>0</v>
      </c>
      <c r="AC20" s="20">
        <f>MIN(MAX(0,(SUMPRODUCT(Oxides_min!$C20:$BB20,Factors!$C$36:$BB$36)+SUMPRODUCT(Oxides_max!$C20:$BB20,Factors!$C$36:$BB$36))/2),ABS(SUMPRODUCT(Oxides_max!$C20:$BB20,Factors!$C$36:$BB$36)-SUMPRODUCT(Oxides_min!$C20:$BB20,Factors!$C$36:$BB$36))/2)</f>
        <v>0</v>
      </c>
      <c r="AD20" s="20">
        <f>MIN(MAX(0,(SUMPRODUCT(Oxides_min!$C20:$BB20,Factors!$C$37:$BB$37)+SUMPRODUCT(Oxides_max!$C20:$BB20,Factors!$C$37:$BB$37))/2),ABS(SUMPRODUCT(Oxides_max!$C20:$BB20,Factors!$C$37:$BB$37)-SUMPRODUCT(Oxides_min!$C20:$BB20,Factors!$C$37:$BB$37))/2)</f>
        <v>9.5120732722731055E-2</v>
      </c>
      <c r="AE20" s="20">
        <f>MIN(MAX(0,(SUMPRODUCT(Oxides_min!$C20:$BB20,Factors!$C$38:$BB$38)+SUMPRODUCT(Oxides_max!$C20:$BB20,Factors!$C$38:$BB$38))/2),ABS(SUMPRODUCT(Oxides_max!$C20:$BB20,Factors!$C$38:$BB$38)-SUMPRODUCT(Oxides_min!$C20:$BB20,Factors!$C$38:$BB$38))/2)</f>
        <v>0</v>
      </c>
      <c r="AF20" s="20">
        <f>MIN(MAX(0,(SUMPRODUCT(Oxides_min!$C20:$BB20,Factors!$C$39:$BB$39)+SUMPRODUCT(Oxides_max!$C20:$BB20,Factors!$C$39:$BB$39))/2),ABS(SUMPRODUCT(Oxides_max!$C20:$BB20,Factors!$C$39:$BB$39)-SUMPRODUCT(Oxides_min!$C20:$BB20,Factors!$C$39:$BB$39))/2)</f>
        <v>0</v>
      </c>
      <c r="AG20" s="20">
        <f>MIN(MAX(0,(SUMPRODUCT(Oxides_min!$C20:$BB20,Factors!$C$40:$BB$40)+SUMPRODUCT(Oxides_max!$C20:$BB20,Factors!$C$40:$BB$40))/2),ABS(SUMPRODUCT(Oxides_max!$C20:$BB20,Factors!$C$40:$BB$40)-SUMPRODUCT(Oxides_min!$C20:$BB20,Factors!$C$40:$BB$40))/2)</f>
        <v>0.65910888186711114</v>
      </c>
      <c r="AH20" s="20">
        <f>MIN(MAX(0,(SUMPRODUCT(Oxides_min!$C20:$BB20,Factors!$C$41:$BB$41)+SUMPRODUCT(Oxides_max!$C20:$BB20,Factors!$C$41:$BB$41))/2),ABS(SUMPRODUCT(Oxides_max!$C20:$BB20,Factors!$C$41:$BB$41)-SUMPRODUCT(Oxides_min!$C20:$BB20,Factors!$C$41:$BB$41))/2)</f>
        <v>0.22037517482979752</v>
      </c>
      <c r="AI20" s="20">
        <f>MIN(MAX(0,(SUMPRODUCT(Oxides_min!$C20:$BB20,Factors!$C$42:$BB$42)+SUMPRODUCT(Oxides_max!$C20:$BB20,Factors!$C$42:$BB$42))/2),ABS(SUMPRODUCT(Oxides_max!$C20:$BB20,Factors!$C$42:$BB$42)-SUMPRODUCT(Oxides_min!$C20:$BB20,Factors!$C$42:$BB$42))/2)</f>
        <v>0</v>
      </c>
      <c r="AJ20" s="20">
        <f>MIN(MAX(0,(SUMPRODUCT(Oxides_min!$C20:$BB20,Factors!$C$43:$BB$43)+SUMPRODUCT(Oxides_max!$C20:$BB20,Factors!$C$43:$BB$43))/2),ABS(SUMPRODUCT(Oxides_max!$C20:$BB20,Factors!$C$43:$BB$43)-SUMPRODUCT(Oxides_min!$C20:$BB20,Factors!$C$43:$BB$43))/2)</f>
        <v>10.236771411975839</v>
      </c>
      <c r="AK20" s="20">
        <f>MIN(MAX(0,(SUMPRODUCT(Oxides_min!$C20:$BB20,Factors!$C$44:$BB$44)+SUMPRODUCT(Oxides_max!$C20:$BB20,Factors!$C$44:$BB$44))/2),ABS(SUMPRODUCT(Oxides_max!$C20:$BB20,Factors!$C$44:$BB$44)-SUMPRODUCT(Oxides_min!$C20:$BB20,Factors!$C$44:$BB$44))/2)</f>
        <v>2.1317078705939454</v>
      </c>
      <c r="AL20" s="20">
        <f>MIN(MAX(0,(SUMPRODUCT(Oxides_min!$C20:$BB20,Factors!$C$45:$BB$45)+SUMPRODUCT(Oxides_max!$C20:$BB20,Factors!$C$45:$BB$45))/2),ABS(SUMPRODUCT(Oxides_max!$C20:$BB20,Factors!$C$45:$BB$45)-SUMPRODUCT(Oxides_min!$C20:$BB20,Factors!$C$45:$BB$45))/2)</f>
        <v>4.5249798159212009</v>
      </c>
      <c r="AM20" s="20">
        <f>MIN(MAX(0,(SUMPRODUCT(Oxides_min!$C20:$BB20,Factors!$C$46:$BB$46)+SUMPRODUCT(Oxides_max!$C20:$BB20,Factors!$C$46:$BB$46))/2),ABS(SUMPRODUCT(Oxides_max!$C20:$BB20,Factors!$C$46:$BB$46)-SUMPRODUCT(Oxides_min!$C20:$BB20,Factors!$C$46:$BB$46))/2)</f>
        <v>0.59813024571065143</v>
      </c>
      <c r="AN20" s="20">
        <f>MIN(MAX(0,(SUMPRODUCT(Oxides_min!$C20:$BB20,Factors!$C$47:$BB$47)+SUMPRODUCT(Oxides_max!$C20:$BB20,Factors!$C$47:$BB$47))/2),ABS(SUMPRODUCT(Oxides_max!$C20:$BB20,Factors!$C$47:$BB$47)-SUMPRODUCT(Oxides_min!$C20:$BB20,Factors!$C$47:$BB$47))/2)</f>
        <v>2.3577289653799176</v>
      </c>
      <c r="AO20" s="20">
        <f>MIN(MAX(0,(SUMPRODUCT(Oxides_min!$C20:$BB20,Factors!$C$48:$BB$48)+SUMPRODUCT(Oxides_max!$C20:$BB20,Factors!$C$48:$BB$48))/2),ABS(SUMPRODUCT(Oxides_max!$C20:$BB20,Factors!$C$48:$BB$48)-SUMPRODUCT(Oxides_min!$C20:$BB20,Factors!$C$48:$BB$48))/2)</f>
        <v>1.1641875790397371</v>
      </c>
      <c r="AP20" s="20">
        <f>MIN(MAX(0,(SUMPRODUCT(Oxides_min!$C20:$BB20,Factors!$C$49:$BB$49)+SUMPRODUCT(Oxides_max!$C20:$BB20,Factors!$C$49:$BB$49))/2),ABS(SUMPRODUCT(Oxides_max!$C20:$BB20,Factors!$C$49:$BB$49)-SUMPRODUCT(Oxides_min!$C20:$BB20,Factors!$C$49:$BB$49))/2)</f>
        <v>0.25908474817077498</v>
      </c>
      <c r="AQ20" s="20">
        <f>MIN(MAX(0,(SUMPRODUCT(Oxides_min!$C20:$BB20,Factors!$C$50:$BB$50)+SUMPRODUCT(Oxides_max!$C20:$BB20,Factors!$C$50:$BB$50))/2),ABS(SUMPRODUCT(Oxides_max!$C20:$BB20,Factors!$C$50:$BB$50)-SUMPRODUCT(Oxides_min!$C20:$BB20,Factors!$C$50:$BB$50))/2)</f>
        <v>1.3881494191676069</v>
      </c>
      <c r="AR20" s="20">
        <f>MIN(MAX(0,(SUMPRODUCT(Oxides_min!$C20:$BB20,Factors!$C$51:$BB$51)+SUMPRODUCT(Oxides_max!$C20:$BB20,Factors!$C$51:$BB$51))/2),ABS(SUMPRODUCT(Oxides_max!$C20:$BB20,Factors!$C$51:$BB$51)-SUMPRODUCT(Oxides_min!$C20:$BB20,Factors!$C$51:$BB$51))/2)</f>
        <v>0.43440303164404204</v>
      </c>
      <c r="AS20" s="20">
        <f>MIN(MAX(0,(SUMPRODUCT(Oxides_min!$C20:$BB20,Factors!$C$52:$BB$52)+SUMPRODUCT(Oxides_max!$C20:$BB20,Factors!$C$52:$BB$52))/2),ABS(SUMPRODUCT(Oxides_max!$C20:$BB20,Factors!$C$52:$BB$52)-SUMPRODUCT(Oxides_min!$C20:$BB20,Factors!$C$52:$BB$52))/2)</f>
        <v>2.1783017021584619</v>
      </c>
      <c r="AT20" s="20">
        <f>MIN(MAX(0,(SUMPRODUCT(Oxides_min!$C20:$BB20,Factors!$C$53:$BB$53)+SUMPRODUCT(Oxides_max!$C20:$BB20,Factors!$C$53:$BB$53))/2),ABS(SUMPRODUCT(Oxides_max!$C20:$BB20,Factors!$C$53:$BB$53)-SUMPRODUCT(Oxides_min!$C20:$BB20,Factors!$C$53:$BB$53))/2)</f>
        <v>0.78567837952524244</v>
      </c>
      <c r="AU20" s="20">
        <f>MIN(MAX(0,(SUMPRODUCT(Oxides_min!$C20:$BB20,Factors!$C$54:$BB$54)+SUMPRODUCT(Oxides_max!$C20:$BB20,Factors!$C$54:$BB$54))/2),ABS(SUMPRODUCT(Oxides_max!$C20:$BB20,Factors!$C$54:$BB$54)-SUMPRODUCT(Oxides_min!$C20:$BB20,Factors!$C$54:$BB$54))/2)</f>
        <v>1.6178667503235165</v>
      </c>
      <c r="AV20" s="20">
        <f>MIN(MAX(0,(SUMPRODUCT(Oxides_min!$C20:$BB20,Factors!$C$55:$BB$55)+SUMPRODUCT(Oxides_max!$C20:$BB20,Factors!$C$55:$BB$55))/2),ABS(SUMPRODUCT(Oxides_max!$C20:$BB20,Factors!$C$55:$BB$55)-SUMPRODUCT(Oxides_min!$C20:$BB20,Factors!$C$55:$BB$55))/2)</f>
        <v>0.30646422752967978</v>
      </c>
      <c r="AW20" s="20">
        <f>MIN(MAX(0,(SUMPRODUCT(Oxides_min!$C20:$BB20,Factors!$C$56:$BB$56)+SUMPRODUCT(Oxides_max!$C20:$BB20,Factors!$C$56:$BB$56))/2),ABS(SUMPRODUCT(Oxides_max!$C20:$BB20,Factors!$C$56:$BB$56)-SUMPRODUCT(Oxides_min!$C20:$BB20,Factors!$C$56:$BB$56))/2)</f>
        <v>1.756414192805142</v>
      </c>
      <c r="AX20" s="20">
        <f>MIN(MAX(0,(SUMPRODUCT(Oxides_min!$C20:$BB20,Factors!$C$57:$BB$57)+SUMPRODUCT(Oxides_max!$C20:$BB20,Factors!$C$57:$BB$57))/2),ABS(SUMPRODUCT(Oxides_max!$C20:$BB20,Factors!$C$57:$BB$57)-SUMPRODUCT(Oxides_min!$C20:$BB20,Factors!$C$57:$BB$57))/2)</f>
        <v>0.35175339619521595</v>
      </c>
      <c r="AY20" s="20">
        <f>MIN(MAX(0,(SUMPRODUCT(Oxides_min!$C20:$BB20,Factors!$C$58:$BB$58)+SUMPRODUCT(Oxides_max!$C20:$BB20,Factors!$C$58:$BB$58))/2),ABS(SUMPRODUCT(Oxides_max!$C20:$BB20,Factors!$C$58:$BB$58)-SUMPRODUCT(Oxides_min!$C20:$BB20,Factors!$C$58:$BB$58))/2)</f>
        <v>0</v>
      </c>
      <c r="AZ20" s="18">
        <f t="shared" si="0"/>
        <v>49.70000000000001</v>
      </c>
    </row>
    <row r="21" spans="1:52" x14ac:dyDescent="0.35">
      <c r="A21" s="13" t="s">
        <v>163</v>
      </c>
      <c r="B21" s="20">
        <f>MIN(MAX(0,(SUMPRODUCT(Oxides_min!$C21:$BB21,Factors!$C$9:$BB$9)+SUMPRODUCT(Oxides_max!$C21:$BB21,Factors!$C$9:$BB$9))/2),ABS(SUMPRODUCT(Oxides_max!$C21:$BB21,Factors!$C$9:$BB$9)-SUMPRODUCT(Oxides_min!$C21:$BB21,Factors!$C$9:$BB$9))/2)</f>
        <v>13.280905655169127</v>
      </c>
      <c r="C21" s="20">
        <f>MIN(MAX(0,(SUMPRODUCT(Oxides_min!$C21:$BB21,Factors!$C$10:$BB$10)+SUMPRODUCT(Oxides_max!$C21:$BB21,Factors!$C$10:$BB$10))/2),ABS(SUMPRODUCT(Oxides_max!$C21:$BB21,Factors!$C$10:$BB$10)-SUMPRODUCT(Oxides_min!$C21:$BB21,Factors!$C$10:$BB$10))/2)</f>
        <v>2.6877610971489441</v>
      </c>
      <c r="D21" s="20">
        <f>MIN(MAX(0,(SUMPRODUCT(Oxides_min!$C21:$BB21,Factors!$C$11:$BB$11)+SUMPRODUCT(Oxides_max!$C21:$BB21,Factors!$C$11:$BB$11))/2),ABS(SUMPRODUCT(Oxides_max!$C21:$BB21,Factors!$C$11:$BB$11)-SUMPRODUCT(Oxides_min!$C21:$BB21,Factors!$C$11:$BB$11))/2)</f>
        <v>0</v>
      </c>
      <c r="E21" s="20">
        <f>MIN(MAX(0,(SUMPRODUCT(Oxides_min!$C21:$BB21,Factors!$C$12:$BB$12)+SUMPRODUCT(Oxides_max!$C21:$BB21,Factors!$C$12:$BB$12))/2),ABS(SUMPRODUCT(Oxides_max!$C21:$BB21,Factors!$C$12:$BB$12)-SUMPRODUCT(Oxides_min!$C21:$BB21,Factors!$C$12:$BB$12))/2)</f>
        <v>9.8092710717242042</v>
      </c>
      <c r="F21" s="20">
        <f>MIN(MAX(0,(SUMPRODUCT(Oxides_min!$C21:$BB21,Factors!$C$13:$BB$13)+SUMPRODUCT(Oxides_max!$C21:$BB21,Factors!$C$13:$BB$13))/2),ABS(SUMPRODUCT(Oxides_max!$C21:$BB21,Factors!$C$13:$BB$13)-SUMPRODUCT(Oxides_min!$C21:$BB21,Factors!$C$13:$BB$13))/2)</f>
        <v>2.3319500399072632</v>
      </c>
      <c r="G21" s="20">
        <f>MIN(MAX(0,(SUMPRODUCT(Oxides_min!$C21:$BB21,Factors!$C$14:$BB$14)+SUMPRODUCT(Oxides_max!$C21:$BB21,Factors!$C$14:$BB$14))/2),ABS(SUMPRODUCT(Oxides_max!$C21:$BB21,Factors!$C$14:$BB$14)-SUMPRODUCT(Oxides_min!$C21:$BB21,Factors!$C$14:$BB$14))/2)</f>
        <v>0</v>
      </c>
      <c r="H21" s="20">
        <f>MIN(MAX(0,(SUMPRODUCT(Oxides_min!$C21:$BB21,Factors!$C$15:$BB$15)+SUMPRODUCT(Oxides_max!$C21:$BB21,Factors!$C$15:$BB$15))/2),ABS(SUMPRODUCT(Oxides_max!$C21:$BB21,Factors!$C$15:$BB$15)-SUMPRODUCT(Oxides_min!$C21:$BB21,Factors!$C$15:$BB$15))/2)</f>
        <v>0.26462846335433821</v>
      </c>
      <c r="I21" s="20">
        <f>MIN(MAX(0,(SUMPRODUCT(Oxides_min!$C21:$BB21,Factors!$C$16:$BB$16)+SUMPRODUCT(Oxides_max!$C21:$BB21,Factors!$C$16:$BB$16))/2),ABS(SUMPRODUCT(Oxides_max!$C21:$BB21,Factors!$C$16:$BB$16)-SUMPRODUCT(Oxides_min!$C21:$BB21,Factors!$C$16:$BB$16))/2)</f>
        <v>0.77730916986804743</v>
      </c>
      <c r="J21" s="20">
        <f>MIN(MAX(0,(SUMPRODUCT(Oxides_min!$C21:$BB21,Factors!$C$17:$BB$17)+SUMPRODUCT(Oxides_max!$C21:$BB21,Factors!$C$17:$BB$17))/2),ABS(SUMPRODUCT(Oxides_max!$C21:$BB21,Factors!$C$17:$BB$17)-SUMPRODUCT(Oxides_min!$C21:$BB21,Factors!$C$17:$BB$17))/2)</f>
        <v>3.8723099316063977E-2</v>
      </c>
      <c r="K21" s="20">
        <f>MIN(MAX(0,(SUMPRODUCT(Oxides_min!$C21:$BB21,Factors!$C$18:$BB$18)+SUMPRODUCT(Oxides_max!$C21:$BB21,Factors!$C$18:$BB$18))/2),ABS(SUMPRODUCT(Oxides_max!$C21:$BB21,Factors!$C$18:$BB$18)-SUMPRODUCT(Oxides_min!$C21:$BB21,Factors!$C$18:$BB$18))/2)</f>
        <v>0</v>
      </c>
      <c r="L21" s="20">
        <f>MIN(MAX(0,(SUMPRODUCT(Oxides_min!$C21:$BB21,Factors!$C$19:$BB$19)+SUMPRODUCT(Oxides_max!$C21:$BB21,Factors!$C$19:$BB$19))/2),ABS(SUMPRODUCT(Oxides_max!$C21:$BB21,Factors!$C$19:$BB$19)-SUMPRODUCT(Oxides_min!$C21:$BB21,Factors!$C$19:$BB$19))/2)</f>
        <v>0</v>
      </c>
      <c r="M21" s="20">
        <f>MIN(MAX(0,(SUMPRODUCT(Oxides_min!$C21:$BB21,Factors!$C$20:$BB$20)+SUMPRODUCT(Oxides_max!$C21:$BB21,Factors!$C$20:$BB$20))/2),ABS(SUMPRODUCT(Oxides_max!$C21:$BB21,Factors!$C$20:$BB$20)-SUMPRODUCT(Oxides_min!$C21:$BB21,Factors!$C$20:$BB$20))/2)</f>
        <v>0</v>
      </c>
      <c r="N21" s="20">
        <f>MIN(MAX(0,(SUMPRODUCT(Oxides_min!$C21:$BB21,Factors!$C$21:$BB$21)+SUMPRODUCT(Oxides_max!$C21:$BB21,Factors!$C$21:$BB$21))/2),ABS(SUMPRODUCT(Oxides_max!$C21:$BB21,Factors!$C$21:$BB$21)-SUMPRODUCT(Oxides_min!$C21:$BB21,Factors!$C$21:$BB$21))/2)</f>
        <v>0.8933698307684077</v>
      </c>
      <c r="O21" s="20">
        <f>MIN(MAX(0,(SUMPRODUCT(Oxides_min!$C21:$BB21,Factors!$C$22:$BB$22)+SUMPRODUCT(Oxides_max!$C21:$BB21,Factors!$C$22:$BB$22))/2),ABS(SUMPRODUCT(Oxides_max!$C21:$BB21,Factors!$C$22:$BB$22)-SUMPRODUCT(Oxides_min!$C21:$BB21,Factors!$C$22:$BB$22))/2)</f>
        <v>0</v>
      </c>
      <c r="P21" s="20">
        <f>MIN(MAX(0,(SUMPRODUCT(Oxides_min!$C21:$BB21,Factors!$C$23:$BB$23)+SUMPRODUCT(Oxides_max!$C21:$BB21,Factors!$C$23:$BB$23))/2),ABS(SUMPRODUCT(Oxides_max!$C21:$BB21,Factors!$C$23:$BB$23)-SUMPRODUCT(Oxides_min!$C21:$BB21,Factors!$C$23:$BB$23))/2)</f>
        <v>0</v>
      </c>
      <c r="Q21" s="20">
        <f>MIN(MAX(0,(SUMPRODUCT(Oxides_min!$C21:$BB21,Factors!$C$24:$BB$24)+SUMPRODUCT(Oxides_max!$C21:$BB21,Factors!$C$24:$BB$24))/2),ABS(SUMPRODUCT(Oxides_max!$C21:$BB21,Factors!$C$24:$BB$24)-SUMPRODUCT(Oxides_min!$C21:$BB21,Factors!$C$24:$BB$24))/2)</f>
        <v>0.41774380709590991</v>
      </c>
      <c r="R21" s="20">
        <f>MIN(MAX(0,(SUMPRODUCT(Oxides_min!$C21:$BB21,Factors!$C$25:$BB$25)+SUMPRODUCT(Oxides_max!$C21:$BB21,Factors!$C$25:$BB$25))/2),ABS(SUMPRODUCT(Oxides_max!$C21:$BB21,Factors!$C$25:$BB$25)-SUMPRODUCT(Oxides_min!$C21:$BB21,Factors!$C$25:$BB$25))/2)</f>
        <v>0.11127933869113804</v>
      </c>
      <c r="S21" s="20">
        <f>MIN(MAX(0,(SUMPRODUCT(Oxides_min!$C21:$BB21,Factors!$C$26:$BB$26)+SUMPRODUCT(Oxides_max!$C21:$BB21,Factors!$C$26:$BB$26))/2),ABS(SUMPRODUCT(Oxides_max!$C21:$BB21,Factors!$C$26:$BB$26)-SUMPRODUCT(Oxides_min!$C21:$BB21,Factors!$C$26:$BB$26))/2)</f>
        <v>0</v>
      </c>
      <c r="T21" s="20">
        <f>MIN(MAX(0,(SUMPRODUCT(Oxides_min!$C21:$BB21,Factors!$C$27:$BB$27)+SUMPRODUCT(Oxides_max!$C21:$BB21,Factors!$C$27:$BB$27))/2),ABS(SUMPRODUCT(Oxides_max!$C21:$BB21,Factors!$C$27:$BB$27)-SUMPRODUCT(Oxides_min!$C21:$BB21,Factors!$C$27:$BB$27))/2)</f>
        <v>0</v>
      </c>
      <c r="U21" s="20">
        <f>MIN(MAX(0,(SUMPRODUCT(Oxides_min!$C21:$BB21,Factors!$C$28:$BB$28)+SUMPRODUCT(Oxides_max!$C21:$BB21,Factors!$C$28:$BB$28))/2),ABS(SUMPRODUCT(Oxides_max!$C21:$BB21,Factors!$C$28:$BB$28)-SUMPRODUCT(Oxides_min!$C21:$BB21,Factors!$C$28:$BB$28))/2)</f>
        <v>0</v>
      </c>
      <c r="V21" s="20">
        <f>MIN(MAX(0,(SUMPRODUCT(Oxides_min!$C21:$BB21,Factors!$C$29:$BB$29)+SUMPRODUCT(Oxides_max!$C21:$BB21,Factors!$C$29:$BB$29))/2),ABS(SUMPRODUCT(Oxides_max!$C21:$BB21,Factors!$C$29:$BB$29)-SUMPRODUCT(Oxides_min!$C21:$BB21,Factors!$C$29:$BB$29))/2)</f>
        <v>0</v>
      </c>
      <c r="W21" s="20">
        <f>MIN(MAX(0,(SUMPRODUCT(Oxides_min!$C21:$BB21,Factors!$C$30:$BB$30)+SUMPRODUCT(Oxides_max!$C21:$BB21,Factors!$C$30:$BB$30))/2),ABS(SUMPRODUCT(Oxides_max!$C21:$BB21,Factors!$C$30:$BB$30)-SUMPRODUCT(Oxides_min!$C21:$BB21,Factors!$C$30:$BB$30))/2)</f>
        <v>0.17476234890677</v>
      </c>
      <c r="X21" s="20">
        <f>MIN(MAX(0,(SUMPRODUCT(Oxides_min!$C21:$BB21,Factors!$C$31:$BB$31)+SUMPRODUCT(Oxides_max!$C21:$BB21,Factors!$C$31:$BB$31))/2),ABS(SUMPRODUCT(Oxides_max!$C21:$BB21,Factors!$C$31:$BB$31)-SUMPRODUCT(Oxides_min!$C21:$BB21,Factors!$C$31:$BB$31))/2)</f>
        <v>0</v>
      </c>
      <c r="Y21" s="20">
        <f>MIN(MAX(0,(SUMPRODUCT(Oxides_min!$C21:$BB21,Factors!$C$32:$BB$32)+SUMPRODUCT(Oxides_max!$C21:$BB21,Factors!$C$32:$BB$32))/2),ABS(SUMPRODUCT(Oxides_max!$C21:$BB21,Factors!$C$32:$BB$32)-SUMPRODUCT(Oxides_min!$C21:$BB21,Factors!$C$32:$BB$32))/2)</f>
        <v>0</v>
      </c>
      <c r="Z21" s="20">
        <f>MIN(MAX(0,(SUMPRODUCT(Oxides_min!$C21:$BB21,Factors!$C$33:$BB$33)+SUMPRODUCT(Oxides_max!$C21:$BB21,Factors!$C$33:$BB$33))/2),ABS(SUMPRODUCT(Oxides_max!$C21:$BB21,Factors!$C$33:$BB$33)-SUMPRODUCT(Oxides_min!$C21:$BB21,Factors!$C$33:$BB$33))/2)</f>
        <v>1.3092804520880374</v>
      </c>
      <c r="AA21" s="20">
        <f>MIN(MAX(0,(SUMPRODUCT(Oxides_min!$C21:$BB21,Factors!$C$34:$BB$34)+SUMPRODUCT(Oxides_max!$C21:$BB21,Factors!$C$34:$BB$34))/2),ABS(SUMPRODUCT(Oxides_max!$C21:$BB21,Factors!$C$34:$BB$34)-SUMPRODUCT(Oxides_min!$C21:$BB21,Factors!$C$34:$BB$34))/2)</f>
        <v>9.7792618798468595E-2</v>
      </c>
      <c r="AB21" s="20">
        <f>MIN(MAX(0,(SUMPRODUCT(Oxides_min!$C21:$BB21,Factors!$C$35:$BB$35)+SUMPRODUCT(Oxides_max!$C21:$BB21,Factors!$C$35:$BB$35))/2),ABS(SUMPRODUCT(Oxides_max!$C21:$BB21,Factors!$C$35:$BB$35)-SUMPRODUCT(Oxides_min!$C21:$BB21,Factors!$C$35:$BB$35))/2)</f>
        <v>0</v>
      </c>
      <c r="AC21" s="20">
        <f>MIN(MAX(0,(SUMPRODUCT(Oxides_min!$C21:$BB21,Factors!$C$36:$BB$36)+SUMPRODUCT(Oxides_max!$C21:$BB21,Factors!$C$36:$BB$36))/2),ABS(SUMPRODUCT(Oxides_max!$C21:$BB21,Factors!$C$36:$BB$36)-SUMPRODUCT(Oxides_min!$C21:$BB21,Factors!$C$36:$BB$36))/2)</f>
        <v>0</v>
      </c>
      <c r="AD21" s="20">
        <f>MIN(MAX(0,(SUMPRODUCT(Oxides_min!$C21:$BB21,Factors!$C$37:$BB$37)+SUMPRODUCT(Oxides_max!$C21:$BB21,Factors!$C$37:$BB$37))/2),ABS(SUMPRODUCT(Oxides_max!$C21:$BB21,Factors!$C$37:$BB$37)-SUMPRODUCT(Oxides_min!$C21:$BB21,Factors!$C$37:$BB$37))/2)</f>
        <v>0.279766860949209</v>
      </c>
      <c r="AE21" s="20">
        <f>MIN(MAX(0,(SUMPRODUCT(Oxides_min!$C21:$BB21,Factors!$C$38:$BB$38)+SUMPRODUCT(Oxides_max!$C21:$BB21,Factors!$C$38:$BB$38))/2),ABS(SUMPRODUCT(Oxides_max!$C21:$BB21,Factors!$C$38:$BB$38)-SUMPRODUCT(Oxides_min!$C21:$BB21,Factors!$C$38:$BB$38))/2)</f>
        <v>0.6</v>
      </c>
      <c r="AF21" s="20">
        <f>MIN(MAX(0,(SUMPRODUCT(Oxides_min!$C21:$BB21,Factors!$C$39:$BB$39)+SUMPRODUCT(Oxides_max!$C21:$BB21,Factors!$C$39:$BB$39))/2),ABS(SUMPRODUCT(Oxides_max!$C21:$BB21,Factors!$C$39:$BB$39)-SUMPRODUCT(Oxides_min!$C21:$BB21,Factors!$C$39:$BB$39))/2)</f>
        <v>0</v>
      </c>
      <c r="AG21" s="20">
        <f>MIN(MAX(0,(SUMPRODUCT(Oxides_min!$C21:$BB21,Factors!$C$40:$BB$40)+SUMPRODUCT(Oxides_max!$C21:$BB21,Factors!$C$40:$BB$40))/2),ABS(SUMPRODUCT(Oxides_max!$C21:$BB21,Factors!$C$40:$BB$40)-SUMPRODUCT(Oxides_min!$C21:$BB21,Factors!$C$40:$BB$40))/2)</f>
        <v>0.65910888186711114</v>
      </c>
      <c r="AH21" s="20">
        <f>MIN(MAX(0,(SUMPRODUCT(Oxides_min!$C21:$BB21,Factors!$C$41:$BB$41)+SUMPRODUCT(Oxides_max!$C21:$BB21,Factors!$C$41:$BB$41))/2),ABS(SUMPRODUCT(Oxides_max!$C21:$BB21,Factors!$C$41:$BB$41)-SUMPRODUCT(Oxides_min!$C21:$BB21,Factors!$C$41:$BB$41))/2)</f>
        <v>1.5426262238085826</v>
      </c>
      <c r="AI21" s="20">
        <f>MIN(MAX(0,(SUMPRODUCT(Oxides_min!$C21:$BB21,Factors!$C$42:$BB$42)+SUMPRODUCT(Oxides_max!$C21:$BB21,Factors!$C$42:$BB$42))/2),ABS(SUMPRODUCT(Oxides_max!$C21:$BB21,Factors!$C$42:$BB$42)-SUMPRODUCT(Oxides_min!$C21:$BB21,Factors!$C$42:$BB$42))/2)</f>
        <v>0.16299142181019088</v>
      </c>
      <c r="AJ21" s="20">
        <f>MIN(MAX(0,(SUMPRODUCT(Oxides_min!$C21:$BB21,Factors!$C$43:$BB$43)+SUMPRODUCT(Oxides_max!$C21:$BB21,Factors!$C$43:$BB$43))/2),ABS(SUMPRODUCT(Oxides_max!$C21:$BB21,Factors!$C$43:$BB$43)-SUMPRODUCT(Oxides_min!$C21:$BB21,Factors!$C$43:$BB$43))/2)</f>
        <v>3.1497758190694887</v>
      </c>
      <c r="AK21" s="20">
        <f>MIN(MAX(0,(SUMPRODUCT(Oxides_min!$C21:$BB21,Factors!$C$44:$BB$44)+SUMPRODUCT(Oxides_max!$C21:$BB21,Factors!$C$44:$BB$44))/2),ABS(SUMPRODUCT(Oxides_max!$C21:$BB21,Factors!$C$44:$BB$44)-SUMPRODUCT(Oxides_min!$C21:$BB21,Factors!$C$44:$BB$44))/2)</f>
        <v>2.1317078705939456E-2</v>
      </c>
      <c r="AL21" s="20">
        <f>MIN(MAX(0,(SUMPRODUCT(Oxides_min!$C21:$BB21,Factors!$C$45:$BB$45)+SUMPRODUCT(Oxides_max!$C21:$BB21,Factors!$C$45:$BB$45))/2),ABS(SUMPRODUCT(Oxides_max!$C21:$BB21,Factors!$C$45:$BB$45)-SUMPRODUCT(Oxides_min!$C21:$BB21,Factors!$C$45:$BB$45))/2)</f>
        <v>0.21344244414722646</v>
      </c>
      <c r="AM21" s="20">
        <f>MIN(MAX(0,(SUMPRODUCT(Oxides_min!$C21:$BB21,Factors!$C$46:$BB$46)+SUMPRODUCT(Oxides_max!$C21:$BB21,Factors!$C$46:$BB$46))/2),ABS(SUMPRODUCT(Oxides_max!$C21:$BB21,Factors!$C$46:$BB$46)-SUMPRODUCT(Oxides_min!$C21:$BB21,Factors!$C$46:$BB$46))/2)</f>
        <v>2.5634153387599345E-2</v>
      </c>
      <c r="AN21" s="20">
        <f>MIN(MAX(0,(SUMPRODUCT(Oxides_min!$C21:$BB21,Factors!$C$47:$BB$47)+SUMPRODUCT(Oxides_max!$C21:$BB21,Factors!$C$47:$BB$47))/2),ABS(SUMPRODUCT(Oxides_max!$C21:$BB21,Factors!$C$47:$BB$47)-SUMPRODUCT(Oxides_min!$C21:$BB21,Factors!$C$47:$BB$47))/2)</f>
        <v>6.4301699055815925E-2</v>
      </c>
      <c r="AO21" s="20">
        <f>MIN(MAX(0,(SUMPRODUCT(Oxides_min!$C21:$BB21,Factors!$C$48:$BB$48)+SUMPRODUCT(Oxides_max!$C21:$BB21,Factors!$C$48:$BB$48))/2),ABS(SUMPRODUCT(Oxides_max!$C21:$BB21,Factors!$C$48:$BB$48)-SUMPRODUCT(Oxides_min!$C21:$BB21,Factors!$C$48:$BB$48))/2)</f>
        <v>6.467708772442983E-2</v>
      </c>
      <c r="AP21" s="20">
        <f>MIN(MAX(0,(SUMPRODUCT(Oxides_min!$C21:$BB21,Factors!$C$49:$BB$49)+SUMPRODUCT(Oxides_max!$C21:$BB21,Factors!$C$49:$BB$49))/2),ABS(SUMPRODUCT(Oxides_max!$C21:$BB21,Factors!$C$49:$BB$49)-SUMPRODUCT(Oxides_min!$C21:$BB21,Factors!$C$49:$BB$49))/2)</f>
        <v>1.295423740853875E-2</v>
      </c>
      <c r="AQ21" s="20">
        <f>MIN(MAX(0,(SUMPRODUCT(Oxides_min!$C21:$BB21,Factors!$C$50:$BB$50)+SUMPRODUCT(Oxides_max!$C21:$BB21,Factors!$C$50:$BB$50))/2),ABS(SUMPRODUCT(Oxides_max!$C21:$BB21,Factors!$C$50:$BB$50)-SUMPRODUCT(Oxides_min!$C21:$BB21,Factors!$C$50:$BB$50))/2)</f>
        <v>0.21689834674493857</v>
      </c>
      <c r="AR21" s="20">
        <f>MIN(MAX(0,(SUMPRODUCT(Oxides_min!$C21:$BB21,Factors!$C$51:$BB$51)+SUMPRODUCT(Oxides_max!$C21:$BB21,Factors!$C$51:$BB$51))/2),ABS(SUMPRODUCT(Oxides_max!$C21:$BB21,Factors!$C$51:$BB$51)-SUMPRODUCT(Oxides_min!$C21:$BB21,Factors!$C$51:$BB$51))/2)</f>
        <v>6.5160454746606297E-2</v>
      </c>
      <c r="AS21" s="20">
        <f>MIN(MAX(0,(SUMPRODUCT(Oxides_min!$C21:$BB21,Factors!$C$52:$BB$52)+SUMPRODUCT(Oxides_max!$C21:$BB21,Factors!$C$52:$BB$52))/2),ABS(SUMPRODUCT(Oxides_max!$C21:$BB21,Factors!$C$52:$BB$52)-SUMPRODUCT(Oxides_min!$C21:$BB21,Factors!$C$52:$BB$52))/2)</f>
        <v>0.52279240851803088</v>
      </c>
      <c r="AT21" s="20">
        <f>MIN(MAX(0,(SUMPRODUCT(Oxides_min!$C21:$BB21,Factors!$C$53:$BB$53)+SUMPRODUCT(Oxides_max!$C21:$BB21,Factors!$C$53:$BB$53))/2),ABS(SUMPRODUCT(Oxides_max!$C21:$BB21,Factors!$C$53:$BB$53)-SUMPRODUCT(Oxides_min!$C21:$BB21,Factors!$C$53:$BB$53))/2)</f>
        <v>0.10912199715628366</v>
      </c>
      <c r="AU21" s="20">
        <f>MIN(MAX(0,(SUMPRODUCT(Oxides_min!$C21:$BB21,Factors!$C$54:$BB$54)+SUMPRODUCT(Oxides_max!$C21:$BB21,Factors!$C$54:$BB$54))/2),ABS(SUMPRODUCT(Oxides_max!$C21:$BB21,Factors!$C$54:$BB$54)-SUMPRODUCT(Oxides_min!$C21:$BB21,Factors!$C$54:$BB$54))/2)</f>
        <v>0.43726128387122071</v>
      </c>
      <c r="AV21" s="20">
        <f>MIN(MAX(0,(SUMPRODUCT(Oxides_min!$C21:$BB21,Factors!$C$55:$BB$55)+SUMPRODUCT(Oxides_max!$C21:$BB21,Factors!$C$55:$BB$55))/2),ABS(SUMPRODUCT(Oxides_max!$C21:$BB21,Factors!$C$55:$BB$55)-SUMPRODUCT(Oxides_min!$C21:$BB21,Factors!$C$55:$BB$55))/2)</f>
        <v>8.7561207865622798E-2</v>
      </c>
      <c r="AW21" s="20">
        <f>MIN(MAX(0,(SUMPRODUCT(Oxides_min!$C21:$BB21,Factors!$C$56:$BB$56)+SUMPRODUCT(Oxides_max!$C21:$BB21,Factors!$C$56:$BB$56))/2),ABS(SUMPRODUCT(Oxides_max!$C21:$BB21,Factors!$C$56:$BB$56)-SUMPRODUCT(Oxides_min!$C21:$BB21,Factors!$C$56:$BB$56))/2)</f>
        <v>0.96602780604282823</v>
      </c>
      <c r="AX21" s="20">
        <f>MIN(MAX(0,(SUMPRODUCT(Oxides_min!$C21:$BB21,Factors!$C$57:$BB$57)+SUMPRODUCT(Oxides_max!$C21:$BB21,Factors!$C$57:$BB$57))/2),ABS(SUMPRODUCT(Oxides_max!$C21:$BB21,Factors!$C$57:$BB$57)-SUMPRODUCT(Oxides_min!$C21:$BB21,Factors!$C$57:$BB$57))/2)</f>
        <v>0.15389211083540696</v>
      </c>
      <c r="AY21" s="20">
        <f>MIN(MAX(0,(SUMPRODUCT(Oxides_min!$C21:$BB21,Factors!$C$58:$BB$58)+SUMPRODUCT(Oxides_max!$C21:$BB21,Factors!$C$58:$BB$58))/2),ABS(SUMPRODUCT(Oxides_max!$C21:$BB21,Factors!$C$58:$BB$58)-SUMPRODUCT(Oxides_min!$C21:$BB21,Factors!$C$58:$BB$58))/2)</f>
        <v>6.7274461335339805E-2</v>
      </c>
      <c r="AZ21" s="18">
        <f t="shared" si="0"/>
        <v>41.61736297788714</v>
      </c>
    </row>
    <row r="22" spans="1:52" x14ac:dyDescent="0.35">
      <c r="A22" s="13" t="s">
        <v>165</v>
      </c>
      <c r="B22" s="20">
        <f>MIN(MAX(0,(SUMPRODUCT(Oxides_min!$C22:$BB22,Factors!$C$9:$BB$9)+SUMPRODUCT(Oxides_max!$C22:$BB22,Factors!$C$9:$BB$9))/2),ABS(SUMPRODUCT(Oxides_max!$C22:$BB22,Factors!$C$9:$BB$9)-SUMPRODUCT(Oxides_min!$C22:$BB22,Factors!$C$9:$BB$9))/2)</f>
        <v>19.109096250055167</v>
      </c>
      <c r="C22" s="20">
        <f>MIN(MAX(0,(SUMPRODUCT(Oxides_min!$C22:$BB22,Factors!$C$10:$BB$10)+SUMPRODUCT(Oxides_max!$C22:$BB22,Factors!$C$10:$BB$10))/2),ABS(SUMPRODUCT(Oxides_max!$C22:$BB22,Factors!$C$10:$BB$10)-SUMPRODUCT(Oxides_min!$C22:$BB22,Factors!$C$10:$BB$10))/2)</f>
        <v>0.18697468501905701</v>
      </c>
      <c r="D22" s="20">
        <f>MIN(MAX(0,(SUMPRODUCT(Oxides_min!$C22:$BB22,Factors!$C$11:$BB$11)+SUMPRODUCT(Oxides_max!$C22:$BB22,Factors!$C$11:$BB$11))/2),ABS(SUMPRODUCT(Oxides_max!$C22:$BB22,Factors!$C$11:$BB$11)-SUMPRODUCT(Oxides_min!$C22:$BB22,Factors!$C$11:$BB$11))/2)</f>
        <v>7.4918612658861834</v>
      </c>
      <c r="E22" s="20">
        <f>MIN(MAX(0,(SUMPRODUCT(Oxides_min!$C22:$BB22,Factors!$C$12:$BB$12)+SUMPRODUCT(Oxides_max!$C22:$BB22,Factors!$C$12:$BB$12))/2),ABS(SUMPRODUCT(Oxides_max!$C22:$BB22,Factors!$C$12:$BB$12)-SUMPRODUCT(Oxides_min!$C22:$BB22,Factors!$C$12:$BB$12))/2)</f>
        <v>0.96241904854652582</v>
      </c>
      <c r="F22" s="20">
        <f>MIN(MAX(0,(SUMPRODUCT(Oxides_min!$C22:$BB22,Factors!$C$13:$BB$13)+SUMPRODUCT(Oxides_max!$C22:$BB22,Factors!$C$13:$BB$13))/2),ABS(SUMPRODUCT(Oxides_max!$C22:$BB22,Factors!$C$13:$BB$13)-SUMPRODUCT(Oxides_min!$C22:$BB22,Factors!$C$13:$BB$13))/2)</f>
        <v>0</v>
      </c>
      <c r="G22" s="20">
        <f>MIN(MAX(0,(SUMPRODUCT(Oxides_min!$C22:$BB22,Factors!$C$14:$BB$14)+SUMPRODUCT(Oxides_max!$C22:$BB22,Factors!$C$14:$BB$14))/2),ABS(SUMPRODUCT(Oxides_max!$C22:$BB22,Factors!$C$14:$BB$14)-SUMPRODUCT(Oxides_min!$C22:$BB22,Factors!$C$14:$BB$14))/2)</f>
        <v>7.8768214029779446E-2</v>
      </c>
      <c r="H22" s="20">
        <f>MIN(MAX(0,(SUMPRODUCT(Oxides_min!$C22:$BB22,Factors!$C$15:$BB$15)+SUMPRODUCT(Oxides_max!$C22:$BB22,Factors!$C$15:$BB$15))/2),ABS(SUMPRODUCT(Oxides_max!$C22:$BB22,Factors!$C$15:$BB$15)-SUMPRODUCT(Oxides_min!$C22:$BB22,Factors!$C$15:$BB$15))/2)</f>
        <v>0</v>
      </c>
      <c r="I22" s="20">
        <f>MIN(MAX(0,(SUMPRODUCT(Oxides_min!$C22:$BB22,Factors!$C$16:$BB$16)+SUMPRODUCT(Oxides_max!$C22:$BB22,Factors!$C$16:$BB$16))/2),ABS(SUMPRODUCT(Oxides_max!$C22:$BB22,Factors!$C$16:$BB$16)-SUMPRODUCT(Oxides_min!$C22:$BB22,Factors!$C$16:$BB$16))/2)</f>
        <v>3.8394500756401309</v>
      </c>
      <c r="J22" s="20">
        <f>MIN(MAX(0,(SUMPRODUCT(Oxides_min!$C22:$BB22,Factors!$C$17:$BB$17)+SUMPRODUCT(Oxides_max!$C22:$BB22,Factors!$C$17:$BB$17))/2),ABS(SUMPRODUCT(Oxides_max!$C22:$BB22,Factors!$C$17:$BB$17)-SUMPRODUCT(Oxides_min!$C22:$BB22,Factors!$C$17:$BB$17))/2)</f>
        <v>0.48403874145079967</v>
      </c>
      <c r="K22" s="20">
        <f>MIN(MAX(0,(SUMPRODUCT(Oxides_min!$C22:$BB22,Factors!$C$18:$BB$18)+SUMPRODUCT(Oxides_max!$C22:$BB22,Factors!$C$18:$BB$18))/2),ABS(SUMPRODUCT(Oxides_max!$C22:$BB22,Factors!$C$18:$BB$18)-SUMPRODUCT(Oxides_min!$C22:$BB22,Factors!$C$18:$BB$18))/2)</f>
        <v>0</v>
      </c>
      <c r="L22" s="20">
        <f>MIN(MAX(0,(SUMPRODUCT(Oxides_min!$C22:$BB22,Factors!$C$19:$BB$19)+SUMPRODUCT(Oxides_max!$C22:$BB22,Factors!$C$19:$BB$19))/2),ABS(SUMPRODUCT(Oxides_max!$C22:$BB22,Factors!$C$19:$BB$19)-SUMPRODUCT(Oxides_min!$C22:$BB22,Factors!$C$19:$BB$19))/2)</f>
        <v>0</v>
      </c>
      <c r="M22" s="20">
        <f>MIN(MAX(0,(SUMPRODUCT(Oxides_min!$C22:$BB22,Factors!$C$20:$BB$20)+SUMPRODUCT(Oxides_max!$C22:$BB22,Factors!$C$20:$BB$20))/2),ABS(SUMPRODUCT(Oxides_max!$C22:$BB22,Factors!$C$20:$BB$20)-SUMPRODUCT(Oxides_min!$C22:$BB22,Factors!$C$20:$BB$20))/2)</f>
        <v>0</v>
      </c>
      <c r="N22" s="20">
        <f>MIN(MAX(0,(SUMPRODUCT(Oxides_min!$C22:$BB22,Factors!$C$21:$BB$21)+SUMPRODUCT(Oxides_max!$C22:$BB22,Factors!$C$21:$BB$21))/2),ABS(SUMPRODUCT(Oxides_max!$C22:$BB22,Factors!$C$21:$BB$21)-SUMPRODUCT(Oxides_min!$C22:$BB22,Factors!$C$21:$BB$21))/2)</f>
        <v>0.82190024430693498</v>
      </c>
      <c r="O22" s="20">
        <f>MIN(MAX(0,(SUMPRODUCT(Oxides_min!$C22:$BB22,Factors!$C$22:$BB$22)+SUMPRODUCT(Oxides_max!$C22:$BB22,Factors!$C$22:$BB$22))/2),ABS(SUMPRODUCT(Oxides_max!$C22:$BB22,Factors!$C$22:$BB$22)-SUMPRODUCT(Oxides_min!$C22:$BB22,Factors!$C$22:$BB$22))/2)</f>
        <v>0</v>
      </c>
      <c r="P22" s="20">
        <f>MIN(MAX(0,(SUMPRODUCT(Oxides_min!$C22:$BB22,Factors!$C$23:$BB$23)+SUMPRODUCT(Oxides_max!$C22:$BB22,Factors!$C$23:$BB$23))/2),ABS(SUMPRODUCT(Oxides_max!$C22:$BB22,Factors!$C$23:$BB$23)-SUMPRODUCT(Oxides_min!$C22:$BB22,Factors!$C$23:$BB$23))/2)</f>
        <v>0</v>
      </c>
      <c r="Q22" s="20">
        <f>MIN(MAX(0,(SUMPRODUCT(Oxides_min!$C22:$BB22,Factors!$C$24:$BB$24)+SUMPRODUCT(Oxides_max!$C22:$BB22,Factors!$C$24:$BB$24))/2),ABS(SUMPRODUCT(Oxides_max!$C22:$BB22,Factors!$C$24:$BB$24)-SUMPRODUCT(Oxides_min!$C22:$BB22,Factors!$C$24:$BB$24))/2)</f>
        <v>0</v>
      </c>
      <c r="R22" s="20">
        <f>MIN(MAX(0,(SUMPRODUCT(Oxides_min!$C22:$BB22,Factors!$C$25:$BB$25)+SUMPRODUCT(Oxides_max!$C22:$BB22,Factors!$C$25:$BB$25))/2),ABS(SUMPRODUCT(Oxides_max!$C22:$BB22,Factors!$C$25:$BB$25)-SUMPRODUCT(Oxides_min!$C22:$BB22,Factors!$C$25:$BB$25))/2)</f>
        <v>0</v>
      </c>
      <c r="S22" s="20">
        <f>MIN(MAX(0,(SUMPRODUCT(Oxides_min!$C22:$BB22,Factors!$C$26:$BB$26)+SUMPRODUCT(Oxides_max!$C22:$BB22,Factors!$C$26:$BB$26))/2),ABS(SUMPRODUCT(Oxides_max!$C22:$BB22,Factors!$C$26:$BB$26)-SUMPRODUCT(Oxides_min!$C22:$BB22,Factors!$C$26:$BB$26))/2)</f>
        <v>0</v>
      </c>
      <c r="T22" s="20">
        <f>MIN(MAX(0,(SUMPRODUCT(Oxides_min!$C22:$BB22,Factors!$C$27:$BB$27)+SUMPRODUCT(Oxides_max!$C22:$BB22,Factors!$C$27:$BB$27))/2),ABS(SUMPRODUCT(Oxides_max!$C22:$BB22,Factors!$C$27:$BB$27)-SUMPRODUCT(Oxides_min!$C22:$BB22,Factors!$C$27:$BB$27))/2)</f>
        <v>0</v>
      </c>
      <c r="U22" s="20">
        <f>MIN(MAX(0,(SUMPRODUCT(Oxides_min!$C22:$BB22,Factors!$C$28:$BB$28)+SUMPRODUCT(Oxides_max!$C22:$BB22,Factors!$C$28:$BB$28))/2),ABS(SUMPRODUCT(Oxides_max!$C22:$BB22,Factors!$C$28:$BB$28)-SUMPRODUCT(Oxides_min!$C22:$BB22,Factors!$C$28:$BB$28))/2)</f>
        <v>0</v>
      </c>
      <c r="V22" s="20">
        <f>MIN(MAX(0,(SUMPRODUCT(Oxides_min!$C22:$BB22,Factors!$C$29:$BB$29)+SUMPRODUCT(Oxides_max!$C22:$BB22,Factors!$C$29:$BB$29))/2),ABS(SUMPRODUCT(Oxides_max!$C22:$BB22,Factors!$C$29:$BB$29)-SUMPRODUCT(Oxides_min!$C22:$BB22,Factors!$C$29:$BB$29))/2)</f>
        <v>0</v>
      </c>
      <c r="W22" s="20">
        <f>MIN(MAX(0,(SUMPRODUCT(Oxides_min!$C22:$BB22,Factors!$C$30:$BB$30)+SUMPRODUCT(Oxides_max!$C22:$BB22,Factors!$C$30:$BB$30))/2),ABS(SUMPRODUCT(Oxides_max!$C22:$BB22,Factors!$C$30:$BB$30)-SUMPRODUCT(Oxides_min!$C22:$BB22,Factors!$C$30:$BB$30))/2)</f>
        <v>10.380883525062139</v>
      </c>
      <c r="X22" s="20">
        <f>MIN(MAX(0,(SUMPRODUCT(Oxides_min!$C22:$BB22,Factors!$C$31:$BB$31)+SUMPRODUCT(Oxides_max!$C22:$BB22,Factors!$C$31:$BB$31))/2),ABS(SUMPRODUCT(Oxides_max!$C22:$BB22,Factors!$C$31:$BB$31)-SUMPRODUCT(Oxides_min!$C22:$BB22,Factors!$C$31:$BB$31))/2)</f>
        <v>2.8663988357665593</v>
      </c>
      <c r="Y22" s="20">
        <f>MIN(MAX(0,(SUMPRODUCT(Oxides_min!$C22:$BB22,Factors!$C$32:$BB$32)+SUMPRODUCT(Oxides_max!$C22:$BB22,Factors!$C$32:$BB$32))/2),ABS(SUMPRODUCT(Oxides_max!$C22:$BB22,Factors!$C$32:$BB$32)-SUMPRODUCT(Oxides_min!$C22:$BB22,Factors!$C$32:$BB$32))/2)</f>
        <v>0</v>
      </c>
      <c r="Z22" s="20">
        <f>MIN(MAX(0,(SUMPRODUCT(Oxides_min!$C22:$BB22,Factors!$C$33:$BB$33)+SUMPRODUCT(Oxides_max!$C22:$BB22,Factors!$C$33:$BB$33))/2),ABS(SUMPRODUCT(Oxides_max!$C22:$BB22,Factors!$C$33:$BB$33)-SUMPRODUCT(Oxides_min!$C22:$BB22,Factors!$C$33:$BB$33))/2)</f>
        <v>0</v>
      </c>
      <c r="AA22" s="20">
        <f>MIN(MAX(0,(SUMPRODUCT(Oxides_min!$C22:$BB22,Factors!$C$34:$BB$34)+SUMPRODUCT(Oxides_max!$C22:$BB22,Factors!$C$34:$BB$34))/2),ABS(SUMPRODUCT(Oxides_max!$C22:$BB22,Factors!$C$34:$BB$34)-SUMPRODUCT(Oxides_min!$C22:$BB22,Factors!$C$34:$BB$34))/2)</f>
        <v>0</v>
      </c>
      <c r="AB22" s="20">
        <f>MIN(MAX(0,(SUMPRODUCT(Oxides_min!$C22:$BB22,Factors!$C$35:$BB$35)+SUMPRODUCT(Oxides_max!$C22:$BB22,Factors!$C$35:$BB$35))/2),ABS(SUMPRODUCT(Oxides_max!$C22:$BB22,Factors!$C$35:$BB$35)-SUMPRODUCT(Oxides_min!$C22:$BB22,Factors!$C$35:$BB$35))/2)</f>
        <v>0</v>
      </c>
      <c r="AC22" s="20">
        <f>MIN(MAX(0,(SUMPRODUCT(Oxides_min!$C22:$BB22,Factors!$C$36:$BB$36)+SUMPRODUCT(Oxides_max!$C22:$BB22,Factors!$C$36:$BB$36))/2),ABS(SUMPRODUCT(Oxides_max!$C22:$BB22,Factors!$C$36:$BB$36)-SUMPRODUCT(Oxides_min!$C22:$BB22,Factors!$C$36:$BB$36))/2)</f>
        <v>0</v>
      </c>
      <c r="AD22" s="20">
        <f>MIN(MAX(0,(SUMPRODUCT(Oxides_min!$C22:$BB22,Factors!$C$37:$BB$37)+SUMPRODUCT(Oxides_max!$C22:$BB22,Factors!$C$37:$BB$37))/2),ABS(SUMPRODUCT(Oxides_max!$C22:$BB22,Factors!$C$37:$BB$37)-SUMPRODUCT(Oxides_min!$C22:$BB22,Factors!$C$37:$BB$37))/2)</f>
        <v>0.17905079100749377</v>
      </c>
      <c r="AE22" s="20">
        <f>MIN(MAX(0,(SUMPRODUCT(Oxides_min!$C22:$BB22,Factors!$C$38:$BB$38)+SUMPRODUCT(Oxides_max!$C22:$BB22,Factors!$C$38:$BB$38))/2),ABS(SUMPRODUCT(Oxides_max!$C22:$BB22,Factors!$C$38:$BB$38)-SUMPRODUCT(Oxides_min!$C22:$BB22,Factors!$C$38:$BB$38))/2)</f>
        <v>0.25</v>
      </c>
      <c r="AF22" s="20">
        <f>MIN(MAX(0,(SUMPRODUCT(Oxides_min!$C22:$BB22,Factors!$C$39:$BB$39)+SUMPRODUCT(Oxides_max!$C22:$BB22,Factors!$C$39:$BB$39))/2),ABS(SUMPRODUCT(Oxides_max!$C22:$BB22,Factors!$C$39:$BB$39)-SUMPRODUCT(Oxides_min!$C22:$BB22,Factors!$C$39:$BB$39))/2)</f>
        <v>0</v>
      </c>
      <c r="AG22" s="20">
        <f>MIN(MAX(0,(SUMPRODUCT(Oxides_min!$C22:$BB22,Factors!$C$40:$BB$40)+SUMPRODUCT(Oxides_max!$C22:$BB22,Factors!$C$40:$BB$40))/2),ABS(SUMPRODUCT(Oxides_max!$C22:$BB22,Factors!$C$40:$BB$40)-SUMPRODUCT(Oxides_min!$C22:$BB22,Factors!$C$40:$BB$40))/2)</f>
        <v>7.0304947399158522</v>
      </c>
      <c r="AH22" s="20">
        <f>MIN(MAX(0,(SUMPRODUCT(Oxides_min!$C22:$BB22,Factors!$C$41:$BB$41)+SUMPRODUCT(Oxides_max!$C22:$BB22,Factors!$C$41:$BB$41))/2),ABS(SUMPRODUCT(Oxides_max!$C22:$BB22,Factors!$C$41:$BB$41)-SUMPRODUCT(Oxides_min!$C22:$BB22,Factors!$C$41:$BB$41))/2)</f>
        <v>0.44075034965959503</v>
      </c>
      <c r="AI22" s="20">
        <f>MIN(MAX(0,(SUMPRODUCT(Oxides_min!$C22:$BB22,Factors!$C$42:$BB$42)+SUMPRODUCT(Oxides_max!$C22:$BB22,Factors!$C$42:$BB$42))/2),ABS(SUMPRODUCT(Oxides_max!$C22:$BB22,Factors!$C$42:$BB$42)-SUMPRODUCT(Oxides_min!$C22:$BB22,Factors!$C$42:$BB$42))/2)</f>
        <v>0</v>
      </c>
      <c r="AJ22" s="20">
        <f>MIN(MAX(0,(SUMPRODUCT(Oxides_min!$C22:$BB22,Factors!$C$43:$BB$43)+SUMPRODUCT(Oxides_max!$C22:$BB22,Factors!$C$43:$BB$43))/2),ABS(SUMPRODUCT(Oxides_max!$C22:$BB22,Factors!$C$43:$BB$43)-SUMPRODUCT(Oxides_min!$C22:$BB22,Factors!$C$43:$BB$43))/2)</f>
        <v>2.4804484575172223</v>
      </c>
      <c r="AK22" s="20">
        <f>MIN(MAX(0,(SUMPRODUCT(Oxides_min!$C22:$BB22,Factors!$C$44:$BB$44)+SUMPRODUCT(Oxides_max!$C22:$BB22,Factors!$C$44:$BB$44))/2),ABS(SUMPRODUCT(Oxides_max!$C22:$BB22,Factors!$C$44:$BB$44)-SUMPRODUCT(Oxides_min!$C22:$BB22,Factors!$C$44:$BB$44))/2)</f>
        <v>4.9455622597779527</v>
      </c>
      <c r="AL22" s="20">
        <f>MIN(MAX(0,(SUMPRODUCT(Oxides_min!$C22:$BB22,Factors!$C$45:$BB$45)+SUMPRODUCT(Oxides_max!$C22:$BB22,Factors!$C$45:$BB$45))/2),ABS(SUMPRODUCT(Oxides_max!$C22:$BB22,Factors!$C$45:$BB$45)-SUMPRODUCT(Oxides_min!$C22:$BB22,Factors!$C$45:$BB$45))/2)</f>
        <v>5.891011458463451</v>
      </c>
      <c r="AM22" s="20">
        <f>MIN(MAX(0,(SUMPRODUCT(Oxides_min!$C22:$BB22,Factors!$C$46:$BB$46)+SUMPRODUCT(Oxides_max!$C22:$BB22,Factors!$C$46:$BB$46))/2),ABS(SUMPRODUCT(Oxides_max!$C22:$BB22,Factors!$C$46:$BB$46)-SUMPRODUCT(Oxides_min!$C22:$BB22,Factors!$C$46:$BB$46))/2)</f>
        <v>0.46995947877265465</v>
      </c>
      <c r="AN22" s="20">
        <f>MIN(MAX(0,(SUMPRODUCT(Oxides_min!$C22:$BB22,Factors!$C$47:$BB$47)+SUMPRODUCT(Oxides_max!$C22:$BB22,Factors!$C$47:$BB$47))/2),ABS(SUMPRODUCT(Oxides_max!$C22:$BB22,Factors!$C$47:$BB$47)-SUMPRODUCT(Oxides_min!$C22:$BB22,Factors!$C$47:$BB$47))/2)</f>
        <v>5.7014173162823454</v>
      </c>
      <c r="AO22" s="20">
        <f>MIN(MAX(0,(SUMPRODUCT(Oxides_min!$C22:$BB22,Factors!$C$48:$BB$48)+SUMPRODUCT(Oxides_max!$C22:$BB22,Factors!$C$48:$BB$48))/2),ABS(SUMPRODUCT(Oxides_max!$C22:$BB22,Factors!$C$48:$BB$48)-SUMPRODUCT(Oxides_min!$C22:$BB22,Factors!$C$48:$BB$48))/2)</f>
        <v>1.2073056375226903</v>
      </c>
      <c r="AP22" s="20">
        <f>MIN(MAX(0,(SUMPRODUCT(Oxides_min!$C22:$BB22,Factors!$C$49:$BB$49)+SUMPRODUCT(Oxides_max!$C22:$BB22,Factors!$C$49:$BB$49))/2),ABS(SUMPRODUCT(Oxides_max!$C22:$BB22,Factors!$C$49:$BB$49)-SUMPRODUCT(Oxides_min!$C22:$BB22,Factors!$C$49:$BB$49))/2)</f>
        <v>0.64771187042693756</v>
      </c>
      <c r="AQ22" s="20">
        <f>MIN(MAX(0,(SUMPRODUCT(Oxides_min!$C22:$BB22,Factors!$C$50:$BB$50)+SUMPRODUCT(Oxides_max!$C22:$BB22,Factors!$C$50:$BB$50))/2),ABS(SUMPRODUCT(Oxides_max!$C22:$BB22,Factors!$C$50:$BB$50)-SUMPRODUCT(Oxides_min!$C22:$BB22,Factors!$C$50:$BB$50))/2)</f>
        <v>1.3447697498186193</v>
      </c>
      <c r="AR22" s="20">
        <f>MIN(MAX(0,(SUMPRODUCT(Oxides_min!$C22:$BB22,Factors!$C$51:$BB$51)+SUMPRODUCT(Oxides_max!$C22:$BB22,Factors!$C$51:$BB$51))/2),ABS(SUMPRODUCT(Oxides_max!$C22:$BB22,Factors!$C$51:$BB$51)-SUMPRODUCT(Oxides_min!$C22:$BB22,Factors!$C$51:$BB$51))/2)</f>
        <v>0</v>
      </c>
      <c r="AS22" s="20">
        <f>MIN(MAX(0,(SUMPRODUCT(Oxides_min!$C22:$BB22,Factors!$C$52:$BB$52)+SUMPRODUCT(Oxides_max!$C22:$BB22,Factors!$C$52:$BB$52))/2),ABS(SUMPRODUCT(Oxides_max!$C22:$BB22,Factors!$C$52:$BB$52)-SUMPRODUCT(Oxides_min!$C22:$BB22,Factors!$C$52:$BB$52))/2)</f>
        <v>0.78418861277704643</v>
      </c>
      <c r="AT22" s="20">
        <f>MIN(MAX(0,(SUMPRODUCT(Oxides_min!$C22:$BB22,Factors!$C$53:$BB$53)+SUMPRODUCT(Oxides_max!$C22:$BB22,Factors!$C$53:$BB$53))/2),ABS(SUMPRODUCT(Oxides_max!$C22:$BB22,Factors!$C$53:$BB$53)-SUMPRODUCT(Oxides_min!$C22:$BB22,Factors!$C$53:$BB$53))/2)</f>
        <v>0</v>
      </c>
      <c r="AU22" s="20">
        <f>MIN(MAX(0,(SUMPRODUCT(Oxides_min!$C22:$BB22,Factors!$C$54:$BB$54)+SUMPRODUCT(Oxides_max!$C22:$BB22,Factors!$C$54:$BB$54))/2),ABS(SUMPRODUCT(Oxides_max!$C22:$BB22,Factors!$C$54:$BB$54)-SUMPRODUCT(Oxides_min!$C22:$BB22,Factors!$C$54:$BB$54))/2)</f>
        <v>8.7452256774244147E-2</v>
      </c>
      <c r="AV22" s="20">
        <f>MIN(MAX(0,(SUMPRODUCT(Oxides_min!$C22:$BB22,Factors!$C$55:$BB$55)+SUMPRODUCT(Oxides_max!$C22:$BB22,Factors!$C$55:$BB$55))/2),ABS(SUMPRODUCT(Oxides_max!$C22:$BB22,Factors!$C$55:$BB$55)-SUMPRODUCT(Oxides_min!$C22:$BB22,Factors!$C$55:$BB$55))/2)</f>
        <v>0</v>
      </c>
      <c r="AW22" s="20">
        <f>MIN(MAX(0,(SUMPRODUCT(Oxides_min!$C22:$BB22,Factors!$C$56:$BB$56)+SUMPRODUCT(Oxides_max!$C22:$BB22,Factors!$C$56:$BB$56))/2),ABS(SUMPRODUCT(Oxides_max!$C22:$BB22,Factors!$C$56:$BB$56)-SUMPRODUCT(Oxides_min!$C22:$BB22,Factors!$C$56:$BB$56))/2)</f>
        <v>8.7820709640257108E-2</v>
      </c>
      <c r="AX22" s="20">
        <f>MIN(MAX(0,(SUMPRODUCT(Oxides_min!$C22:$BB22,Factors!$C$57:$BB$57)+SUMPRODUCT(Oxides_max!$C22:$BB22,Factors!$C$57:$BB$57))/2),ABS(SUMPRODUCT(Oxides_max!$C22:$BB22,Factors!$C$57:$BB$57)-SUMPRODUCT(Oxides_min!$C22:$BB22,Factors!$C$57:$BB$57))/2)</f>
        <v>0</v>
      </c>
      <c r="AY22" s="20">
        <f>MIN(MAX(0,(SUMPRODUCT(Oxides_min!$C22:$BB22,Factors!$C$58:$BB$58)+SUMPRODUCT(Oxides_max!$C22:$BB22,Factors!$C$58:$BB$58))/2),ABS(SUMPRODUCT(Oxides_max!$C22:$BB22,Factors!$C$58:$BB$58)-SUMPRODUCT(Oxides_min!$C22:$BB22,Factors!$C$58:$BB$58))/2)</f>
        <v>0</v>
      </c>
      <c r="AZ22" s="18">
        <f t="shared" si="0"/>
        <v>77.769734574119624</v>
      </c>
    </row>
    <row r="23" spans="1:52" x14ac:dyDescent="0.35">
      <c r="A23" s="13" t="s">
        <v>167</v>
      </c>
      <c r="B23" s="20">
        <f>MIN(MAX(0,(SUMPRODUCT(Oxides_min!$C23:$BB23,Factors!$C$9:$BB$9)+SUMPRODUCT(Oxides_max!$C23:$BB23,Factors!$C$9:$BB$9))/2),ABS(SUMPRODUCT(Oxides_max!$C23:$BB23,Factors!$C$9:$BB$9)-SUMPRODUCT(Oxides_min!$C23:$BB23,Factors!$C$9:$BB$9))/2)</f>
        <v>11.823007402160954</v>
      </c>
      <c r="C23" s="20">
        <f>MIN(MAX(0,(SUMPRODUCT(Oxides_min!$C23:$BB23,Factors!$C$10:$BB$10)+SUMPRODUCT(Oxides_max!$C23:$BB23,Factors!$C$10:$BB$10))/2),ABS(SUMPRODUCT(Oxides_max!$C23:$BB23,Factors!$C$10:$BB$10)-SUMPRODUCT(Oxides_min!$C23:$BB23,Factors!$C$10:$BB$10))/2)</f>
        <v>0.18697468501905701</v>
      </c>
      <c r="D23" s="20">
        <f>MIN(MAX(0,(SUMPRODUCT(Oxides_min!$C23:$BB23,Factors!$C$11:$BB$11)+SUMPRODUCT(Oxides_max!$C23:$BB23,Factors!$C$11:$BB$11))/2),ABS(SUMPRODUCT(Oxides_max!$C23:$BB23,Factors!$C$11:$BB$11)-SUMPRODUCT(Oxides_min!$C23:$BB23,Factors!$C$11:$BB$11))/2)</f>
        <v>2.3973956050835783</v>
      </c>
      <c r="E23" s="20">
        <f>MIN(MAX(0,(SUMPRODUCT(Oxides_min!$C23:$BB23,Factors!$C$12:$BB$12)+SUMPRODUCT(Oxides_max!$C23:$BB23,Factors!$C$12:$BB$12))/2),ABS(SUMPRODUCT(Oxides_max!$C23:$BB23,Factors!$C$12:$BB$12)-SUMPRODUCT(Oxides_min!$C23:$BB23,Factors!$C$12:$BB$12))/2)</f>
        <v>3.7016117251789458E-2</v>
      </c>
      <c r="F23" s="20">
        <f>MIN(MAX(0,(SUMPRODUCT(Oxides_min!$C23:$BB23,Factors!$C$13:$BB$13)+SUMPRODUCT(Oxides_max!$C23:$BB23,Factors!$C$13:$BB$13))/2),ABS(SUMPRODUCT(Oxides_max!$C23:$BB23,Factors!$C$13:$BB$13)-SUMPRODUCT(Oxides_min!$C23:$BB23,Factors!$C$13:$BB$13))/2)</f>
        <v>0</v>
      </c>
      <c r="G23" s="20">
        <f>MIN(MAX(0,(SUMPRODUCT(Oxides_min!$C23:$BB23,Factors!$C$14:$BB$14)+SUMPRODUCT(Oxides_max!$C23:$BB23,Factors!$C$14:$BB$14))/2),ABS(SUMPRODUCT(Oxides_max!$C23:$BB23,Factors!$C$14:$BB$14)-SUMPRODUCT(Oxides_min!$C23:$BB23,Factors!$C$14:$BB$14))/2)</f>
        <v>0.15753642805955889</v>
      </c>
      <c r="H23" s="20">
        <f>MIN(MAX(0,(SUMPRODUCT(Oxides_min!$C23:$BB23,Factors!$C$15:$BB$15)+SUMPRODUCT(Oxides_max!$C23:$BB23,Factors!$C$15:$BB$15))/2),ABS(SUMPRODUCT(Oxides_max!$C23:$BB23,Factors!$C$15:$BB$15)-SUMPRODUCT(Oxides_min!$C23:$BB23,Factors!$C$15:$BB$15))/2)</f>
        <v>3.9694269503150727E-2</v>
      </c>
      <c r="I23" s="20">
        <f>MIN(MAX(0,(SUMPRODUCT(Oxides_min!$C23:$BB23,Factors!$C$16:$BB$16)+SUMPRODUCT(Oxides_max!$C23:$BB23,Factors!$C$16:$BB$16))/2),ABS(SUMPRODUCT(Oxides_max!$C23:$BB23,Factors!$C$16:$BB$16)-SUMPRODUCT(Oxides_min!$C23:$BB23,Factors!$C$16:$BB$16))/2)</f>
        <v>0.87825611793295288</v>
      </c>
      <c r="J23" s="20">
        <f>MIN(MAX(0,(SUMPRODUCT(Oxides_min!$C23:$BB23,Factors!$C$17:$BB$17)+SUMPRODUCT(Oxides_max!$C23:$BB23,Factors!$C$17:$BB$17))/2),ABS(SUMPRODUCT(Oxides_max!$C23:$BB23,Factors!$C$17:$BB$17)-SUMPRODUCT(Oxides_min!$C23:$BB23,Factors!$C$17:$BB$17))/2)</f>
        <v>0.23233859589638384</v>
      </c>
      <c r="K23" s="20">
        <f>MIN(MAX(0,(SUMPRODUCT(Oxides_min!$C23:$BB23,Factors!$C$18:$BB$18)+SUMPRODUCT(Oxides_max!$C23:$BB23,Factors!$C$18:$BB$18))/2),ABS(SUMPRODUCT(Oxides_max!$C23:$BB23,Factors!$C$18:$BB$18)-SUMPRODUCT(Oxides_min!$C23:$BB23,Factors!$C$18:$BB$18))/2)</f>
        <v>0</v>
      </c>
      <c r="L23" s="20">
        <f>MIN(MAX(0,(SUMPRODUCT(Oxides_min!$C23:$BB23,Factors!$C$19:$BB$19)+SUMPRODUCT(Oxides_max!$C23:$BB23,Factors!$C$19:$BB$19))/2),ABS(SUMPRODUCT(Oxides_max!$C23:$BB23,Factors!$C$19:$BB$19)-SUMPRODUCT(Oxides_min!$C23:$BB23,Factors!$C$19:$BB$19))/2)</f>
        <v>0</v>
      </c>
      <c r="M23" s="20">
        <f>MIN(MAX(0,(SUMPRODUCT(Oxides_min!$C23:$BB23,Factors!$C$20:$BB$20)+SUMPRODUCT(Oxides_max!$C23:$BB23,Factors!$C$20:$BB$20))/2),ABS(SUMPRODUCT(Oxides_max!$C23:$BB23,Factors!$C$20:$BB$20)-SUMPRODUCT(Oxides_min!$C23:$BB23,Factors!$C$20:$BB$20))/2)</f>
        <v>4.5228141127431516E-2</v>
      </c>
      <c r="N23" s="20">
        <f>MIN(MAX(0,(SUMPRODUCT(Oxides_min!$C23:$BB23,Factors!$C$21:$BB$21)+SUMPRODUCT(Oxides_max!$C23:$BB23,Factors!$C$21:$BB$21))/2),ABS(SUMPRODUCT(Oxides_max!$C23:$BB23,Factors!$C$21:$BB$21)-SUMPRODUCT(Oxides_min!$C23:$BB23,Factors!$C$21:$BB$21))/2)</f>
        <v>1.6795352818446063</v>
      </c>
      <c r="O23" s="20">
        <f>MIN(MAX(0,(SUMPRODUCT(Oxides_min!$C23:$BB23,Factors!$C$22:$BB$22)+SUMPRODUCT(Oxides_max!$C23:$BB23,Factors!$C$22:$BB$22))/2),ABS(SUMPRODUCT(Oxides_max!$C23:$BB23,Factors!$C$22:$BB$22)-SUMPRODUCT(Oxides_min!$C23:$BB23,Factors!$C$22:$BB$22))/2)</f>
        <v>0</v>
      </c>
      <c r="P23" s="20">
        <f>MIN(MAX(0,(SUMPRODUCT(Oxides_min!$C23:$BB23,Factors!$C$23:$BB$23)+SUMPRODUCT(Oxides_max!$C23:$BB23,Factors!$C$23:$BB$23))/2),ABS(SUMPRODUCT(Oxides_max!$C23:$BB23,Factors!$C$23:$BB$23)-SUMPRODUCT(Oxides_min!$C23:$BB23,Factors!$C$23:$BB$23))/2)</f>
        <v>0</v>
      </c>
      <c r="Q23" s="20">
        <f>MIN(MAX(0,(SUMPRODUCT(Oxides_min!$C23:$BB23,Factors!$C$24:$BB$24)+SUMPRODUCT(Oxides_max!$C23:$BB23,Factors!$C$24:$BB$24))/2),ABS(SUMPRODUCT(Oxides_max!$C23:$BB23,Factors!$C$24:$BB$24)-SUMPRODUCT(Oxides_min!$C23:$BB23,Factors!$C$24:$BB$24))/2)</f>
        <v>0.27849587139727328</v>
      </c>
      <c r="R23" s="20">
        <f>MIN(MAX(0,(SUMPRODUCT(Oxides_min!$C23:$BB23,Factors!$C$25:$BB$25)+SUMPRODUCT(Oxides_max!$C23:$BB23,Factors!$C$25:$BB$25))/2),ABS(SUMPRODUCT(Oxides_max!$C23:$BB23,Factors!$C$25:$BB$25)-SUMPRODUCT(Oxides_min!$C23:$BB23,Factors!$C$25:$BB$25))/2)</f>
        <v>7.4186225794092037E-2</v>
      </c>
      <c r="S23" s="20">
        <f>MIN(MAX(0,(SUMPRODUCT(Oxides_min!$C23:$BB23,Factors!$C$26:$BB$26)+SUMPRODUCT(Oxides_max!$C23:$BB23,Factors!$C$26:$BB$26))/2),ABS(SUMPRODUCT(Oxides_max!$C23:$BB23,Factors!$C$26:$BB$26)-SUMPRODUCT(Oxides_min!$C23:$BB23,Factors!$C$26:$BB$26))/2)</f>
        <v>4.1507565109198313E-2</v>
      </c>
      <c r="T23" s="20">
        <f>MIN(MAX(0,(SUMPRODUCT(Oxides_min!$C23:$BB23,Factors!$C$27:$BB$27)+SUMPRODUCT(Oxides_max!$C23:$BB23,Factors!$C$27:$BB$27))/2),ABS(SUMPRODUCT(Oxides_max!$C23:$BB23,Factors!$C$27:$BB$27)-SUMPRODUCT(Oxides_min!$C23:$BB23,Factors!$C$27:$BB$27))/2)</f>
        <v>0</v>
      </c>
      <c r="U23" s="20">
        <f>MIN(MAX(0,(SUMPRODUCT(Oxides_min!$C23:$BB23,Factors!$C$28:$BB$28)+SUMPRODUCT(Oxides_max!$C23:$BB23,Factors!$C$28:$BB$28))/2),ABS(SUMPRODUCT(Oxides_max!$C23:$BB23,Factors!$C$28:$BB$28)-SUMPRODUCT(Oxides_min!$C23:$BB23,Factors!$C$28:$BB$28))/2)</f>
        <v>0</v>
      </c>
      <c r="V23" s="20">
        <f>MIN(MAX(0,(SUMPRODUCT(Oxides_min!$C23:$BB23,Factors!$C$29:$BB$29)+SUMPRODUCT(Oxides_max!$C23:$BB23,Factors!$C$29:$BB$29))/2),ABS(SUMPRODUCT(Oxides_max!$C23:$BB23,Factors!$C$29:$BB$29)-SUMPRODUCT(Oxides_min!$C23:$BB23,Factors!$C$29:$BB$29))/2)</f>
        <v>0</v>
      </c>
      <c r="W23" s="20">
        <f>MIN(MAX(0,(SUMPRODUCT(Oxides_min!$C23:$BB23,Factors!$C$30:$BB$30)+SUMPRODUCT(Oxides_max!$C23:$BB23,Factors!$C$30:$BB$30))/2),ABS(SUMPRODUCT(Oxides_max!$C23:$BB23,Factors!$C$30:$BB$30)-SUMPRODUCT(Oxides_min!$C23:$BB23,Factors!$C$30:$BB$30))/2)</f>
        <v>6.9904939562708002</v>
      </c>
      <c r="X23" s="20">
        <f>MIN(MAX(0,(SUMPRODUCT(Oxides_min!$C23:$BB23,Factors!$C$31:$BB$31)+SUMPRODUCT(Oxides_max!$C23:$BB23,Factors!$C$31:$BB$31))/2),ABS(SUMPRODUCT(Oxides_max!$C23:$BB23,Factors!$C$31:$BB$31)-SUMPRODUCT(Oxides_min!$C23:$BB23,Factors!$C$31:$BB$31))/2)</f>
        <v>5.9375404455164436</v>
      </c>
      <c r="Y23" s="20">
        <f>MIN(MAX(0,(SUMPRODUCT(Oxides_min!$C23:$BB23,Factors!$C$32:$BB$32)+SUMPRODUCT(Oxides_max!$C23:$BB23,Factors!$C$32:$BB$32))/2),ABS(SUMPRODUCT(Oxides_max!$C23:$BB23,Factors!$C$32:$BB$32)-SUMPRODUCT(Oxides_min!$C23:$BB23,Factors!$C$32:$BB$32))/2)</f>
        <v>0.11894563853051929</v>
      </c>
      <c r="Z23" s="20">
        <f>MIN(MAX(0,(SUMPRODUCT(Oxides_min!$C23:$BB23,Factors!$C$33:$BB$33)+SUMPRODUCT(Oxides_max!$C23:$BB23,Factors!$C$33:$BB$33))/2),ABS(SUMPRODUCT(Oxides_max!$C23:$BB23,Factors!$C$33:$BB$33)-SUMPRODUCT(Oxides_min!$C23:$BB23,Factors!$C$33:$BB$33))/2)</f>
        <v>0</v>
      </c>
      <c r="AA23" s="20">
        <f>MIN(MAX(0,(SUMPRODUCT(Oxides_min!$C23:$BB23,Factors!$C$34:$BB$34)+SUMPRODUCT(Oxides_max!$C23:$BB23,Factors!$C$34:$BB$34))/2),ABS(SUMPRODUCT(Oxides_max!$C23:$BB23,Factors!$C$34:$BB$34)-SUMPRODUCT(Oxides_min!$C23:$BB23,Factors!$C$34:$BB$34))/2)</f>
        <v>0</v>
      </c>
      <c r="AB23" s="20">
        <f>MIN(MAX(0,(SUMPRODUCT(Oxides_min!$C23:$BB23,Factors!$C$35:$BB$35)+SUMPRODUCT(Oxides_max!$C23:$BB23,Factors!$C$35:$BB$35))/2),ABS(SUMPRODUCT(Oxides_max!$C23:$BB23,Factors!$C$35:$BB$35)-SUMPRODUCT(Oxides_min!$C23:$BB23,Factors!$C$35:$BB$35))/2)</f>
        <v>0</v>
      </c>
      <c r="AC23" s="20">
        <f>MIN(MAX(0,(SUMPRODUCT(Oxides_min!$C23:$BB23,Factors!$C$36:$BB$36)+SUMPRODUCT(Oxides_max!$C23:$BB23,Factors!$C$36:$BB$36))/2),ABS(SUMPRODUCT(Oxides_max!$C23:$BB23,Factors!$C$36:$BB$36)-SUMPRODUCT(Oxides_min!$C23:$BB23,Factors!$C$36:$BB$36))/2)</f>
        <v>0</v>
      </c>
      <c r="AD23" s="20">
        <f>MIN(MAX(0,(SUMPRODUCT(Oxides_min!$C23:$BB23,Factors!$C$37:$BB$37)+SUMPRODUCT(Oxides_max!$C23:$BB23,Factors!$C$37:$BB$37))/2),ABS(SUMPRODUCT(Oxides_max!$C23:$BB23,Factors!$C$37:$BB$37)-SUMPRODUCT(Oxides_min!$C23:$BB23,Factors!$C$37:$BB$37))/2)</f>
        <v>0.16786011656952537</v>
      </c>
      <c r="AE23" s="20">
        <f>MIN(MAX(0,(SUMPRODUCT(Oxides_min!$C23:$BB23,Factors!$C$38:$BB$38)+SUMPRODUCT(Oxides_max!$C23:$BB23,Factors!$C$38:$BB$38))/2),ABS(SUMPRODUCT(Oxides_max!$C23:$BB23,Factors!$C$38:$BB$38)-SUMPRODUCT(Oxides_min!$C23:$BB23,Factors!$C$38:$BB$38))/2)</f>
        <v>0</v>
      </c>
      <c r="AF23" s="20">
        <f>MIN(MAX(0,(SUMPRODUCT(Oxides_min!$C23:$BB23,Factors!$C$39:$BB$39)+SUMPRODUCT(Oxides_max!$C23:$BB23,Factors!$C$39:$BB$39))/2),ABS(SUMPRODUCT(Oxides_max!$C23:$BB23,Factors!$C$39:$BB$39)-SUMPRODUCT(Oxides_min!$C23:$BB23,Factors!$C$39:$BB$39))/2)</f>
        <v>0</v>
      </c>
      <c r="AG23" s="20">
        <f>MIN(MAX(0,(SUMPRODUCT(Oxides_min!$C23:$BB23,Factors!$C$40:$BB$40)+SUMPRODUCT(Oxides_max!$C23:$BB23,Factors!$C$40:$BB$40))/2),ABS(SUMPRODUCT(Oxides_max!$C23:$BB23,Factors!$C$40:$BB$40)-SUMPRODUCT(Oxides_min!$C23:$BB23,Factors!$C$40:$BB$40))/2)</f>
        <v>1.9773266456013334</v>
      </c>
      <c r="AH23" s="20">
        <f>MIN(MAX(0,(SUMPRODUCT(Oxides_min!$C23:$BB23,Factors!$C$41:$BB$41)+SUMPRODUCT(Oxides_max!$C23:$BB23,Factors!$C$41:$BB$41))/2),ABS(SUMPRODUCT(Oxides_max!$C23:$BB23,Factors!$C$41:$BB$41)-SUMPRODUCT(Oxides_min!$C23:$BB23,Factors!$C$41:$BB$41))/2)</f>
        <v>4.9804789511534242</v>
      </c>
      <c r="AI23" s="20">
        <f>MIN(MAX(0,(SUMPRODUCT(Oxides_min!$C23:$BB23,Factors!$C$42:$BB$42)+SUMPRODUCT(Oxides_max!$C23:$BB23,Factors!$C$42:$BB$42))/2),ABS(SUMPRODUCT(Oxides_max!$C23:$BB23,Factors!$C$42:$BB$42)-SUMPRODUCT(Oxides_min!$C23:$BB23,Factors!$C$42:$BB$42))/2)</f>
        <v>3.2598284362038175E-2</v>
      </c>
      <c r="AJ23" s="20">
        <f>MIN(MAX(0,(SUMPRODUCT(Oxides_min!$C23:$BB23,Factors!$C$43:$BB$43)+SUMPRODUCT(Oxides_max!$C23:$BB23,Factors!$C$43:$BB$43))/2),ABS(SUMPRODUCT(Oxides_max!$C23:$BB23,Factors!$C$43:$BB$43)-SUMPRODUCT(Oxides_min!$C23:$BB23,Factors!$C$43:$BB$43))/2)</f>
        <v>5.1577579037262886</v>
      </c>
      <c r="AK23" s="20">
        <f>MIN(MAX(0,(SUMPRODUCT(Oxides_min!$C23:$BB23,Factors!$C$44:$BB$44)+SUMPRODUCT(Oxides_max!$C23:$BB23,Factors!$C$44:$BB$44))/2),ABS(SUMPRODUCT(Oxides_max!$C23:$BB23,Factors!$C$44:$BB$44)-SUMPRODUCT(Oxides_min!$C23:$BB23,Factors!$C$44:$BB$44))/2)</f>
        <v>8.5268314823757824E-2</v>
      </c>
      <c r="AL23" s="20">
        <f>MIN(MAX(0,(SUMPRODUCT(Oxides_min!$C23:$BB23,Factors!$C$45:$BB$45)+SUMPRODUCT(Oxides_max!$C23:$BB23,Factors!$C$45:$BB$45))/2),ABS(SUMPRODUCT(Oxides_max!$C23:$BB23,Factors!$C$45:$BB$45)-SUMPRODUCT(Oxides_min!$C23:$BB23,Factors!$C$45:$BB$45))/2)</f>
        <v>0.59763884361223407</v>
      </c>
      <c r="AM23" s="20">
        <f>MIN(MAX(0,(SUMPRODUCT(Oxides_min!$C23:$BB23,Factors!$C$46:$BB$46)+SUMPRODUCT(Oxides_max!$C23:$BB23,Factors!$C$46:$BB$46))/2),ABS(SUMPRODUCT(Oxides_max!$C23:$BB23,Factors!$C$46:$BB$46)-SUMPRODUCT(Oxides_min!$C23:$BB23,Factors!$C$46:$BB$46))/2)</f>
        <v>0.12817076693799673</v>
      </c>
      <c r="AN23" s="20">
        <f>MIN(MAX(0,(SUMPRODUCT(Oxides_min!$C23:$BB23,Factors!$C$47:$BB$47)+SUMPRODUCT(Oxides_max!$C23:$BB23,Factors!$C$47:$BB$47))/2),ABS(SUMPRODUCT(Oxides_max!$C23:$BB23,Factors!$C$47:$BB$47)-SUMPRODUCT(Oxides_min!$C23:$BB23,Factors!$C$47:$BB$47))/2)</f>
        <v>0.5144135924465274</v>
      </c>
      <c r="AO23" s="20">
        <f>MIN(MAX(0,(SUMPRODUCT(Oxides_min!$C23:$BB23,Factors!$C$48:$BB$48)+SUMPRODUCT(Oxides_max!$C23:$BB23,Factors!$C$48:$BB$48))/2),ABS(SUMPRODUCT(Oxides_max!$C23:$BB23,Factors!$C$48:$BB$48)-SUMPRODUCT(Oxides_min!$C23:$BB23,Factors!$C$48:$BB$48))/2)</f>
        <v>0.51741670179543875</v>
      </c>
      <c r="AP23" s="20">
        <f>MIN(MAX(0,(SUMPRODUCT(Oxides_min!$C23:$BB23,Factors!$C$49:$BB$49)+SUMPRODUCT(Oxides_max!$C23:$BB23,Factors!$C$49:$BB$49))/2),ABS(SUMPRODUCT(Oxides_max!$C23:$BB23,Factors!$C$49:$BB$49)-SUMPRODUCT(Oxides_min!$C23:$BB23,Factors!$C$49:$BB$49))/2)</f>
        <v>0.12954237408538749</v>
      </c>
      <c r="AQ23" s="20">
        <f>MIN(MAX(0,(SUMPRODUCT(Oxides_min!$C23:$BB23,Factors!$C$50:$BB$50)+SUMPRODUCT(Oxides_max!$C23:$BB23,Factors!$C$50:$BB$50))/2),ABS(SUMPRODUCT(Oxides_max!$C23:$BB23,Factors!$C$50:$BB$50)-SUMPRODUCT(Oxides_min!$C23:$BB23,Factors!$C$50:$BB$50))/2)</f>
        <v>0.39041702414088941</v>
      </c>
      <c r="AR23" s="20">
        <f>MIN(MAX(0,(SUMPRODUCT(Oxides_min!$C23:$BB23,Factors!$C$51:$BB$51)+SUMPRODUCT(Oxides_max!$C23:$BB23,Factors!$C$51:$BB$51))/2),ABS(SUMPRODUCT(Oxides_max!$C23:$BB23,Factors!$C$51:$BB$51)-SUMPRODUCT(Oxides_min!$C23:$BB23,Factors!$C$51:$BB$51))/2)</f>
        <v>0.10860075791101051</v>
      </c>
      <c r="AS23" s="20">
        <f>MIN(MAX(0,(SUMPRODUCT(Oxides_min!$C23:$BB23,Factors!$C$52:$BB$52)+SUMPRODUCT(Oxides_max!$C23:$BB23,Factors!$C$52:$BB$52))/2),ABS(SUMPRODUCT(Oxides_max!$C23:$BB23,Factors!$C$52:$BB$52)-SUMPRODUCT(Oxides_min!$C23:$BB23,Factors!$C$52:$BB$52))/2)</f>
        <v>0.56635844256120005</v>
      </c>
      <c r="AT23" s="20">
        <f>MIN(MAX(0,(SUMPRODUCT(Oxides_min!$C23:$BB23,Factors!$C$53:$BB$53)+SUMPRODUCT(Oxides_max!$C23:$BB23,Factors!$C$53:$BB$53))/2),ABS(SUMPRODUCT(Oxides_max!$C23:$BB23,Factors!$C$53:$BB$53)-SUMPRODUCT(Oxides_min!$C23:$BB23,Factors!$C$53:$BB$53))/2)</f>
        <v>0.17459519545005386</v>
      </c>
      <c r="AU23" s="20">
        <f>MIN(MAX(0,(SUMPRODUCT(Oxides_min!$C23:$BB23,Factors!$C$54:$BB$54)+SUMPRODUCT(Oxides_max!$C23:$BB23,Factors!$C$54:$BB$54))/2),ABS(SUMPRODUCT(Oxides_max!$C23:$BB23,Factors!$C$54:$BB$54)-SUMPRODUCT(Oxides_min!$C23:$BB23,Factors!$C$54:$BB$54))/2)</f>
        <v>0.48098741225834274</v>
      </c>
      <c r="AV23" s="20">
        <f>MIN(MAX(0,(SUMPRODUCT(Oxides_min!$C23:$BB23,Factors!$C$55:$BB$55)+SUMPRODUCT(Oxides_max!$C23:$BB23,Factors!$C$55:$BB$55))/2),ABS(SUMPRODUCT(Oxides_max!$C23:$BB23,Factors!$C$55:$BB$55)-SUMPRODUCT(Oxides_min!$C23:$BB23,Factors!$C$55:$BB$55))/2)</f>
        <v>0.1751224157312456</v>
      </c>
      <c r="AW23" s="20">
        <f>MIN(MAX(0,(SUMPRODUCT(Oxides_min!$C23:$BB23,Factors!$C$56:$BB$56)+SUMPRODUCT(Oxides_max!$C23:$BB23,Factors!$C$56:$BB$56))/2),ABS(SUMPRODUCT(Oxides_max!$C23:$BB23,Factors!$C$56:$BB$56)-SUMPRODUCT(Oxides_min!$C23:$BB23,Factors!$C$56:$BB$56))/2)</f>
        <v>0.79038638676231399</v>
      </c>
      <c r="AX23" s="20">
        <f>MIN(MAX(0,(SUMPRODUCT(Oxides_min!$C23:$BB23,Factors!$C$57:$BB$57)+SUMPRODUCT(Oxides_max!$C23:$BB23,Factors!$C$57:$BB$57))/2),ABS(SUMPRODUCT(Oxides_max!$C23:$BB23,Factors!$C$57:$BB$57)-SUMPRODUCT(Oxides_min!$C23:$BB23,Factors!$C$57:$BB$57))/2)</f>
        <v>0.13190752357320598</v>
      </c>
      <c r="AY23" s="20">
        <f>MIN(MAX(0,(SUMPRODUCT(Oxides_min!$C23:$BB23,Factors!$C$58:$BB$58)+SUMPRODUCT(Oxides_max!$C23:$BB23,Factors!$C$58:$BB$58))/2),ABS(SUMPRODUCT(Oxides_max!$C23:$BB23,Factors!$C$58:$BB$58)-SUMPRODUCT(Oxides_min!$C23:$BB23,Factors!$C$58:$BB$58))/2)</f>
        <v>0</v>
      </c>
      <c r="AZ23" s="18">
        <f t="shared" si="0"/>
        <v>48.025000000000013</v>
      </c>
    </row>
    <row r="24" spans="1:52" x14ac:dyDescent="0.35">
      <c r="A24" s="13" t="s">
        <v>169</v>
      </c>
      <c r="B24" s="20">
        <f>MIN(MAX(0,(SUMPRODUCT(Oxides_min!$C24:$BB24,Factors!$C$9:$BB$9)+SUMPRODUCT(Oxides_max!$C24:$BB24,Factors!$C$9:$BB$9))/2),ABS(SUMPRODUCT(Oxides_max!$C24:$BB24,Factors!$C$9:$BB$9)-SUMPRODUCT(Oxides_min!$C24:$BB24,Factors!$C$9:$BB$9))/2)</f>
        <v>7.4093380233091217</v>
      </c>
      <c r="C24" s="20">
        <f>MIN(MAX(0,(SUMPRODUCT(Oxides_min!$C24:$BB24,Factors!$C$10:$BB$10)+SUMPRODUCT(Oxides_max!$C24:$BB24,Factors!$C$10:$BB$10))/2),ABS(SUMPRODUCT(Oxides_max!$C24:$BB24,Factors!$C$10:$BB$10)-SUMPRODUCT(Oxides_min!$C24:$BB24,Factors!$C$10:$BB$10))/2)</f>
        <v>0.23371835627382123</v>
      </c>
      <c r="D24" s="20">
        <f>MIN(MAX(0,(SUMPRODUCT(Oxides_min!$C24:$BB24,Factors!$C$11:$BB$11)+SUMPRODUCT(Oxides_max!$C24:$BB24,Factors!$C$11:$BB$11))/2),ABS(SUMPRODUCT(Oxides_max!$C24:$BB24,Factors!$C$11:$BB$11)-SUMPRODUCT(Oxides_min!$C24:$BB24,Factors!$C$11:$BB$11))/2)</f>
        <v>1.2586326926688789</v>
      </c>
      <c r="E24" s="20">
        <f>MIN(MAX(0,(SUMPRODUCT(Oxides_min!$C24:$BB24,Factors!$C$12:$BB$12)+SUMPRODUCT(Oxides_max!$C24:$BB24,Factors!$C$12:$BB$12))/2),ABS(SUMPRODUCT(Oxides_max!$C24:$BB24,Factors!$C$12:$BB$12)-SUMPRODUCT(Oxides_min!$C24:$BB24,Factors!$C$12:$BB$12))/2)</f>
        <v>0</v>
      </c>
      <c r="F24" s="20">
        <f>MIN(MAX(0,(SUMPRODUCT(Oxides_min!$C24:$BB24,Factors!$C$13:$BB$13)+SUMPRODUCT(Oxides_max!$C24:$BB24,Factors!$C$13:$BB$13))/2),ABS(SUMPRODUCT(Oxides_max!$C24:$BB24,Factors!$C$13:$BB$13)-SUMPRODUCT(Oxides_min!$C24:$BB24,Factors!$C$13:$BB$13))/2)</f>
        <v>0</v>
      </c>
      <c r="G24" s="20">
        <f>MIN(MAX(0,(SUMPRODUCT(Oxides_min!$C24:$BB24,Factors!$C$14:$BB$14)+SUMPRODUCT(Oxides_max!$C24:$BB24,Factors!$C$14:$BB$14))/2),ABS(SUMPRODUCT(Oxides_max!$C24:$BB24,Factors!$C$14:$BB$14)-SUMPRODUCT(Oxides_min!$C24:$BB24,Factors!$C$14:$BB$14))/2)</f>
        <v>0.19692053507444859</v>
      </c>
      <c r="H24" s="20">
        <f>MIN(MAX(0,(SUMPRODUCT(Oxides_min!$C24:$BB24,Factors!$C$15:$BB$15)+SUMPRODUCT(Oxides_max!$C24:$BB24,Factors!$C$15:$BB$15))/2),ABS(SUMPRODUCT(Oxides_max!$C24:$BB24,Factors!$C$15:$BB$15)-SUMPRODUCT(Oxides_min!$C24:$BB24,Factors!$C$15:$BB$15))/2)</f>
        <v>0</v>
      </c>
      <c r="I24" s="20">
        <f>MIN(MAX(0,(SUMPRODUCT(Oxides_min!$C24:$BB24,Factors!$C$16:$BB$16)+SUMPRODUCT(Oxides_max!$C24:$BB24,Factors!$C$16:$BB$16))/2),ABS(SUMPRODUCT(Oxides_max!$C24:$BB24,Factors!$C$16:$BB$16)-SUMPRODUCT(Oxides_min!$C24:$BB24,Factors!$C$16:$BB$16))/2)</f>
        <v>1.7489456322031067</v>
      </c>
      <c r="J24" s="20">
        <f>MIN(MAX(0,(SUMPRODUCT(Oxides_min!$C24:$BB24,Factors!$C$17:$BB$17)+SUMPRODUCT(Oxides_max!$C24:$BB24,Factors!$C$17:$BB$17))/2),ABS(SUMPRODUCT(Oxides_max!$C24:$BB24,Factors!$C$17:$BB$17)-SUMPRODUCT(Oxides_min!$C24:$BB24,Factors!$C$17:$BB$17))/2)</f>
        <v>0</v>
      </c>
      <c r="K24" s="20">
        <f>MIN(MAX(0,(SUMPRODUCT(Oxides_min!$C24:$BB24,Factors!$C$18:$BB$18)+SUMPRODUCT(Oxides_max!$C24:$BB24,Factors!$C$18:$BB$18))/2),ABS(SUMPRODUCT(Oxides_max!$C24:$BB24,Factors!$C$18:$BB$18)-SUMPRODUCT(Oxides_min!$C24:$BB24,Factors!$C$18:$BB$18))/2)</f>
        <v>0</v>
      </c>
      <c r="L24" s="20">
        <f>MIN(MAX(0,(SUMPRODUCT(Oxides_min!$C24:$BB24,Factors!$C$19:$BB$19)+SUMPRODUCT(Oxides_max!$C24:$BB24,Factors!$C$19:$BB$19))/2),ABS(SUMPRODUCT(Oxides_max!$C24:$BB24,Factors!$C$19:$BB$19)-SUMPRODUCT(Oxides_min!$C24:$BB24,Factors!$C$19:$BB$19))/2)</f>
        <v>0</v>
      </c>
      <c r="M24" s="20">
        <f>MIN(MAX(0,(SUMPRODUCT(Oxides_min!$C24:$BB24,Factors!$C$20:$BB$20)+SUMPRODUCT(Oxides_max!$C24:$BB24,Factors!$C$20:$BB$20))/2),ABS(SUMPRODUCT(Oxides_max!$C24:$BB24,Factors!$C$20:$BB$20)-SUMPRODUCT(Oxides_min!$C24:$BB24,Factors!$C$20:$BB$20))/2)</f>
        <v>0</v>
      </c>
      <c r="N24" s="20">
        <f>MIN(MAX(0,(SUMPRODUCT(Oxides_min!$C24:$BB24,Factors!$C$21:$BB$21)+SUMPRODUCT(Oxides_max!$C24:$BB24,Factors!$C$21:$BB$21))/2),ABS(SUMPRODUCT(Oxides_max!$C24:$BB24,Factors!$C$21:$BB$21)-SUMPRODUCT(Oxides_min!$C24:$BB24,Factors!$C$21:$BB$21))/2)</f>
        <v>0.46455231199957198</v>
      </c>
      <c r="O24" s="20">
        <f>MIN(MAX(0,(SUMPRODUCT(Oxides_min!$C24:$BB24,Factors!$C$22:$BB$22)+SUMPRODUCT(Oxides_max!$C24:$BB24,Factors!$C$22:$BB$22))/2),ABS(SUMPRODUCT(Oxides_max!$C24:$BB24,Factors!$C$22:$BB$22)-SUMPRODUCT(Oxides_min!$C24:$BB24,Factors!$C$22:$BB$22))/2)</f>
        <v>0</v>
      </c>
      <c r="P24" s="20">
        <f>MIN(MAX(0,(SUMPRODUCT(Oxides_min!$C24:$BB24,Factors!$C$23:$BB$23)+SUMPRODUCT(Oxides_max!$C24:$BB24,Factors!$C$23:$BB$23))/2),ABS(SUMPRODUCT(Oxides_max!$C24:$BB24,Factors!$C$23:$BB$23)-SUMPRODUCT(Oxides_min!$C24:$BB24,Factors!$C$23:$BB$23))/2)</f>
        <v>0</v>
      </c>
      <c r="Q24" s="20">
        <f>MIN(MAX(0,(SUMPRODUCT(Oxides_min!$C24:$BB24,Factors!$C$24:$BB$24)+SUMPRODUCT(Oxides_max!$C24:$BB24,Factors!$C$24:$BB$24))/2),ABS(SUMPRODUCT(Oxides_max!$C24:$BB24,Factors!$C$24:$BB$24)-SUMPRODUCT(Oxides_min!$C24:$BB24,Factors!$C$24:$BB$24))/2)</f>
        <v>0</v>
      </c>
      <c r="R24" s="20">
        <f>MIN(MAX(0,(SUMPRODUCT(Oxides_min!$C24:$BB24,Factors!$C$25:$BB$25)+SUMPRODUCT(Oxides_max!$C24:$BB24,Factors!$C$25:$BB$25))/2),ABS(SUMPRODUCT(Oxides_max!$C24:$BB24,Factors!$C$25:$BB$25)-SUMPRODUCT(Oxides_min!$C24:$BB24,Factors!$C$25:$BB$25))/2)</f>
        <v>0</v>
      </c>
      <c r="S24" s="20">
        <f>MIN(MAX(0,(SUMPRODUCT(Oxides_min!$C24:$BB24,Factors!$C$26:$BB$26)+SUMPRODUCT(Oxides_max!$C24:$BB24,Factors!$C$26:$BB$26))/2),ABS(SUMPRODUCT(Oxides_max!$C24:$BB24,Factors!$C$26:$BB$26)-SUMPRODUCT(Oxides_min!$C24:$BB24,Factors!$C$26:$BB$26))/2)</f>
        <v>0</v>
      </c>
      <c r="T24" s="20">
        <f>MIN(MAX(0,(SUMPRODUCT(Oxides_min!$C24:$BB24,Factors!$C$27:$BB$27)+SUMPRODUCT(Oxides_max!$C24:$BB24,Factors!$C$27:$BB$27))/2),ABS(SUMPRODUCT(Oxides_max!$C24:$BB24,Factors!$C$27:$BB$27)-SUMPRODUCT(Oxides_min!$C24:$BB24,Factors!$C$27:$BB$27))/2)</f>
        <v>0</v>
      </c>
      <c r="U24" s="20">
        <f>MIN(MAX(0,(SUMPRODUCT(Oxides_min!$C24:$BB24,Factors!$C$28:$BB$28)+SUMPRODUCT(Oxides_max!$C24:$BB24,Factors!$C$28:$BB$28))/2),ABS(SUMPRODUCT(Oxides_max!$C24:$BB24,Factors!$C$28:$BB$28)-SUMPRODUCT(Oxides_min!$C24:$BB24,Factors!$C$28:$BB$28))/2)</f>
        <v>0</v>
      </c>
      <c r="V24" s="20">
        <f>MIN(MAX(0,(SUMPRODUCT(Oxides_min!$C24:$BB24,Factors!$C$29:$BB$29)+SUMPRODUCT(Oxides_max!$C24:$BB24,Factors!$C$29:$BB$29))/2),ABS(SUMPRODUCT(Oxides_max!$C24:$BB24,Factors!$C$29:$BB$29)-SUMPRODUCT(Oxides_min!$C24:$BB24,Factors!$C$29:$BB$29))/2)</f>
        <v>0</v>
      </c>
      <c r="W24" s="20">
        <f>MIN(MAX(0,(SUMPRODUCT(Oxides_min!$C24:$BB24,Factors!$C$30:$BB$30)+SUMPRODUCT(Oxides_max!$C24:$BB24,Factors!$C$30:$BB$30))/2),ABS(SUMPRODUCT(Oxides_max!$C24:$BB24,Factors!$C$30:$BB$30)-SUMPRODUCT(Oxides_min!$C24:$BB24,Factors!$C$30:$BB$30))/2)</f>
        <v>2.9709599314150896</v>
      </c>
      <c r="X24" s="20">
        <f>MIN(MAX(0,(SUMPRODUCT(Oxides_min!$C24:$BB24,Factors!$C$31:$BB$31)+SUMPRODUCT(Oxides_max!$C24:$BB24,Factors!$C$31:$BB$31))/2),ABS(SUMPRODUCT(Oxides_max!$C24:$BB24,Factors!$C$31:$BB$31)-SUMPRODUCT(Oxides_min!$C24:$BB24,Factors!$C$31:$BB$31))/2)</f>
        <v>2.5797589521899034</v>
      </c>
      <c r="Y24" s="20">
        <f>MIN(MAX(0,(SUMPRODUCT(Oxides_min!$C24:$BB24,Factors!$C$32:$BB$32)+SUMPRODUCT(Oxides_max!$C24:$BB24,Factors!$C$32:$BB$32))/2),ABS(SUMPRODUCT(Oxides_max!$C24:$BB24,Factors!$C$32:$BB$32)-SUMPRODUCT(Oxides_min!$C24:$BB24,Factors!$C$32:$BB$32))/2)</f>
        <v>7.9297092353679544E-2</v>
      </c>
      <c r="Z24" s="20">
        <f>MIN(MAX(0,(SUMPRODUCT(Oxides_min!$C24:$BB24,Factors!$C$33:$BB$33)+SUMPRODUCT(Oxides_max!$C24:$BB24,Factors!$C$33:$BB$33))/2),ABS(SUMPRODUCT(Oxides_max!$C24:$BB24,Factors!$C$33:$BB$33)-SUMPRODUCT(Oxides_min!$C24:$BB24,Factors!$C$33:$BB$33))/2)</f>
        <v>0</v>
      </c>
      <c r="AA24" s="20">
        <f>MIN(MAX(0,(SUMPRODUCT(Oxides_min!$C24:$BB24,Factors!$C$34:$BB$34)+SUMPRODUCT(Oxides_max!$C24:$BB24,Factors!$C$34:$BB$34))/2),ABS(SUMPRODUCT(Oxides_max!$C24:$BB24,Factors!$C$34:$BB$34)-SUMPRODUCT(Oxides_min!$C24:$BB24,Factors!$C$34:$BB$34))/2)</f>
        <v>0</v>
      </c>
      <c r="AB24" s="20">
        <f>MIN(MAX(0,(SUMPRODUCT(Oxides_min!$C24:$BB24,Factors!$C$35:$BB$35)+SUMPRODUCT(Oxides_max!$C24:$BB24,Factors!$C$35:$BB$35))/2),ABS(SUMPRODUCT(Oxides_max!$C24:$BB24,Factors!$C$35:$BB$35)-SUMPRODUCT(Oxides_min!$C24:$BB24,Factors!$C$35:$BB$35))/2)</f>
        <v>0</v>
      </c>
      <c r="AC24" s="20">
        <f>MIN(MAX(0,(SUMPRODUCT(Oxides_min!$C24:$BB24,Factors!$C$36:$BB$36)+SUMPRODUCT(Oxides_max!$C24:$BB24,Factors!$C$36:$BB$36))/2),ABS(SUMPRODUCT(Oxides_max!$C24:$BB24,Factors!$C$36:$BB$36)-SUMPRODUCT(Oxides_min!$C24:$BB24,Factors!$C$36:$BB$36))/2)</f>
        <v>0</v>
      </c>
      <c r="AD24" s="20">
        <f>MIN(MAX(0,(SUMPRODUCT(Oxides_min!$C24:$BB24,Factors!$C$37:$BB$37)+SUMPRODUCT(Oxides_max!$C24:$BB24,Factors!$C$37:$BB$37))/2),ABS(SUMPRODUCT(Oxides_max!$C24:$BB24,Factors!$C$37:$BB$37)-SUMPRODUCT(Oxides_min!$C24:$BB24,Factors!$C$37:$BB$37))/2)</f>
        <v>0.11190674437968359</v>
      </c>
      <c r="AE24" s="20">
        <f>MIN(MAX(0,(SUMPRODUCT(Oxides_min!$C24:$BB24,Factors!$C$38:$BB$38)+SUMPRODUCT(Oxides_max!$C24:$BB24,Factors!$C$38:$BB$38))/2),ABS(SUMPRODUCT(Oxides_max!$C24:$BB24,Factors!$C$38:$BB$38)-SUMPRODUCT(Oxides_min!$C24:$BB24,Factors!$C$38:$BB$38))/2)</f>
        <v>0</v>
      </c>
      <c r="AF24" s="20">
        <f>MIN(MAX(0,(SUMPRODUCT(Oxides_min!$C24:$BB24,Factors!$C$39:$BB$39)+SUMPRODUCT(Oxides_max!$C24:$BB24,Factors!$C$39:$BB$39))/2),ABS(SUMPRODUCT(Oxides_max!$C24:$BB24,Factors!$C$39:$BB$39)-SUMPRODUCT(Oxides_min!$C24:$BB24,Factors!$C$39:$BB$39))/2)</f>
        <v>0</v>
      </c>
      <c r="AG24" s="20">
        <f>MIN(MAX(0,(SUMPRODUCT(Oxides_min!$C24:$BB24,Factors!$C$40:$BB$40)+SUMPRODUCT(Oxides_max!$C24:$BB24,Factors!$C$40:$BB$40))/2),ABS(SUMPRODUCT(Oxides_max!$C24:$BB24,Factors!$C$40:$BB$40)-SUMPRODUCT(Oxides_min!$C24:$BB24,Factors!$C$40:$BB$40))/2)</f>
        <v>2.5485543432194966</v>
      </c>
      <c r="AH24" s="20">
        <f>MIN(MAX(0,(SUMPRODUCT(Oxides_min!$C24:$BB24,Factors!$C$41:$BB$41)+SUMPRODUCT(Oxides_max!$C24:$BB24,Factors!$C$41:$BB$41))/2),ABS(SUMPRODUCT(Oxides_max!$C24:$BB24,Factors!$C$41:$BB$41)-SUMPRODUCT(Oxides_min!$C24:$BB24,Factors!$C$41:$BB$41))/2)</f>
        <v>2.0450816224205211</v>
      </c>
      <c r="AI24" s="20">
        <f>MIN(MAX(0,(SUMPRODUCT(Oxides_min!$C24:$BB24,Factors!$C$42:$BB$42)+SUMPRODUCT(Oxides_max!$C24:$BB24,Factors!$C$42:$BB$42))/2),ABS(SUMPRODUCT(Oxides_max!$C24:$BB24,Factors!$C$42:$BB$42)-SUMPRODUCT(Oxides_min!$C24:$BB24,Factors!$C$42:$BB$42))/2)</f>
        <v>0</v>
      </c>
      <c r="AJ24" s="20">
        <f>MIN(MAX(0,(SUMPRODUCT(Oxides_min!$C24:$BB24,Factors!$C$43:$BB$43)+SUMPRODUCT(Oxides_max!$C24:$BB24,Factors!$C$43:$BB$43))/2),ABS(SUMPRODUCT(Oxides_max!$C24:$BB24,Factors!$C$43:$BB$43)-SUMPRODUCT(Oxides_min!$C24:$BB24,Factors!$C$43:$BB$43))/2)</f>
        <v>4.0159641693135981</v>
      </c>
      <c r="AK24" s="20">
        <f>MIN(MAX(0,(SUMPRODUCT(Oxides_min!$C24:$BB24,Factors!$C$44:$BB$44)+SUMPRODUCT(Oxides_max!$C24:$BB24,Factors!$C$44:$BB$44))/2),ABS(SUMPRODUCT(Oxides_max!$C24:$BB24,Factors!$C$44:$BB$44)-SUMPRODUCT(Oxides_min!$C24:$BB24,Factors!$C$44:$BB$44))/2)</f>
        <v>8.5268314823757824E-2</v>
      </c>
      <c r="AL24" s="20">
        <f>MIN(MAX(0,(SUMPRODUCT(Oxides_min!$C24:$BB24,Factors!$C$45:$BB$45)+SUMPRODUCT(Oxides_max!$C24:$BB24,Factors!$C$45:$BB$45))/2),ABS(SUMPRODUCT(Oxides_max!$C24:$BB24,Factors!$C$45:$BB$45)-SUMPRODUCT(Oxides_min!$C24:$BB24,Factors!$C$45:$BB$45))/2)</f>
        <v>0.64032733244167939</v>
      </c>
      <c r="AM24" s="20">
        <f>MIN(MAX(0,(SUMPRODUCT(Oxides_min!$C24:$BB24,Factors!$C$46:$BB$46)+SUMPRODUCT(Oxides_max!$C24:$BB24,Factors!$C$46:$BB$46))/2),ABS(SUMPRODUCT(Oxides_max!$C24:$BB24,Factors!$C$46:$BB$46)-SUMPRODUCT(Oxides_min!$C24:$BB24,Factors!$C$46:$BB$46))/2)</f>
        <v>0.14526020252972965</v>
      </c>
      <c r="AN24" s="20">
        <f>MIN(MAX(0,(SUMPRODUCT(Oxides_min!$C24:$BB24,Factors!$C$47:$BB$47)+SUMPRODUCT(Oxides_max!$C24:$BB24,Factors!$C$47:$BB$47))/2),ABS(SUMPRODUCT(Oxides_max!$C24:$BB24,Factors!$C$47:$BB$47)-SUMPRODUCT(Oxides_min!$C24:$BB24,Factors!$C$47:$BB$47))/2)</f>
        <v>0.72875258929924724</v>
      </c>
      <c r="AO24" s="20">
        <f>MIN(MAX(0,(SUMPRODUCT(Oxides_min!$C24:$BB24,Factors!$C$48:$BB$48)+SUMPRODUCT(Oxides_max!$C24:$BB24,Factors!$C$48:$BB$48))/2),ABS(SUMPRODUCT(Oxides_max!$C24:$BB24,Factors!$C$48:$BB$48)-SUMPRODUCT(Oxides_min!$C24:$BB24,Factors!$C$48:$BB$48))/2)</f>
        <v>0.30182640938067257</v>
      </c>
      <c r="AP24" s="20">
        <f>MIN(MAX(0,(SUMPRODUCT(Oxides_min!$C24:$BB24,Factors!$C$49:$BB$49)+SUMPRODUCT(Oxides_max!$C24:$BB24,Factors!$C$49:$BB$49))/2),ABS(SUMPRODUCT(Oxides_max!$C24:$BB24,Factors!$C$49:$BB$49)-SUMPRODUCT(Oxides_min!$C24:$BB24,Factors!$C$49:$BB$49))/2)</f>
        <v>6.4771187042693745E-2</v>
      </c>
      <c r="AQ24" s="20">
        <f>MIN(MAX(0,(SUMPRODUCT(Oxides_min!$C24:$BB24,Factors!$C$50:$BB$50)+SUMPRODUCT(Oxides_max!$C24:$BB24,Factors!$C$50:$BB$50))/2),ABS(SUMPRODUCT(Oxides_max!$C24:$BB24,Factors!$C$50:$BB$50)-SUMPRODUCT(Oxides_min!$C24:$BB24,Factors!$C$50:$BB$50))/2)</f>
        <v>0.30365768544291394</v>
      </c>
      <c r="AR24" s="20">
        <f>MIN(MAX(0,(SUMPRODUCT(Oxides_min!$C24:$BB24,Factors!$C$51:$BB$51)+SUMPRODUCT(Oxides_max!$C24:$BB24,Factors!$C$51:$BB$51))/2),ABS(SUMPRODUCT(Oxides_max!$C24:$BB24,Factors!$C$51:$BB$51)-SUMPRODUCT(Oxides_min!$C24:$BB24,Factors!$C$51:$BB$51))/2)</f>
        <v>0.13032090949321259</v>
      </c>
      <c r="AS24" s="20">
        <f>MIN(MAX(0,(SUMPRODUCT(Oxides_min!$C24:$BB24,Factors!$C$52:$BB$52)+SUMPRODUCT(Oxides_max!$C24:$BB24,Factors!$C$52:$BB$52))/2),ABS(SUMPRODUCT(Oxides_max!$C24:$BB24,Factors!$C$52:$BB$52)-SUMPRODUCT(Oxides_min!$C24:$BB24,Factors!$C$52:$BB$52))/2)</f>
        <v>0.95845274894972321</v>
      </c>
      <c r="AT24" s="20">
        <f>MIN(MAX(0,(SUMPRODUCT(Oxides_min!$C24:$BB24,Factors!$C$53:$BB$53)+SUMPRODUCT(Oxides_max!$C24:$BB24,Factors!$C$53:$BB$53))/2),ABS(SUMPRODUCT(Oxides_max!$C24:$BB24,Factors!$C$53:$BB$53)-SUMPRODUCT(Oxides_min!$C24:$BB24,Factors!$C$53:$BB$53))/2)</f>
        <v>0.24006839374382405</v>
      </c>
      <c r="AU24" s="20">
        <f>MIN(MAX(0,(SUMPRODUCT(Oxides_min!$C24:$BB24,Factors!$C$54:$BB$54)+SUMPRODUCT(Oxides_max!$C24:$BB24,Factors!$C$54:$BB$54))/2),ABS(SUMPRODUCT(Oxides_max!$C24:$BB24,Factors!$C$54:$BB$54)-SUMPRODUCT(Oxides_min!$C24:$BB24,Factors!$C$54:$BB$54))/2)</f>
        <v>1.5741406219363947</v>
      </c>
      <c r="AV24" s="20">
        <f>MIN(MAX(0,(SUMPRODUCT(Oxides_min!$C24:$BB24,Factors!$C$55:$BB$55)+SUMPRODUCT(Oxides_max!$C24:$BB24,Factors!$C$55:$BB$55))/2),ABS(SUMPRODUCT(Oxides_max!$C24:$BB24,Factors!$C$55:$BB$55)-SUMPRODUCT(Oxides_min!$C24:$BB24,Factors!$C$55:$BB$55))/2)</f>
        <v>0.30646422752967972</v>
      </c>
      <c r="AW24" s="20">
        <f>MIN(MAX(0,(SUMPRODUCT(Oxides_min!$C24:$BB24,Factors!$C$56:$BB$56)+SUMPRODUCT(Oxides_max!$C24:$BB24,Factors!$C$56:$BB$56))/2),ABS(SUMPRODUCT(Oxides_max!$C24:$BB24,Factors!$C$56:$BB$56)-SUMPRODUCT(Oxides_min!$C24:$BB24,Factors!$C$56:$BB$56))/2)</f>
        <v>1.5368624187044988</v>
      </c>
      <c r="AX24" s="20">
        <f>MIN(MAX(0,(SUMPRODUCT(Oxides_min!$C24:$BB24,Factors!$C$57:$BB$57)+SUMPRODUCT(Oxides_max!$C24:$BB24,Factors!$C$57:$BB$57))/2),ABS(SUMPRODUCT(Oxides_max!$C24:$BB24,Factors!$C$57:$BB$57)-SUMPRODUCT(Oxides_min!$C24:$BB24,Factors!$C$57:$BB$57))/2)</f>
        <v>0.2901965518610532</v>
      </c>
      <c r="AY24" s="20">
        <f>MIN(MAX(0,(SUMPRODUCT(Oxides_min!$C24:$BB24,Factors!$C$58:$BB$58)+SUMPRODUCT(Oxides_max!$C24:$BB24,Factors!$C$58:$BB$58))/2),ABS(SUMPRODUCT(Oxides_max!$C24:$BB24,Factors!$C$58:$BB$58)-SUMPRODUCT(Oxides_min!$C24:$BB24,Factors!$C$58:$BB$58))/2)</f>
        <v>0</v>
      </c>
      <c r="AZ24" s="18">
        <f t="shared" si="0"/>
        <v>32.970000000000006</v>
      </c>
    </row>
    <row r="25" spans="1:52" x14ac:dyDescent="0.35">
      <c r="A25" s="13" t="s">
        <v>171</v>
      </c>
      <c r="B25" s="20">
        <f>MIN(MAX(0,(SUMPRODUCT(Oxides_min!$C25:$BB25,Factors!$C$9:$BB$9)+SUMPRODUCT(Oxides_max!$C25:$BB25,Factors!$C$9:$BB$9))/2),ABS(SUMPRODUCT(Oxides_max!$C25:$BB25,Factors!$C$9:$BB$9)-SUMPRODUCT(Oxides_min!$C25:$BB25,Factors!$C$9:$BB$9))/2)</f>
        <v>7.5467678630635593</v>
      </c>
      <c r="C25" s="20">
        <f>MIN(MAX(0,(SUMPRODUCT(Oxides_min!$C25:$BB25,Factors!$C$10:$BB$10)+SUMPRODUCT(Oxides_max!$C25:$BB25,Factors!$C$10:$BB$10))/2),ABS(SUMPRODUCT(Oxides_max!$C25:$BB25,Factors!$C$10:$BB$10)-SUMPRODUCT(Oxides_min!$C25:$BB25,Factors!$C$10:$BB$10))/2)</f>
        <v>9.3487342509528504E-2</v>
      </c>
      <c r="D25" s="20">
        <f>MIN(MAX(0,(SUMPRODUCT(Oxides_min!$C25:$BB25,Factors!$C$11:$BB$11)+SUMPRODUCT(Oxides_max!$C25:$BB25,Factors!$C$11:$BB$11))/2),ABS(SUMPRODUCT(Oxides_max!$C25:$BB25,Factors!$C$11:$BB$11)-SUMPRODUCT(Oxides_min!$C25:$BB25,Factors!$C$11:$BB$11))/2)</f>
        <v>2.3973956050835792</v>
      </c>
      <c r="E25" s="20">
        <f>MIN(MAX(0,(SUMPRODUCT(Oxides_min!$C25:$BB25,Factors!$C$12:$BB$12)+SUMPRODUCT(Oxides_max!$C25:$BB25,Factors!$C$12:$BB$12))/2),ABS(SUMPRODUCT(Oxides_max!$C25:$BB25,Factors!$C$12:$BB$12)-SUMPRODUCT(Oxides_min!$C25:$BB25,Factors!$C$12:$BB$12))/2)</f>
        <v>7.4032234503578917E-2</v>
      </c>
      <c r="F25" s="20">
        <f>MIN(MAX(0,(SUMPRODUCT(Oxides_min!$C25:$BB25,Factors!$C$13:$BB$13)+SUMPRODUCT(Oxides_max!$C25:$BB25,Factors!$C$13:$BB$13))/2),ABS(SUMPRODUCT(Oxides_max!$C25:$BB25,Factors!$C$13:$BB$13)-SUMPRODUCT(Oxides_min!$C25:$BB25,Factors!$C$13:$BB$13))/2)</f>
        <v>0</v>
      </c>
      <c r="G25" s="20">
        <f>MIN(MAX(0,(SUMPRODUCT(Oxides_min!$C25:$BB25,Factors!$C$14:$BB$14)+SUMPRODUCT(Oxides_max!$C25:$BB25,Factors!$C$14:$BB$14))/2),ABS(SUMPRODUCT(Oxides_max!$C25:$BB25,Factors!$C$14:$BB$14)-SUMPRODUCT(Oxides_min!$C25:$BB25,Factors!$C$14:$BB$14))/2)</f>
        <v>0</v>
      </c>
      <c r="H25" s="20">
        <f>MIN(MAX(0,(SUMPRODUCT(Oxides_min!$C25:$BB25,Factors!$C$15:$BB$15)+SUMPRODUCT(Oxides_max!$C25:$BB25,Factors!$C$15:$BB$15))/2),ABS(SUMPRODUCT(Oxides_max!$C25:$BB25,Factors!$C$15:$BB$15)-SUMPRODUCT(Oxides_min!$C25:$BB25,Factors!$C$15:$BB$15))/2)</f>
        <v>5.2925692670867643E-2</v>
      </c>
      <c r="I25" s="20">
        <f>MIN(MAX(0,(SUMPRODUCT(Oxides_min!$C25:$BB25,Factors!$C$16:$BB$16)+SUMPRODUCT(Oxides_max!$C25:$BB25,Factors!$C$16:$BB$16))/2),ABS(SUMPRODUCT(Oxides_max!$C25:$BB25,Factors!$C$16:$BB$16)-SUMPRODUCT(Oxides_min!$C25:$BB25,Factors!$C$16:$BB$16))/2)</f>
        <v>0.5596183548687339</v>
      </c>
      <c r="J25" s="20">
        <f>MIN(MAX(0,(SUMPRODUCT(Oxides_min!$C25:$BB25,Factors!$C$17:$BB$17)+SUMPRODUCT(Oxides_max!$C25:$BB25,Factors!$C$17:$BB$17))/2),ABS(SUMPRODUCT(Oxides_max!$C25:$BB25,Factors!$C$17:$BB$17)-SUMPRODUCT(Oxides_min!$C25:$BB25,Factors!$C$17:$BB$17))/2)</f>
        <v>0</v>
      </c>
      <c r="K25" s="20">
        <f>MIN(MAX(0,(SUMPRODUCT(Oxides_min!$C25:$BB25,Factors!$C$18:$BB$18)+SUMPRODUCT(Oxides_max!$C25:$BB25,Factors!$C$18:$BB$18))/2),ABS(SUMPRODUCT(Oxides_max!$C25:$BB25,Factors!$C$18:$BB$18)-SUMPRODUCT(Oxides_min!$C25:$BB25,Factors!$C$18:$BB$18))/2)</f>
        <v>0</v>
      </c>
      <c r="L25" s="20">
        <f>MIN(MAX(0,(SUMPRODUCT(Oxides_min!$C25:$BB25,Factors!$C$19:$BB$19)+SUMPRODUCT(Oxides_max!$C25:$BB25,Factors!$C$19:$BB$19))/2),ABS(SUMPRODUCT(Oxides_max!$C25:$BB25,Factors!$C$19:$BB$19)-SUMPRODUCT(Oxides_min!$C25:$BB25,Factors!$C$19:$BB$19))/2)</f>
        <v>0</v>
      </c>
      <c r="M25" s="20">
        <f>MIN(MAX(0,(SUMPRODUCT(Oxides_min!$C25:$BB25,Factors!$C$20:$BB$20)+SUMPRODUCT(Oxides_max!$C25:$BB25,Factors!$C$20:$BB$20))/2),ABS(SUMPRODUCT(Oxides_max!$C25:$BB25,Factors!$C$20:$BB$20)-SUMPRODUCT(Oxides_min!$C25:$BB25,Factors!$C$20:$BB$20))/2)</f>
        <v>0</v>
      </c>
      <c r="N25" s="20">
        <f>MIN(MAX(0,(SUMPRODUCT(Oxides_min!$C25:$BB25,Factors!$C$21:$BB$21)+SUMPRODUCT(Oxides_max!$C25:$BB25,Factors!$C$21:$BB$21))/2),ABS(SUMPRODUCT(Oxides_max!$C25:$BB25,Factors!$C$21:$BB$21)-SUMPRODUCT(Oxides_min!$C25:$BB25,Factors!$C$21:$BB$21))/2)</f>
        <v>1.751004868306079</v>
      </c>
      <c r="O25" s="20">
        <f>MIN(MAX(0,(SUMPRODUCT(Oxides_min!$C25:$BB25,Factors!$C$22:$BB$22)+SUMPRODUCT(Oxides_max!$C25:$BB25,Factors!$C$22:$BB$22))/2),ABS(SUMPRODUCT(Oxides_max!$C25:$BB25,Factors!$C$22:$BB$22)-SUMPRODUCT(Oxides_min!$C25:$BB25,Factors!$C$22:$BB$22))/2)</f>
        <v>2.6213532267248283</v>
      </c>
      <c r="P25" s="20">
        <f>MIN(MAX(0,(SUMPRODUCT(Oxides_min!$C25:$BB25,Factors!$C$23:$BB$23)+SUMPRODUCT(Oxides_max!$C25:$BB25,Factors!$C$23:$BB$23))/2),ABS(SUMPRODUCT(Oxides_max!$C25:$BB25,Factors!$C$23:$BB$23)-SUMPRODUCT(Oxides_min!$C25:$BB25,Factors!$C$23:$BB$23))/2)</f>
        <v>0</v>
      </c>
      <c r="Q25" s="20">
        <f>MIN(MAX(0,(SUMPRODUCT(Oxides_min!$C25:$BB25,Factors!$C$24:$BB$24)+SUMPRODUCT(Oxides_max!$C25:$BB25,Factors!$C$24:$BB$24))/2),ABS(SUMPRODUCT(Oxides_max!$C25:$BB25,Factors!$C$24:$BB$24)-SUMPRODUCT(Oxides_min!$C25:$BB25,Factors!$C$24:$BB$24))/2)</f>
        <v>0</v>
      </c>
      <c r="R25" s="20">
        <f>MIN(MAX(0,(SUMPRODUCT(Oxides_min!$C25:$BB25,Factors!$C$25:$BB$25)+SUMPRODUCT(Oxides_max!$C25:$BB25,Factors!$C$25:$BB$25))/2),ABS(SUMPRODUCT(Oxides_max!$C25:$BB25,Factors!$C$25:$BB$25)-SUMPRODUCT(Oxides_min!$C25:$BB25,Factors!$C$25:$BB$25))/2)</f>
        <v>1.2611658384995645</v>
      </c>
      <c r="S25" s="20">
        <f>MIN(MAX(0,(SUMPRODUCT(Oxides_min!$C25:$BB25,Factors!$C$26:$BB$26)+SUMPRODUCT(Oxides_max!$C25:$BB25,Factors!$C$26:$BB$26))/2),ABS(SUMPRODUCT(Oxides_max!$C25:$BB25,Factors!$C$26:$BB$26)-SUMPRODUCT(Oxides_min!$C25:$BB25,Factors!$C$26:$BB$26))/2)</f>
        <v>6.2261347663797456E-2</v>
      </c>
      <c r="T25" s="20">
        <f>MIN(MAX(0,(SUMPRODUCT(Oxides_min!$C25:$BB25,Factors!$C$27:$BB$27)+SUMPRODUCT(Oxides_max!$C25:$BB25,Factors!$C$27:$BB$27))/2),ABS(SUMPRODUCT(Oxides_max!$C25:$BB25,Factors!$C$27:$BB$27)-SUMPRODUCT(Oxides_min!$C25:$BB25,Factors!$C$27:$BB$27))/2)</f>
        <v>0</v>
      </c>
      <c r="U25" s="20">
        <f>MIN(MAX(0,(SUMPRODUCT(Oxides_min!$C25:$BB25,Factors!$C$28:$BB$28)+SUMPRODUCT(Oxides_max!$C25:$BB25,Factors!$C$28:$BB$28))/2),ABS(SUMPRODUCT(Oxides_max!$C25:$BB25,Factors!$C$28:$BB$28)-SUMPRODUCT(Oxides_min!$C25:$BB25,Factors!$C$28:$BB$28))/2)</f>
        <v>0</v>
      </c>
      <c r="V25" s="20">
        <f>MIN(MAX(0,(SUMPRODUCT(Oxides_min!$C25:$BB25,Factors!$C$29:$BB$29)+SUMPRODUCT(Oxides_max!$C25:$BB25,Factors!$C$29:$BB$29))/2),ABS(SUMPRODUCT(Oxides_max!$C25:$BB25,Factors!$C$29:$BB$29)-SUMPRODUCT(Oxides_min!$C25:$BB25,Factors!$C$29:$BB$29))/2)</f>
        <v>0</v>
      </c>
      <c r="W25" s="20">
        <f>MIN(MAX(0,(SUMPRODUCT(Oxides_min!$C25:$BB25,Factors!$C$30:$BB$30)+SUMPRODUCT(Oxides_max!$C25:$BB25,Factors!$C$30:$BB$30))/2),ABS(SUMPRODUCT(Oxides_max!$C25:$BB25,Factors!$C$30:$BB$30)-SUMPRODUCT(Oxides_min!$C25:$BB25,Factors!$C$30:$BB$30))/2)</f>
        <v>4.9982031787336227</v>
      </c>
      <c r="X25" s="20">
        <f>MIN(MAX(0,(SUMPRODUCT(Oxides_min!$C25:$BB25,Factors!$C$31:$BB$31)+SUMPRODUCT(Oxides_max!$C25:$BB25,Factors!$C$31:$BB$31))/2),ABS(SUMPRODUCT(Oxides_max!$C25:$BB25,Factors!$C$31:$BB$31)-SUMPRODUCT(Oxides_min!$C25:$BB25,Factors!$C$31:$BB$31))/2)</f>
        <v>0.49138265755998156</v>
      </c>
      <c r="Y25" s="20">
        <f>MIN(MAX(0,(SUMPRODUCT(Oxides_min!$C25:$BB25,Factors!$C$32:$BB$32)+SUMPRODUCT(Oxides_max!$C25:$BB25,Factors!$C$32:$BB$32))/2),ABS(SUMPRODUCT(Oxides_max!$C25:$BB25,Factors!$C$32:$BB$32)-SUMPRODUCT(Oxides_min!$C25:$BB25,Factors!$C$32:$BB$32))/2)</f>
        <v>0</v>
      </c>
      <c r="Z25" s="20">
        <f>MIN(MAX(0,(SUMPRODUCT(Oxides_min!$C25:$BB25,Factors!$C$33:$BB$33)+SUMPRODUCT(Oxides_max!$C25:$BB25,Factors!$C$33:$BB$33))/2),ABS(SUMPRODUCT(Oxides_max!$C25:$BB25,Factors!$C$33:$BB$33)-SUMPRODUCT(Oxides_min!$C25:$BB25,Factors!$C$33:$BB$33))/2)</f>
        <v>0</v>
      </c>
      <c r="AA25" s="20">
        <f>MIN(MAX(0,(SUMPRODUCT(Oxides_min!$C25:$BB25,Factors!$C$34:$BB$34)+SUMPRODUCT(Oxides_max!$C25:$BB25,Factors!$C$34:$BB$34))/2),ABS(SUMPRODUCT(Oxides_max!$C25:$BB25,Factors!$C$34:$BB$34)-SUMPRODUCT(Oxides_min!$C25:$BB25,Factors!$C$34:$BB$34))/2)</f>
        <v>0</v>
      </c>
      <c r="AB25" s="20">
        <f>MIN(MAX(0,(SUMPRODUCT(Oxides_min!$C25:$BB25,Factors!$C$35:$BB$35)+SUMPRODUCT(Oxides_max!$C25:$BB25,Factors!$C$35:$BB$35))/2),ABS(SUMPRODUCT(Oxides_max!$C25:$BB25,Factors!$C$35:$BB$35)-SUMPRODUCT(Oxides_min!$C25:$BB25,Factors!$C$35:$BB$35))/2)</f>
        <v>0</v>
      </c>
      <c r="AC25" s="20">
        <f>MIN(MAX(0,(SUMPRODUCT(Oxides_min!$C25:$BB25,Factors!$C$36:$BB$36)+SUMPRODUCT(Oxides_max!$C25:$BB25,Factors!$C$36:$BB$36))/2),ABS(SUMPRODUCT(Oxides_max!$C25:$BB25,Factors!$C$36:$BB$36)-SUMPRODUCT(Oxides_min!$C25:$BB25,Factors!$C$36:$BB$36))/2)</f>
        <v>0</v>
      </c>
      <c r="AD25" s="20">
        <f>MIN(MAX(0,(SUMPRODUCT(Oxides_min!$C25:$BB25,Factors!$C$37:$BB$37)+SUMPRODUCT(Oxides_max!$C25:$BB25,Factors!$C$37:$BB$37))/2),ABS(SUMPRODUCT(Oxides_max!$C25:$BB25,Factors!$C$37:$BB$37)-SUMPRODUCT(Oxides_min!$C25:$BB25,Factors!$C$37:$BB$37))/2)</f>
        <v>0</v>
      </c>
      <c r="AE25" s="20">
        <f>MIN(MAX(0,(SUMPRODUCT(Oxides_min!$C25:$BB25,Factors!$C$38:$BB$38)+SUMPRODUCT(Oxides_max!$C25:$BB25,Factors!$C$38:$BB$38))/2),ABS(SUMPRODUCT(Oxides_max!$C25:$BB25,Factors!$C$38:$BB$38)-SUMPRODUCT(Oxides_min!$C25:$BB25,Factors!$C$38:$BB$38))/2)</f>
        <v>0.05</v>
      </c>
      <c r="AF25" s="20">
        <f>MIN(MAX(0,(SUMPRODUCT(Oxides_min!$C25:$BB25,Factors!$C$39:$BB$39)+SUMPRODUCT(Oxides_max!$C25:$BB25,Factors!$C$39:$BB$39))/2),ABS(SUMPRODUCT(Oxides_max!$C25:$BB25,Factors!$C$39:$BB$39)-SUMPRODUCT(Oxides_min!$C25:$BB25,Factors!$C$39:$BB$39))/2)</f>
        <v>0</v>
      </c>
      <c r="AG25" s="20">
        <f>MIN(MAX(0,(SUMPRODUCT(Oxides_min!$C25:$BB25,Factors!$C$40:$BB$40)+SUMPRODUCT(Oxides_max!$C25:$BB25,Factors!$C$40:$BB$40))/2),ABS(SUMPRODUCT(Oxides_max!$C25:$BB25,Factors!$C$40:$BB$40)-SUMPRODUCT(Oxides_min!$C25:$BB25,Factors!$C$40:$BB$40))/2)</f>
        <v>2.2409701983481782</v>
      </c>
      <c r="AH25" s="20">
        <f>MIN(MAX(0,(SUMPRODUCT(Oxides_min!$C25:$BB25,Factors!$C$41:$BB$41)+SUMPRODUCT(Oxides_max!$C25:$BB25,Factors!$C$41:$BB$41))/2),ABS(SUMPRODUCT(Oxides_max!$C25:$BB25,Factors!$C$41:$BB$41)-SUMPRODUCT(Oxides_min!$C25:$BB25,Factors!$C$41:$BB$41))/2)</f>
        <v>0.14985511888426231</v>
      </c>
      <c r="AI25" s="20">
        <f>MIN(MAX(0,(SUMPRODUCT(Oxides_min!$C25:$BB25,Factors!$C$42:$BB$42)+SUMPRODUCT(Oxides_max!$C25:$BB25,Factors!$C$42:$BB$42))/2),ABS(SUMPRODUCT(Oxides_max!$C25:$BB25,Factors!$C$42:$BB$42)-SUMPRODUCT(Oxides_min!$C25:$BB25,Factors!$C$42:$BB$42))/2)</f>
        <v>0</v>
      </c>
      <c r="AJ25" s="20">
        <f>MIN(MAX(0,(SUMPRODUCT(Oxides_min!$C25:$BB25,Factors!$C$43:$BB$43)+SUMPRODUCT(Oxides_max!$C25:$BB25,Factors!$C$43:$BB$43))/2),ABS(SUMPRODUCT(Oxides_max!$C25:$BB25,Factors!$C$43:$BB$43)-SUMPRODUCT(Oxides_min!$C25:$BB25,Factors!$C$43:$BB$43))/2)</f>
        <v>0</v>
      </c>
      <c r="AK25" s="20">
        <f>MIN(MAX(0,(SUMPRODUCT(Oxides_min!$C25:$BB25,Factors!$C$44:$BB$44)+SUMPRODUCT(Oxides_max!$C25:$BB25,Factors!$C$44:$BB$44))/2),ABS(SUMPRODUCT(Oxides_max!$C25:$BB25,Factors!$C$44:$BB$44)-SUMPRODUCT(Oxides_min!$C25:$BB25,Factors!$C$44:$BB$44))/2)</f>
        <v>2.7285860743602499</v>
      </c>
      <c r="AL25" s="20">
        <f>MIN(MAX(0,(SUMPRODUCT(Oxides_min!$C25:$BB25,Factors!$C$45:$BB$45)+SUMPRODUCT(Oxides_max!$C25:$BB25,Factors!$C$45:$BB$45))/2),ABS(SUMPRODUCT(Oxides_max!$C25:$BB25,Factors!$C$45:$BB$45)-SUMPRODUCT(Oxides_min!$C25:$BB25,Factors!$C$45:$BB$45))/2)</f>
        <v>2.902817240402281</v>
      </c>
      <c r="AM25" s="20">
        <f>MIN(MAX(0,(SUMPRODUCT(Oxides_min!$C25:$BB25,Factors!$C$46:$BB$46)+SUMPRODUCT(Oxides_max!$C25:$BB25,Factors!$C$46:$BB$46))/2),ABS(SUMPRODUCT(Oxides_max!$C25:$BB25,Factors!$C$46:$BB$46)-SUMPRODUCT(Oxides_min!$C25:$BB25,Factors!$C$46:$BB$46))/2)</f>
        <v>0.76902460162798048</v>
      </c>
      <c r="AN25" s="20">
        <f>MIN(MAX(0,(SUMPRODUCT(Oxides_min!$C25:$BB25,Factors!$C$47:$BB$47)+SUMPRODUCT(Oxides_max!$C25:$BB25,Factors!$C$47:$BB$47))/2),ABS(SUMPRODUCT(Oxides_max!$C25:$BB25,Factors!$C$47:$BB$47)-SUMPRODUCT(Oxides_min!$C25:$BB25,Factors!$C$47:$BB$47))/2)</f>
        <v>1.4575051785984943</v>
      </c>
      <c r="AO25" s="20">
        <f>MIN(MAX(0,(SUMPRODUCT(Oxides_min!$C25:$BB25,Factors!$C$48:$BB$48)+SUMPRODUCT(Oxides_max!$C25:$BB25,Factors!$C$48:$BB$48))/2),ABS(SUMPRODUCT(Oxides_max!$C25:$BB25,Factors!$C$48:$BB$48)-SUMPRODUCT(Oxides_min!$C25:$BB25,Factors!$C$48:$BB$48))/2)</f>
        <v>0.21559029241476613</v>
      </c>
      <c r="AP25" s="20">
        <f>MIN(MAX(0,(SUMPRODUCT(Oxides_min!$C25:$BB25,Factors!$C$49:$BB$49)+SUMPRODUCT(Oxides_max!$C25:$BB25,Factors!$C$49:$BB$49))/2),ABS(SUMPRODUCT(Oxides_max!$C25:$BB25,Factors!$C$49:$BB$49)-SUMPRODUCT(Oxides_min!$C25:$BB25,Factors!$C$49:$BB$49))/2)</f>
        <v>0</v>
      </c>
      <c r="AQ25" s="20">
        <f>MIN(MAX(0,(SUMPRODUCT(Oxides_min!$C25:$BB25,Factors!$C$50:$BB$50)+SUMPRODUCT(Oxides_max!$C25:$BB25,Factors!$C$50:$BB$50))/2),ABS(SUMPRODUCT(Oxides_max!$C25:$BB25,Factors!$C$50:$BB$50)-SUMPRODUCT(Oxides_min!$C25:$BB25,Factors!$C$50:$BB$50))/2)</f>
        <v>0</v>
      </c>
      <c r="AR25" s="20">
        <f>MIN(MAX(0,(SUMPRODUCT(Oxides_min!$C25:$BB25,Factors!$C$51:$BB$51)+SUMPRODUCT(Oxides_max!$C25:$BB25,Factors!$C$51:$BB$51))/2),ABS(SUMPRODUCT(Oxides_max!$C25:$BB25,Factors!$C$51:$BB$51)-SUMPRODUCT(Oxides_min!$C25:$BB25,Factors!$C$51:$BB$51))/2)</f>
        <v>0</v>
      </c>
      <c r="AS25" s="20">
        <f>MIN(MAX(0,(SUMPRODUCT(Oxides_min!$C25:$BB25,Factors!$C$52:$BB$52)+SUMPRODUCT(Oxides_max!$C25:$BB25,Factors!$C$52:$BB$52))/2),ABS(SUMPRODUCT(Oxides_max!$C25:$BB25,Factors!$C$52:$BB$52)-SUMPRODUCT(Oxides_min!$C25:$BB25,Factors!$C$52:$BB$52))/2)</f>
        <v>0</v>
      </c>
      <c r="AT25" s="20">
        <f>MIN(MAX(0,(SUMPRODUCT(Oxides_min!$C25:$BB25,Factors!$C$53:$BB$53)+SUMPRODUCT(Oxides_max!$C25:$BB25,Factors!$C$53:$BB$53))/2),ABS(SUMPRODUCT(Oxides_max!$C25:$BB25,Factors!$C$53:$BB$53)-SUMPRODUCT(Oxides_min!$C25:$BB25,Factors!$C$53:$BB$53))/2)</f>
        <v>0</v>
      </c>
      <c r="AU25" s="20">
        <f>MIN(MAX(0,(SUMPRODUCT(Oxides_min!$C25:$BB25,Factors!$C$54:$BB$54)+SUMPRODUCT(Oxides_max!$C25:$BB25,Factors!$C$54:$BB$54))/2),ABS(SUMPRODUCT(Oxides_max!$C25:$BB25,Factors!$C$54:$BB$54)-SUMPRODUCT(Oxides_min!$C25:$BB25,Factors!$C$54:$BB$54))/2)</f>
        <v>0</v>
      </c>
      <c r="AV25" s="20">
        <f>MIN(MAX(0,(SUMPRODUCT(Oxides_min!$C25:$BB25,Factors!$C$55:$BB$55)+SUMPRODUCT(Oxides_max!$C25:$BB25,Factors!$C$55:$BB$55))/2),ABS(SUMPRODUCT(Oxides_max!$C25:$BB25,Factors!$C$55:$BB$55)-SUMPRODUCT(Oxides_min!$C25:$BB25,Factors!$C$55:$BB$55))/2)</f>
        <v>0</v>
      </c>
      <c r="AW25" s="20">
        <f>MIN(MAX(0,(SUMPRODUCT(Oxides_min!$C25:$BB25,Factors!$C$56:$BB$56)+SUMPRODUCT(Oxides_max!$C25:$BB25,Factors!$C$56:$BB$56))/2),ABS(SUMPRODUCT(Oxides_max!$C25:$BB25,Factors!$C$56:$BB$56)-SUMPRODUCT(Oxides_min!$C25:$BB25,Factors!$C$56:$BB$56))/2)</f>
        <v>0</v>
      </c>
      <c r="AX25" s="20">
        <f>MIN(MAX(0,(SUMPRODUCT(Oxides_min!$C25:$BB25,Factors!$C$57:$BB$57)+SUMPRODUCT(Oxides_max!$C25:$BB25,Factors!$C$57:$BB$57))/2),ABS(SUMPRODUCT(Oxides_max!$C25:$BB25,Factors!$C$57:$BB$57)-SUMPRODUCT(Oxides_min!$C25:$BB25,Factors!$C$57:$BB$57))/2)</f>
        <v>0</v>
      </c>
      <c r="AY25" s="20">
        <f>MIN(MAX(0,(SUMPRODUCT(Oxides_min!$C25:$BB25,Factors!$C$58:$BB$58)+SUMPRODUCT(Oxides_max!$C25:$BB25,Factors!$C$58:$BB$58))/2),ABS(SUMPRODUCT(Oxides_max!$C25:$BB25,Factors!$C$58:$BB$58)-SUMPRODUCT(Oxides_min!$C25:$BB25,Factors!$C$58:$BB$58))/2)</f>
        <v>0</v>
      </c>
      <c r="AZ25" s="18">
        <f t="shared" si="0"/>
        <v>32.423946914823937</v>
      </c>
    </row>
    <row r="26" spans="1:52" x14ac:dyDescent="0.35">
      <c r="A26" s="13" t="s">
        <v>173</v>
      </c>
      <c r="B26" s="20">
        <f>MIN(MAX(0,(SUMPRODUCT(Oxides_min!$C26:$BB26,Factors!$C$9:$BB$9)+SUMPRODUCT(Oxides_max!$C26:$BB26,Factors!$C$9:$BB$9))/2),ABS(SUMPRODUCT(Oxides_max!$C26:$BB26,Factors!$C$9:$BB$9)-SUMPRODUCT(Oxides_min!$C26:$BB26,Factors!$C$9:$BB$9))/2)</f>
        <v>14.686804928137537</v>
      </c>
      <c r="C26" s="20">
        <f>MIN(MAX(0,(SUMPRODUCT(Oxides_min!$C26:$BB26,Factors!$C$10:$BB$10)+SUMPRODUCT(Oxides_max!$C26:$BB26,Factors!$C$10:$BB$10))/2),ABS(SUMPRODUCT(Oxides_max!$C26:$BB26,Factors!$C$10:$BB$10)-SUMPRODUCT(Oxides_min!$C26:$BB26,Factors!$C$10:$BB$10))/2)</f>
        <v>0.11685917813691062</v>
      </c>
      <c r="D26" s="20">
        <f>MIN(MAX(0,(SUMPRODUCT(Oxides_min!$C26:$BB26,Factors!$C$11:$BB$11)+SUMPRODUCT(Oxides_max!$C26:$BB26,Factors!$C$11:$BB$11))/2),ABS(SUMPRODUCT(Oxides_max!$C26:$BB26,Factors!$C$11:$BB$11)-SUMPRODUCT(Oxides_min!$C26:$BB26,Factors!$C$11:$BB$11))/2)</f>
        <v>1.8879490390033182</v>
      </c>
      <c r="E26" s="20">
        <f>MIN(MAX(0,(SUMPRODUCT(Oxides_min!$C26:$BB26,Factors!$C$12:$BB$12)+SUMPRODUCT(Oxides_max!$C26:$BB26,Factors!$C$12:$BB$12))/2),ABS(SUMPRODUCT(Oxides_max!$C26:$BB26,Factors!$C$12:$BB$12)-SUMPRODUCT(Oxides_min!$C26:$BB26,Factors!$C$12:$BB$12))/2)</f>
        <v>0.40717728976968404</v>
      </c>
      <c r="F26" s="20">
        <f>MIN(MAX(0,(SUMPRODUCT(Oxides_min!$C26:$BB26,Factors!$C$13:$BB$13)+SUMPRODUCT(Oxides_max!$C26:$BB26,Factors!$C$13:$BB$13))/2),ABS(SUMPRODUCT(Oxides_max!$C26:$BB26,Factors!$C$13:$BB$13)-SUMPRODUCT(Oxides_min!$C26:$BB26,Factors!$C$13:$BB$13))/2)</f>
        <v>0</v>
      </c>
      <c r="G26" s="20">
        <f>MIN(MAX(0,(SUMPRODUCT(Oxides_min!$C26:$BB26,Factors!$C$14:$BB$14)+SUMPRODUCT(Oxides_max!$C26:$BB26,Factors!$C$14:$BB$14))/2),ABS(SUMPRODUCT(Oxides_max!$C26:$BB26,Factors!$C$14:$BB$14)-SUMPRODUCT(Oxides_min!$C26:$BB26,Factors!$C$14:$BB$14))/2)</f>
        <v>0.78768214029779438</v>
      </c>
      <c r="H26" s="20">
        <f>MIN(MAX(0,(SUMPRODUCT(Oxides_min!$C26:$BB26,Factors!$C$15:$BB$15)+SUMPRODUCT(Oxides_max!$C26:$BB26,Factors!$C$15:$BB$15))/2),ABS(SUMPRODUCT(Oxides_max!$C26:$BB26,Factors!$C$15:$BB$15)-SUMPRODUCT(Oxides_min!$C26:$BB26,Factors!$C$15:$BB$15))/2)</f>
        <v>7.9388539006301453E-2</v>
      </c>
      <c r="I26" s="20">
        <f>MIN(MAX(0,(SUMPRODUCT(Oxides_min!$C26:$BB26,Factors!$C$16:$BB$16)+SUMPRODUCT(Oxides_max!$C26:$BB26,Factors!$C$16:$BB$16))/2),ABS(SUMPRODUCT(Oxides_max!$C26:$BB26,Factors!$C$16:$BB$16)-SUMPRODUCT(Oxides_min!$C26:$BB26,Factors!$C$16:$BB$16))/2)</f>
        <v>5.3202314188114705</v>
      </c>
      <c r="J26" s="20">
        <f>MIN(MAX(0,(SUMPRODUCT(Oxides_min!$C26:$BB26,Factors!$C$17:$BB$17)+SUMPRODUCT(Oxides_max!$C26:$BB26,Factors!$C$17:$BB$17))/2),ABS(SUMPRODUCT(Oxides_max!$C26:$BB26,Factors!$C$17:$BB$17)-SUMPRODUCT(Oxides_min!$C26:$BB26,Factors!$C$17:$BB$17))/2)</f>
        <v>0.46467719179276773</v>
      </c>
      <c r="K26" s="20">
        <f>MIN(MAX(0,(SUMPRODUCT(Oxides_min!$C26:$BB26,Factors!$C$18:$BB$18)+SUMPRODUCT(Oxides_max!$C26:$BB26,Factors!$C$18:$BB$18))/2),ABS(SUMPRODUCT(Oxides_max!$C26:$BB26,Factors!$C$18:$BB$18)-SUMPRODUCT(Oxides_min!$C26:$BB26,Factors!$C$18:$BB$18))/2)</f>
        <v>0</v>
      </c>
      <c r="L26" s="20">
        <f>MIN(MAX(0,(SUMPRODUCT(Oxides_min!$C26:$BB26,Factors!$C$19:$BB$19)+SUMPRODUCT(Oxides_max!$C26:$BB26,Factors!$C$19:$BB$19))/2),ABS(SUMPRODUCT(Oxides_max!$C26:$BB26,Factors!$C$19:$BB$19)-SUMPRODUCT(Oxides_min!$C26:$BB26,Factors!$C$19:$BB$19))/2)</f>
        <v>0</v>
      </c>
      <c r="M26" s="20">
        <f>MIN(MAX(0,(SUMPRODUCT(Oxides_min!$C26:$BB26,Factors!$C$20:$BB$20)+SUMPRODUCT(Oxides_max!$C26:$BB26,Factors!$C$20:$BB$20))/2),ABS(SUMPRODUCT(Oxides_max!$C26:$BB26,Factors!$C$20:$BB$20)-SUMPRODUCT(Oxides_min!$C26:$BB26,Factors!$C$20:$BB$20))/2)</f>
        <v>0.12060837633981739</v>
      </c>
      <c r="N26" s="20">
        <f>MIN(MAX(0,(SUMPRODUCT(Oxides_min!$C26:$BB26,Factors!$C$21:$BB$21)+SUMPRODUCT(Oxides_max!$C26:$BB26,Factors!$C$21:$BB$21))/2),ABS(SUMPRODUCT(Oxides_max!$C26:$BB26,Factors!$C$21:$BB$21)-SUMPRODUCT(Oxides_min!$C26:$BB26,Factors!$C$21:$BB$21))/2)</f>
        <v>0.40380316350732026</v>
      </c>
      <c r="O26" s="20">
        <f>MIN(MAX(0,(SUMPRODUCT(Oxides_min!$C26:$BB26,Factors!$C$22:$BB$22)+SUMPRODUCT(Oxides_max!$C26:$BB26,Factors!$C$22:$BB$22))/2),ABS(SUMPRODUCT(Oxides_max!$C26:$BB26,Factors!$C$22:$BB$22)-SUMPRODUCT(Oxides_min!$C26:$BB26,Factors!$C$22:$BB$22))/2)</f>
        <v>0</v>
      </c>
      <c r="P26" s="20">
        <f>MIN(MAX(0,(SUMPRODUCT(Oxides_min!$C26:$BB26,Factors!$C$23:$BB$23)+SUMPRODUCT(Oxides_max!$C26:$BB26,Factors!$C$23:$BB$23))/2),ABS(SUMPRODUCT(Oxides_max!$C26:$BB26,Factors!$C$23:$BB$23)-SUMPRODUCT(Oxides_min!$C26:$BB26,Factors!$C$23:$BB$23))/2)</f>
        <v>0</v>
      </c>
      <c r="Q26" s="20">
        <f>MIN(MAX(0,(SUMPRODUCT(Oxides_min!$C26:$BB26,Factors!$C$24:$BB$24)+SUMPRODUCT(Oxides_max!$C26:$BB26,Factors!$C$24:$BB$24))/2),ABS(SUMPRODUCT(Oxides_max!$C26:$BB26,Factors!$C$24:$BB$24)-SUMPRODUCT(Oxides_min!$C26:$BB26,Factors!$C$24:$BB$24))/2)</f>
        <v>9.2831957132424425E-2</v>
      </c>
      <c r="R26" s="20">
        <f>MIN(MAX(0,(SUMPRODUCT(Oxides_min!$C26:$BB26,Factors!$C$25:$BB$25)+SUMPRODUCT(Oxides_max!$C26:$BB26,Factors!$C$25:$BB$25))/2),ABS(SUMPRODUCT(Oxides_max!$C26:$BB26,Factors!$C$25:$BB$25)-SUMPRODUCT(Oxides_min!$C26:$BB26,Factors!$C$25:$BB$25))/2)</f>
        <v>0.11127933869113804</v>
      </c>
      <c r="S26" s="20">
        <f>MIN(MAX(0,(SUMPRODUCT(Oxides_min!$C26:$BB26,Factors!$C$26:$BB$26)+SUMPRODUCT(Oxides_max!$C26:$BB26,Factors!$C$26:$BB$26))/2),ABS(SUMPRODUCT(Oxides_max!$C26:$BB26,Factors!$C$26:$BB$26)-SUMPRODUCT(Oxides_min!$C26:$BB26,Factors!$C$26:$BB$26))/2)</f>
        <v>8.3015130218396627E-2</v>
      </c>
      <c r="T26" s="20">
        <f>MIN(MAX(0,(SUMPRODUCT(Oxides_min!$C26:$BB26,Factors!$C$27:$BB$27)+SUMPRODUCT(Oxides_max!$C26:$BB26,Factors!$C$27:$BB$27))/2),ABS(SUMPRODUCT(Oxides_max!$C26:$BB26,Factors!$C$27:$BB$27)-SUMPRODUCT(Oxides_min!$C26:$BB26,Factors!$C$27:$BB$27))/2)</f>
        <v>0</v>
      </c>
      <c r="U26" s="20">
        <f>MIN(MAX(0,(SUMPRODUCT(Oxides_min!$C26:$BB26,Factors!$C$28:$BB$28)+SUMPRODUCT(Oxides_max!$C26:$BB26,Factors!$C$28:$BB$28))/2),ABS(SUMPRODUCT(Oxides_max!$C26:$BB26,Factors!$C$28:$BB$28)-SUMPRODUCT(Oxides_min!$C26:$BB26,Factors!$C$28:$BB$28))/2)</f>
        <v>0</v>
      </c>
      <c r="V26" s="20">
        <f>MIN(MAX(0,(SUMPRODUCT(Oxides_min!$C26:$BB26,Factors!$C$29:$BB$29)+SUMPRODUCT(Oxides_max!$C26:$BB26,Factors!$C$29:$BB$29))/2),ABS(SUMPRODUCT(Oxides_max!$C26:$BB26,Factors!$C$29:$BB$29)-SUMPRODUCT(Oxides_min!$C26:$BB26,Factors!$C$29:$BB$29))/2)</f>
        <v>0</v>
      </c>
      <c r="W26" s="20">
        <f>MIN(MAX(0,(SUMPRODUCT(Oxides_min!$C26:$BB26,Factors!$C$30:$BB$30)+SUMPRODUCT(Oxides_max!$C26:$BB26,Factors!$C$30:$BB$30))/2),ABS(SUMPRODUCT(Oxides_max!$C26:$BB26,Factors!$C$30:$BB$30)-SUMPRODUCT(Oxides_min!$C26:$BB26,Factors!$C$30:$BB$30))/2)</f>
        <v>6.9904939562708002</v>
      </c>
      <c r="X26" s="20">
        <f>MIN(MAX(0,(SUMPRODUCT(Oxides_min!$C26:$BB26,Factors!$C$31:$BB$31)+SUMPRODUCT(Oxides_max!$C26:$BB26,Factors!$C$31:$BB$31))/2),ABS(SUMPRODUCT(Oxides_max!$C26:$BB26,Factors!$C$31:$BB$31)-SUMPRODUCT(Oxides_min!$C26:$BB26,Factors!$C$31:$BB$31))/2)</f>
        <v>12.694051986966191</v>
      </c>
      <c r="Y26" s="20">
        <f>MIN(MAX(0,(SUMPRODUCT(Oxides_min!$C26:$BB26,Factors!$C$32:$BB$32)+SUMPRODUCT(Oxides_max!$C26:$BB26,Factors!$C$32:$BB$32))/2),ABS(SUMPRODUCT(Oxides_max!$C26:$BB26,Factors!$C$32:$BB$32)-SUMPRODUCT(Oxides_min!$C26:$BB26,Factors!$C$32:$BB$32))/2)</f>
        <v>1.2687534776588727</v>
      </c>
      <c r="Z26" s="20">
        <f>MIN(MAX(0,(SUMPRODUCT(Oxides_min!$C26:$BB26,Factors!$C$33:$BB$33)+SUMPRODUCT(Oxides_max!$C26:$BB26,Factors!$C$33:$BB$33))/2),ABS(SUMPRODUCT(Oxides_max!$C26:$BB26,Factors!$C$33:$BB$33)-SUMPRODUCT(Oxides_min!$C26:$BB26,Factors!$C$33:$BB$33))/2)</f>
        <v>0</v>
      </c>
      <c r="AA26" s="20">
        <f>MIN(MAX(0,(SUMPRODUCT(Oxides_min!$C26:$BB26,Factors!$C$34:$BB$34)+SUMPRODUCT(Oxides_max!$C26:$BB26,Factors!$C$34:$BB$34))/2),ABS(SUMPRODUCT(Oxides_max!$C26:$BB26,Factors!$C$34:$BB$34)-SUMPRODUCT(Oxides_min!$C26:$BB26,Factors!$C$34:$BB$34))/2)</f>
        <v>0</v>
      </c>
      <c r="AB26" s="20">
        <f>MIN(MAX(0,(SUMPRODUCT(Oxides_min!$C26:$BB26,Factors!$C$35:$BB$35)+SUMPRODUCT(Oxides_max!$C26:$BB26,Factors!$C$35:$BB$35))/2),ABS(SUMPRODUCT(Oxides_max!$C26:$BB26,Factors!$C$35:$BB$35)-SUMPRODUCT(Oxides_min!$C26:$BB26,Factors!$C$35:$BB$35))/2)</f>
        <v>0</v>
      </c>
      <c r="AC26" s="20">
        <f>MIN(MAX(0,(SUMPRODUCT(Oxides_min!$C26:$BB26,Factors!$C$36:$BB$36)+SUMPRODUCT(Oxides_max!$C26:$BB26,Factors!$C$36:$BB$36))/2),ABS(SUMPRODUCT(Oxides_max!$C26:$BB26,Factors!$C$36:$BB$36)-SUMPRODUCT(Oxides_min!$C26:$BB26,Factors!$C$36:$BB$36))/2)</f>
        <v>0</v>
      </c>
      <c r="AD26" s="20">
        <f>MIN(MAX(0,(SUMPRODUCT(Oxides_min!$C26:$BB26,Factors!$C$37:$BB$37)+SUMPRODUCT(Oxides_max!$C26:$BB26,Factors!$C$37:$BB$37))/2),ABS(SUMPRODUCT(Oxides_max!$C26:$BB26,Factors!$C$37:$BB$37)-SUMPRODUCT(Oxides_min!$C26:$BB26,Factors!$C$37:$BB$37))/2)</f>
        <v>0.16786011656952537</v>
      </c>
      <c r="AE26" s="20">
        <f>MIN(MAX(0,(SUMPRODUCT(Oxides_min!$C26:$BB26,Factors!$C$38:$BB$38)+SUMPRODUCT(Oxides_max!$C26:$BB26,Factors!$C$38:$BB$38))/2),ABS(SUMPRODUCT(Oxides_max!$C26:$BB26,Factors!$C$38:$BB$38)-SUMPRODUCT(Oxides_min!$C26:$BB26,Factors!$C$38:$BB$38))/2)</f>
        <v>0</v>
      </c>
      <c r="AF26" s="20">
        <f>MIN(MAX(0,(SUMPRODUCT(Oxides_min!$C26:$BB26,Factors!$C$39:$BB$39)+SUMPRODUCT(Oxides_max!$C26:$BB26,Factors!$C$39:$BB$39))/2),ABS(SUMPRODUCT(Oxides_max!$C26:$BB26,Factors!$C$39:$BB$39)-SUMPRODUCT(Oxides_min!$C26:$BB26,Factors!$C$39:$BB$39))/2)</f>
        <v>0</v>
      </c>
      <c r="AG26" s="20">
        <f>MIN(MAX(0,(SUMPRODUCT(Oxides_min!$C26:$BB26,Factors!$C$40:$BB$40)+SUMPRODUCT(Oxides_max!$C26:$BB26,Factors!$C$40:$BB$40))/2),ABS(SUMPRODUCT(Oxides_max!$C26:$BB26,Factors!$C$40:$BB$40)-SUMPRODUCT(Oxides_min!$C26:$BB26,Factors!$C$40:$BB$40))/2)</f>
        <v>1.5379207243565927</v>
      </c>
      <c r="AH26" s="20">
        <f>MIN(MAX(0,(SUMPRODUCT(Oxides_min!$C26:$BB26,Factors!$C$41:$BB$41)+SUMPRODUCT(Oxides_max!$C26:$BB26,Factors!$C$41:$BB$41))/2),ABS(SUMPRODUCT(Oxides_max!$C26:$BB26,Factors!$C$41:$BB$41)-SUMPRODUCT(Oxides_min!$C26:$BB26,Factors!$C$41:$BB$41))/2)</f>
        <v>8.1538814687025081</v>
      </c>
      <c r="AI26" s="20">
        <f>MIN(MAX(0,(SUMPRODUCT(Oxides_min!$C26:$BB26,Factors!$C$42:$BB$42)+SUMPRODUCT(Oxides_max!$C26:$BB26,Factors!$C$42:$BB$42))/2),ABS(SUMPRODUCT(Oxides_max!$C26:$BB26,Factors!$C$42:$BB$42)-SUMPRODUCT(Oxides_min!$C26:$BB26,Factors!$C$42:$BB$42))/2)</f>
        <v>0.32598284362038177</v>
      </c>
      <c r="AJ26" s="20">
        <f>MIN(MAX(0,(SUMPRODUCT(Oxides_min!$C26:$BB26,Factors!$C$43:$BB$43)+SUMPRODUCT(Oxides_max!$C26:$BB26,Factors!$C$43:$BB$43))/2),ABS(SUMPRODUCT(Oxides_max!$C26:$BB26,Factors!$C$43:$BB$43)-SUMPRODUCT(Oxides_min!$C26:$BB26,Factors!$C$43:$BB$43))/2)</f>
        <v>3.5434977964531749</v>
      </c>
      <c r="AK26" s="20">
        <f>MIN(MAX(0,(SUMPRODUCT(Oxides_min!$C26:$BB26,Factors!$C$44:$BB$44)+SUMPRODUCT(Oxides_max!$C26:$BB26,Factors!$C$44:$BB$44))/2),ABS(SUMPRODUCT(Oxides_max!$C26:$BB26,Factors!$C$44:$BB$44)-SUMPRODUCT(Oxides_min!$C26:$BB26,Factors!$C$44:$BB$44))/2)</f>
        <v>0.17053662964751565</v>
      </c>
      <c r="AL26" s="20">
        <f>MIN(MAX(0,(SUMPRODUCT(Oxides_min!$C26:$BB26,Factors!$C$45:$BB$45)+SUMPRODUCT(Oxides_max!$C26:$BB26,Factors!$C$45:$BB$45))/2),ABS(SUMPRODUCT(Oxides_max!$C26:$BB26,Factors!$C$45:$BB$45)-SUMPRODUCT(Oxides_min!$C26:$BB26,Factors!$C$45:$BB$45))/2)</f>
        <v>0.21344244414722646</v>
      </c>
      <c r="AM26" s="20">
        <f>MIN(MAX(0,(SUMPRODUCT(Oxides_min!$C26:$BB26,Factors!$C$46:$BB$46)+SUMPRODUCT(Oxides_max!$C26:$BB26,Factors!$C$46:$BB$46))/2),ABS(SUMPRODUCT(Oxides_max!$C26:$BB26,Factors!$C$46:$BB$46)-SUMPRODUCT(Oxides_min!$C26:$BB26,Factors!$C$46:$BB$46))/2)</f>
        <v>0.12817076693799673</v>
      </c>
      <c r="AN26" s="20">
        <f>MIN(MAX(0,(SUMPRODUCT(Oxides_min!$C26:$BB26,Factors!$C$47:$BB$47)+SUMPRODUCT(Oxides_max!$C26:$BB26,Factors!$C$47:$BB$47))/2),ABS(SUMPRODUCT(Oxides_max!$C26:$BB26,Factors!$C$47:$BB$47)-SUMPRODUCT(Oxides_min!$C26:$BB26,Factors!$C$47:$BB$47))/2)</f>
        <v>0.40295731408311314</v>
      </c>
      <c r="AO26" s="20">
        <f>MIN(MAX(0,(SUMPRODUCT(Oxides_min!$C26:$BB26,Factors!$C$48:$BB$48)+SUMPRODUCT(Oxides_max!$C26:$BB26,Factors!$C$48:$BB$48))/2),ABS(SUMPRODUCT(Oxides_max!$C26:$BB26,Factors!$C$48:$BB$48)-SUMPRODUCT(Oxides_min!$C26:$BB26,Factors!$C$48:$BB$48))/2)</f>
        <v>0.60365281876134513</v>
      </c>
      <c r="AP26" s="20">
        <f>MIN(MAX(0,(SUMPRODUCT(Oxides_min!$C26:$BB26,Factors!$C$49:$BB$49)+SUMPRODUCT(Oxides_max!$C26:$BB26,Factors!$C$49:$BB$49))/2),ABS(SUMPRODUCT(Oxides_max!$C26:$BB26,Factors!$C$49:$BB$49)-SUMPRODUCT(Oxides_min!$C26:$BB26,Factors!$C$49:$BB$49))/2)</f>
        <v>8.6361582723591679E-2</v>
      </c>
      <c r="AQ26" s="20">
        <f>MIN(MAX(0,(SUMPRODUCT(Oxides_min!$C26:$BB26,Factors!$C$50:$BB$50)+SUMPRODUCT(Oxides_max!$C26:$BB26,Factors!$C$50:$BB$50))/2),ABS(SUMPRODUCT(Oxides_max!$C26:$BB26,Factors!$C$50:$BB$50)-SUMPRODUCT(Oxides_min!$C26:$BB26,Factors!$C$50:$BB$50))/2)</f>
        <v>0.47717636283886483</v>
      </c>
      <c r="AR26" s="20">
        <f>MIN(MAX(0,(SUMPRODUCT(Oxides_min!$C26:$BB26,Factors!$C$51:$BB$51)+SUMPRODUCT(Oxides_max!$C26:$BB26,Factors!$C$51:$BB$51))/2),ABS(SUMPRODUCT(Oxides_max!$C26:$BB26,Factors!$C$51:$BB$51)-SUMPRODUCT(Oxides_min!$C26:$BB26,Factors!$C$51:$BB$51))/2)</f>
        <v>0.19548136423981893</v>
      </c>
      <c r="AS26" s="20">
        <f>MIN(MAX(0,(SUMPRODUCT(Oxides_min!$C26:$BB26,Factors!$C$52:$BB$52)+SUMPRODUCT(Oxides_max!$C26:$BB26,Factors!$C$52:$BB$52))/2),ABS(SUMPRODUCT(Oxides_max!$C26:$BB26,Factors!$C$52:$BB$52)-SUMPRODUCT(Oxides_min!$C26:$BB26,Factors!$C$52:$BB$52))/2)</f>
        <v>0.6534905106475386</v>
      </c>
      <c r="AT26" s="20">
        <f>MIN(MAX(0,(SUMPRODUCT(Oxides_min!$C26:$BB26,Factors!$C$53:$BB$53)+SUMPRODUCT(Oxides_max!$C26:$BB26,Factors!$C$53:$BB$53))/2),ABS(SUMPRODUCT(Oxides_max!$C26:$BB26,Factors!$C$53:$BB$53)-SUMPRODUCT(Oxides_min!$C26:$BB26,Factors!$C$53:$BB$53))/2)</f>
        <v>0.15277079601879712</v>
      </c>
      <c r="AU26" s="20">
        <f>MIN(MAX(0,(SUMPRODUCT(Oxides_min!$C26:$BB26,Factors!$C$54:$BB$54)+SUMPRODUCT(Oxides_max!$C26:$BB26,Factors!$C$54:$BB$54))/2),ABS(SUMPRODUCT(Oxides_max!$C26:$BB26,Factors!$C$54:$BB$54)-SUMPRODUCT(Oxides_min!$C26:$BB26,Factors!$C$54:$BB$54))/2)</f>
        <v>0.43726128387122071</v>
      </c>
      <c r="AV26" s="20">
        <f>MIN(MAX(0,(SUMPRODUCT(Oxides_min!$C26:$BB26,Factors!$C$55:$BB$55)+SUMPRODUCT(Oxides_max!$C26:$BB26,Factors!$C$55:$BB$55))/2),ABS(SUMPRODUCT(Oxides_max!$C26:$BB26,Factors!$C$55:$BB$55)-SUMPRODUCT(Oxides_min!$C26:$BB26,Factors!$C$55:$BB$55))/2)</f>
        <v>0.13134181179843418</v>
      </c>
      <c r="AW26" s="20">
        <f>MIN(MAX(0,(SUMPRODUCT(Oxides_min!$C26:$BB26,Factors!$C$56:$BB$56)+SUMPRODUCT(Oxides_max!$C26:$BB26,Factors!$C$56:$BB$56))/2),ABS(SUMPRODUCT(Oxides_max!$C26:$BB26,Factors!$C$56:$BB$56)-SUMPRODUCT(Oxides_min!$C26:$BB26,Factors!$C$56:$BB$56))/2)</f>
        <v>0.61474496748179963</v>
      </c>
      <c r="AX26" s="20">
        <f>MIN(MAX(0,(SUMPRODUCT(Oxides_min!$C26:$BB26,Factors!$C$57:$BB$57)+SUMPRODUCT(Oxides_max!$C26:$BB26,Factors!$C$57:$BB$57))/2),ABS(SUMPRODUCT(Oxides_max!$C26:$BB26,Factors!$C$57:$BB$57)-SUMPRODUCT(Oxides_min!$C26:$BB26,Factors!$C$57:$BB$57))/2)</f>
        <v>0.19786128535980899</v>
      </c>
      <c r="AY26" s="20">
        <f>MIN(MAX(0,(SUMPRODUCT(Oxides_min!$C26:$BB26,Factors!$C$58:$BB$58)+SUMPRODUCT(Oxides_max!$C26:$BB26,Factors!$C$58:$BB$58))/2),ABS(SUMPRODUCT(Oxides_max!$C26:$BB26,Factors!$C$58:$BB$58)-SUMPRODUCT(Oxides_min!$C26:$BB26,Factors!$C$58:$BB$58))/2)</f>
        <v>0</v>
      </c>
      <c r="AZ26" s="18">
        <f t="shared" si="0"/>
        <v>63.710000000000008</v>
      </c>
    </row>
    <row r="27" spans="1:52" x14ac:dyDescent="0.35">
      <c r="A27" s="13" t="s">
        <v>322</v>
      </c>
      <c r="B27" s="20">
        <f>MIN(MAX(0,(SUMPRODUCT(Oxides_min!$C27:$BB27,Factors!$C$9:$BB$9)+SUMPRODUCT(Oxides_max!$C27:$BB27,Factors!$C$9:$BB$9))/2),ABS(SUMPRODUCT(Oxides_max!$C27:$BB27,Factors!$C$9:$BB$9)-SUMPRODUCT(Oxides_min!$C27:$BB27,Factors!$C$9:$BB$9))/2)</f>
        <v>1.6549838021820342</v>
      </c>
      <c r="C27" s="20">
        <f>MIN(MAX(0,(SUMPRODUCT(Oxides_min!$C27:$BB27,Factors!$C$10:$BB$10)+SUMPRODUCT(Oxides_max!$C27:$BB27,Factors!$C$10:$BB$10))/2),ABS(SUMPRODUCT(Oxides_max!$C27:$BB27,Factors!$C$10:$BB$10)-SUMPRODUCT(Oxides_min!$C27:$BB27,Factors!$C$10:$BB$10))/2)</f>
        <v>0.6310395619393141</v>
      </c>
      <c r="D27" s="20">
        <f>MIN(MAX(0,(SUMPRODUCT(Oxides_min!$C27:$BB27,Factors!$C$11:$BB$11)+SUMPRODUCT(Oxides_max!$C27:$BB27,Factors!$C$11:$BB$11))/2),ABS(SUMPRODUCT(Oxides_max!$C27:$BB27,Factors!$C$11:$BB$11)-SUMPRODUCT(Oxides_min!$C27:$BB27,Factors!$C$11:$BB$11))/2)</f>
        <v>0</v>
      </c>
      <c r="E27" s="20">
        <f>MIN(MAX(0,(SUMPRODUCT(Oxides_min!$C27:$BB27,Factors!$C$12:$BB$12)+SUMPRODUCT(Oxides_max!$C27:$BB27,Factors!$C$12:$BB$12))/2),ABS(SUMPRODUCT(Oxides_max!$C27:$BB27,Factors!$C$12:$BB$12)-SUMPRODUCT(Oxides_min!$C27:$BB27,Factors!$C$12:$BB$12))/2)</f>
        <v>0</v>
      </c>
      <c r="F27" s="20">
        <f>MIN(MAX(0,(SUMPRODUCT(Oxides_min!$C27:$BB27,Factors!$C$13:$BB$13)+SUMPRODUCT(Oxides_max!$C27:$BB27,Factors!$C$13:$BB$13))/2),ABS(SUMPRODUCT(Oxides_max!$C27:$BB27,Factors!$C$13:$BB$13)-SUMPRODUCT(Oxides_min!$C27:$BB27,Factors!$C$13:$BB$13))/2)</f>
        <v>0</v>
      </c>
      <c r="G27" s="20">
        <f>MIN(MAX(0,(SUMPRODUCT(Oxides_min!$C27:$BB27,Factors!$C$14:$BB$14)+SUMPRODUCT(Oxides_max!$C27:$BB27,Factors!$C$14:$BB$14))/2),ABS(SUMPRODUCT(Oxides_max!$C27:$BB27,Factors!$C$14:$BB$14)-SUMPRODUCT(Oxides_min!$C27:$BB27,Factors!$C$14:$BB$14))/2)</f>
        <v>0</v>
      </c>
      <c r="H27" s="20">
        <f>MIN(MAX(0,(SUMPRODUCT(Oxides_min!$C27:$BB27,Factors!$C$15:$BB$15)+SUMPRODUCT(Oxides_max!$C27:$BB27,Factors!$C$15:$BB$15))/2),ABS(SUMPRODUCT(Oxides_max!$C27:$BB27,Factors!$C$15:$BB$15)-SUMPRODUCT(Oxides_min!$C27:$BB27,Factors!$C$15:$BB$15))/2)</f>
        <v>0.48162380330489629</v>
      </c>
      <c r="I27" s="20">
        <f>MIN(MAX(0,(SUMPRODUCT(Oxides_min!$C27:$BB27,Factors!$C$16:$BB$16)+SUMPRODUCT(Oxides_max!$C27:$BB27,Factors!$C$16:$BB$16))/2),ABS(SUMPRODUCT(Oxides_max!$C27:$BB27,Factors!$C$16:$BB$16)-SUMPRODUCT(Oxides_min!$C27:$BB27,Factors!$C$16:$BB$16))/2)</f>
        <v>0</v>
      </c>
      <c r="J27" s="20">
        <f>MIN(MAX(0,(SUMPRODUCT(Oxides_min!$C27:$BB27,Factors!$C$17:$BB$17)+SUMPRODUCT(Oxides_max!$C27:$BB27,Factors!$C$17:$BB$17))/2),ABS(SUMPRODUCT(Oxides_max!$C27:$BB27,Factors!$C$17:$BB$17)-SUMPRODUCT(Oxides_min!$C27:$BB27,Factors!$C$17:$BB$17))/2)</f>
        <v>0</v>
      </c>
      <c r="K27" s="20">
        <f>MIN(MAX(0,(SUMPRODUCT(Oxides_min!$C27:$BB27,Factors!$C$18:$BB$18)+SUMPRODUCT(Oxides_max!$C27:$BB27,Factors!$C$18:$BB$18))/2),ABS(SUMPRODUCT(Oxides_max!$C27:$BB27,Factors!$C$18:$BB$18)-SUMPRODUCT(Oxides_min!$C27:$BB27,Factors!$C$18:$BB$18))/2)</f>
        <v>0</v>
      </c>
      <c r="L27" s="20">
        <f>MIN(MAX(0,(SUMPRODUCT(Oxides_min!$C27:$BB27,Factors!$C$19:$BB$19)+SUMPRODUCT(Oxides_max!$C27:$BB27,Factors!$C$19:$BB$19))/2),ABS(SUMPRODUCT(Oxides_max!$C27:$BB27,Factors!$C$19:$BB$19)-SUMPRODUCT(Oxides_min!$C27:$BB27,Factors!$C$19:$BB$19))/2)</f>
        <v>0</v>
      </c>
      <c r="M27" s="20">
        <f>MIN(MAX(0,(SUMPRODUCT(Oxides_min!$C27:$BB27,Factors!$C$20:$BB$20)+SUMPRODUCT(Oxides_max!$C27:$BB27,Factors!$C$20:$BB$20))/2),ABS(SUMPRODUCT(Oxides_max!$C27:$BB27,Factors!$C$20:$BB$20)-SUMPRODUCT(Oxides_min!$C27:$BB27,Factors!$C$20:$BB$20))/2)</f>
        <v>0</v>
      </c>
      <c r="N27" s="20">
        <f>MIN(MAX(0,(SUMPRODUCT(Oxides_min!$C27:$BB27,Factors!$C$21:$BB$21)+SUMPRODUCT(Oxides_max!$C27:$BB27,Factors!$C$21:$BB$21))/2),ABS(SUMPRODUCT(Oxides_max!$C27:$BB27,Factors!$C$21:$BB$21)-SUMPRODUCT(Oxides_min!$C27:$BB27,Factors!$C$21:$BB$21))/2)</f>
        <v>0.76115109581468332</v>
      </c>
      <c r="O27" s="20">
        <f>MIN(MAX(0,(SUMPRODUCT(Oxides_min!$C27:$BB27,Factors!$C$22:$BB$22)+SUMPRODUCT(Oxides_max!$C27:$BB27,Factors!$C$22:$BB$22))/2),ABS(SUMPRODUCT(Oxides_max!$C27:$BB27,Factors!$C$22:$BB$22)-SUMPRODUCT(Oxides_min!$C27:$BB27,Factors!$C$22:$BB$22))/2)</f>
        <v>0</v>
      </c>
      <c r="P27" s="20">
        <f>MIN(MAX(0,(SUMPRODUCT(Oxides_min!$C27:$BB27,Factors!$C$23:$BB$23)+SUMPRODUCT(Oxides_max!$C27:$BB27,Factors!$C$23:$BB$23))/2),ABS(SUMPRODUCT(Oxides_max!$C27:$BB27,Factors!$C$23:$BB$23)-SUMPRODUCT(Oxides_min!$C27:$BB27,Factors!$C$23:$BB$23))/2)</f>
        <v>0</v>
      </c>
      <c r="Q27" s="20">
        <f>MIN(MAX(0,(SUMPRODUCT(Oxides_min!$C27:$BB27,Factors!$C$24:$BB$24)+SUMPRODUCT(Oxides_max!$C27:$BB27,Factors!$C$24:$BB$24))/2),ABS(SUMPRODUCT(Oxides_max!$C27:$BB27,Factors!$C$24:$BB$24)-SUMPRODUCT(Oxides_min!$C27:$BB27,Factors!$C$24:$BB$24))/2)</f>
        <v>0</v>
      </c>
      <c r="R27" s="20">
        <f>MIN(MAX(0,(SUMPRODUCT(Oxides_min!$C27:$BB27,Factors!$C$25:$BB$25)+SUMPRODUCT(Oxides_max!$C27:$BB27,Factors!$C$25:$BB$25))/2),ABS(SUMPRODUCT(Oxides_max!$C27:$BB27,Factors!$C$25:$BB$25)-SUMPRODUCT(Oxides_min!$C27:$BB27,Factors!$C$25:$BB$25))/2)</f>
        <v>0.4636639112130756</v>
      </c>
      <c r="S27" s="20">
        <f>MIN(MAX(0,(SUMPRODUCT(Oxides_min!$C27:$BB27,Factors!$C$26:$BB$26)+SUMPRODUCT(Oxides_max!$C27:$BB27,Factors!$C$26:$BB$26))/2),ABS(SUMPRODUCT(Oxides_max!$C27:$BB27,Factors!$C$26:$BB$26)-SUMPRODUCT(Oxides_min!$C27:$BB27,Factors!$C$26:$BB$26))/2)</f>
        <v>0.20753782554599154</v>
      </c>
      <c r="T27" s="20">
        <f>MIN(MAX(0,(SUMPRODUCT(Oxides_min!$C27:$BB27,Factors!$C$27:$BB$27)+SUMPRODUCT(Oxides_max!$C27:$BB27,Factors!$C$27:$BB$27))/2),ABS(SUMPRODUCT(Oxides_max!$C27:$BB27,Factors!$C$27:$BB$27)-SUMPRODUCT(Oxides_min!$C27:$BB27,Factors!$C$27:$BB$27))/2)</f>
        <v>0</v>
      </c>
      <c r="U27" s="20">
        <f>MIN(MAX(0,(SUMPRODUCT(Oxides_min!$C27:$BB27,Factors!$C$28:$BB$28)+SUMPRODUCT(Oxides_max!$C27:$BB27,Factors!$C$28:$BB$28))/2),ABS(SUMPRODUCT(Oxides_max!$C27:$BB27,Factors!$C$28:$BB$28)-SUMPRODUCT(Oxides_min!$C27:$BB27,Factors!$C$28:$BB$28))/2)</f>
        <v>0</v>
      </c>
      <c r="V27" s="20">
        <f>MIN(MAX(0,(SUMPRODUCT(Oxides_min!$C27:$BB27,Factors!$C$29:$BB$29)+SUMPRODUCT(Oxides_max!$C27:$BB27,Factors!$C$29:$BB$29))/2),ABS(SUMPRODUCT(Oxides_max!$C27:$BB27,Factors!$C$29:$BB$29)-SUMPRODUCT(Oxides_min!$C27:$BB27,Factors!$C$29:$BB$29))/2)</f>
        <v>0</v>
      </c>
      <c r="W27" s="20">
        <f>MIN(MAX(0,(SUMPRODUCT(Oxides_min!$C27:$BB27,Factors!$C$30:$BB$30)+SUMPRODUCT(Oxides_max!$C27:$BB27,Factors!$C$30:$BB$30))/2),ABS(SUMPRODUCT(Oxides_max!$C27:$BB27,Factors!$C$30:$BB$30)-SUMPRODUCT(Oxides_min!$C27:$BB27,Factors!$C$30:$BB$30))/2)</f>
        <v>0</v>
      </c>
      <c r="X27" s="20">
        <f>MIN(MAX(0,(SUMPRODUCT(Oxides_min!$C27:$BB27,Factors!$C$31:$BB$31)+SUMPRODUCT(Oxides_max!$C27:$BB27,Factors!$C$31:$BB$31))/2),ABS(SUMPRODUCT(Oxides_max!$C27:$BB27,Factors!$C$31:$BB$31)-SUMPRODUCT(Oxides_min!$C27:$BB27,Factors!$C$31:$BB$31))/2)</f>
        <v>0</v>
      </c>
      <c r="Y27" s="20">
        <f>MIN(MAX(0,(SUMPRODUCT(Oxides_min!$C27:$BB27,Factors!$C$32:$BB$32)+SUMPRODUCT(Oxides_max!$C27:$BB27,Factors!$C$32:$BB$32))/2),ABS(SUMPRODUCT(Oxides_max!$C27:$BB27,Factors!$C$32:$BB$32)-SUMPRODUCT(Oxides_min!$C27:$BB27,Factors!$C$32:$BB$32))/2)</f>
        <v>0</v>
      </c>
      <c r="Z27" s="20">
        <f>MIN(MAX(0,(SUMPRODUCT(Oxides_min!$C27:$BB27,Factors!$C$33:$BB$33)+SUMPRODUCT(Oxides_max!$C27:$BB27,Factors!$C$33:$BB$33))/2),ABS(SUMPRODUCT(Oxides_max!$C27:$BB27,Factors!$C$33:$BB$33)-SUMPRODUCT(Oxides_min!$C27:$BB27,Factors!$C$33:$BB$33))/2)</f>
        <v>0</v>
      </c>
      <c r="AA27" s="20">
        <f>MIN(MAX(0,(SUMPRODUCT(Oxides_min!$C27:$BB27,Factors!$C$34:$BB$34)+SUMPRODUCT(Oxides_max!$C27:$BB27,Factors!$C$34:$BB$34))/2),ABS(SUMPRODUCT(Oxides_max!$C27:$BB27,Factors!$C$34:$BB$34)-SUMPRODUCT(Oxides_min!$C27:$BB27,Factors!$C$34:$BB$34))/2)</f>
        <v>0</v>
      </c>
      <c r="AB27" s="20">
        <f>MIN(MAX(0,(SUMPRODUCT(Oxides_min!$C27:$BB27,Factors!$C$35:$BB$35)+SUMPRODUCT(Oxides_max!$C27:$BB27,Factors!$C$35:$BB$35))/2),ABS(SUMPRODUCT(Oxides_max!$C27:$BB27,Factors!$C$35:$BB$35)-SUMPRODUCT(Oxides_min!$C27:$BB27,Factors!$C$35:$BB$35))/2)</f>
        <v>0</v>
      </c>
      <c r="AC27" s="20">
        <f>MIN(MAX(0,(SUMPRODUCT(Oxides_min!$C27:$BB27,Factors!$C$36:$BB$36)+SUMPRODUCT(Oxides_max!$C27:$BB27,Factors!$C$36:$BB$36))/2),ABS(SUMPRODUCT(Oxides_max!$C27:$BB27,Factors!$C$36:$BB$36)-SUMPRODUCT(Oxides_min!$C27:$BB27,Factors!$C$36:$BB$36))/2)</f>
        <v>0</v>
      </c>
      <c r="AD27" s="20">
        <f>MIN(MAX(0,(SUMPRODUCT(Oxides_min!$C27:$BB27,Factors!$C$37:$BB$37)+SUMPRODUCT(Oxides_max!$C27:$BB27,Factors!$C$37:$BB$37))/2),ABS(SUMPRODUCT(Oxides_max!$C27:$BB27,Factors!$C$37:$BB$37)-SUMPRODUCT(Oxides_min!$C27:$BB27,Factors!$C$37:$BB$37))/2)</f>
        <v>0</v>
      </c>
      <c r="AE27" s="20">
        <f>MIN(MAX(0,(SUMPRODUCT(Oxides_min!$C27:$BB27,Factors!$C$38:$BB$38)+SUMPRODUCT(Oxides_max!$C27:$BB27,Factors!$C$38:$BB$38))/2),ABS(SUMPRODUCT(Oxides_max!$C27:$BB27,Factors!$C$38:$BB$38)-SUMPRODUCT(Oxides_min!$C27:$BB27,Factors!$C$38:$BB$38))/2)</f>
        <v>0</v>
      </c>
      <c r="AF27" s="20">
        <f>MIN(MAX(0,(SUMPRODUCT(Oxides_min!$C27:$BB27,Factors!$C$39:$BB$39)+SUMPRODUCT(Oxides_max!$C27:$BB27,Factors!$C$39:$BB$39))/2),ABS(SUMPRODUCT(Oxides_max!$C27:$BB27,Factors!$C$39:$BB$39)-SUMPRODUCT(Oxides_min!$C27:$BB27,Factors!$C$39:$BB$39))/2)</f>
        <v>0</v>
      </c>
      <c r="AG27" s="20">
        <f>MIN(MAX(0,(SUMPRODUCT(Oxides_min!$C27:$BB27,Factors!$C$40:$BB$40)+SUMPRODUCT(Oxides_max!$C27:$BB27,Factors!$C$40:$BB$40))/2),ABS(SUMPRODUCT(Oxides_max!$C27:$BB27,Factors!$C$40:$BB$40)-SUMPRODUCT(Oxides_min!$C27:$BB27,Factors!$C$40:$BB$40))/2)</f>
        <v>0</v>
      </c>
      <c r="AH27" s="20">
        <f>MIN(MAX(0,(SUMPRODUCT(Oxides_min!$C27:$BB27,Factors!$C$41:$BB$41)+SUMPRODUCT(Oxides_max!$C27:$BB27,Factors!$C$41:$BB$41))/2),ABS(SUMPRODUCT(Oxides_max!$C27:$BB27,Factors!$C$41:$BB$41)-SUMPRODUCT(Oxides_min!$C27:$BB27,Factors!$C$41:$BB$41))/2)</f>
        <v>0</v>
      </c>
      <c r="AI27" s="20">
        <f>MIN(MAX(0,(SUMPRODUCT(Oxides_min!$C27:$BB27,Factors!$C$42:$BB$42)+SUMPRODUCT(Oxides_max!$C27:$BB27,Factors!$C$42:$BB$42))/2),ABS(SUMPRODUCT(Oxides_max!$C27:$BB27,Factors!$C$42:$BB$42)-SUMPRODUCT(Oxides_min!$C27:$BB27,Factors!$C$42:$BB$42))/2)</f>
        <v>0</v>
      </c>
      <c r="AJ27" s="20">
        <f>MIN(MAX(0,(SUMPRODUCT(Oxides_min!$C27:$BB27,Factors!$C$43:$BB$43)+SUMPRODUCT(Oxides_max!$C27:$BB27,Factors!$C$43:$BB$43))/2),ABS(SUMPRODUCT(Oxides_max!$C27:$BB27,Factors!$C$43:$BB$43)-SUMPRODUCT(Oxides_min!$C27:$BB27,Factors!$C$43:$BB$43))/2)</f>
        <v>0</v>
      </c>
      <c r="AK27" s="20">
        <f>MIN(MAX(0,(SUMPRODUCT(Oxides_min!$C27:$BB27,Factors!$C$44:$BB$44)+SUMPRODUCT(Oxides_max!$C27:$BB27,Factors!$C$44:$BB$44))/2),ABS(SUMPRODUCT(Oxides_max!$C27:$BB27,Factors!$C$44:$BB$44)-SUMPRODUCT(Oxides_min!$C27:$BB27,Factors!$C$44:$BB$44))/2)</f>
        <v>0</v>
      </c>
      <c r="AL27" s="20">
        <f>MIN(MAX(0,(SUMPRODUCT(Oxides_min!$C27:$BB27,Factors!$C$45:$BB$45)+SUMPRODUCT(Oxides_max!$C27:$BB27,Factors!$C$45:$BB$45))/2),ABS(SUMPRODUCT(Oxides_max!$C27:$BB27,Factors!$C$45:$BB$45)-SUMPRODUCT(Oxides_min!$C27:$BB27,Factors!$C$45:$BB$45))/2)</f>
        <v>0</v>
      </c>
      <c r="AM27" s="20">
        <f>MIN(MAX(0,(SUMPRODUCT(Oxides_min!$C27:$BB27,Factors!$C$46:$BB$46)+SUMPRODUCT(Oxides_max!$C27:$BB27,Factors!$C$46:$BB$46))/2),ABS(SUMPRODUCT(Oxides_max!$C27:$BB27,Factors!$C$46:$BB$46)-SUMPRODUCT(Oxides_min!$C27:$BB27,Factors!$C$46:$BB$46))/2)</f>
        <v>0</v>
      </c>
      <c r="AN27" s="20">
        <f>MIN(MAX(0,(SUMPRODUCT(Oxides_min!$C27:$BB27,Factors!$C$47:$BB$47)+SUMPRODUCT(Oxides_max!$C27:$BB27,Factors!$C$47:$BB$47))/2),ABS(SUMPRODUCT(Oxides_max!$C27:$BB27,Factors!$C$47:$BB$47)-SUMPRODUCT(Oxides_min!$C27:$BB27,Factors!$C$47:$BB$47))/2)</f>
        <v>0</v>
      </c>
      <c r="AO27" s="20">
        <f>MIN(MAX(0,(SUMPRODUCT(Oxides_min!$C27:$BB27,Factors!$C$48:$BB$48)+SUMPRODUCT(Oxides_max!$C27:$BB27,Factors!$C$48:$BB$48))/2),ABS(SUMPRODUCT(Oxides_max!$C27:$BB27,Factors!$C$48:$BB$48)-SUMPRODUCT(Oxides_min!$C27:$BB27,Factors!$C$48:$BB$48))/2)</f>
        <v>0</v>
      </c>
      <c r="AP27" s="20">
        <f>MIN(MAX(0,(SUMPRODUCT(Oxides_min!$C27:$BB27,Factors!$C$49:$BB$49)+SUMPRODUCT(Oxides_max!$C27:$BB27,Factors!$C$49:$BB$49))/2),ABS(SUMPRODUCT(Oxides_max!$C27:$BB27,Factors!$C$49:$BB$49)-SUMPRODUCT(Oxides_min!$C27:$BB27,Factors!$C$49:$BB$49))/2)</f>
        <v>0</v>
      </c>
      <c r="AQ27" s="20">
        <f>MIN(MAX(0,(SUMPRODUCT(Oxides_min!$C27:$BB27,Factors!$C$50:$BB$50)+SUMPRODUCT(Oxides_max!$C27:$BB27,Factors!$C$50:$BB$50))/2),ABS(SUMPRODUCT(Oxides_max!$C27:$BB27,Factors!$C$50:$BB$50)-SUMPRODUCT(Oxides_min!$C27:$BB27,Factors!$C$50:$BB$50))/2)</f>
        <v>0</v>
      </c>
      <c r="AR27" s="20">
        <f>MIN(MAX(0,(SUMPRODUCT(Oxides_min!$C27:$BB27,Factors!$C$51:$BB$51)+SUMPRODUCT(Oxides_max!$C27:$BB27,Factors!$C$51:$BB$51))/2),ABS(SUMPRODUCT(Oxides_max!$C27:$BB27,Factors!$C$51:$BB$51)-SUMPRODUCT(Oxides_min!$C27:$BB27,Factors!$C$51:$BB$51))/2)</f>
        <v>0</v>
      </c>
      <c r="AS27" s="20">
        <f>MIN(MAX(0,(SUMPRODUCT(Oxides_min!$C27:$BB27,Factors!$C$52:$BB$52)+SUMPRODUCT(Oxides_max!$C27:$BB27,Factors!$C$52:$BB$52))/2),ABS(SUMPRODUCT(Oxides_max!$C27:$BB27,Factors!$C$52:$BB$52)-SUMPRODUCT(Oxides_min!$C27:$BB27,Factors!$C$52:$BB$52))/2)</f>
        <v>0</v>
      </c>
      <c r="AT27" s="20">
        <f>MIN(MAX(0,(SUMPRODUCT(Oxides_min!$C27:$BB27,Factors!$C$53:$BB$53)+SUMPRODUCT(Oxides_max!$C27:$BB27,Factors!$C$53:$BB$53))/2),ABS(SUMPRODUCT(Oxides_max!$C27:$BB27,Factors!$C$53:$BB$53)-SUMPRODUCT(Oxides_min!$C27:$BB27,Factors!$C$53:$BB$53))/2)</f>
        <v>0</v>
      </c>
      <c r="AU27" s="20">
        <f>MIN(MAX(0,(SUMPRODUCT(Oxides_min!$C27:$BB27,Factors!$C$54:$BB$54)+SUMPRODUCT(Oxides_max!$C27:$BB27,Factors!$C$54:$BB$54))/2),ABS(SUMPRODUCT(Oxides_max!$C27:$BB27,Factors!$C$54:$BB$54)-SUMPRODUCT(Oxides_min!$C27:$BB27,Factors!$C$54:$BB$54))/2)</f>
        <v>0</v>
      </c>
      <c r="AV27" s="20">
        <f>MIN(MAX(0,(SUMPRODUCT(Oxides_min!$C27:$BB27,Factors!$C$55:$BB$55)+SUMPRODUCT(Oxides_max!$C27:$BB27,Factors!$C$55:$BB$55))/2),ABS(SUMPRODUCT(Oxides_max!$C27:$BB27,Factors!$C$55:$BB$55)-SUMPRODUCT(Oxides_min!$C27:$BB27,Factors!$C$55:$BB$55))/2)</f>
        <v>0</v>
      </c>
      <c r="AW27" s="20">
        <f>MIN(MAX(0,(SUMPRODUCT(Oxides_min!$C27:$BB27,Factors!$C$56:$BB$56)+SUMPRODUCT(Oxides_max!$C27:$BB27,Factors!$C$56:$BB$56))/2),ABS(SUMPRODUCT(Oxides_max!$C27:$BB27,Factors!$C$56:$BB$56)-SUMPRODUCT(Oxides_min!$C27:$BB27,Factors!$C$56:$BB$56))/2)</f>
        <v>0</v>
      </c>
      <c r="AX27" s="20">
        <f>MIN(MAX(0,(SUMPRODUCT(Oxides_min!$C27:$BB27,Factors!$C$57:$BB$57)+SUMPRODUCT(Oxides_max!$C27:$BB27,Factors!$C$57:$BB$57))/2),ABS(SUMPRODUCT(Oxides_max!$C27:$BB27,Factors!$C$57:$BB$57)-SUMPRODUCT(Oxides_min!$C27:$BB27,Factors!$C$57:$BB$57))/2)</f>
        <v>0</v>
      </c>
      <c r="AY27" s="20">
        <f>MIN(MAX(0,(SUMPRODUCT(Oxides_min!$C27:$BB27,Factors!$C$58:$BB$58)+SUMPRODUCT(Oxides_max!$C27:$BB27,Factors!$C$58:$BB$58))/2),ABS(SUMPRODUCT(Oxides_max!$C27:$BB27,Factors!$C$58:$BB$58)-SUMPRODUCT(Oxides_min!$C27:$BB27,Factors!$C$58:$BB$58))/2)</f>
        <v>0</v>
      </c>
      <c r="AZ27" s="18">
        <f t="shared" ref="AZ27" si="1">SUM(B27:AY27)</f>
        <v>4.1999999999999948</v>
      </c>
    </row>
    <row r="28" spans="1:52" x14ac:dyDescent="0.35">
      <c r="A28" s="13" t="s">
        <v>331</v>
      </c>
      <c r="B28" s="20">
        <f>MIN(MAX(0,(SUMPRODUCT(Oxides_min!$C28:$BB28,Factors!$C$9:$BB$9)+SUMPRODUCT(Oxides_max!$C28:$BB28,Factors!$C$9:$BB$9))/2),ABS(SUMPRODUCT(Oxides_max!$C28:$BB28,Factors!$C$9:$BB$9)-SUMPRODUCT(Oxides_min!$C28:$BB28,Factors!$C$9:$BB$9))/2)</f>
        <v>0.17601582173811536</v>
      </c>
      <c r="C28" s="20">
        <f>MIN(MAX(0,(SUMPRODUCT(Oxides_min!$C28:$BB28,Factors!$C$10:$BB$10)+SUMPRODUCT(Oxides_max!$C28:$BB28,Factors!$C$10:$BB$10))/2),ABS(SUMPRODUCT(Oxides_max!$C28:$BB28,Factors!$C$10:$BB$10)-SUMPRODUCT(Oxides_min!$C28:$BB28,Factors!$C$10:$BB$10))/2)</f>
        <v>1.8697468501905234E-2</v>
      </c>
      <c r="D28" s="20">
        <f>MIN(MAX(0,(SUMPRODUCT(Oxides_min!$C28:$BB28,Factors!$C$11:$BB$11)+SUMPRODUCT(Oxides_max!$C28:$BB28,Factors!$C$11:$BB$11))/2),ABS(SUMPRODUCT(Oxides_max!$C28:$BB28,Factors!$C$11:$BB$11)-SUMPRODUCT(Oxides_min!$C28:$BB28,Factors!$C$11:$BB$11))/2)</f>
        <v>0</v>
      </c>
      <c r="E28" s="20">
        <f>MIN(MAX(0,(SUMPRODUCT(Oxides_min!$C28:$BB28,Factors!$C$12:$BB$12)+SUMPRODUCT(Oxides_max!$C28:$BB28,Factors!$C$12:$BB$12))/2),ABS(SUMPRODUCT(Oxides_max!$C28:$BB28,Factors!$C$12:$BB$12)-SUMPRODUCT(Oxides_min!$C28:$BB28,Factors!$C$12:$BB$12))/2)</f>
        <v>0.18508058625894463</v>
      </c>
      <c r="F28" s="20">
        <f>MIN(MAX(0,(SUMPRODUCT(Oxides_min!$C28:$BB28,Factors!$C$13:$BB$13)+SUMPRODUCT(Oxides_max!$C28:$BB28,Factors!$C$13:$BB$13))/2),ABS(SUMPRODUCT(Oxides_max!$C28:$BB28,Factors!$C$13:$BB$13)-SUMPRODUCT(Oxides_min!$C28:$BB28,Factors!$C$13:$BB$13))/2)</f>
        <v>0.48758955379879138</v>
      </c>
      <c r="G28" s="20">
        <f>MIN(MAX(0,(SUMPRODUCT(Oxides_min!$C28:$BB28,Factors!$C$14:$BB$14)+SUMPRODUCT(Oxides_max!$C28:$BB28,Factors!$C$14:$BB$14))/2),ABS(SUMPRODUCT(Oxides_max!$C28:$BB28,Factors!$C$14:$BB$14)-SUMPRODUCT(Oxides_min!$C28:$BB28,Factors!$C$14:$BB$14))/2)</f>
        <v>0</v>
      </c>
      <c r="H28" s="20">
        <f>MIN(MAX(0,(SUMPRODUCT(Oxides_min!$C28:$BB28,Factors!$C$15:$BB$15)+SUMPRODUCT(Oxides_max!$C28:$BB28,Factors!$C$15:$BB$15))/2),ABS(SUMPRODUCT(Oxides_max!$C28:$BB28,Factors!$C$15:$BB$15)-SUMPRODUCT(Oxides_min!$C28:$BB28,Factors!$C$15:$BB$15))/2)</f>
        <v>0</v>
      </c>
      <c r="I28" s="20">
        <f>MIN(MAX(0,(SUMPRODUCT(Oxides_min!$C28:$BB28,Factors!$C$16:$BB$16)+SUMPRODUCT(Oxides_max!$C28:$BB28,Factors!$C$16:$BB$16))/2),ABS(SUMPRODUCT(Oxides_max!$C28:$BB28,Factors!$C$16:$BB$16)-SUMPRODUCT(Oxides_min!$C28:$BB28,Factors!$C$16:$BB$16))/2)</f>
        <v>0</v>
      </c>
      <c r="J28" s="20">
        <f>MIN(MAX(0,(SUMPRODUCT(Oxides_min!$C28:$BB28,Factors!$C$17:$BB$17)+SUMPRODUCT(Oxides_max!$C28:$BB28,Factors!$C$17:$BB$17))/2),ABS(SUMPRODUCT(Oxides_max!$C28:$BB28,Factors!$C$17:$BB$17)-SUMPRODUCT(Oxides_min!$C28:$BB28,Factors!$C$17:$BB$17))/2)</f>
        <v>0</v>
      </c>
      <c r="K28" s="20">
        <f>MIN(MAX(0,(SUMPRODUCT(Oxides_min!$C28:$BB28,Factors!$C$18:$BB$18)+SUMPRODUCT(Oxides_max!$C28:$BB28,Factors!$C$18:$BB$18))/2),ABS(SUMPRODUCT(Oxides_max!$C28:$BB28,Factors!$C$18:$BB$18)-SUMPRODUCT(Oxides_min!$C28:$BB28,Factors!$C$18:$BB$18))/2)</f>
        <v>0</v>
      </c>
      <c r="L28" s="20">
        <f>MIN(MAX(0,(SUMPRODUCT(Oxides_min!$C28:$BB28,Factors!$C$19:$BB$19)+SUMPRODUCT(Oxides_max!$C28:$BB28,Factors!$C$19:$BB$19))/2),ABS(SUMPRODUCT(Oxides_max!$C28:$BB28,Factors!$C$19:$BB$19)-SUMPRODUCT(Oxides_min!$C28:$BB28,Factors!$C$19:$BB$19))/2)</f>
        <v>0</v>
      </c>
      <c r="M28" s="20">
        <f>MIN(MAX(0,(SUMPRODUCT(Oxides_min!$C28:$BB28,Factors!$C$20:$BB$20)+SUMPRODUCT(Oxides_max!$C28:$BB28,Factors!$C$20:$BB$20))/2),ABS(SUMPRODUCT(Oxides_max!$C28:$BB28,Factors!$C$20:$BB$20)-SUMPRODUCT(Oxides_min!$C28:$BB28,Factors!$C$20:$BB$20))/2)</f>
        <v>0</v>
      </c>
      <c r="N28" s="20">
        <f>MIN(MAX(0,(SUMPRODUCT(Oxides_min!$C28:$BB28,Factors!$C$21:$BB$21)+SUMPRODUCT(Oxides_max!$C28:$BB28,Factors!$C$21:$BB$21))/2),ABS(SUMPRODUCT(Oxides_max!$C28:$BB28,Factors!$C$21:$BB$21)-SUMPRODUCT(Oxides_min!$C28:$BB28,Factors!$C$21:$BB$21))/2)</f>
        <v>0</v>
      </c>
      <c r="O28" s="20">
        <f>MIN(MAX(0,(SUMPRODUCT(Oxides_min!$C28:$BB28,Factors!$C$22:$BB$22)+SUMPRODUCT(Oxides_max!$C28:$BB28,Factors!$C$22:$BB$22))/2),ABS(SUMPRODUCT(Oxides_max!$C28:$BB28,Factors!$C$22:$BB$22)-SUMPRODUCT(Oxides_min!$C28:$BB28,Factors!$C$22:$BB$22))/2)</f>
        <v>0</v>
      </c>
      <c r="P28" s="20">
        <f>MIN(MAX(0,(SUMPRODUCT(Oxides_min!$C28:$BB28,Factors!$C$23:$BB$23)+SUMPRODUCT(Oxides_max!$C28:$BB28,Factors!$C$23:$BB$23))/2),ABS(SUMPRODUCT(Oxides_max!$C28:$BB28,Factors!$C$23:$BB$23)-SUMPRODUCT(Oxides_min!$C28:$BB28,Factors!$C$23:$BB$23))/2)</f>
        <v>0</v>
      </c>
      <c r="Q28" s="20">
        <f>MIN(MAX(0,(SUMPRODUCT(Oxides_min!$C28:$BB28,Factors!$C$24:$BB$24)+SUMPRODUCT(Oxides_max!$C28:$BB28,Factors!$C$24:$BB$24))/2),ABS(SUMPRODUCT(Oxides_max!$C28:$BB28,Factors!$C$24:$BB$24)-SUMPRODUCT(Oxides_min!$C28:$BB28,Factors!$C$24:$BB$24))/2)</f>
        <v>0</v>
      </c>
      <c r="R28" s="20">
        <f>MIN(MAX(0,(SUMPRODUCT(Oxides_min!$C28:$BB28,Factors!$C$25:$BB$25)+SUMPRODUCT(Oxides_max!$C28:$BB28,Factors!$C$25:$BB$25))/2),ABS(SUMPRODUCT(Oxides_max!$C28:$BB28,Factors!$C$25:$BB$25)-SUMPRODUCT(Oxides_min!$C28:$BB28,Factors!$C$25:$BB$25))/2)</f>
        <v>0</v>
      </c>
      <c r="S28" s="20">
        <f>MIN(MAX(0,(SUMPRODUCT(Oxides_min!$C28:$BB28,Factors!$C$26:$BB$26)+SUMPRODUCT(Oxides_max!$C28:$BB28,Factors!$C$26:$BB$26))/2),ABS(SUMPRODUCT(Oxides_max!$C28:$BB28,Factors!$C$26:$BB$26)-SUMPRODUCT(Oxides_min!$C28:$BB28,Factors!$C$26:$BB$26))/2)</f>
        <v>0</v>
      </c>
      <c r="T28" s="20">
        <f>MIN(MAX(0,(SUMPRODUCT(Oxides_min!$C28:$BB28,Factors!$C$27:$BB$27)+SUMPRODUCT(Oxides_max!$C28:$BB28,Factors!$C$27:$BB$27))/2),ABS(SUMPRODUCT(Oxides_max!$C28:$BB28,Factors!$C$27:$BB$27)-SUMPRODUCT(Oxides_min!$C28:$BB28,Factors!$C$27:$BB$27))/2)</f>
        <v>0</v>
      </c>
      <c r="U28" s="20">
        <f>MIN(MAX(0,(SUMPRODUCT(Oxides_min!$C28:$BB28,Factors!$C$28:$BB$28)+SUMPRODUCT(Oxides_max!$C28:$BB28,Factors!$C$28:$BB$28))/2),ABS(SUMPRODUCT(Oxides_max!$C28:$BB28,Factors!$C$28:$BB$28)-SUMPRODUCT(Oxides_min!$C28:$BB28,Factors!$C$28:$BB$28))/2)</f>
        <v>0</v>
      </c>
      <c r="V28" s="20">
        <f>MIN(MAX(0,(SUMPRODUCT(Oxides_min!$C28:$BB28,Factors!$C$29:$BB$29)+SUMPRODUCT(Oxides_max!$C28:$BB28,Factors!$C$29:$BB$29))/2),ABS(SUMPRODUCT(Oxides_max!$C28:$BB28,Factors!$C$29:$BB$29)-SUMPRODUCT(Oxides_min!$C28:$BB28,Factors!$C$29:$BB$29))/2)</f>
        <v>0</v>
      </c>
      <c r="W28" s="20">
        <f>MIN(MAX(0,(SUMPRODUCT(Oxides_min!$C28:$BB28,Factors!$C$30:$BB$30)+SUMPRODUCT(Oxides_max!$C28:$BB28,Factors!$C$30:$BB$30))/2),ABS(SUMPRODUCT(Oxides_max!$C28:$BB28,Factors!$C$30:$BB$30)-SUMPRODUCT(Oxides_min!$C28:$BB28,Factors!$C$30:$BB$30))/2)</f>
        <v>0</v>
      </c>
      <c r="X28" s="20">
        <f>MIN(MAX(0,(SUMPRODUCT(Oxides_min!$C28:$BB28,Factors!$C$31:$BB$31)+SUMPRODUCT(Oxides_max!$C28:$BB28,Factors!$C$31:$BB$31))/2),ABS(SUMPRODUCT(Oxides_max!$C28:$BB28,Factors!$C$31:$BB$31)-SUMPRODUCT(Oxides_min!$C28:$BB28,Factors!$C$31:$BB$31))/2)</f>
        <v>0</v>
      </c>
      <c r="Y28" s="20">
        <f>MIN(MAX(0,(SUMPRODUCT(Oxides_min!$C28:$BB28,Factors!$C$32:$BB$32)+SUMPRODUCT(Oxides_max!$C28:$BB28,Factors!$C$32:$BB$32))/2),ABS(SUMPRODUCT(Oxides_max!$C28:$BB28,Factors!$C$32:$BB$32)-SUMPRODUCT(Oxides_min!$C28:$BB28,Factors!$C$32:$BB$32))/2)</f>
        <v>0</v>
      </c>
      <c r="Z28" s="20">
        <f>MIN(MAX(0,(SUMPRODUCT(Oxides_min!$C28:$BB28,Factors!$C$33:$BB$33)+SUMPRODUCT(Oxides_max!$C28:$BB28,Factors!$C$33:$BB$33))/2),ABS(SUMPRODUCT(Oxides_max!$C28:$BB28,Factors!$C$33:$BB$33)-SUMPRODUCT(Oxides_min!$C28:$BB28,Factors!$C$33:$BB$33))/2)</f>
        <v>0</v>
      </c>
      <c r="AA28" s="20">
        <f>MIN(MAX(0,(SUMPRODUCT(Oxides_min!$C28:$BB28,Factors!$C$34:$BB$34)+SUMPRODUCT(Oxides_max!$C28:$BB28,Factors!$C$34:$BB$34))/2),ABS(SUMPRODUCT(Oxides_max!$C28:$BB28,Factors!$C$34:$BB$34)-SUMPRODUCT(Oxides_min!$C28:$BB28,Factors!$C$34:$BB$34))/2)</f>
        <v>0</v>
      </c>
      <c r="AB28" s="20">
        <f>MIN(MAX(0,(SUMPRODUCT(Oxides_min!$C28:$BB28,Factors!$C$35:$BB$35)+SUMPRODUCT(Oxides_max!$C28:$BB28,Factors!$C$35:$BB$35))/2),ABS(SUMPRODUCT(Oxides_max!$C28:$BB28,Factors!$C$35:$BB$35)-SUMPRODUCT(Oxides_min!$C28:$BB28,Factors!$C$35:$BB$35))/2)</f>
        <v>0</v>
      </c>
      <c r="AC28" s="20">
        <f>MIN(MAX(0,(SUMPRODUCT(Oxides_min!$C28:$BB28,Factors!$C$36:$BB$36)+SUMPRODUCT(Oxides_max!$C28:$BB28,Factors!$C$36:$BB$36))/2),ABS(SUMPRODUCT(Oxides_max!$C28:$BB28,Factors!$C$36:$BB$36)-SUMPRODUCT(Oxides_min!$C28:$BB28,Factors!$C$36:$BB$36))/2)</f>
        <v>0</v>
      </c>
      <c r="AD28" s="20">
        <f>MIN(MAX(0,(SUMPRODUCT(Oxides_min!$C28:$BB28,Factors!$C$37:$BB$37)+SUMPRODUCT(Oxides_max!$C28:$BB28,Factors!$C$37:$BB$37))/2),ABS(SUMPRODUCT(Oxides_max!$C28:$BB28,Factors!$C$37:$BB$37)-SUMPRODUCT(Oxides_min!$C28:$BB28,Factors!$C$37:$BB$37))/2)</f>
        <v>0</v>
      </c>
      <c r="AE28" s="20">
        <f>MIN(MAX(0,(SUMPRODUCT(Oxides_min!$C28:$BB28,Factors!$C$38:$BB$38)+SUMPRODUCT(Oxides_max!$C28:$BB28,Factors!$C$38:$BB$38))/2),ABS(SUMPRODUCT(Oxides_max!$C28:$BB28,Factors!$C$38:$BB$38)-SUMPRODUCT(Oxides_min!$C28:$BB28,Factors!$C$38:$BB$38))/2)</f>
        <v>0</v>
      </c>
      <c r="AF28" s="20">
        <f>MIN(MAX(0,(SUMPRODUCT(Oxides_min!$C28:$BB28,Factors!$C$39:$BB$39)+SUMPRODUCT(Oxides_max!$C28:$BB28,Factors!$C$39:$BB$39))/2),ABS(SUMPRODUCT(Oxides_max!$C28:$BB28,Factors!$C$39:$BB$39)-SUMPRODUCT(Oxides_min!$C28:$BB28,Factors!$C$39:$BB$39))/2)</f>
        <v>0</v>
      </c>
      <c r="AG28" s="20">
        <f>MIN(MAX(0,(SUMPRODUCT(Oxides_min!$C28:$BB28,Factors!$C$40:$BB$40)+SUMPRODUCT(Oxides_max!$C28:$BB28,Factors!$C$40:$BB$40))/2),ABS(SUMPRODUCT(Oxides_max!$C28:$BB28,Factors!$C$40:$BB$40)-SUMPRODUCT(Oxides_min!$C28:$BB28,Factors!$C$40:$BB$40))/2)</f>
        <v>4.3940592124474074E-3</v>
      </c>
      <c r="AH28" s="20">
        <f>MIN(MAX(0,(SUMPRODUCT(Oxides_min!$C28:$BB28,Factors!$C$41:$BB$41)+SUMPRODUCT(Oxides_max!$C28:$BB28,Factors!$C$41:$BB$41))/2),ABS(SUMPRODUCT(Oxides_max!$C28:$BB28,Factors!$C$41:$BB$41)-SUMPRODUCT(Oxides_min!$C28:$BB28,Factors!$C$41:$BB$41))/2)</f>
        <v>1.3222510489787851E-2</v>
      </c>
      <c r="AI28" s="20">
        <f>MIN(MAX(0,(SUMPRODUCT(Oxides_min!$C28:$BB28,Factors!$C$42:$BB$42)+SUMPRODUCT(Oxides_max!$C28:$BB28,Factors!$C$42:$BB$42))/2),ABS(SUMPRODUCT(Oxides_max!$C28:$BB28,Factors!$C$42:$BB$42)-SUMPRODUCT(Oxides_min!$C28:$BB28,Factors!$C$42:$BB$42))/2)</f>
        <v>0</v>
      </c>
      <c r="AJ28" s="20">
        <f>MIN(MAX(0,(SUMPRODUCT(Oxides_min!$C28:$BB28,Factors!$C$43:$BB$43)+SUMPRODUCT(Oxides_max!$C28:$BB28,Factors!$C$43:$BB$43))/2),ABS(SUMPRODUCT(Oxides_max!$C28:$BB28,Factors!$C$43:$BB$43)-SUMPRODUCT(Oxides_min!$C28:$BB28,Factors!$C$43:$BB$43))/2)</f>
        <v>0</v>
      </c>
      <c r="AK28" s="20">
        <f>MIN(MAX(0,(SUMPRODUCT(Oxides_min!$C28:$BB28,Factors!$C$44:$BB$44)+SUMPRODUCT(Oxides_max!$C28:$BB28,Factors!$C$44:$BB$44))/2),ABS(SUMPRODUCT(Oxides_max!$C28:$BB28,Factors!$C$44:$BB$44)-SUMPRODUCT(Oxides_min!$C28:$BB28,Factors!$C$44:$BB$44))/2)</f>
        <v>0</v>
      </c>
      <c r="AL28" s="20">
        <f>MIN(MAX(0,(SUMPRODUCT(Oxides_min!$C28:$BB28,Factors!$C$45:$BB$45)+SUMPRODUCT(Oxides_max!$C28:$BB28,Factors!$C$45:$BB$45))/2),ABS(SUMPRODUCT(Oxides_max!$C28:$BB28,Factors!$C$45:$BB$45)-SUMPRODUCT(Oxides_min!$C28:$BB28,Factors!$C$45:$BB$45))/2)</f>
        <v>0</v>
      </c>
      <c r="AM28" s="20">
        <f>MIN(MAX(0,(SUMPRODUCT(Oxides_min!$C28:$BB28,Factors!$C$46:$BB$46)+SUMPRODUCT(Oxides_max!$C28:$BB28,Factors!$C$46:$BB$46))/2),ABS(SUMPRODUCT(Oxides_max!$C28:$BB28,Factors!$C$46:$BB$46)-SUMPRODUCT(Oxides_min!$C28:$BB28,Factors!$C$46:$BB$46))/2)</f>
        <v>0</v>
      </c>
      <c r="AN28" s="20">
        <f>MIN(MAX(0,(SUMPRODUCT(Oxides_min!$C28:$BB28,Factors!$C$47:$BB$47)+SUMPRODUCT(Oxides_max!$C28:$BB28,Factors!$C$47:$BB$47))/2),ABS(SUMPRODUCT(Oxides_max!$C28:$BB28,Factors!$C$47:$BB$47)-SUMPRODUCT(Oxides_min!$C28:$BB28,Factors!$C$47:$BB$47))/2)</f>
        <v>0</v>
      </c>
      <c r="AO28" s="20">
        <f>MIN(MAX(0,(SUMPRODUCT(Oxides_min!$C28:$BB28,Factors!$C$48:$BB$48)+SUMPRODUCT(Oxides_max!$C28:$BB28,Factors!$C$48:$BB$48))/2),ABS(SUMPRODUCT(Oxides_max!$C28:$BB28,Factors!$C$48:$BB$48)-SUMPRODUCT(Oxides_min!$C28:$BB28,Factors!$C$48:$BB$48))/2)</f>
        <v>0</v>
      </c>
      <c r="AP28" s="20">
        <f>MIN(MAX(0,(SUMPRODUCT(Oxides_min!$C28:$BB28,Factors!$C$49:$BB$49)+SUMPRODUCT(Oxides_max!$C28:$BB28,Factors!$C$49:$BB$49))/2),ABS(SUMPRODUCT(Oxides_max!$C28:$BB28,Factors!$C$49:$BB$49)-SUMPRODUCT(Oxides_min!$C28:$BB28,Factors!$C$49:$BB$49))/2)</f>
        <v>0</v>
      </c>
      <c r="AQ28" s="20">
        <f>MIN(MAX(0,(SUMPRODUCT(Oxides_min!$C28:$BB28,Factors!$C$50:$BB$50)+SUMPRODUCT(Oxides_max!$C28:$BB28,Factors!$C$50:$BB$50))/2),ABS(SUMPRODUCT(Oxides_max!$C28:$BB28,Factors!$C$50:$BB$50)-SUMPRODUCT(Oxides_min!$C28:$BB28,Factors!$C$50:$BB$50))/2)</f>
        <v>0</v>
      </c>
      <c r="AR28" s="20">
        <f>MIN(MAX(0,(SUMPRODUCT(Oxides_min!$C28:$BB28,Factors!$C$51:$BB$51)+SUMPRODUCT(Oxides_max!$C28:$BB28,Factors!$C$51:$BB$51))/2),ABS(SUMPRODUCT(Oxides_max!$C28:$BB28,Factors!$C$51:$BB$51)-SUMPRODUCT(Oxides_min!$C28:$BB28,Factors!$C$51:$BB$51))/2)</f>
        <v>0</v>
      </c>
      <c r="AS28" s="20">
        <f>MIN(MAX(0,(SUMPRODUCT(Oxides_min!$C28:$BB28,Factors!$C$52:$BB$52)+SUMPRODUCT(Oxides_max!$C28:$BB28,Factors!$C$52:$BB$52))/2),ABS(SUMPRODUCT(Oxides_max!$C28:$BB28,Factors!$C$52:$BB$52)-SUMPRODUCT(Oxides_min!$C28:$BB28,Factors!$C$52:$BB$52))/2)</f>
        <v>0</v>
      </c>
      <c r="AT28" s="20">
        <f>MIN(MAX(0,(SUMPRODUCT(Oxides_min!$C28:$BB28,Factors!$C$53:$BB$53)+SUMPRODUCT(Oxides_max!$C28:$BB28,Factors!$C$53:$BB$53))/2),ABS(SUMPRODUCT(Oxides_max!$C28:$BB28,Factors!$C$53:$BB$53)-SUMPRODUCT(Oxides_min!$C28:$BB28,Factors!$C$53:$BB$53))/2)</f>
        <v>0</v>
      </c>
      <c r="AU28" s="20">
        <f>MIN(MAX(0,(SUMPRODUCT(Oxides_min!$C28:$BB28,Factors!$C$54:$BB$54)+SUMPRODUCT(Oxides_max!$C28:$BB28,Factors!$C$54:$BB$54))/2),ABS(SUMPRODUCT(Oxides_max!$C28:$BB28,Factors!$C$54:$BB$54)-SUMPRODUCT(Oxides_min!$C28:$BB28,Factors!$C$54:$BB$54))/2)</f>
        <v>0</v>
      </c>
      <c r="AV28" s="20">
        <f>MIN(MAX(0,(SUMPRODUCT(Oxides_min!$C28:$BB28,Factors!$C$55:$BB$55)+SUMPRODUCT(Oxides_max!$C28:$BB28,Factors!$C$55:$BB$55))/2),ABS(SUMPRODUCT(Oxides_max!$C28:$BB28,Factors!$C$55:$BB$55)-SUMPRODUCT(Oxides_min!$C28:$BB28,Factors!$C$55:$BB$55))/2)</f>
        <v>0</v>
      </c>
      <c r="AW28" s="20">
        <f>MIN(MAX(0,(SUMPRODUCT(Oxides_min!$C28:$BB28,Factors!$C$56:$BB$56)+SUMPRODUCT(Oxides_max!$C28:$BB28,Factors!$C$56:$BB$56))/2),ABS(SUMPRODUCT(Oxides_max!$C28:$BB28,Factors!$C$56:$BB$56)-SUMPRODUCT(Oxides_min!$C28:$BB28,Factors!$C$56:$BB$56))/2)</f>
        <v>0</v>
      </c>
      <c r="AX28" s="20">
        <f>MIN(MAX(0,(SUMPRODUCT(Oxides_min!$C28:$BB28,Factors!$C$57:$BB$57)+SUMPRODUCT(Oxides_max!$C28:$BB28,Factors!$C$57:$BB$57))/2),ABS(SUMPRODUCT(Oxides_max!$C28:$BB28,Factors!$C$57:$BB$57)-SUMPRODUCT(Oxides_min!$C28:$BB28,Factors!$C$57:$BB$57))/2)</f>
        <v>0</v>
      </c>
      <c r="AY28" s="20">
        <f>MIN(MAX(0,(SUMPRODUCT(Oxides_min!$C28:$BB28,Factors!$C$58:$BB$58)+SUMPRODUCT(Oxides_max!$C28:$BB28,Factors!$C$58:$BB$58))/2),ABS(SUMPRODUCT(Oxides_max!$C28:$BB28,Factors!$C$58:$BB$58)-SUMPRODUCT(Oxides_min!$C28:$BB28,Factors!$C$58:$BB$58))/2)</f>
        <v>0</v>
      </c>
      <c r="AZ28" s="18">
        <f t="shared" ref="AZ28:AZ44" si="2">SUM(B28:AY28)</f>
        <v>0.88499999999999179</v>
      </c>
    </row>
    <row r="29" spans="1:52" x14ac:dyDescent="0.35">
      <c r="A29" s="13" t="s">
        <v>333</v>
      </c>
      <c r="B29" s="20">
        <f>MIN(MAX(0,(SUMPRODUCT(Oxides_min!$C29:$BB29,Factors!$C$9:$BB$9)+SUMPRODUCT(Oxides_max!$C29:$BB29,Factors!$C$9:$BB$9))/2),ABS(SUMPRODUCT(Oxides_max!$C29:$BB29,Factors!$C$9:$BB$9)-SUMPRODUCT(Oxides_min!$C29:$BB29,Factors!$C$9:$BB$9))/2)</f>
        <v>0.54751689294564088</v>
      </c>
      <c r="C29" s="20">
        <f>MIN(MAX(0,(SUMPRODUCT(Oxides_min!$C29:$BB29,Factors!$C$10:$BB$10)+SUMPRODUCT(Oxides_max!$C29:$BB29,Factors!$C$10:$BB$10))/2),ABS(SUMPRODUCT(Oxides_max!$C29:$BB29,Factors!$C$10:$BB$10)-SUMPRODUCT(Oxides_min!$C29:$BB29,Factors!$C$10:$BB$10))/2)</f>
        <v>0.14256819732703008</v>
      </c>
      <c r="D29" s="20">
        <f>MIN(MAX(0,(SUMPRODUCT(Oxides_min!$C29:$BB29,Factors!$C$11:$BB$11)+SUMPRODUCT(Oxides_max!$C29:$BB29,Factors!$C$11:$BB$11))/2),ABS(SUMPRODUCT(Oxides_max!$C29:$BB29,Factors!$C$11:$BB$11)-SUMPRODUCT(Oxides_min!$C29:$BB29,Factors!$C$11:$BB$11))/2)</f>
        <v>0</v>
      </c>
      <c r="E29" s="20">
        <f>MIN(MAX(0,(SUMPRODUCT(Oxides_min!$C29:$BB29,Factors!$C$12:$BB$12)+SUMPRODUCT(Oxides_max!$C29:$BB29,Factors!$C$12:$BB$12))/2),ABS(SUMPRODUCT(Oxides_max!$C29:$BB29,Factors!$C$12:$BB$12)-SUMPRODUCT(Oxides_min!$C29:$BB29,Factors!$C$12:$BB$12))/2)</f>
        <v>0</v>
      </c>
      <c r="F29" s="20">
        <f>MIN(MAX(0,(SUMPRODUCT(Oxides_min!$C29:$BB29,Factors!$C$13:$BB$13)+SUMPRODUCT(Oxides_max!$C29:$BB29,Factors!$C$13:$BB$13))/2),ABS(SUMPRODUCT(Oxides_max!$C29:$BB29,Factors!$C$13:$BB$13)-SUMPRODUCT(Oxides_min!$C29:$BB29,Factors!$C$13:$BB$13))/2)</f>
        <v>0</v>
      </c>
      <c r="G29" s="20">
        <f>MIN(MAX(0,(SUMPRODUCT(Oxides_min!$C29:$BB29,Factors!$C$14:$BB$14)+SUMPRODUCT(Oxides_max!$C29:$BB29,Factors!$C$14:$BB$14))/2),ABS(SUMPRODUCT(Oxides_max!$C29:$BB29,Factors!$C$14:$BB$14)-SUMPRODUCT(Oxides_min!$C29:$BB29,Factors!$C$14:$BB$14))/2)</f>
        <v>0</v>
      </c>
      <c r="H29" s="20">
        <f>MIN(MAX(0,(SUMPRODUCT(Oxides_min!$C29:$BB29,Factors!$C$15:$BB$15)+SUMPRODUCT(Oxides_max!$C29:$BB29,Factors!$C$15:$BB$15))/2),ABS(SUMPRODUCT(Oxides_max!$C29:$BB29,Factors!$C$15:$BB$15)-SUMPRODUCT(Oxides_min!$C29:$BB29,Factors!$C$15:$BB$15))/2)</f>
        <v>7.6742254372758723E-2</v>
      </c>
      <c r="I29" s="20">
        <f>MIN(MAX(0,(SUMPRODUCT(Oxides_min!$C29:$BB29,Factors!$C$16:$BB$16)+SUMPRODUCT(Oxides_max!$C29:$BB29,Factors!$C$16:$BB$16))/2),ABS(SUMPRODUCT(Oxides_max!$C29:$BB29,Factors!$C$16:$BB$16)-SUMPRODUCT(Oxides_min!$C29:$BB29,Factors!$C$16:$BB$16))/2)</f>
        <v>0</v>
      </c>
      <c r="J29" s="20">
        <f>MIN(MAX(0,(SUMPRODUCT(Oxides_min!$C29:$BB29,Factors!$C$17:$BB$17)+SUMPRODUCT(Oxides_max!$C29:$BB29,Factors!$C$17:$BB$17))/2),ABS(SUMPRODUCT(Oxides_max!$C29:$BB29,Factors!$C$17:$BB$17)-SUMPRODUCT(Oxides_min!$C29:$BB29,Factors!$C$17:$BB$17))/2)</f>
        <v>0</v>
      </c>
      <c r="K29" s="20">
        <f>MIN(MAX(0,(SUMPRODUCT(Oxides_min!$C29:$BB29,Factors!$C$18:$BB$18)+SUMPRODUCT(Oxides_max!$C29:$BB29,Factors!$C$18:$BB$18))/2),ABS(SUMPRODUCT(Oxides_max!$C29:$BB29,Factors!$C$18:$BB$18)-SUMPRODUCT(Oxides_min!$C29:$BB29,Factors!$C$18:$BB$18))/2)</f>
        <v>0</v>
      </c>
      <c r="L29" s="20">
        <f>MIN(MAX(0,(SUMPRODUCT(Oxides_min!$C29:$BB29,Factors!$C$19:$BB$19)+SUMPRODUCT(Oxides_max!$C29:$BB29,Factors!$C$19:$BB$19))/2),ABS(SUMPRODUCT(Oxides_max!$C29:$BB29,Factors!$C$19:$BB$19)-SUMPRODUCT(Oxides_min!$C29:$BB29,Factors!$C$19:$BB$19))/2)</f>
        <v>0</v>
      </c>
      <c r="M29" s="20">
        <f>MIN(MAX(0,(SUMPRODUCT(Oxides_min!$C29:$BB29,Factors!$C$20:$BB$20)+SUMPRODUCT(Oxides_max!$C29:$BB29,Factors!$C$20:$BB$20))/2),ABS(SUMPRODUCT(Oxides_max!$C29:$BB29,Factors!$C$20:$BB$20)-SUMPRODUCT(Oxides_min!$C29:$BB29,Factors!$C$20:$BB$20))/2)</f>
        <v>3.0152094084954346E-2</v>
      </c>
      <c r="N29" s="20">
        <f>MIN(MAX(0,(SUMPRODUCT(Oxides_min!$C29:$BB29,Factors!$C$21:$BB$21)+SUMPRODUCT(Oxides_max!$C29:$BB29,Factors!$C$21:$BB$21))/2),ABS(SUMPRODUCT(Oxides_max!$C29:$BB29,Factors!$C$21:$BB$21)-SUMPRODUCT(Oxides_min!$C29:$BB29,Factors!$C$21:$BB$21))/2)</f>
        <v>0</v>
      </c>
      <c r="O29" s="20">
        <f>MIN(MAX(0,(SUMPRODUCT(Oxides_min!$C29:$BB29,Factors!$C$22:$BB$22)+SUMPRODUCT(Oxides_max!$C29:$BB29,Factors!$C$22:$BB$22))/2),ABS(SUMPRODUCT(Oxides_max!$C29:$BB29,Factors!$C$22:$BB$22)-SUMPRODUCT(Oxides_min!$C29:$BB29,Factors!$C$22:$BB$22))/2)</f>
        <v>0</v>
      </c>
      <c r="P29" s="20">
        <f>MIN(MAX(0,(SUMPRODUCT(Oxides_min!$C29:$BB29,Factors!$C$23:$BB$23)+SUMPRODUCT(Oxides_max!$C29:$BB29,Factors!$C$23:$BB$23))/2),ABS(SUMPRODUCT(Oxides_max!$C29:$BB29,Factors!$C$23:$BB$23)-SUMPRODUCT(Oxides_min!$C29:$BB29,Factors!$C$23:$BB$23))/2)</f>
        <v>0</v>
      </c>
      <c r="Q29" s="20">
        <f>MIN(MAX(0,(SUMPRODUCT(Oxides_min!$C29:$BB29,Factors!$C$24:$BB$24)+SUMPRODUCT(Oxides_max!$C29:$BB29,Factors!$C$24:$BB$24))/2),ABS(SUMPRODUCT(Oxides_max!$C29:$BB29,Factors!$C$24:$BB$24)-SUMPRODUCT(Oxides_min!$C29:$BB29,Factors!$C$24:$BB$24))/2)</f>
        <v>0</v>
      </c>
      <c r="R29" s="20">
        <f>MIN(MAX(0,(SUMPRODUCT(Oxides_min!$C29:$BB29,Factors!$C$25:$BB$25)+SUMPRODUCT(Oxides_max!$C29:$BB29,Factors!$C$25:$BB$25))/2),ABS(SUMPRODUCT(Oxides_max!$C29:$BB29,Factors!$C$25:$BB$25)-SUMPRODUCT(Oxides_min!$C29:$BB29,Factors!$C$25:$BB$25))/2)</f>
        <v>0.23739592254109451</v>
      </c>
      <c r="S29" s="20">
        <f>MIN(MAX(0,(SUMPRODUCT(Oxides_min!$C29:$BB29,Factors!$C$26:$BB$26)+SUMPRODUCT(Oxides_max!$C29:$BB29,Factors!$C$26:$BB$26))/2),ABS(SUMPRODUCT(Oxides_max!$C29:$BB29,Factors!$C$26:$BB$26)-SUMPRODUCT(Oxides_min!$C29:$BB29,Factors!$C$26:$BB$26))/2)</f>
        <v>0.72223163290005044</v>
      </c>
      <c r="T29" s="20">
        <v>0.05</v>
      </c>
      <c r="U29" s="20">
        <f>MIN(MAX(0,(SUMPRODUCT(Oxides_min!$C29:$BB29,Factors!$C$28:$BB$28)+SUMPRODUCT(Oxides_max!$C29:$BB29,Factors!$C$28:$BB$28))/2),ABS(SUMPRODUCT(Oxides_max!$C29:$BB29,Factors!$C$28:$BB$28)-SUMPRODUCT(Oxides_min!$C29:$BB29,Factors!$C$28:$BB$28))/2)</f>
        <v>0</v>
      </c>
      <c r="V29" s="20">
        <f>MIN(MAX(0,(SUMPRODUCT(Oxides_min!$C29:$BB29,Factors!$C$29:$BB$29)+SUMPRODUCT(Oxides_max!$C29:$BB29,Factors!$C$29:$BB$29))/2),ABS(SUMPRODUCT(Oxides_max!$C29:$BB29,Factors!$C$29:$BB$29)-SUMPRODUCT(Oxides_min!$C29:$BB29,Factors!$C$29:$BB$29))/2)</f>
        <v>0</v>
      </c>
      <c r="W29" s="20">
        <f>MIN(MAX(0,(SUMPRODUCT(Oxides_min!$C29:$BB29,Factors!$C$30:$BB$30)+SUMPRODUCT(Oxides_max!$C29:$BB29,Factors!$C$30:$BB$30))/2),ABS(SUMPRODUCT(Oxides_max!$C29:$BB29,Factors!$C$30:$BB$30)-SUMPRODUCT(Oxides_min!$C29:$BB29,Factors!$C$30:$BB$30))/2)</f>
        <v>0</v>
      </c>
      <c r="X29" s="20">
        <f>MIN(MAX(0,(SUMPRODUCT(Oxides_min!$C29:$BB29,Factors!$C$31:$BB$31)+SUMPRODUCT(Oxides_max!$C29:$BB29,Factors!$C$31:$BB$31))/2),ABS(SUMPRODUCT(Oxides_max!$C29:$BB29,Factors!$C$31:$BB$31)-SUMPRODUCT(Oxides_min!$C29:$BB29,Factors!$C$31:$BB$31))/2)</f>
        <v>0</v>
      </c>
      <c r="Y29" s="20">
        <f>MIN(MAX(0,(SUMPRODUCT(Oxides_min!$C29:$BB29,Factors!$C$32:$BB$32)+SUMPRODUCT(Oxides_max!$C29:$BB29,Factors!$C$32:$BB$32))/2),ABS(SUMPRODUCT(Oxides_max!$C29:$BB29,Factors!$C$32:$BB$32)-SUMPRODUCT(Oxides_min!$C29:$BB29,Factors!$C$32:$BB$32))/2)</f>
        <v>0</v>
      </c>
      <c r="Z29" s="20">
        <f>MIN(MAX(0,(SUMPRODUCT(Oxides_min!$C29:$BB29,Factors!$C$33:$BB$33)+SUMPRODUCT(Oxides_max!$C29:$BB29,Factors!$C$33:$BB$33))/2),ABS(SUMPRODUCT(Oxides_max!$C29:$BB29,Factors!$C$33:$BB$33)-SUMPRODUCT(Oxides_min!$C29:$BB29,Factors!$C$33:$BB$33))/2)</f>
        <v>0</v>
      </c>
      <c r="AA29" s="20">
        <f>MIN(MAX(0,(SUMPRODUCT(Oxides_min!$C29:$BB29,Factors!$C$34:$BB$34)+SUMPRODUCT(Oxides_max!$C29:$BB29,Factors!$C$34:$BB$34))/2),ABS(SUMPRODUCT(Oxides_max!$C29:$BB29,Factors!$C$34:$BB$34)-SUMPRODUCT(Oxides_min!$C29:$BB29,Factors!$C$34:$BB$34))/2)</f>
        <v>0</v>
      </c>
      <c r="AB29" s="20">
        <f>MIN(MAX(0,(SUMPRODUCT(Oxides_min!$C29:$BB29,Factors!$C$35:$BB$35)+SUMPRODUCT(Oxides_max!$C29:$BB29,Factors!$C$35:$BB$35))/2),ABS(SUMPRODUCT(Oxides_max!$C29:$BB29,Factors!$C$35:$BB$35)-SUMPRODUCT(Oxides_min!$C29:$BB29,Factors!$C$35:$BB$35))/2)</f>
        <v>0</v>
      </c>
      <c r="AC29" s="20">
        <f>MIN(MAX(0,(SUMPRODUCT(Oxides_min!$C29:$BB29,Factors!$C$36:$BB$36)+SUMPRODUCT(Oxides_max!$C29:$BB29,Factors!$C$36:$BB$36))/2),ABS(SUMPRODUCT(Oxides_max!$C29:$BB29,Factors!$C$36:$BB$36)-SUMPRODUCT(Oxides_min!$C29:$BB29,Factors!$C$36:$BB$36))/2)</f>
        <v>0</v>
      </c>
      <c r="AD29" s="20">
        <f>MIN(MAX(0,(SUMPRODUCT(Oxides_min!$C29:$BB29,Factors!$C$37:$BB$37)+SUMPRODUCT(Oxides_max!$C29:$BB29,Factors!$C$37:$BB$37))/2),ABS(SUMPRODUCT(Oxides_max!$C29:$BB29,Factors!$C$37:$BB$37)-SUMPRODUCT(Oxides_min!$C29:$BB29,Factors!$C$37:$BB$37))/2)</f>
        <v>8.3930058284762965E-3</v>
      </c>
      <c r="AE29" s="20">
        <f>MIN(MAX(0,(SUMPRODUCT(Oxides_min!$C29:$BB29,Factors!$C$38:$BB$38)+SUMPRODUCT(Oxides_max!$C29:$BB29,Factors!$C$38:$BB$38))/2),ABS(SUMPRODUCT(Oxides_max!$C29:$BB29,Factors!$C$38:$BB$38)-SUMPRODUCT(Oxides_min!$C29:$BB29,Factors!$C$38:$BB$38))/2)</f>
        <v>0</v>
      </c>
      <c r="AF29" s="20">
        <f>MIN(MAX(0,(SUMPRODUCT(Oxides_min!$C29:$BB29,Factors!$C$39:$BB$39)+SUMPRODUCT(Oxides_max!$C29:$BB29,Factors!$C$39:$BB$39))/2),ABS(SUMPRODUCT(Oxides_max!$C29:$BB29,Factors!$C$39:$BB$39)-SUMPRODUCT(Oxides_min!$C29:$BB29,Factors!$C$39:$BB$39))/2)</f>
        <v>0</v>
      </c>
      <c r="AG29" s="20">
        <f>MIN(MAX(0,(SUMPRODUCT(Oxides_min!$C29:$BB29,Factors!$C$40:$BB$40)+SUMPRODUCT(Oxides_max!$C29:$BB29,Factors!$C$40:$BB$40))/2),ABS(SUMPRODUCT(Oxides_max!$C29:$BB29,Factors!$C$40:$BB$40)-SUMPRODUCT(Oxides_min!$C29:$BB29,Factors!$C$40:$BB$40))/2)</f>
        <v>0</v>
      </c>
      <c r="AH29" s="20">
        <f>MIN(MAX(0,(SUMPRODUCT(Oxides_min!$C29:$BB29,Factors!$C$41:$BB$41)+SUMPRODUCT(Oxides_max!$C29:$BB29,Factors!$C$41:$BB$41))/2),ABS(SUMPRODUCT(Oxides_max!$C29:$BB29,Factors!$C$41:$BB$41)-SUMPRODUCT(Oxides_min!$C29:$BB29,Factors!$C$41:$BB$41))/2)</f>
        <v>0</v>
      </c>
      <c r="AI29" s="20">
        <f>MIN(MAX(0,(SUMPRODUCT(Oxides_min!$C29:$BB29,Factors!$C$42:$BB$42)+SUMPRODUCT(Oxides_max!$C29:$BB29,Factors!$C$42:$BB$42))/2),ABS(SUMPRODUCT(Oxides_max!$C29:$BB29,Factors!$C$42:$BB$42)-SUMPRODUCT(Oxides_min!$C29:$BB29,Factors!$C$42:$BB$42))/2)</f>
        <v>0</v>
      </c>
      <c r="AJ29" s="20">
        <f>MIN(MAX(0,(SUMPRODUCT(Oxides_min!$C29:$BB29,Factors!$C$43:$BB$43)+SUMPRODUCT(Oxides_max!$C29:$BB29,Factors!$C$43:$BB$43))/2),ABS(SUMPRODUCT(Oxides_max!$C29:$BB29,Factors!$C$43:$BB$43)-SUMPRODUCT(Oxides_min!$C29:$BB29,Factors!$C$43:$BB$43))/2)</f>
        <v>0</v>
      </c>
      <c r="AK29" s="20">
        <f>MIN(MAX(0,(SUMPRODUCT(Oxides_min!$C29:$BB29,Factors!$C$44:$BB$44)+SUMPRODUCT(Oxides_max!$C29:$BB29,Factors!$C$44:$BB$44))/2),ABS(SUMPRODUCT(Oxides_max!$C29:$BB29,Factors!$C$44:$BB$44)-SUMPRODUCT(Oxides_min!$C29:$BB29,Factors!$C$44:$BB$44))/2)</f>
        <v>0</v>
      </c>
      <c r="AL29" s="20">
        <f>MIN(MAX(0,(SUMPRODUCT(Oxides_min!$C29:$BB29,Factors!$C$45:$BB$45)+SUMPRODUCT(Oxides_max!$C29:$BB29,Factors!$C$45:$BB$45))/2),ABS(SUMPRODUCT(Oxides_max!$C29:$BB29,Factors!$C$45:$BB$45)-SUMPRODUCT(Oxides_min!$C29:$BB29,Factors!$C$45:$BB$45))/2)</f>
        <v>0</v>
      </c>
      <c r="AM29" s="20">
        <f>MIN(MAX(0,(SUMPRODUCT(Oxides_min!$C29:$BB29,Factors!$C$46:$BB$46)+SUMPRODUCT(Oxides_max!$C29:$BB29,Factors!$C$46:$BB$46))/2),ABS(SUMPRODUCT(Oxides_max!$C29:$BB29,Factors!$C$46:$BB$46)-SUMPRODUCT(Oxides_min!$C29:$BB29,Factors!$C$46:$BB$46))/2)</f>
        <v>0</v>
      </c>
      <c r="AN29" s="20">
        <f>MIN(MAX(0,(SUMPRODUCT(Oxides_min!$C29:$BB29,Factors!$C$47:$BB$47)+SUMPRODUCT(Oxides_max!$C29:$BB29,Factors!$C$47:$BB$47))/2),ABS(SUMPRODUCT(Oxides_max!$C29:$BB29,Factors!$C$47:$BB$47)-SUMPRODUCT(Oxides_min!$C29:$BB29,Factors!$C$47:$BB$47))/2)</f>
        <v>0</v>
      </c>
      <c r="AO29" s="20">
        <f>MIN(MAX(0,(SUMPRODUCT(Oxides_min!$C29:$BB29,Factors!$C$48:$BB$48)+SUMPRODUCT(Oxides_max!$C29:$BB29,Factors!$C$48:$BB$48))/2),ABS(SUMPRODUCT(Oxides_max!$C29:$BB29,Factors!$C$48:$BB$48)-SUMPRODUCT(Oxides_min!$C29:$BB29,Factors!$C$48:$BB$48))/2)</f>
        <v>0</v>
      </c>
      <c r="AP29" s="20">
        <f>MIN(MAX(0,(SUMPRODUCT(Oxides_min!$C29:$BB29,Factors!$C$49:$BB$49)+SUMPRODUCT(Oxides_max!$C29:$BB29,Factors!$C$49:$BB$49))/2),ABS(SUMPRODUCT(Oxides_max!$C29:$BB29,Factors!$C$49:$BB$49)-SUMPRODUCT(Oxides_min!$C29:$BB29,Factors!$C$49:$BB$49))/2)</f>
        <v>0</v>
      </c>
      <c r="AQ29" s="20">
        <f>MIN(MAX(0,(SUMPRODUCT(Oxides_min!$C29:$BB29,Factors!$C$50:$BB$50)+SUMPRODUCT(Oxides_max!$C29:$BB29,Factors!$C$50:$BB$50))/2),ABS(SUMPRODUCT(Oxides_max!$C29:$BB29,Factors!$C$50:$BB$50)-SUMPRODUCT(Oxides_min!$C29:$BB29,Factors!$C$50:$BB$50))/2)</f>
        <v>0</v>
      </c>
      <c r="AR29" s="20">
        <f>MIN(MAX(0,(SUMPRODUCT(Oxides_min!$C29:$BB29,Factors!$C$51:$BB$51)+SUMPRODUCT(Oxides_max!$C29:$BB29,Factors!$C$51:$BB$51))/2),ABS(SUMPRODUCT(Oxides_max!$C29:$BB29,Factors!$C$51:$BB$51)-SUMPRODUCT(Oxides_min!$C29:$BB29,Factors!$C$51:$BB$51))/2)</f>
        <v>0</v>
      </c>
      <c r="AS29" s="20">
        <f>MIN(MAX(0,(SUMPRODUCT(Oxides_min!$C29:$BB29,Factors!$C$52:$BB$52)+SUMPRODUCT(Oxides_max!$C29:$BB29,Factors!$C$52:$BB$52))/2),ABS(SUMPRODUCT(Oxides_max!$C29:$BB29,Factors!$C$52:$BB$52)-SUMPRODUCT(Oxides_min!$C29:$BB29,Factors!$C$52:$BB$52))/2)</f>
        <v>0</v>
      </c>
      <c r="AT29" s="20">
        <f>MIN(MAX(0,(SUMPRODUCT(Oxides_min!$C29:$BB29,Factors!$C$53:$BB$53)+SUMPRODUCT(Oxides_max!$C29:$BB29,Factors!$C$53:$BB$53))/2),ABS(SUMPRODUCT(Oxides_max!$C29:$BB29,Factors!$C$53:$BB$53)-SUMPRODUCT(Oxides_min!$C29:$BB29,Factors!$C$53:$BB$53))/2)</f>
        <v>0</v>
      </c>
      <c r="AU29" s="20">
        <f>MIN(MAX(0,(SUMPRODUCT(Oxides_min!$C29:$BB29,Factors!$C$54:$BB$54)+SUMPRODUCT(Oxides_max!$C29:$BB29,Factors!$C$54:$BB$54))/2),ABS(SUMPRODUCT(Oxides_max!$C29:$BB29,Factors!$C$54:$BB$54)-SUMPRODUCT(Oxides_min!$C29:$BB29,Factors!$C$54:$BB$54))/2)</f>
        <v>0</v>
      </c>
      <c r="AV29" s="20">
        <f>MIN(MAX(0,(SUMPRODUCT(Oxides_min!$C29:$BB29,Factors!$C$55:$BB$55)+SUMPRODUCT(Oxides_max!$C29:$BB29,Factors!$C$55:$BB$55))/2),ABS(SUMPRODUCT(Oxides_max!$C29:$BB29,Factors!$C$55:$BB$55)-SUMPRODUCT(Oxides_min!$C29:$BB29,Factors!$C$55:$BB$55))/2)</f>
        <v>0</v>
      </c>
      <c r="AW29" s="20">
        <f>MIN(MAX(0,(SUMPRODUCT(Oxides_min!$C29:$BB29,Factors!$C$56:$BB$56)+SUMPRODUCT(Oxides_max!$C29:$BB29,Factors!$C$56:$BB$56))/2),ABS(SUMPRODUCT(Oxides_max!$C29:$BB29,Factors!$C$56:$BB$56)-SUMPRODUCT(Oxides_min!$C29:$BB29,Factors!$C$56:$BB$56))/2)</f>
        <v>0</v>
      </c>
      <c r="AX29" s="20">
        <f>MIN(MAX(0,(SUMPRODUCT(Oxides_min!$C29:$BB29,Factors!$C$57:$BB$57)+SUMPRODUCT(Oxides_max!$C29:$BB29,Factors!$C$57:$BB$57))/2),ABS(SUMPRODUCT(Oxides_max!$C29:$BB29,Factors!$C$57:$BB$57)-SUMPRODUCT(Oxides_min!$C29:$BB29,Factors!$C$57:$BB$57))/2)</f>
        <v>0</v>
      </c>
      <c r="AY29" s="20">
        <f>MIN(MAX(0,(SUMPRODUCT(Oxides_min!$C29:$BB29,Factors!$C$58:$BB$58)+SUMPRODUCT(Oxides_max!$C29:$BB29,Factors!$C$58:$BB$58))/2),ABS(SUMPRODUCT(Oxides_max!$C29:$BB29,Factors!$C$58:$BB$58)-SUMPRODUCT(Oxides_min!$C29:$BB29,Factors!$C$58:$BB$58))/2)</f>
        <v>0</v>
      </c>
      <c r="AZ29" s="18">
        <f t="shared" si="2"/>
        <v>1.815</v>
      </c>
    </row>
    <row r="30" spans="1:52" x14ac:dyDescent="0.35">
      <c r="A30" s="13" t="s">
        <v>335</v>
      </c>
      <c r="B30" s="20">
        <f>MIN(MAX(0,(SUMPRODUCT(Oxides_min!$C30:$BB30,Factors!$C$9:$BB$9)+SUMPRODUCT(Oxides_max!$C30:$BB30,Factors!$C$9:$BB$9))/2),ABS(SUMPRODUCT(Oxides_max!$C30:$BB30,Factors!$C$9:$BB$9)-SUMPRODUCT(Oxides_min!$C30:$BB30,Factors!$C$9:$BB$9))/2)</f>
        <v>0</v>
      </c>
      <c r="C30" s="20">
        <f>MIN(MAX(0,(SUMPRODUCT(Oxides_min!$C30:$BB30,Factors!$C$10:$BB$10)+SUMPRODUCT(Oxides_max!$C30:$BB30,Factors!$C$10:$BB$10))/2),ABS(SUMPRODUCT(Oxides_max!$C30:$BB30,Factors!$C$10:$BB$10)-SUMPRODUCT(Oxides_min!$C30:$BB30,Factors!$C$10:$BB$10))/2)</f>
        <v>0</v>
      </c>
      <c r="D30" s="20">
        <f>MIN(MAX(0,(SUMPRODUCT(Oxides_min!$C30:$BB30,Factors!$C$11:$BB$11)+SUMPRODUCT(Oxides_max!$C30:$BB30,Factors!$C$11:$BB$11))/2),ABS(SUMPRODUCT(Oxides_max!$C30:$BB30,Factors!$C$11:$BB$11)-SUMPRODUCT(Oxides_min!$C30:$BB30,Factors!$C$11:$BB$11))/2)</f>
        <v>0</v>
      </c>
      <c r="E30" s="20">
        <f>MIN(MAX(0,(SUMPRODUCT(Oxides_min!$C30:$BB30,Factors!$C$12:$BB$12)+SUMPRODUCT(Oxides_max!$C30:$BB30,Factors!$C$12:$BB$12))/2),ABS(SUMPRODUCT(Oxides_max!$C30:$BB30,Factors!$C$12:$BB$12)-SUMPRODUCT(Oxides_min!$C30:$BB30,Factors!$C$12:$BB$12))/2)</f>
        <v>0</v>
      </c>
      <c r="F30" s="20">
        <f>MIN(MAX(0,(SUMPRODUCT(Oxides_min!$C30:$BB30,Factors!$C$13:$BB$13)+SUMPRODUCT(Oxides_max!$C30:$BB30,Factors!$C$13:$BB$13))/2),ABS(SUMPRODUCT(Oxides_max!$C30:$BB30,Factors!$C$13:$BB$13)-SUMPRODUCT(Oxides_min!$C30:$BB30,Factors!$C$13:$BB$13))/2)</f>
        <v>0</v>
      </c>
      <c r="G30" s="20">
        <f>MIN(MAX(0,(SUMPRODUCT(Oxides_min!$C30:$BB30,Factors!$C$14:$BB$14)+SUMPRODUCT(Oxides_max!$C30:$BB30,Factors!$C$14:$BB$14))/2),ABS(SUMPRODUCT(Oxides_max!$C30:$BB30,Factors!$C$14:$BB$14)-SUMPRODUCT(Oxides_min!$C30:$BB30,Factors!$C$14:$BB$14))/2)</f>
        <v>0</v>
      </c>
      <c r="H30" s="20">
        <f>MIN(MAX(0,(SUMPRODUCT(Oxides_min!$C30:$BB30,Factors!$C$15:$BB$15)+SUMPRODUCT(Oxides_max!$C30:$BB30,Factors!$C$15:$BB$15))/2),ABS(SUMPRODUCT(Oxides_max!$C30:$BB30,Factors!$C$15:$BB$15)-SUMPRODUCT(Oxides_min!$C30:$BB30,Factors!$C$15:$BB$15))/2)</f>
        <v>0</v>
      </c>
      <c r="I30" s="20">
        <f>MIN(MAX(0,(SUMPRODUCT(Oxides_min!$C30:$BB30,Factors!$C$16:$BB$16)+SUMPRODUCT(Oxides_max!$C30:$BB30,Factors!$C$16:$BB$16))/2),ABS(SUMPRODUCT(Oxides_max!$C30:$BB30,Factors!$C$16:$BB$16)-SUMPRODUCT(Oxides_min!$C30:$BB30,Factors!$C$16:$BB$16))/2)</f>
        <v>0</v>
      </c>
      <c r="J30" s="20">
        <f>MIN(MAX(0,(SUMPRODUCT(Oxides_min!$C30:$BB30,Factors!$C$17:$BB$17)+SUMPRODUCT(Oxides_max!$C30:$BB30,Factors!$C$17:$BB$17))/2),ABS(SUMPRODUCT(Oxides_max!$C30:$BB30,Factors!$C$17:$BB$17)-SUMPRODUCT(Oxides_min!$C30:$BB30,Factors!$C$17:$BB$17))/2)</f>
        <v>0</v>
      </c>
      <c r="K30" s="20">
        <f>MIN(MAX(0,(SUMPRODUCT(Oxides_min!$C30:$BB30,Factors!$C$18:$BB$18)+SUMPRODUCT(Oxides_max!$C30:$BB30,Factors!$C$18:$BB$18))/2),ABS(SUMPRODUCT(Oxides_max!$C30:$BB30,Factors!$C$18:$BB$18)-SUMPRODUCT(Oxides_min!$C30:$BB30,Factors!$C$18:$BB$18))/2)</f>
        <v>0</v>
      </c>
      <c r="L30" s="20">
        <f>MIN(MAX(0,(SUMPRODUCT(Oxides_min!$C30:$BB30,Factors!$C$19:$BB$19)+SUMPRODUCT(Oxides_max!$C30:$BB30,Factors!$C$19:$BB$19))/2),ABS(SUMPRODUCT(Oxides_max!$C30:$BB30,Factors!$C$19:$BB$19)-SUMPRODUCT(Oxides_min!$C30:$BB30,Factors!$C$19:$BB$19))/2)</f>
        <v>0</v>
      </c>
      <c r="M30" s="20">
        <f>MIN(MAX(0,(SUMPRODUCT(Oxides_min!$C30:$BB30,Factors!$C$20:$BB$20)+SUMPRODUCT(Oxides_max!$C30:$BB30,Factors!$C$20:$BB$20))/2),ABS(SUMPRODUCT(Oxides_max!$C30:$BB30,Factors!$C$20:$BB$20)-SUMPRODUCT(Oxides_min!$C30:$BB30,Factors!$C$20:$BB$20))/2)</f>
        <v>0</v>
      </c>
      <c r="N30" s="20">
        <f>MIN(MAX(0,(SUMPRODUCT(Oxides_min!$C30:$BB30,Factors!$C$21:$BB$21)+SUMPRODUCT(Oxides_max!$C30:$BB30,Factors!$C$21:$BB$21))/2),ABS(SUMPRODUCT(Oxides_max!$C30:$BB30,Factors!$C$21:$BB$21)-SUMPRODUCT(Oxides_min!$C30:$BB30,Factors!$C$21:$BB$21))/2)</f>
        <v>0</v>
      </c>
      <c r="O30" s="20">
        <f>MIN(MAX(0,(SUMPRODUCT(Oxides_min!$C30:$BB30,Factors!$C$22:$BB$22)+SUMPRODUCT(Oxides_max!$C30:$BB30,Factors!$C$22:$BB$22))/2),ABS(SUMPRODUCT(Oxides_max!$C30:$BB30,Factors!$C$22:$BB$22)-SUMPRODUCT(Oxides_min!$C30:$BB30,Factors!$C$22:$BB$22))/2)</f>
        <v>0</v>
      </c>
      <c r="P30" s="20">
        <f>MIN(MAX(0,(SUMPRODUCT(Oxides_min!$C30:$BB30,Factors!$C$23:$BB$23)+SUMPRODUCT(Oxides_max!$C30:$BB30,Factors!$C$23:$BB$23))/2),ABS(SUMPRODUCT(Oxides_max!$C30:$BB30,Factors!$C$23:$BB$23)-SUMPRODUCT(Oxides_min!$C30:$BB30,Factors!$C$23:$BB$23))/2)</f>
        <v>0</v>
      </c>
      <c r="Q30" s="20">
        <f>MIN(MAX(0,(SUMPRODUCT(Oxides_min!$C30:$BB30,Factors!$C$24:$BB$24)+SUMPRODUCT(Oxides_max!$C30:$BB30,Factors!$C$24:$BB$24))/2),ABS(SUMPRODUCT(Oxides_max!$C30:$BB30,Factors!$C$24:$BB$24)-SUMPRODUCT(Oxides_min!$C30:$BB30,Factors!$C$24:$BB$24))/2)</f>
        <v>0</v>
      </c>
      <c r="R30" s="20">
        <f>MIN(MAX(0,(SUMPRODUCT(Oxides_min!$C30:$BB30,Factors!$C$25:$BB$25)+SUMPRODUCT(Oxides_max!$C30:$BB30,Factors!$C$25:$BB$25))/2),ABS(SUMPRODUCT(Oxides_max!$C30:$BB30,Factors!$C$25:$BB$25)-SUMPRODUCT(Oxides_min!$C30:$BB30,Factors!$C$25:$BB$25))/2)</f>
        <v>0</v>
      </c>
      <c r="S30" s="20">
        <f>MIN(MAX(0,(SUMPRODUCT(Oxides_min!$C30:$BB30,Factors!$C$26:$BB$26)+SUMPRODUCT(Oxides_max!$C30:$BB30,Factors!$C$26:$BB$26))/2),ABS(SUMPRODUCT(Oxides_max!$C30:$BB30,Factors!$C$26:$BB$26)-SUMPRODUCT(Oxides_min!$C30:$BB30,Factors!$C$26:$BB$26))/2)</f>
        <v>0</v>
      </c>
      <c r="T30" s="20">
        <f>MIN(MAX(0,(SUMPRODUCT(Oxides_min!$C30:$BB30,Factors!$C$27:$BB$27)+SUMPRODUCT(Oxides_max!$C30:$BB30,Factors!$C$27:$BB$27))/2),ABS(SUMPRODUCT(Oxides_max!$C30:$BB30,Factors!$C$27:$BB$27)-SUMPRODUCT(Oxides_min!$C30:$BB30,Factors!$C$27:$BB$27))/2)</f>
        <v>0</v>
      </c>
      <c r="U30" s="20">
        <f>MIN(MAX(0,(SUMPRODUCT(Oxides_min!$C30:$BB30,Factors!$C$28:$BB$28)+SUMPRODUCT(Oxides_max!$C30:$BB30,Factors!$C$28:$BB$28))/2),ABS(SUMPRODUCT(Oxides_max!$C30:$BB30,Factors!$C$28:$BB$28)-SUMPRODUCT(Oxides_min!$C30:$BB30,Factors!$C$28:$BB$28))/2)</f>
        <v>0</v>
      </c>
      <c r="V30" s="20">
        <f>MIN(MAX(0,(SUMPRODUCT(Oxides_min!$C30:$BB30,Factors!$C$29:$BB$29)+SUMPRODUCT(Oxides_max!$C30:$BB30,Factors!$C$29:$BB$29))/2),ABS(SUMPRODUCT(Oxides_max!$C30:$BB30,Factors!$C$29:$BB$29)-SUMPRODUCT(Oxides_min!$C30:$BB30,Factors!$C$29:$BB$29))/2)</f>
        <v>0</v>
      </c>
      <c r="W30" s="20">
        <f>MIN(MAX(0,(SUMPRODUCT(Oxides_min!$C30:$BB30,Factors!$C$30:$BB$30)+SUMPRODUCT(Oxides_max!$C30:$BB30,Factors!$C$30:$BB$30))/2),ABS(SUMPRODUCT(Oxides_max!$C30:$BB30,Factors!$C$30:$BB$30)-SUMPRODUCT(Oxides_min!$C30:$BB30,Factors!$C$30:$BB$30))/2)</f>
        <v>0</v>
      </c>
      <c r="X30" s="20">
        <f>MIN(MAX(0,(SUMPRODUCT(Oxides_min!$C30:$BB30,Factors!$C$31:$BB$31)+SUMPRODUCT(Oxides_max!$C30:$BB30,Factors!$C$31:$BB$31))/2),ABS(SUMPRODUCT(Oxides_max!$C30:$BB30,Factors!$C$31:$BB$31)-SUMPRODUCT(Oxides_min!$C30:$BB30,Factors!$C$31:$BB$31))/2)</f>
        <v>0</v>
      </c>
      <c r="Y30" s="20">
        <f>MIN(MAX(0,(SUMPRODUCT(Oxides_min!$C30:$BB30,Factors!$C$32:$BB$32)+SUMPRODUCT(Oxides_max!$C30:$BB30,Factors!$C$32:$BB$32))/2),ABS(SUMPRODUCT(Oxides_max!$C30:$BB30,Factors!$C$32:$BB$32)-SUMPRODUCT(Oxides_min!$C30:$BB30,Factors!$C$32:$BB$32))/2)</f>
        <v>0</v>
      </c>
      <c r="Z30" s="20">
        <f>MIN(MAX(0,(SUMPRODUCT(Oxides_min!$C30:$BB30,Factors!$C$33:$BB$33)+SUMPRODUCT(Oxides_max!$C30:$BB30,Factors!$C$33:$BB$33))/2),ABS(SUMPRODUCT(Oxides_max!$C30:$BB30,Factors!$C$33:$BB$33)-SUMPRODUCT(Oxides_min!$C30:$BB30,Factors!$C$33:$BB$33))/2)</f>
        <v>0</v>
      </c>
      <c r="AA30" s="20">
        <f>MIN(MAX(0,(SUMPRODUCT(Oxides_min!$C30:$BB30,Factors!$C$34:$BB$34)+SUMPRODUCT(Oxides_max!$C30:$BB30,Factors!$C$34:$BB$34))/2),ABS(SUMPRODUCT(Oxides_max!$C30:$BB30,Factors!$C$34:$BB$34)-SUMPRODUCT(Oxides_min!$C30:$BB30,Factors!$C$34:$BB$34))/2)</f>
        <v>0</v>
      </c>
      <c r="AB30" s="20">
        <f>MIN(MAX(0,(SUMPRODUCT(Oxides_min!$C30:$BB30,Factors!$C$35:$BB$35)+SUMPRODUCT(Oxides_max!$C30:$BB30,Factors!$C$35:$BB$35))/2),ABS(SUMPRODUCT(Oxides_max!$C30:$BB30,Factors!$C$35:$BB$35)-SUMPRODUCT(Oxides_min!$C30:$BB30,Factors!$C$35:$BB$35))/2)</f>
        <v>0</v>
      </c>
      <c r="AC30" s="20">
        <f>MIN(MAX(0,(SUMPRODUCT(Oxides_min!$C30:$BB30,Factors!$C$36:$BB$36)+SUMPRODUCT(Oxides_max!$C30:$BB30,Factors!$C$36:$BB$36))/2),ABS(SUMPRODUCT(Oxides_max!$C30:$BB30,Factors!$C$36:$BB$36)-SUMPRODUCT(Oxides_min!$C30:$BB30,Factors!$C$36:$BB$36))/2)</f>
        <v>0</v>
      </c>
      <c r="AD30" s="20">
        <f>MIN(MAX(0,(SUMPRODUCT(Oxides_min!$C30:$BB30,Factors!$C$37:$BB$37)+SUMPRODUCT(Oxides_max!$C30:$BB30,Factors!$C$37:$BB$37))/2),ABS(SUMPRODUCT(Oxides_max!$C30:$BB30,Factors!$C$37:$BB$37)-SUMPRODUCT(Oxides_min!$C30:$BB30,Factors!$C$37:$BB$37))/2)</f>
        <v>0</v>
      </c>
      <c r="AE30" s="20">
        <f>MIN(MAX(0,(SUMPRODUCT(Oxides_min!$C30:$BB30,Factors!$C$38:$BB$38)+SUMPRODUCT(Oxides_max!$C30:$BB30,Factors!$C$38:$BB$38))/2),ABS(SUMPRODUCT(Oxides_max!$C30:$BB30,Factors!$C$38:$BB$38)-SUMPRODUCT(Oxides_min!$C30:$BB30,Factors!$C$38:$BB$38))/2)</f>
        <v>0</v>
      </c>
      <c r="AF30" s="20">
        <f>MIN(MAX(0,(SUMPRODUCT(Oxides_min!$C30:$BB30,Factors!$C$39:$BB$39)+SUMPRODUCT(Oxides_max!$C30:$BB30,Factors!$C$39:$BB$39))/2),ABS(SUMPRODUCT(Oxides_max!$C30:$BB30,Factors!$C$39:$BB$39)-SUMPRODUCT(Oxides_min!$C30:$BB30,Factors!$C$39:$BB$39))/2)</f>
        <v>0</v>
      </c>
      <c r="AG30" s="20">
        <f>MIN(MAX(0,(SUMPRODUCT(Oxides_min!$C30:$BB30,Factors!$C$40:$BB$40)+SUMPRODUCT(Oxides_max!$C30:$BB30,Factors!$C$40:$BB$40))/2),ABS(SUMPRODUCT(Oxides_max!$C30:$BB30,Factors!$C$40:$BB$40)-SUMPRODUCT(Oxides_min!$C30:$BB30,Factors!$C$40:$BB$40))/2)</f>
        <v>0</v>
      </c>
      <c r="AH30" s="20">
        <f>MIN(MAX(0,(SUMPRODUCT(Oxides_min!$C30:$BB30,Factors!$C$41:$BB$41)+SUMPRODUCT(Oxides_max!$C30:$BB30,Factors!$C$41:$BB$41))/2),ABS(SUMPRODUCT(Oxides_max!$C30:$BB30,Factors!$C$41:$BB$41)-SUMPRODUCT(Oxides_min!$C30:$BB30,Factors!$C$41:$BB$41))/2)</f>
        <v>0</v>
      </c>
      <c r="AI30" s="20">
        <f>MIN(MAX(0,(SUMPRODUCT(Oxides_min!$C30:$BB30,Factors!$C$42:$BB$42)+SUMPRODUCT(Oxides_max!$C30:$BB30,Factors!$C$42:$BB$42))/2),ABS(SUMPRODUCT(Oxides_max!$C30:$BB30,Factors!$C$42:$BB$42)-SUMPRODUCT(Oxides_min!$C30:$BB30,Factors!$C$42:$BB$42))/2)</f>
        <v>0</v>
      </c>
      <c r="AJ30" s="20">
        <f>MIN(MAX(0,(SUMPRODUCT(Oxides_min!$C30:$BB30,Factors!$C$43:$BB$43)+SUMPRODUCT(Oxides_max!$C30:$BB30,Factors!$C$43:$BB$43))/2),ABS(SUMPRODUCT(Oxides_max!$C30:$BB30,Factors!$C$43:$BB$43)-SUMPRODUCT(Oxides_min!$C30:$BB30,Factors!$C$43:$BB$43))/2)</f>
        <v>0</v>
      </c>
      <c r="AK30" s="20">
        <f>MIN(MAX(0,(SUMPRODUCT(Oxides_min!$C30:$BB30,Factors!$C$44:$BB$44)+SUMPRODUCT(Oxides_max!$C30:$BB30,Factors!$C$44:$BB$44))/2),ABS(SUMPRODUCT(Oxides_max!$C30:$BB30,Factors!$C$44:$BB$44)-SUMPRODUCT(Oxides_min!$C30:$BB30,Factors!$C$44:$BB$44))/2)</f>
        <v>0</v>
      </c>
      <c r="AL30" s="20">
        <f>MIN(MAX(0,(SUMPRODUCT(Oxides_min!$C30:$BB30,Factors!$C$45:$BB$45)+SUMPRODUCT(Oxides_max!$C30:$BB30,Factors!$C$45:$BB$45))/2),ABS(SUMPRODUCT(Oxides_max!$C30:$BB30,Factors!$C$45:$BB$45)-SUMPRODUCT(Oxides_min!$C30:$BB30,Factors!$C$45:$BB$45))/2)</f>
        <v>0</v>
      </c>
      <c r="AM30" s="20">
        <f>MIN(MAX(0,(SUMPRODUCT(Oxides_min!$C30:$BB30,Factors!$C$46:$BB$46)+SUMPRODUCT(Oxides_max!$C30:$BB30,Factors!$C$46:$BB$46))/2),ABS(SUMPRODUCT(Oxides_max!$C30:$BB30,Factors!$C$46:$BB$46)-SUMPRODUCT(Oxides_min!$C30:$BB30,Factors!$C$46:$BB$46))/2)</f>
        <v>0</v>
      </c>
      <c r="AN30" s="20">
        <f>MIN(MAX(0,(SUMPRODUCT(Oxides_min!$C30:$BB30,Factors!$C$47:$BB$47)+SUMPRODUCT(Oxides_max!$C30:$BB30,Factors!$C$47:$BB$47))/2),ABS(SUMPRODUCT(Oxides_max!$C30:$BB30,Factors!$C$47:$BB$47)-SUMPRODUCT(Oxides_min!$C30:$BB30,Factors!$C$47:$BB$47))/2)</f>
        <v>0</v>
      </c>
      <c r="AO30" s="20">
        <f>MIN(MAX(0,(SUMPRODUCT(Oxides_min!$C30:$BB30,Factors!$C$48:$BB$48)+SUMPRODUCT(Oxides_max!$C30:$BB30,Factors!$C$48:$BB$48))/2),ABS(SUMPRODUCT(Oxides_max!$C30:$BB30,Factors!$C$48:$BB$48)-SUMPRODUCT(Oxides_min!$C30:$BB30,Factors!$C$48:$BB$48))/2)</f>
        <v>0</v>
      </c>
      <c r="AP30" s="20">
        <f>MIN(MAX(0,(SUMPRODUCT(Oxides_min!$C30:$BB30,Factors!$C$49:$BB$49)+SUMPRODUCT(Oxides_max!$C30:$BB30,Factors!$C$49:$BB$49))/2),ABS(SUMPRODUCT(Oxides_max!$C30:$BB30,Factors!$C$49:$BB$49)-SUMPRODUCT(Oxides_min!$C30:$BB30,Factors!$C$49:$BB$49))/2)</f>
        <v>0</v>
      </c>
      <c r="AQ30" s="20">
        <f>MIN(MAX(0,(SUMPRODUCT(Oxides_min!$C30:$BB30,Factors!$C$50:$BB$50)+SUMPRODUCT(Oxides_max!$C30:$BB30,Factors!$C$50:$BB$50))/2),ABS(SUMPRODUCT(Oxides_max!$C30:$BB30,Factors!$C$50:$BB$50)-SUMPRODUCT(Oxides_min!$C30:$BB30,Factors!$C$50:$BB$50))/2)</f>
        <v>0</v>
      </c>
      <c r="AR30" s="20">
        <f>MIN(MAX(0,(SUMPRODUCT(Oxides_min!$C30:$BB30,Factors!$C$51:$BB$51)+SUMPRODUCT(Oxides_max!$C30:$BB30,Factors!$C$51:$BB$51))/2),ABS(SUMPRODUCT(Oxides_max!$C30:$BB30,Factors!$C$51:$BB$51)-SUMPRODUCT(Oxides_min!$C30:$BB30,Factors!$C$51:$BB$51))/2)</f>
        <v>0</v>
      </c>
      <c r="AS30" s="20">
        <f>MIN(MAX(0,(SUMPRODUCT(Oxides_min!$C30:$BB30,Factors!$C$52:$BB$52)+SUMPRODUCT(Oxides_max!$C30:$BB30,Factors!$C$52:$BB$52))/2),ABS(SUMPRODUCT(Oxides_max!$C30:$BB30,Factors!$C$52:$BB$52)-SUMPRODUCT(Oxides_min!$C30:$BB30,Factors!$C$52:$BB$52))/2)</f>
        <v>0</v>
      </c>
      <c r="AT30" s="20">
        <f>MIN(MAX(0,(SUMPRODUCT(Oxides_min!$C30:$BB30,Factors!$C$53:$BB$53)+SUMPRODUCT(Oxides_max!$C30:$BB30,Factors!$C$53:$BB$53))/2),ABS(SUMPRODUCT(Oxides_max!$C30:$BB30,Factors!$C$53:$BB$53)-SUMPRODUCT(Oxides_min!$C30:$BB30,Factors!$C$53:$BB$53))/2)</f>
        <v>0</v>
      </c>
      <c r="AU30" s="20">
        <f>MIN(MAX(0,(SUMPRODUCT(Oxides_min!$C30:$BB30,Factors!$C$54:$BB$54)+SUMPRODUCT(Oxides_max!$C30:$BB30,Factors!$C$54:$BB$54))/2),ABS(SUMPRODUCT(Oxides_max!$C30:$BB30,Factors!$C$54:$BB$54)-SUMPRODUCT(Oxides_min!$C30:$BB30,Factors!$C$54:$BB$54))/2)</f>
        <v>0</v>
      </c>
      <c r="AV30" s="20">
        <f>MIN(MAX(0,(SUMPRODUCT(Oxides_min!$C30:$BB30,Factors!$C$55:$BB$55)+SUMPRODUCT(Oxides_max!$C30:$BB30,Factors!$C$55:$BB$55))/2),ABS(SUMPRODUCT(Oxides_max!$C30:$BB30,Factors!$C$55:$BB$55)-SUMPRODUCT(Oxides_min!$C30:$BB30,Factors!$C$55:$BB$55))/2)</f>
        <v>0</v>
      </c>
      <c r="AW30" s="20">
        <f>MIN(MAX(0,(SUMPRODUCT(Oxides_min!$C30:$BB30,Factors!$C$56:$BB$56)+SUMPRODUCT(Oxides_max!$C30:$BB30,Factors!$C$56:$BB$56))/2),ABS(SUMPRODUCT(Oxides_max!$C30:$BB30,Factors!$C$56:$BB$56)-SUMPRODUCT(Oxides_min!$C30:$BB30,Factors!$C$56:$BB$56))/2)</f>
        <v>0</v>
      </c>
      <c r="AX30" s="20">
        <f>MIN(MAX(0,(SUMPRODUCT(Oxides_min!$C30:$BB30,Factors!$C$57:$BB$57)+SUMPRODUCT(Oxides_max!$C30:$BB30,Factors!$C$57:$BB$57))/2),ABS(SUMPRODUCT(Oxides_max!$C30:$BB30,Factors!$C$57:$BB$57)-SUMPRODUCT(Oxides_min!$C30:$BB30,Factors!$C$57:$BB$57))/2)</f>
        <v>0</v>
      </c>
      <c r="AY30" s="20">
        <f>MIN(MAX(0,(SUMPRODUCT(Oxides_min!$C30:$BB30,Factors!$C$58:$BB$58)+SUMPRODUCT(Oxides_max!$C30:$BB30,Factors!$C$58:$BB$58))/2),ABS(SUMPRODUCT(Oxides_max!$C30:$BB30,Factors!$C$58:$BB$58)-SUMPRODUCT(Oxides_min!$C30:$BB30,Factors!$C$58:$BB$58))/2)</f>
        <v>0</v>
      </c>
      <c r="AZ30" s="18">
        <f t="shared" si="2"/>
        <v>0</v>
      </c>
    </row>
    <row r="31" spans="1:52" x14ac:dyDescent="0.35">
      <c r="A31" s="13" t="s">
        <v>336</v>
      </c>
      <c r="B31" s="20">
        <f>MIN(MAX(0,(SUMPRODUCT(Oxides_min!$C31:$BB31,Factors!$C$9:$BB$9)+SUMPRODUCT(Oxides_max!$C31:$BB31,Factors!$C$9:$BB$9))/2),ABS(SUMPRODUCT(Oxides_max!$C31:$BB31,Factors!$C$9:$BB$9)-SUMPRODUCT(Oxides_min!$C31:$BB31,Factors!$C$9:$BB$9))/2)</f>
        <v>2.4788882573207509</v>
      </c>
      <c r="C31" s="20">
        <f>MIN(MAX(0,(SUMPRODUCT(Oxides_min!$C31:$BB31,Factors!$C$10:$BB$10)+SUMPRODUCT(Oxides_max!$C31:$BB31,Factors!$C$10:$BB$10))/2),ABS(SUMPRODUCT(Oxides_max!$C31:$BB31,Factors!$C$10:$BB$10)-SUMPRODUCT(Oxides_min!$C31:$BB31,Factors!$C$10:$BB$10))/2)</f>
        <v>0.15659129870346078</v>
      </c>
      <c r="D31" s="20">
        <f>MIN(MAX(0,(SUMPRODUCT(Oxides_min!$C31:$BB31,Factors!$C$11:$BB$11)+SUMPRODUCT(Oxides_max!$C31:$BB31,Factors!$C$11:$BB$11))/2),ABS(SUMPRODUCT(Oxides_max!$C31:$BB31,Factors!$C$11:$BB$11)-SUMPRODUCT(Oxides_min!$C31:$BB31,Factors!$C$11:$BB$11))/2)</f>
        <v>0.3296418956989921</v>
      </c>
      <c r="E31" s="20">
        <f>MIN(MAX(0,(SUMPRODUCT(Oxides_min!$C31:$BB31,Factors!$C$12:$BB$12)+SUMPRODUCT(Oxides_max!$C31:$BB31,Factors!$C$12:$BB$12))/2),ABS(SUMPRODUCT(Oxides_max!$C31:$BB31,Factors!$C$12:$BB$12)-SUMPRODUCT(Oxides_min!$C31:$BB31,Factors!$C$12:$BB$12))/2)</f>
        <v>0</v>
      </c>
      <c r="F31" s="20">
        <f>MIN(MAX(0,(SUMPRODUCT(Oxides_min!$C31:$BB31,Factors!$C$13:$BB$13)+SUMPRODUCT(Oxides_max!$C31:$BB31,Factors!$C$13:$BB$13))/2),ABS(SUMPRODUCT(Oxides_max!$C31:$BB31,Factors!$C$13:$BB$13)-SUMPRODUCT(Oxides_min!$C31:$BB31,Factors!$C$13:$BB$13))/2)</f>
        <v>0</v>
      </c>
      <c r="G31" s="20">
        <f>MIN(MAX(0,(SUMPRODUCT(Oxides_min!$C31:$BB31,Factors!$C$14:$BB$14)+SUMPRODUCT(Oxides_max!$C31:$BB31,Factors!$C$14:$BB$14))/2),ABS(SUMPRODUCT(Oxides_max!$C31:$BB31,Factors!$C$14:$BB$14)-SUMPRODUCT(Oxides_min!$C31:$BB31,Factors!$C$14:$BB$14))/2)</f>
        <v>0</v>
      </c>
      <c r="H31" s="20">
        <f>MIN(MAX(0,(SUMPRODUCT(Oxides_min!$C31:$BB31,Factors!$C$15:$BB$15)+SUMPRODUCT(Oxides_max!$C31:$BB31,Factors!$C$15:$BB$15))/2),ABS(SUMPRODUCT(Oxides_max!$C31:$BB31,Factors!$C$15:$BB$15)-SUMPRODUCT(Oxides_min!$C31:$BB31,Factors!$C$15:$BB$15))/2)</f>
        <v>0.5689511962118271</v>
      </c>
      <c r="I31" s="20">
        <f>MIN(MAX(0,(SUMPRODUCT(Oxides_min!$C31:$BB31,Factors!$C$16:$BB$16)+SUMPRODUCT(Oxides_max!$C31:$BB31,Factors!$C$16:$BB$16))/2),ABS(SUMPRODUCT(Oxides_max!$C31:$BB31,Factors!$C$16:$BB$16)-SUMPRODUCT(Oxides_min!$C31:$BB31,Factors!$C$16:$BB$16))/2)</f>
        <v>2.9374041702691205</v>
      </c>
      <c r="J31" s="20">
        <f>MIN(MAX(0,(SUMPRODUCT(Oxides_min!$C31:$BB31,Factors!$C$17:$BB$17)+SUMPRODUCT(Oxides_max!$C31:$BB31,Factors!$C$17:$BB$17))/2),ABS(SUMPRODUCT(Oxides_max!$C31:$BB31,Factors!$C$17:$BB$17)-SUMPRODUCT(Oxides_min!$C31:$BB31,Factors!$C$17:$BB$17))/2)</f>
        <v>0</v>
      </c>
      <c r="K31" s="20">
        <f>MIN(MAX(0,(SUMPRODUCT(Oxides_min!$C31:$BB31,Factors!$C$18:$BB$18)+SUMPRODUCT(Oxides_max!$C31:$BB31,Factors!$C$18:$BB$18))/2),ABS(SUMPRODUCT(Oxides_max!$C31:$BB31,Factors!$C$18:$BB$18)-SUMPRODUCT(Oxides_min!$C31:$BB31,Factors!$C$18:$BB$18))/2)</f>
        <v>0</v>
      </c>
      <c r="L31" s="20">
        <f>MIN(MAX(0,(SUMPRODUCT(Oxides_min!$C31:$BB31,Factors!$C$19:$BB$19)+SUMPRODUCT(Oxides_max!$C31:$BB31,Factors!$C$19:$BB$19))/2),ABS(SUMPRODUCT(Oxides_max!$C31:$BB31,Factors!$C$19:$BB$19)-SUMPRODUCT(Oxides_min!$C31:$BB31,Factors!$C$19:$BB$19))/2)</f>
        <v>0</v>
      </c>
      <c r="M31" s="20">
        <f>MIN(MAX(0,(SUMPRODUCT(Oxides_min!$C31:$BB31,Factors!$C$20:$BB$20)+SUMPRODUCT(Oxides_max!$C31:$BB31,Factors!$C$20:$BB$20))/2),ABS(SUMPRODUCT(Oxides_max!$C31:$BB31,Factors!$C$20:$BB$20)-SUMPRODUCT(Oxides_min!$C31:$BB31,Factors!$C$20:$BB$20))/2)</f>
        <v>3.0152094084954346E-2</v>
      </c>
      <c r="N31" s="20">
        <f>MIN(MAX(0,(SUMPRODUCT(Oxides_min!$C31:$BB31,Factors!$C$21:$BB$21)+SUMPRODUCT(Oxides_max!$C31:$BB31,Factors!$C$21:$BB$21))/2),ABS(SUMPRODUCT(Oxides_max!$C31:$BB31,Factors!$C$21:$BB$21)-SUMPRODUCT(Oxides_min!$C31:$BB31,Factors!$C$21:$BB$21))/2)</f>
        <v>0.44668491538420385</v>
      </c>
      <c r="O31" s="20">
        <f>MIN(MAX(0,(SUMPRODUCT(Oxides_min!$C31:$BB31,Factors!$C$22:$BB$22)+SUMPRODUCT(Oxides_max!$C31:$BB31,Factors!$C$22:$BB$22))/2),ABS(SUMPRODUCT(Oxides_max!$C31:$BB31,Factors!$C$22:$BB$22)-SUMPRODUCT(Oxides_min!$C31:$BB31,Factors!$C$22:$BB$22))/2)</f>
        <v>0</v>
      </c>
      <c r="P31" s="20">
        <f>MIN(MAX(0,(SUMPRODUCT(Oxides_min!$C31:$BB31,Factors!$C$23:$BB$23)+SUMPRODUCT(Oxides_max!$C31:$BB31,Factors!$C$23:$BB$23))/2),ABS(SUMPRODUCT(Oxides_max!$C31:$BB31,Factors!$C$23:$BB$23)-SUMPRODUCT(Oxides_min!$C31:$BB31,Factors!$C$23:$BB$23))/2)</f>
        <v>0</v>
      </c>
      <c r="Q31" s="20">
        <f>MIN(MAX(0,(SUMPRODUCT(Oxides_min!$C31:$BB31,Factors!$C$24:$BB$24)+SUMPRODUCT(Oxides_max!$C31:$BB31,Factors!$C$24:$BB$24))/2),ABS(SUMPRODUCT(Oxides_max!$C31:$BB31,Factors!$C$24:$BB$24)-SUMPRODUCT(Oxides_min!$C31:$BB31,Factors!$C$24:$BB$24))/2)</f>
        <v>0</v>
      </c>
      <c r="R31" s="20">
        <f>MIN(MAX(0,(SUMPRODUCT(Oxides_min!$C31:$BB31,Factors!$C$25:$BB$25)+SUMPRODUCT(Oxides_max!$C31:$BB31,Factors!$C$25:$BB$25))/2),ABS(SUMPRODUCT(Oxides_max!$C31:$BB31,Factors!$C$25:$BB$25)-SUMPRODUCT(Oxides_min!$C31:$BB31,Factors!$C$25:$BB$25))/2)</f>
        <v>0.27819834672784527</v>
      </c>
      <c r="S31" s="20">
        <f>MIN(MAX(0,(SUMPRODUCT(Oxides_min!$C31:$BB31,Factors!$C$26:$BB$26)+SUMPRODUCT(Oxides_max!$C31:$BB31,Factors!$C$26:$BB$26))/2),ABS(SUMPRODUCT(Oxides_max!$C31:$BB31,Factors!$C$26:$BB$26)-SUMPRODUCT(Oxides_min!$C31:$BB31,Factors!$C$26:$BB$26))/2)</f>
        <v>6.2261347663797456E-2</v>
      </c>
      <c r="T31" s="20">
        <f>MIN(MAX(0,(SUMPRODUCT(Oxides_min!$C31:$BB31,Factors!$C$27:$BB$27)+SUMPRODUCT(Oxides_max!$C31:$BB31,Factors!$C$27:$BB$27))/2),ABS(SUMPRODUCT(Oxides_max!$C31:$BB31,Factors!$C$27:$BB$27)-SUMPRODUCT(Oxides_min!$C31:$BB31,Factors!$C$27:$BB$27))/2)</f>
        <v>0</v>
      </c>
      <c r="U31" s="20">
        <f>MIN(MAX(0,(SUMPRODUCT(Oxides_min!$C31:$BB31,Factors!$C$28:$BB$28)+SUMPRODUCT(Oxides_max!$C31:$BB31,Factors!$C$28:$BB$28))/2),ABS(SUMPRODUCT(Oxides_max!$C31:$BB31,Factors!$C$28:$BB$28)-SUMPRODUCT(Oxides_min!$C31:$BB31,Factors!$C$28:$BB$28))/2)</f>
        <v>0</v>
      </c>
      <c r="V31" s="20">
        <f>MIN(MAX(0,(SUMPRODUCT(Oxides_min!$C31:$BB31,Factors!$C$29:$BB$29)+SUMPRODUCT(Oxides_max!$C31:$BB31,Factors!$C$29:$BB$29))/2),ABS(SUMPRODUCT(Oxides_max!$C31:$BB31,Factors!$C$29:$BB$29)-SUMPRODUCT(Oxides_min!$C31:$BB31,Factors!$C$29:$BB$29))/2)</f>
        <v>0</v>
      </c>
      <c r="W31" s="20">
        <f>MIN(MAX(0,(SUMPRODUCT(Oxides_min!$C31:$BB31,Factors!$C$30:$BB$30)+SUMPRODUCT(Oxides_max!$C31:$BB31,Factors!$C$30:$BB$30))/2),ABS(SUMPRODUCT(Oxides_max!$C31:$BB31,Factors!$C$30:$BB$30)-SUMPRODUCT(Oxides_min!$C31:$BB31,Factors!$C$30:$BB$30))/2)</f>
        <v>0</v>
      </c>
      <c r="X31" s="20">
        <f>MIN(MAX(0,(SUMPRODUCT(Oxides_min!$C31:$BB31,Factors!$C$31:$BB$31)+SUMPRODUCT(Oxides_max!$C31:$BB31,Factors!$C$31:$BB$31))/2),ABS(SUMPRODUCT(Oxides_max!$C31:$BB31,Factors!$C$31:$BB$31)-SUMPRODUCT(Oxides_min!$C31:$BB31,Factors!$C$31:$BB$31))/2)</f>
        <v>0</v>
      </c>
      <c r="Y31" s="20">
        <f>MIN(MAX(0,(SUMPRODUCT(Oxides_min!$C31:$BB31,Factors!$C$32:$BB$32)+SUMPRODUCT(Oxides_max!$C31:$BB31,Factors!$C$32:$BB$32))/2),ABS(SUMPRODUCT(Oxides_max!$C31:$BB31,Factors!$C$32:$BB$32)-SUMPRODUCT(Oxides_min!$C31:$BB31,Factors!$C$32:$BB$32))/2)</f>
        <v>0</v>
      </c>
      <c r="Z31" s="20">
        <f>MIN(MAX(0,(SUMPRODUCT(Oxides_min!$C31:$BB31,Factors!$C$33:$BB$33)+SUMPRODUCT(Oxides_max!$C31:$BB31,Factors!$C$33:$BB$33))/2),ABS(SUMPRODUCT(Oxides_max!$C31:$BB31,Factors!$C$33:$BB$33)-SUMPRODUCT(Oxides_min!$C31:$BB31,Factors!$C$33:$BB$33))/2)</f>
        <v>0</v>
      </c>
      <c r="AA31" s="20">
        <f>MIN(MAX(0,(SUMPRODUCT(Oxides_min!$C31:$BB31,Factors!$C$34:$BB$34)+SUMPRODUCT(Oxides_max!$C31:$BB31,Factors!$C$34:$BB$34))/2),ABS(SUMPRODUCT(Oxides_max!$C31:$BB31,Factors!$C$34:$BB$34)-SUMPRODUCT(Oxides_min!$C31:$BB31,Factors!$C$34:$BB$34))/2)</f>
        <v>0</v>
      </c>
      <c r="AB31" s="20">
        <f>MIN(MAX(0,(SUMPRODUCT(Oxides_min!$C31:$BB31,Factors!$C$35:$BB$35)+SUMPRODUCT(Oxides_max!$C31:$BB31,Factors!$C$35:$BB$35))/2),ABS(SUMPRODUCT(Oxides_max!$C31:$BB31,Factors!$C$35:$BB$35)-SUMPRODUCT(Oxides_min!$C31:$BB31,Factors!$C$35:$BB$35))/2)</f>
        <v>0</v>
      </c>
      <c r="AC31" s="20">
        <f>MIN(MAX(0,(SUMPRODUCT(Oxides_min!$C31:$BB31,Factors!$C$36:$BB$36)+SUMPRODUCT(Oxides_max!$C31:$BB31,Factors!$C$36:$BB$36))/2),ABS(SUMPRODUCT(Oxides_max!$C31:$BB31,Factors!$C$36:$BB$36)-SUMPRODUCT(Oxides_min!$C31:$BB31,Factors!$C$36:$BB$36))/2)</f>
        <v>0</v>
      </c>
      <c r="AD31" s="20">
        <f>MIN(MAX(0,(SUMPRODUCT(Oxides_min!$C31:$BB31,Factors!$C$37:$BB$37)+SUMPRODUCT(Oxides_max!$C31:$BB31,Factors!$C$37:$BB$37))/2),ABS(SUMPRODUCT(Oxides_max!$C31:$BB31,Factors!$C$37:$BB$37)-SUMPRODUCT(Oxides_min!$C31:$BB31,Factors!$C$37:$BB$37))/2)</f>
        <v>1.6226477935054121E-2</v>
      </c>
      <c r="AE31" s="20">
        <f>MIN(MAX(0,(SUMPRODUCT(Oxides_min!$C31:$BB31,Factors!$C$38:$BB$38)+SUMPRODUCT(Oxides_max!$C31:$BB31,Factors!$C$38:$BB$38))/2),ABS(SUMPRODUCT(Oxides_max!$C31:$BB31,Factors!$C$38:$BB$38)-SUMPRODUCT(Oxides_min!$C31:$BB31,Factors!$C$38:$BB$38))/2)</f>
        <v>0</v>
      </c>
      <c r="AF31" s="20">
        <f>MIN(MAX(0,(SUMPRODUCT(Oxides_min!$C31:$BB31,Factors!$C$39:$BB$39)+SUMPRODUCT(Oxides_max!$C31:$BB31,Factors!$C$39:$BB$39))/2),ABS(SUMPRODUCT(Oxides_max!$C31:$BB31,Factors!$C$39:$BB$39)-SUMPRODUCT(Oxides_min!$C31:$BB31,Factors!$C$39:$BB$39))/2)</f>
        <v>0</v>
      </c>
      <c r="AG31" s="20">
        <f>MIN(MAX(0,(SUMPRODUCT(Oxides_min!$C31:$BB31,Factors!$C$40:$BB$40)+SUMPRODUCT(Oxides_max!$C31:$BB31,Factors!$C$40:$BB$40))/2),ABS(SUMPRODUCT(Oxides_max!$C31:$BB31,Factors!$C$40:$BB$40)-SUMPRODUCT(Oxides_min!$C31:$BB31,Factors!$C$40:$BB$40))/2)</f>
        <v>0</v>
      </c>
      <c r="AH31" s="20">
        <f>MIN(MAX(0,(SUMPRODUCT(Oxides_min!$C31:$BB31,Factors!$C$41:$BB$41)+SUMPRODUCT(Oxides_max!$C31:$BB31,Factors!$C$41:$BB$41))/2),ABS(SUMPRODUCT(Oxides_max!$C31:$BB31,Factors!$C$41:$BB$41)-SUMPRODUCT(Oxides_min!$C31:$BB31,Factors!$C$41:$BB$41))/2)</f>
        <v>0</v>
      </c>
      <c r="AI31" s="20">
        <f>MIN(MAX(0,(SUMPRODUCT(Oxides_min!$C31:$BB31,Factors!$C$42:$BB$42)+SUMPRODUCT(Oxides_max!$C31:$BB31,Factors!$C$42:$BB$42))/2),ABS(SUMPRODUCT(Oxides_max!$C31:$BB31,Factors!$C$42:$BB$42)-SUMPRODUCT(Oxides_min!$C31:$BB31,Factors!$C$42:$BB$42))/2)</f>
        <v>0</v>
      </c>
      <c r="AJ31" s="20">
        <f>MIN(MAX(0,(SUMPRODUCT(Oxides_min!$C31:$BB31,Factors!$C$43:$BB$43)+SUMPRODUCT(Oxides_max!$C31:$BB31,Factors!$C$43:$BB$43))/2),ABS(SUMPRODUCT(Oxides_max!$C31:$BB31,Factors!$C$43:$BB$43)-SUMPRODUCT(Oxides_min!$C31:$BB31,Factors!$C$43:$BB$43))/2)</f>
        <v>0</v>
      </c>
      <c r="AK31" s="20">
        <f>MIN(MAX(0,(SUMPRODUCT(Oxides_min!$C31:$BB31,Factors!$C$44:$BB$44)+SUMPRODUCT(Oxides_max!$C31:$BB31,Factors!$C$44:$BB$44))/2),ABS(SUMPRODUCT(Oxides_max!$C31:$BB31,Factors!$C$44:$BB$44)-SUMPRODUCT(Oxides_min!$C31:$BB31,Factors!$C$44:$BB$44))/2)</f>
        <v>0</v>
      </c>
      <c r="AL31" s="20">
        <f>MIN(MAX(0,(SUMPRODUCT(Oxides_min!$C31:$BB31,Factors!$C$45:$BB$45)+SUMPRODUCT(Oxides_max!$C31:$BB31,Factors!$C$45:$BB$45))/2),ABS(SUMPRODUCT(Oxides_max!$C31:$BB31,Factors!$C$45:$BB$45)-SUMPRODUCT(Oxides_min!$C31:$BB31,Factors!$C$45:$BB$45))/2)</f>
        <v>0</v>
      </c>
      <c r="AM31" s="20">
        <f>MIN(MAX(0,(SUMPRODUCT(Oxides_min!$C31:$BB31,Factors!$C$46:$BB$46)+SUMPRODUCT(Oxides_max!$C31:$BB31,Factors!$C$46:$BB$46))/2),ABS(SUMPRODUCT(Oxides_max!$C31:$BB31,Factors!$C$46:$BB$46)-SUMPRODUCT(Oxides_min!$C31:$BB31,Factors!$C$46:$BB$46))/2)</f>
        <v>0</v>
      </c>
      <c r="AN31" s="20">
        <f>MIN(MAX(0,(SUMPRODUCT(Oxides_min!$C31:$BB31,Factors!$C$47:$BB$47)+SUMPRODUCT(Oxides_max!$C31:$BB31,Factors!$C$47:$BB$47))/2),ABS(SUMPRODUCT(Oxides_max!$C31:$BB31,Factors!$C$47:$BB$47)-SUMPRODUCT(Oxides_min!$C31:$BB31,Factors!$C$47:$BB$47))/2)</f>
        <v>0</v>
      </c>
      <c r="AO31" s="20">
        <f>MIN(MAX(0,(SUMPRODUCT(Oxides_min!$C31:$BB31,Factors!$C$48:$BB$48)+SUMPRODUCT(Oxides_max!$C31:$BB31,Factors!$C$48:$BB$48))/2),ABS(SUMPRODUCT(Oxides_max!$C31:$BB31,Factors!$C$48:$BB$48)-SUMPRODUCT(Oxides_min!$C31:$BB31,Factors!$C$48:$BB$48))/2)</f>
        <v>0</v>
      </c>
      <c r="AP31" s="20">
        <f>MIN(MAX(0,(SUMPRODUCT(Oxides_min!$C31:$BB31,Factors!$C$49:$BB$49)+SUMPRODUCT(Oxides_max!$C31:$BB31,Factors!$C$49:$BB$49))/2),ABS(SUMPRODUCT(Oxides_max!$C31:$BB31,Factors!$C$49:$BB$49)-SUMPRODUCT(Oxides_min!$C31:$BB31,Factors!$C$49:$BB$49))/2)</f>
        <v>0</v>
      </c>
      <c r="AQ31" s="20">
        <f>MIN(MAX(0,(SUMPRODUCT(Oxides_min!$C31:$BB31,Factors!$C$50:$BB$50)+SUMPRODUCT(Oxides_max!$C31:$BB31,Factors!$C$50:$BB$50))/2),ABS(SUMPRODUCT(Oxides_max!$C31:$BB31,Factors!$C$50:$BB$50)-SUMPRODUCT(Oxides_min!$C31:$BB31,Factors!$C$50:$BB$50))/2)</f>
        <v>0</v>
      </c>
      <c r="AR31" s="20">
        <f>MIN(MAX(0,(SUMPRODUCT(Oxides_min!$C31:$BB31,Factors!$C$51:$BB$51)+SUMPRODUCT(Oxides_max!$C31:$BB31,Factors!$C$51:$BB$51))/2),ABS(SUMPRODUCT(Oxides_max!$C31:$BB31,Factors!$C$51:$BB$51)-SUMPRODUCT(Oxides_min!$C31:$BB31,Factors!$C$51:$BB$51))/2)</f>
        <v>0</v>
      </c>
      <c r="AS31" s="20">
        <f>MIN(MAX(0,(SUMPRODUCT(Oxides_min!$C31:$BB31,Factors!$C$52:$BB$52)+SUMPRODUCT(Oxides_max!$C31:$BB31,Factors!$C$52:$BB$52))/2),ABS(SUMPRODUCT(Oxides_max!$C31:$BB31,Factors!$C$52:$BB$52)-SUMPRODUCT(Oxides_min!$C31:$BB31,Factors!$C$52:$BB$52))/2)</f>
        <v>0</v>
      </c>
      <c r="AT31" s="20">
        <f>MIN(MAX(0,(SUMPRODUCT(Oxides_min!$C31:$BB31,Factors!$C$53:$BB$53)+SUMPRODUCT(Oxides_max!$C31:$BB31,Factors!$C$53:$BB$53))/2),ABS(SUMPRODUCT(Oxides_max!$C31:$BB31,Factors!$C$53:$BB$53)-SUMPRODUCT(Oxides_min!$C31:$BB31,Factors!$C$53:$BB$53))/2)</f>
        <v>0</v>
      </c>
      <c r="AU31" s="20">
        <f>MIN(MAX(0,(SUMPRODUCT(Oxides_min!$C31:$BB31,Factors!$C$54:$BB$54)+SUMPRODUCT(Oxides_max!$C31:$BB31,Factors!$C$54:$BB$54))/2),ABS(SUMPRODUCT(Oxides_max!$C31:$BB31,Factors!$C$54:$BB$54)-SUMPRODUCT(Oxides_min!$C31:$BB31,Factors!$C$54:$BB$54))/2)</f>
        <v>0</v>
      </c>
      <c r="AV31" s="20">
        <f>MIN(MAX(0,(SUMPRODUCT(Oxides_min!$C31:$BB31,Factors!$C$55:$BB$55)+SUMPRODUCT(Oxides_max!$C31:$BB31,Factors!$C$55:$BB$55))/2),ABS(SUMPRODUCT(Oxides_max!$C31:$BB31,Factors!$C$55:$BB$55)-SUMPRODUCT(Oxides_min!$C31:$BB31,Factors!$C$55:$BB$55))/2)</f>
        <v>0</v>
      </c>
      <c r="AW31" s="20">
        <f>MIN(MAX(0,(SUMPRODUCT(Oxides_min!$C31:$BB31,Factors!$C$56:$BB$56)+SUMPRODUCT(Oxides_max!$C31:$BB31,Factors!$C$56:$BB$56))/2),ABS(SUMPRODUCT(Oxides_max!$C31:$BB31,Factors!$C$56:$BB$56)-SUMPRODUCT(Oxides_min!$C31:$BB31,Factors!$C$56:$BB$56))/2)</f>
        <v>0</v>
      </c>
      <c r="AX31" s="20">
        <f>MIN(MAX(0,(SUMPRODUCT(Oxides_min!$C31:$BB31,Factors!$C$57:$BB$57)+SUMPRODUCT(Oxides_max!$C31:$BB31,Factors!$C$57:$BB$57))/2),ABS(SUMPRODUCT(Oxides_max!$C31:$BB31,Factors!$C$57:$BB$57)-SUMPRODUCT(Oxides_min!$C31:$BB31,Factors!$C$57:$BB$57))/2)</f>
        <v>0</v>
      </c>
      <c r="AY31" s="20">
        <f>MIN(MAX(0,(SUMPRODUCT(Oxides_min!$C31:$BB31,Factors!$C$58:$BB$58)+SUMPRODUCT(Oxides_max!$C31:$BB31,Factors!$C$58:$BB$58))/2),ABS(SUMPRODUCT(Oxides_max!$C31:$BB31,Factors!$C$58:$BB$58)-SUMPRODUCT(Oxides_min!$C31:$BB31,Factors!$C$58:$BB$58))/2)</f>
        <v>0</v>
      </c>
      <c r="AZ31" s="18">
        <f t="shared" si="2"/>
        <v>7.305000000000005</v>
      </c>
    </row>
    <row r="32" spans="1:52" x14ac:dyDescent="0.35">
      <c r="A32" s="13" t="s">
        <v>338</v>
      </c>
      <c r="B32" s="20">
        <f>MIN(MAX(0,(SUMPRODUCT(Oxides_min!$C32:$BB32,Factors!$C$9:$BB$9)+SUMPRODUCT(Oxides_max!$C32:$BB32,Factors!$C$9:$BB$9))/2),ABS(SUMPRODUCT(Oxides_max!$C32:$BB32,Factors!$C$9:$BB$9)-SUMPRODUCT(Oxides_min!$C32:$BB32,Factors!$C$9:$BB$9))/2)</f>
        <v>0.65699393943888929</v>
      </c>
      <c r="C32" s="20">
        <f>MIN(MAX(0,(SUMPRODUCT(Oxides_min!$C32:$BB32,Factors!$C$10:$BB$10)+SUMPRODUCT(Oxides_max!$C32:$BB32,Factors!$C$10:$BB$10))/2),ABS(SUMPRODUCT(Oxides_max!$C32:$BB32,Factors!$C$10:$BB$10)-SUMPRODUCT(Oxides_min!$C32:$BB32,Factors!$C$10:$BB$10))/2)</f>
        <v>0</v>
      </c>
      <c r="D32" s="20">
        <f>MIN(MAX(0,(SUMPRODUCT(Oxides_min!$C32:$BB32,Factors!$C$11:$BB$11)+SUMPRODUCT(Oxides_max!$C32:$BB32,Factors!$C$11:$BB$11))/2),ABS(SUMPRODUCT(Oxides_max!$C32:$BB32,Factors!$C$11:$BB$11)-SUMPRODUCT(Oxides_min!$C32:$BB32,Factors!$C$11:$BB$11))/2)</f>
        <v>0</v>
      </c>
      <c r="E32" s="20">
        <f>MIN(MAX(0,(SUMPRODUCT(Oxides_min!$C32:$BB32,Factors!$C$12:$BB$12)+SUMPRODUCT(Oxides_max!$C32:$BB32,Factors!$C$12:$BB$12))/2),ABS(SUMPRODUCT(Oxides_max!$C32:$BB32,Factors!$C$12:$BB$12)-SUMPRODUCT(Oxides_min!$C32:$BB32,Factors!$C$12:$BB$12))/2)</f>
        <v>0</v>
      </c>
      <c r="F32" s="20">
        <f>MIN(MAX(0,(SUMPRODUCT(Oxides_min!$C32:$BB32,Factors!$C$13:$BB$13)+SUMPRODUCT(Oxides_max!$C32:$BB32,Factors!$C$13:$BB$13))/2),ABS(SUMPRODUCT(Oxides_max!$C32:$BB32,Factors!$C$13:$BB$13)-SUMPRODUCT(Oxides_min!$C32:$BB32,Factors!$C$13:$BB$13))/2)</f>
        <v>0</v>
      </c>
      <c r="G32" s="20">
        <f>MIN(MAX(0,(SUMPRODUCT(Oxides_min!$C32:$BB32,Factors!$C$14:$BB$14)+SUMPRODUCT(Oxides_max!$C32:$BB32,Factors!$C$14:$BB$14))/2),ABS(SUMPRODUCT(Oxides_max!$C32:$BB32,Factors!$C$14:$BB$14)-SUMPRODUCT(Oxides_min!$C32:$BB32,Factors!$C$14:$BB$14))/2)</f>
        <v>0</v>
      </c>
      <c r="H32" s="20">
        <f>MIN(MAX(0,(SUMPRODUCT(Oxides_min!$C32:$BB32,Factors!$C$15:$BB$15)+SUMPRODUCT(Oxides_max!$C32:$BB32,Factors!$C$15:$BB$15))/2),ABS(SUMPRODUCT(Oxides_max!$C32:$BB32,Factors!$C$15:$BB$15)-SUMPRODUCT(Oxides_min!$C32:$BB32,Factors!$C$15:$BB$15))/2)</f>
        <v>0.55307348841056658</v>
      </c>
      <c r="I32" s="20">
        <f>MIN(MAX(0,(SUMPRODUCT(Oxides_min!$C32:$BB32,Factors!$C$16:$BB$16)+SUMPRODUCT(Oxides_max!$C32:$BB32,Factors!$C$16:$BB$16))/2),ABS(SUMPRODUCT(Oxides_max!$C32:$BB32,Factors!$C$16:$BB$16)-SUMPRODUCT(Oxides_min!$C32:$BB32,Factors!$C$16:$BB$16))/2)</f>
        <v>0</v>
      </c>
      <c r="J32" s="20">
        <f>MIN(MAX(0,(SUMPRODUCT(Oxides_min!$C32:$BB32,Factors!$C$17:$BB$17)+SUMPRODUCT(Oxides_max!$C32:$BB32,Factors!$C$17:$BB$17))/2),ABS(SUMPRODUCT(Oxides_max!$C32:$BB32,Factors!$C$17:$BB$17)-SUMPRODUCT(Oxides_min!$C32:$BB32,Factors!$C$17:$BB$17))/2)</f>
        <v>0</v>
      </c>
      <c r="K32" s="20">
        <f>MIN(MAX(0,(SUMPRODUCT(Oxides_min!$C32:$BB32,Factors!$C$18:$BB$18)+SUMPRODUCT(Oxides_max!$C32:$BB32,Factors!$C$18:$BB$18))/2),ABS(SUMPRODUCT(Oxides_max!$C32:$BB32,Factors!$C$18:$BB$18)-SUMPRODUCT(Oxides_min!$C32:$BB32,Factors!$C$18:$BB$18))/2)</f>
        <v>0</v>
      </c>
      <c r="L32" s="20">
        <f>MIN(MAX(0,(SUMPRODUCT(Oxides_min!$C32:$BB32,Factors!$C$19:$BB$19)+SUMPRODUCT(Oxides_max!$C32:$BB32,Factors!$C$19:$BB$19))/2),ABS(SUMPRODUCT(Oxides_max!$C32:$BB32,Factors!$C$19:$BB$19)-SUMPRODUCT(Oxides_min!$C32:$BB32,Factors!$C$19:$BB$19))/2)</f>
        <v>0</v>
      </c>
      <c r="M32" s="20">
        <f>MIN(MAX(0,(SUMPRODUCT(Oxides_min!$C32:$BB32,Factors!$C$20:$BB$20)+SUMPRODUCT(Oxides_max!$C32:$BB32,Factors!$C$20:$BB$20))/2),ABS(SUMPRODUCT(Oxides_max!$C32:$BB32,Factors!$C$20:$BB$20)-SUMPRODUCT(Oxides_min!$C32:$BB32,Factors!$C$20:$BB$20))/2)</f>
        <v>0</v>
      </c>
      <c r="N32" s="20">
        <f>MIN(MAX(0,(SUMPRODUCT(Oxides_min!$C32:$BB32,Factors!$C$21:$BB$21)+SUMPRODUCT(Oxides_max!$C32:$BB32,Factors!$C$21:$BB$21))/2),ABS(SUMPRODUCT(Oxides_max!$C32:$BB32,Factors!$C$21:$BB$21)-SUMPRODUCT(Oxides_min!$C32:$BB32,Factors!$C$21:$BB$21))/2)</f>
        <v>0.41809708079961538</v>
      </c>
      <c r="O32" s="20">
        <f>MIN(MAX(0,(SUMPRODUCT(Oxides_min!$C32:$BB32,Factors!$C$22:$BB$22)+SUMPRODUCT(Oxides_max!$C32:$BB32,Factors!$C$22:$BB$22))/2),ABS(SUMPRODUCT(Oxides_max!$C32:$BB32,Factors!$C$22:$BB$22)-SUMPRODUCT(Oxides_min!$C32:$BB32,Factors!$C$22:$BB$22))/2)</f>
        <v>0</v>
      </c>
      <c r="P32" s="20">
        <f>MIN(MAX(0,(SUMPRODUCT(Oxides_min!$C32:$BB32,Factors!$C$23:$BB$23)+SUMPRODUCT(Oxides_max!$C32:$BB32,Factors!$C$23:$BB$23))/2),ABS(SUMPRODUCT(Oxides_max!$C32:$BB32,Factors!$C$23:$BB$23)-SUMPRODUCT(Oxides_min!$C32:$BB32,Factors!$C$23:$BB$23))/2)</f>
        <v>0</v>
      </c>
      <c r="Q32" s="20">
        <f>MIN(MAX(0,(SUMPRODUCT(Oxides_min!$C32:$BB32,Factors!$C$24:$BB$24)+SUMPRODUCT(Oxides_max!$C32:$BB32,Factors!$C$24:$BB$24))/2),ABS(SUMPRODUCT(Oxides_max!$C32:$BB32,Factors!$C$24:$BB$24)-SUMPRODUCT(Oxides_min!$C32:$BB32,Factors!$C$24:$BB$24))/2)</f>
        <v>0</v>
      </c>
      <c r="R32" s="20">
        <f>MIN(MAX(0,(SUMPRODUCT(Oxides_min!$C32:$BB32,Factors!$C$25:$BB$25)+SUMPRODUCT(Oxides_max!$C32:$BB32,Factors!$C$25:$BB$25))/2),ABS(SUMPRODUCT(Oxides_max!$C32:$BB32,Factors!$C$25:$BB$25)-SUMPRODUCT(Oxides_min!$C32:$BB32,Factors!$C$25:$BB$25))/2)</f>
        <v>4.0802424186751729E-2</v>
      </c>
      <c r="S32" s="20">
        <f>MIN(MAX(0,(SUMPRODUCT(Oxides_min!$C32:$BB32,Factors!$C$26:$BB$26)+SUMPRODUCT(Oxides_max!$C32:$BB32,Factors!$C$26:$BB$26))/2),ABS(SUMPRODUCT(Oxides_max!$C32:$BB32,Factors!$C$26:$BB$26)-SUMPRODUCT(Oxides_min!$C32:$BB32,Factors!$C$26:$BB$26))/2)</f>
        <v>0</v>
      </c>
      <c r="T32" s="20">
        <f>MIN(MAX(0,(SUMPRODUCT(Oxides_min!$C32:$BB32,Factors!$C$27:$BB$27)+SUMPRODUCT(Oxides_max!$C32:$BB32,Factors!$C$27:$BB$27))/2),ABS(SUMPRODUCT(Oxides_max!$C32:$BB32,Factors!$C$27:$BB$27)-SUMPRODUCT(Oxides_min!$C32:$BB32,Factors!$C$27:$BB$27))/2)</f>
        <v>0</v>
      </c>
      <c r="U32" s="20">
        <f>MIN(MAX(0,(SUMPRODUCT(Oxides_min!$C32:$BB32,Factors!$C$28:$BB$28)+SUMPRODUCT(Oxides_max!$C32:$BB32,Factors!$C$28:$BB$28))/2),ABS(SUMPRODUCT(Oxides_max!$C32:$BB32,Factors!$C$28:$BB$28)-SUMPRODUCT(Oxides_min!$C32:$BB32,Factors!$C$28:$BB$28))/2)</f>
        <v>0</v>
      </c>
      <c r="V32" s="20">
        <f>MIN(MAX(0,(SUMPRODUCT(Oxides_min!$C32:$BB32,Factors!$C$29:$BB$29)+SUMPRODUCT(Oxides_max!$C32:$BB32,Factors!$C$29:$BB$29))/2),ABS(SUMPRODUCT(Oxides_max!$C32:$BB32,Factors!$C$29:$BB$29)-SUMPRODUCT(Oxides_min!$C32:$BB32,Factors!$C$29:$BB$29))/2)</f>
        <v>0</v>
      </c>
      <c r="W32" s="20">
        <f>MIN(MAX(0,(SUMPRODUCT(Oxides_min!$C32:$BB32,Factors!$C$30:$BB$30)+SUMPRODUCT(Oxides_max!$C32:$BB32,Factors!$C$30:$BB$30))/2),ABS(SUMPRODUCT(Oxides_max!$C32:$BB32,Factors!$C$30:$BB$30)-SUMPRODUCT(Oxides_min!$C32:$BB32,Factors!$C$30:$BB$30))/2)</f>
        <v>0</v>
      </c>
      <c r="X32" s="20">
        <f>MIN(MAX(0,(SUMPRODUCT(Oxides_min!$C32:$BB32,Factors!$C$31:$BB$31)+SUMPRODUCT(Oxides_max!$C32:$BB32,Factors!$C$31:$BB$31))/2),ABS(SUMPRODUCT(Oxides_max!$C32:$BB32,Factors!$C$31:$BB$31)-SUMPRODUCT(Oxides_min!$C32:$BB32,Factors!$C$31:$BB$31))/2)</f>
        <v>0</v>
      </c>
      <c r="Y32" s="20">
        <f>MIN(MAX(0,(SUMPRODUCT(Oxides_min!$C32:$BB32,Factors!$C$32:$BB$32)+SUMPRODUCT(Oxides_max!$C32:$BB32,Factors!$C$32:$BB$32))/2),ABS(SUMPRODUCT(Oxides_max!$C32:$BB32,Factors!$C$32:$BB$32)-SUMPRODUCT(Oxides_min!$C32:$BB32,Factors!$C$32:$BB$32))/2)</f>
        <v>0</v>
      </c>
      <c r="Z32" s="20">
        <f>MIN(MAX(0,(SUMPRODUCT(Oxides_min!$C32:$BB32,Factors!$C$33:$BB$33)+SUMPRODUCT(Oxides_max!$C32:$BB32,Factors!$C$33:$BB$33))/2),ABS(SUMPRODUCT(Oxides_max!$C32:$BB32,Factors!$C$33:$BB$33)-SUMPRODUCT(Oxides_min!$C32:$BB32,Factors!$C$33:$BB$33))/2)</f>
        <v>0</v>
      </c>
      <c r="AA32" s="20">
        <f>MIN(MAX(0,(SUMPRODUCT(Oxides_min!$C32:$BB32,Factors!$C$34:$BB$34)+SUMPRODUCT(Oxides_max!$C32:$BB32,Factors!$C$34:$BB$34))/2),ABS(SUMPRODUCT(Oxides_max!$C32:$BB32,Factors!$C$34:$BB$34)-SUMPRODUCT(Oxides_min!$C32:$BB32,Factors!$C$34:$BB$34))/2)</f>
        <v>0</v>
      </c>
      <c r="AB32" s="20">
        <f>MIN(MAX(0,(SUMPRODUCT(Oxides_min!$C32:$BB32,Factors!$C$35:$BB$35)+SUMPRODUCT(Oxides_max!$C32:$BB32,Factors!$C$35:$BB$35))/2),ABS(SUMPRODUCT(Oxides_max!$C32:$BB32,Factors!$C$35:$BB$35)-SUMPRODUCT(Oxides_min!$C32:$BB32,Factors!$C$35:$BB$35))/2)</f>
        <v>0</v>
      </c>
      <c r="AC32" s="20">
        <f>MIN(MAX(0,(SUMPRODUCT(Oxides_min!$C32:$BB32,Factors!$C$36:$BB$36)+SUMPRODUCT(Oxides_max!$C32:$BB32,Factors!$C$36:$BB$36))/2),ABS(SUMPRODUCT(Oxides_max!$C32:$BB32,Factors!$C$36:$BB$36)-SUMPRODUCT(Oxides_min!$C32:$BB32,Factors!$C$36:$BB$36))/2)</f>
        <v>0</v>
      </c>
      <c r="AD32" s="20">
        <f>MIN(MAX(0,(SUMPRODUCT(Oxides_min!$C32:$BB32,Factors!$C$37:$BB$37)+SUMPRODUCT(Oxides_max!$C32:$BB32,Factors!$C$37:$BB$37))/2),ABS(SUMPRODUCT(Oxides_max!$C32:$BB32,Factors!$C$37:$BB$37)-SUMPRODUCT(Oxides_min!$C32:$BB32,Factors!$C$37:$BB$37))/2)</f>
        <v>1.7345545378850968E-2</v>
      </c>
      <c r="AE32" s="20">
        <f>MIN(MAX(0,(SUMPRODUCT(Oxides_min!$C32:$BB32,Factors!$C$38:$BB$38)+SUMPRODUCT(Oxides_max!$C32:$BB32,Factors!$C$38:$BB$38))/2),ABS(SUMPRODUCT(Oxides_max!$C32:$BB32,Factors!$C$38:$BB$38)-SUMPRODUCT(Oxides_min!$C32:$BB32,Factors!$C$38:$BB$38))/2)</f>
        <v>0.36500000000000199</v>
      </c>
      <c r="AF32" s="20">
        <f>MIN(MAX(0,(SUMPRODUCT(Oxides_min!$C32:$BB32,Factors!$C$39:$BB$39)+SUMPRODUCT(Oxides_max!$C32:$BB32,Factors!$C$39:$BB$39))/2),ABS(SUMPRODUCT(Oxides_max!$C32:$BB32,Factors!$C$39:$BB$39)-SUMPRODUCT(Oxides_min!$C32:$BB32,Factors!$C$39:$BB$39))/2)</f>
        <v>0</v>
      </c>
      <c r="AG32" s="20">
        <f>MIN(MAX(0,(SUMPRODUCT(Oxides_min!$C32:$BB32,Factors!$C$40:$BB$40)+SUMPRODUCT(Oxides_max!$C32:$BB32,Factors!$C$40:$BB$40))/2),ABS(SUMPRODUCT(Oxides_max!$C32:$BB32,Factors!$C$40:$BB$40)-SUMPRODUCT(Oxides_min!$C32:$BB32,Factors!$C$40:$BB$40))/2)</f>
        <v>0</v>
      </c>
      <c r="AH32" s="20">
        <f>MIN(MAX(0,(SUMPRODUCT(Oxides_min!$C32:$BB32,Factors!$C$41:$BB$41)+SUMPRODUCT(Oxides_max!$C32:$BB32,Factors!$C$41:$BB$41))/2),ABS(SUMPRODUCT(Oxides_max!$C32:$BB32,Factors!$C$41:$BB$41)-SUMPRODUCT(Oxides_min!$C32:$BB32,Factors!$C$41:$BB$41))/2)</f>
        <v>0</v>
      </c>
      <c r="AI32" s="20">
        <f>MIN(MAX(0,(SUMPRODUCT(Oxides_min!$C32:$BB32,Factors!$C$42:$BB$42)+SUMPRODUCT(Oxides_max!$C32:$BB32,Factors!$C$42:$BB$42))/2),ABS(SUMPRODUCT(Oxides_max!$C32:$BB32,Factors!$C$42:$BB$42)-SUMPRODUCT(Oxides_min!$C32:$BB32,Factors!$C$42:$BB$42))/2)</f>
        <v>0</v>
      </c>
      <c r="AJ32" s="20">
        <f>MIN(MAX(0,(SUMPRODUCT(Oxides_min!$C32:$BB32,Factors!$C$43:$BB$43)+SUMPRODUCT(Oxides_max!$C32:$BB32,Factors!$C$43:$BB$43))/2),ABS(SUMPRODUCT(Oxides_max!$C32:$BB32,Factors!$C$43:$BB$43)-SUMPRODUCT(Oxides_min!$C32:$BB32,Factors!$C$43:$BB$43))/2)</f>
        <v>0</v>
      </c>
      <c r="AK32" s="20">
        <f>MIN(MAX(0,(SUMPRODUCT(Oxides_min!$C32:$BB32,Factors!$C$44:$BB$44)+SUMPRODUCT(Oxides_max!$C32:$BB32,Factors!$C$44:$BB$44))/2),ABS(SUMPRODUCT(Oxides_max!$C32:$BB32,Factors!$C$44:$BB$44)-SUMPRODUCT(Oxides_min!$C32:$BB32,Factors!$C$44:$BB$44))/2)</f>
        <v>0</v>
      </c>
      <c r="AL32" s="20">
        <f>MIN(MAX(0,(SUMPRODUCT(Oxides_min!$C32:$BB32,Factors!$C$45:$BB$45)+SUMPRODUCT(Oxides_max!$C32:$BB32,Factors!$C$45:$BB$45))/2),ABS(SUMPRODUCT(Oxides_max!$C32:$BB32,Factors!$C$45:$BB$45)-SUMPRODUCT(Oxides_min!$C32:$BB32,Factors!$C$45:$BB$45))/2)</f>
        <v>0</v>
      </c>
      <c r="AM32" s="20">
        <f>MIN(MAX(0,(SUMPRODUCT(Oxides_min!$C32:$BB32,Factors!$C$46:$BB$46)+SUMPRODUCT(Oxides_max!$C32:$BB32,Factors!$C$46:$BB$46))/2),ABS(SUMPRODUCT(Oxides_max!$C32:$BB32,Factors!$C$46:$BB$46)-SUMPRODUCT(Oxides_min!$C32:$BB32,Factors!$C$46:$BB$46))/2)</f>
        <v>0</v>
      </c>
      <c r="AN32" s="20">
        <f>MIN(MAX(0,(SUMPRODUCT(Oxides_min!$C32:$BB32,Factors!$C$47:$BB$47)+SUMPRODUCT(Oxides_max!$C32:$BB32,Factors!$C$47:$BB$47))/2),ABS(SUMPRODUCT(Oxides_max!$C32:$BB32,Factors!$C$47:$BB$47)-SUMPRODUCT(Oxides_min!$C32:$BB32,Factors!$C$47:$BB$47))/2)</f>
        <v>0</v>
      </c>
      <c r="AO32" s="20">
        <f>MIN(MAX(0,(SUMPRODUCT(Oxides_min!$C32:$BB32,Factors!$C$48:$BB$48)+SUMPRODUCT(Oxides_max!$C32:$BB32,Factors!$C$48:$BB$48))/2),ABS(SUMPRODUCT(Oxides_max!$C32:$BB32,Factors!$C$48:$BB$48)-SUMPRODUCT(Oxides_min!$C32:$BB32,Factors!$C$48:$BB$48))/2)</f>
        <v>0</v>
      </c>
      <c r="AP32" s="20">
        <f>MIN(MAX(0,(SUMPRODUCT(Oxides_min!$C32:$BB32,Factors!$C$49:$BB$49)+SUMPRODUCT(Oxides_max!$C32:$BB32,Factors!$C$49:$BB$49))/2),ABS(SUMPRODUCT(Oxides_max!$C32:$BB32,Factors!$C$49:$BB$49)-SUMPRODUCT(Oxides_min!$C32:$BB32,Factors!$C$49:$BB$49))/2)</f>
        <v>0</v>
      </c>
      <c r="AQ32" s="20">
        <f>MIN(MAX(0,(SUMPRODUCT(Oxides_min!$C32:$BB32,Factors!$C$50:$BB$50)+SUMPRODUCT(Oxides_max!$C32:$BB32,Factors!$C$50:$BB$50))/2),ABS(SUMPRODUCT(Oxides_max!$C32:$BB32,Factors!$C$50:$BB$50)-SUMPRODUCT(Oxides_min!$C32:$BB32,Factors!$C$50:$BB$50))/2)</f>
        <v>0</v>
      </c>
      <c r="AR32" s="20">
        <f>MIN(MAX(0,(SUMPRODUCT(Oxides_min!$C32:$BB32,Factors!$C$51:$BB$51)+SUMPRODUCT(Oxides_max!$C32:$BB32,Factors!$C$51:$BB$51))/2),ABS(SUMPRODUCT(Oxides_max!$C32:$BB32,Factors!$C$51:$BB$51)-SUMPRODUCT(Oxides_min!$C32:$BB32,Factors!$C$51:$BB$51))/2)</f>
        <v>0</v>
      </c>
      <c r="AS32" s="20">
        <f>MIN(MAX(0,(SUMPRODUCT(Oxides_min!$C32:$BB32,Factors!$C$52:$BB$52)+SUMPRODUCT(Oxides_max!$C32:$BB32,Factors!$C$52:$BB$52))/2),ABS(SUMPRODUCT(Oxides_max!$C32:$BB32,Factors!$C$52:$BB$52)-SUMPRODUCT(Oxides_min!$C32:$BB32,Factors!$C$52:$BB$52))/2)</f>
        <v>0</v>
      </c>
      <c r="AT32" s="20">
        <f>MIN(MAX(0,(SUMPRODUCT(Oxides_min!$C32:$BB32,Factors!$C$53:$BB$53)+SUMPRODUCT(Oxides_max!$C32:$BB32,Factors!$C$53:$BB$53))/2),ABS(SUMPRODUCT(Oxides_max!$C32:$BB32,Factors!$C$53:$BB$53)-SUMPRODUCT(Oxides_min!$C32:$BB32,Factors!$C$53:$BB$53))/2)</f>
        <v>0</v>
      </c>
      <c r="AU32" s="20">
        <f>MIN(MAX(0,(SUMPRODUCT(Oxides_min!$C32:$BB32,Factors!$C$54:$BB$54)+SUMPRODUCT(Oxides_max!$C32:$BB32,Factors!$C$54:$BB$54))/2),ABS(SUMPRODUCT(Oxides_max!$C32:$BB32,Factors!$C$54:$BB$54)-SUMPRODUCT(Oxides_min!$C32:$BB32,Factors!$C$54:$BB$54))/2)</f>
        <v>0</v>
      </c>
      <c r="AV32" s="20">
        <f>MIN(MAX(0,(SUMPRODUCT(Oxides_min!$C32:$BB32,Factors!$C$55:$BB$55)+SUMPRODUCT(Oxides_max!$C32:$BB32,Factors!$C$55:$BB$55))/2),ABS(SUMPRODUCT(Oxides_max!$C32:$BB32,Factors!$C$55:$BB$55)-SUMPRODUCT(Oxides_min!$C32:$BB32,Factors!$C$55:$BB$55))/2)</f>
        <v>0</v>
      </c>
      <c r="AW32" s="20">
        <f>MIN(MAX(0,(SUMPRODUCT(Oxides_min!$C32:$BB32,Factors!$C$56:$BB$56)+SUMPRODUCT(Oxides_max!$C32:$BB32,Factors!$C$56:$BB$56))/2),ABS(SUMPRODUCT(Oxides_max!$C32:$BB32,Factors!$C$56:$BB$56)-SUMPRODUCT(Oxides_min!$C32:$BB32,Factors!$C$56:$BB$56))/2)</f>
        <v>0</v>
      </c>
      <c r="AX32" s="20">
        <f>MIN(MAX(0,(SUMPRODUCT(Oxides_min!$C32:$BB32,Factors!$C$57:$BB$57)+SUMPRODUCT(Oxides_max!$C32:$BB32,Factors!$C$57:$BB$57))/2),ABS(SUMPRODUCT(Oxides_max!$C32:$BB32,Factors!$C$57:$BB$57)-SUMPRODUCT(Oxides_min!$C32:$BB32,Factors!$C$57:$BB$57))/2)</f>
        <v>0</v>
      </c>
      <c r="AY32" s="20">
        <f>MIN(MAX(0,(SUMPRODUCT(Oxides_min!$C32:$BB32,Factors!$C$58:$BB$58)+SUMPRODUCT(Oxides_max!$C32:$BB32,Factors!$C$58:$BB$58))/2),ABS(SUMPRODUCT(Oxides_max!$C32:$BB32,Factors!$C$58:$BB$58)-SUMPRODUCT(Oxides_min!$C32:$BB32,Factors!$C$58:$BB$58))/2)</f>
        <v>0</v>
      </c>
      <c r="AZ32" s="18">
        <f t="shared" si="2"/>
        <v>2.0513124782146761</v>
      </c>
    </row>
    <row r="33" spans="1:52" x14ac:dyDescent="0.35">
      <c r="A33" s="13" t="s">
        <v>340</v>
      </c>
      <c r="B33" s="20">
        <f>MIN(MAX(0,(SUMPRODUCT(Oxides_min!$C33:$BB33,Factors!$C$9:$BB$9)+SUMPRODUCT(Oxides_max!$C33:$BB33,Factors!$C$9:$BB$9))/2),ABS(SUMPRODUCT(Oxides_max!$C33:$BB33,Factors!$C$9:$BB$9)-SUMPRODUCT(Oxides_min!$C33:$BB33,Factors!$C$9:$BB$9))/2)</f>
        <v>0.52223017261287552</v>
      </c>
      <c r="C33" s="20">
        <f>MIN(MAX(0,(SUMPRODUCT(Oxides_min!$C33:$BB33,Factors!$C$10:$BB$10)+SUMPRODUCT(Oxides_max!$C33:$BB33,Factors!$C$10:$BB$10))/2),ABS(SUMPRODUCT(Oxides_max!$C33:$BB33,Factors!$C$10:$BB$10)-SUMPRODUCT(Oxides_min!$C33:$BB33,Factors!$C$10:$BB$10))/2)</f>
        <v>0.14724256445250639</v>
      </c>
      <c r="D33" s="20">
        <f>MIN(MAX(0,(SUMPRODUCT(Oxides_min!$C33:$BB33,Factors!$C$11:$BB$11)+SUMPRODUCT(Oxides_max!$C33:$BB33,Factors!$C$11:$BB$11))/2),ABS(SUMPRODUCT(Oxides_max!$C33:$BB33,Factors!$C$11:$BB$11)-SUMPRODUCT(Oxides_min!$C33:$BB33,Factors!$C$11:$BB$11))/2)</f>
        <v>0</v>
      </c>
      <c r="E33" s="20">
        <f>MIN(MAX(0,(SUMPRODUCT(Oxides_min!$C33:$BB33,Factors!$C$12:$BB$12)+SUMPRODUCT(Oxides_max!$C33:$BB33,Factors!$C$12:$BB$12))/2),ABS(SUMPRODUCT(Oxides_max!$C33:$BB33,Factors!$C$12:$BB$12)-SUMPRODUCT(Oxides_min!$C33:$BB33,Factors!$C$12:$BB$12))/2)</f>
        <v>0</v>
      </c>
      <c r="F33" s="20">
        <f>MIN(MAX(0,(SUMPRODUCT(Oxides_min!$C33:$BB33,Factors!$C$13:$BB$13)+SUMPRODUCT(Oxides_max!$C33:$BB33,Factors!$C$13:$BB$13))/2),ABS(SUMPRODUCT(Oxides_max!$C33:$BB33,Factors!$C$13:$BB$13)-SUMPRODUCT(Oxides_min!$C33:$BB33,Factors!$C$13:$BB$13))/2)</f>
        <v>0</v>
      </c>
      <c r="G33" s="20">
        <f>MIN(MAX(0,(SUMPRODUCT(Oxides_min!$C33:$BB33,Factors!$C$14:$BB$14)+SUMPRODUCT(Oxides_max!$C33:$BB33,Factors!$C$14:$BB$14))/2),ABS(SUMPRODUCT(Oxides_max!$C33:$BB33,Factors!$C$14:$BB$14)-SUMPRODUCT(Oxides_min!$C33:$BB33,Factors!$C$14:$BB$14))/2)</f>
        <v>0</v>
      </c>
      <c r="H33" s="20">
        <f>MIN(MAX(0,(SUMPRODUCT(Oxides_min!$C33:$BB33,Factors!$C$15:$BB$15)+SUMPRODUCT(Oxides_max!$C33:$BB33,Factors!$C$15:$BB$15))/2),ABS(SUMPRODUCT(Oxides_max!$C33:$BB33,Factors!$C$15:$BB$15)-SUMPRODUCT(Oxides_min!$C33:$BB33,Factors!$C$15:$BB$15))/2)</f>
        <v>3.4401700236063704E-2</v>
      </c>
      <c r="I33" s="20">
        <f>MIN(MAX(0,(SUMPRODUCT(Oxides_min!$C33:$BB33,Factors!$C$16:$BB$16)+SUMPRODUCT(Oxides_max!$C33:$BB33,Factors!$C$16:$BB$16))/2),ABS(SUMPRODUCT(Oxides_max!$C33:$BB33,Factors!$C$16:$BB$16)-SUMPRODUCT(Oxides_min!$C33:$BB33,Factors!$C$16:$BB$16))/2)</f>
        <v>0</v>
      </c>
      <c r="J33" s="20">
        <f>MIN(MAX(0,(SUMPRODUCT(Oxides_min!$C33:$BB33,Factors!$C$17:$BB$17)+SUMPRODUCT(Oxides_max!$C33:$BB33,Factors!$C$17:$BB$17))/2),ABS(SUMPRODUCT(Oxides_max!$C33:$BB33,Factors!$C$17:$BB$17)-SUMPRODUCT(Oxides_min!$C33:$BB33,Factors!$C$17:$BB$17))/2)</f>
        <v>0</v>
      </c>
      <c r="K33" s="20">
        <f>MIN(MAX(0,(SUMPRODUCT(Oxides_min!$C33:$BB33,Factors!$C$18:$BB$18)+SUMPRODUCT(Oxides_max!$C33:$BB33,Factors!$C$18:$BB$18))/2),ABS(SUMPRODUCT(Oxides_max!$C33:$BB33,Factors!$C$18:$BB$18)-SUMPRODUCT(Oxides_min!$C33:$BB33,Factors!$C$18:$BB$18))/2)</f>
        <v>0</v>
      </c>
      <c r="L33" s="20">
        <f>MIN(MAX(0,(SUMPRODUCT(Oxides_min!$C33:$BB33,Factors!$C$19:$BB$19)+SUMPRODUCT(Oxides_max!$C33:$BB33,Factors!$C$19:$BB$19))/2),ABS(SUMPRODUCT(Oxides_max!$C33:$BB33,Factors!$C$19:$BB$19)-SUMPRODUCT(Oxides_min!$C33:$BB33,Factors!$C$19:$BB$19))/2)</f>
        <v>0</v>
      </c>
      <c r="M33" s="20">
        <f>MIN(MAX(0,(SUMPRODUCT(Oxides_min!$C33:$BB33,Factors!$C$20:$BB$20)+SUMPRODUCT(Oxides_max!$C33:$BB33,Factors!$C$20:$BB$20))/2),ABS(SUMPRODUCT(Oxides_max!$C33:$BB33,Factors!$C$20:$BB$20)-SUMPRODUCT(Oxides_min!$C33:$BB33,Factors!$C$20:$BB$20))/2)</f>
        <v>0</v>
      </c>
      <c r="N33" s="20">
        <f>MIN(MAX(0,(SUMPRODUCT(Oxides_min!$C33:$BB33,Factors!$C$21:$BB$21)+SUMPRODUCT(Oxides_max!$C33:$BB33,Factors!$C$21:$BB$21))/2),ABS(SUMPRODUCT(Oxides_max!$C33:$BB33,Factors!$C$21:$BB$21)-SUMPRODUCT(Oxides_min!$C33:$BB33,Factors!$C$21:$BB$21))/2)</f>
        <v>0</v>
      </c>
      <c r="O33" s="20">
        <f>MIN(MAX(0,(SUMPRODUCT(Oxides_min!$C33:$BB33,Factors!$C$22:$BB$22)+SUMPRODUCT(Oxides_max!$C33:$BB33,Factors!$C$22:$BB$22))/2),ABS(SUMPRODUCT(Oxides_max!$C33:$BB33,Factors!$C$22:$BB$22)-SUMPRODUCT(Oxides_min!$C33:$BB33,Factors!$C$22:$BB$22))/2)</f>
        <v>0</v>
      </c>
      <c r="P33" s="20">
        <f>MIN(MAX(0,(SUMPRODUCT(Oxides_min!$C33:$BB33,Factors!$C$23:$BB$23)+SUMPRODUCT(Oxides_max!$C33:$BB33,Factors!$C$23:$BB$23))/2),ABS(SUMPRODUCT(Oxides_max!$C33:$BB33,Factors!$C$23:$BB$23)-SUMPRODUCT(Oxides_min!$C33:$BB33,Factors!$C$23:$BB$23))/2)</f>
        <v>8.956537051772042E-3</v>
      </c>
      <c r="Q33" s="20">
        <f>MIN(MAX(0,(SUMPRODUCT(Oxides_min!$C33:$BB33,Factors!$C$24:$BB$24)+SUMPRODUCT(Oxides_max!$C33:$BB33,Factors!$C$24:$BB$24))/2),ABS(SUMPRODUCT(Oxides_max!$C33:$BB33,Factors!$C$24:$BB$24)-SUMPRODUCT(Oxides_min!$C33:$BB33,Factors!$C$24:$BB$24))/2)</f>
        <v>0</v>
      </c>
      <c r="R33" s="20">
        <f>MIN(MAX(0,(SUMPRODUCT(Oxides_min!$C33:$BB33,Factors!$C$25:$BB$25)+SUMPRODUCT(Oxides_max!$C33:$BB33,Factors!$C$25:$BB$25))/2),ABS(SUMPRODUCT(Oxides_max!$C33:$BB33,Factors!$C$25:$BB$25)-SUMPRODUCT(Oxides_min!$C33:$BB33,Factors!$C$25:$BB$25))/2)</f>
        <v>0.40060561928809701</v>
      </c>
      <c r="S33" s="20">
        <f>MIN(MAX(0,(SUMPRODUCT(Oxides_min!$C33:$BB33,Factors!$C$26:$BB$26)+SUMPRODUCT(Oxides_max!$C33:$BB33,Factors!$C$26:$BB$26))/2),ABS(SUMPRODUCT(Oxides_max!$C33:$BB33,Factors!$C$26:$BB$26)-SUMPRODUCT(Oxides_min!$C33:$BB33,Factors!$C$26:$BB$26))/2)</f>
        <v>0.89656340635868492</v>
      </c>
      <c r="T33" s="20">
        <f>MIN(MAX(0,(SUMPRODUCT(Oxides_min!$C33:$BB33,Factors!$C$27:$BB$27)+SUMPRODUCT(Oxides_max!$C33:$BB33,Factors!$C$27:$BB$27))/2),ABS(SUMPRODUCT(Oxides_max!$C33:$BB33,Factors!$C$27:$BB$27)-SUMPRODUCT(Oxides_min!$C33:$BB33,Factors!$C$27:$BB$27))/2)</f>
        <v>0</v>
      </c>
      <c r="U33" s="20">
        <f>MIN(MAX(0,(SUMPRODUCT(Oxides_min!$C33:$BB33,Factors!$C$28:$BB$28)+SUMPRODUCT(Oxides_max!$C33:$BB33,Factors!$C$28:$BB$28))/2),ABS(SUMPRODUCT(Oxides_max!$C33:$BB33,Factors!$C$28:$BB$28)-SUMPRODUCT(Oxides_min!$C33:$BB33,Factors!$C$28:$BB$28))/2)</f>
        <v>0</v>
      </c>
      <c r="V33" s="20">
        <f>MIN(MAX(0,(SUMPRODUCT(Oxides_min!$C33:$BB33,Factors!$C$29:$BB$29)+SUMPRODUCT(Oxides_max!$C33:$BB33,Factors!$C$29:$BB$29))/2),ABS(SUMPRODUCT(Oxides_max!$C33:$BB33,Factors!$C$29:$BB$29)-SUMPRODUCT(Oxides_min!$C33:$BB33,Factors!$C$29:$BB$29))/2)</f>
        <v>0</v>
      </c>
      <c r="W33" s="20">
        <f>MIN(MAX(0,(SUMPRODUCT(Oxides_min!$C33:$BB33,Factors!$C$30:$BB$30)+SUMPRODUCT(Oxides_max!$C33:$BB33,Factors!$C$30:$BB$30))/2),ABS(SUMPRODUCT(Oxides_max!$C33:$BB33,Factors!$C$30:$BB$30)-SUMPRODUCT(Oxides_min!$C33:$BB33,Factors!$C$30:$BB$30))/2)</f>
        <v>0</v>
      </c>
      <c r="X33" s="20">
        <f>MIN(MAX(0,(SUMPRODUCT(Oxides_min!$C33:$BB33,Factors!$C$31:$BB$31)+SUMPRODUCT(Oxides_max!$C33:$BB33,Factors!$C$31:$BB$31))/2),ABS(SUMPRODUCT(Oxides_max!$C33:$BB33,Factors!$C$31:$BB$31)-SUMPRODUCT(Oxides_min!$C33:$BB33,Factors!$C$31:$BB$31))/2)</f>
        <v>0</v>
      </c>
      <c r="Y33" s="20">
        <f>MIN(MAX(0,(SUMPRODUCT(Oxides_min!$C33:$BB33,Factors!$C$32:$BB$32)+SUMPRODUCT(Oxides_max!$C33:$BB33,Factors!$C$32:$BB$32))/2),ABS(SUMPRODUCT(Oxides_max!$C33:$BB33,Factors!$C$32:$BB$32)-SUMPRODUCT(Oxides_min!$C33:$BB33,Factors!$C$32:$BB$32))/2)</f>
        <v>0</v>
      </c>
      <c r="Z33" s="20">
        <f>MIN(MAX(0,(SUMPRODUCT(Oxides_min!$C33:$BB33,Factors!$C$33:$BB$33)+SUMPRODUCT(Oxides_max!$C33:$BB33,Factors!$C$33:$BB$33))/2),ABS(SUMPRODUCT(Oxides_max!$C33:$BB33,Factors!$C$33:$BB$33)-SUMPRODUCT(Oxides_min!$C33:$BB33,Factors!$C$33:$BB$33))/2)</f>
        <v>0</v>
      </c>
      <c r="AA33" s="20">
        <f>MIN(MAX(0,(SUMPRODUCT(Oxides_min!$C33:$BB33,Factors!$C$34:$BB$34)+SUMPRODUCT(Oxides_max!$C33:$BB33,Factors!$C$34:$BB$34))/2),ABS(SUMPRODUCT(Oxides_max!$C33:$BB33,Factors!$C$34:$BB$34)-SUMPRODUCT(Oxides_min!$C33:$BB33,Factors!$C$34:$BB$34))/2)</f>
        <v>0</v>
      </c>
      <c r="AB33" s="20">
        <f>MIN(MAX(0,(SUMPRODUCT(Oxides_min!$C33:$BB33,Factors!$C$35:$BB$35)+SUMPRODUCT(Oxides_max!$C33:$BB33,Factors!$C$35:$BB$35))/2),ABS(SUMPRODUCT(Oxides_max!$C33:$BB33,Factors!$C$35:$BB$35)-SUMPRODUCT(Oxides_min!$C33:$BB33,Factors!$C$35:$BB$35))/2)</f>
        <v>0</v>
      </c>
      <c r="AC33" s="20">
        <f>MIN(MAX(0,(SUMPRODUCT(Oxides_min!$C33:$BB33,Factors!$C$36:$BB$36)+SUMPRODUCT(Oxides_max!$C33:$BB33,Factors!$C$36:$BB$36))/2),ABS(SUMPRODUCT(Oxides_max!$C33:$BB33,Factors!$C$36:$BB$36)-SUMPRODUCT(Oxides_min!$C33:$BB33,Factors!$C$36:$BB$36))/2)</f>
        <v>0</v>
      </c>
      <c r="AD33" s="20">
        <f>MIN(MAX(0,(SUMPRODUCT(Oxides_min!$C33:$BB33,Factors!$C$37:$BB$37)+SUMPRODUCT(Oxides_max!$C33:$BB33,Factors!$C$37:$BB$37))/2),ABS(SUMPRODUCT(Oxides_max!$C33:$BB33,Factors!$C$37:$BB$37)-SUMPRODUCT(Oxides_min!$C33:$BB33,Factors!$C$37:$BB$37))/2)</f>
        <v>0</v>
      </c>
      <c r="AE33" s="20">
        <f>MIN(MAX(0,(SUMPRODUCT(Oxides_min!$C33:$BB33,Factors!$C$38:$BB$38)+SUMPRODUCT(Oxides_max!$C33:$BB33,Factors!$C$38:$BB$38))/2),ABS(SUMPRODUCT(Oxides_max!$C33:$BB33,Factors!$C$38:$BB$38)-SUMPRODUCT(Oxides_min!$C33:$BB33,Factors!$C$38:$BB$38))/2)</f>
        <v>0</v>
      </c>
      <c r="AF33" s="20">
        <f>MIN(MAX(0,(SUMPRODUCT(Oxides_min!$C33:$BB33,Factors!$C$39:$BB$39)+SUMPRODUCT(Oxides_max!$C33:$BB33,Factors!$C$39:$BB$39))/2),ABS(SUMPRODUCT(Oxides_max!$C33:$BB33,Factors!$C$39:$BB$39)-SUMPRODUCT(Oxides_min!$C33:$BB33,Factors!$C$39:$BB$39))/2)</f>
        <v>0</v>
      </c>
      <c r="AG33" s="20">
        <f>MIN(MAX(0,(SUMPRODUCT(Oxides_min!$C33:$BB33,Factors!$C$40:$BB$40)+SUMPRODUCT(Oxides_max!$C33:$BB33,Factors!$C$40:$BB$40))/2),ABS(SUMPRODUCT(Oxides_max!$C33:$BB33,Factors!$C$40:$BB$40)-SUMPRODUCT(Oxides_min!$C33:$BB33,Factors!$C$40:$BB$40))/2)</f>
        <v>0</v>
      </c>
      <c r="AH33" s="20">
        <f>MIN(MAX(0,(SUMPRODUCT(Oxides_min!$C33:$BB33,Factors!$C$41:$BB$41)+SUMPRODUCT(Oxides_max!$C33:$BB33,Factors!$C$41:$BB$41))/2),ABS(SUMPRODUCT(Oxides_max!$C33:$BB33,Factors!$C$41:$BB$41)-SUMPRODUCT(Oxides_min!$C33:$BB33,Factors!$C$41:$BB$41))/2)</f>
        <v>0</v>
      </c>
      <c r="AI33" s="20">
        <f>MIN(MAX(0,(SUMPRODUCT(Oxides_min!$C33:$BB33,Factors!$C$42:$BB$42)+SUMPRODUCT(Oxides_max!$C33:$BB33,Factors!$C$42:$BB$42))/2),ABS(SUMPRODUCT(Oxides_max!$C33:$BB33,Factors!$C$42:$BB$42)-SUMPRODUCT(Oxides_min!$C33:$BB33,Factors!$C$42:$BB$42))/2)</f>
        <v>0</v>
      </c>
      <c r="AJ33" s="20">
        <f>MIN(MAX(0,(SUMPRODUCT(Oxides_min!$C33:$BB33,Factors!$C$43:$BB$43)+SUMPRODUCT(Oxides_max!$C33:$BB33,Factors!$C$43:$BB$43))/2),ABS(SUMPRODUCT(Oxides_max!$C33:$BB33,Factors!$C$43:$BB$43)-SUMPRODUCT(Oxides_min!$C33:$BB33,Factors!$C$43:$BB$43))/2)</f>
        <v>0</v>
      </c>
      <c r="AK33" s="20">
        <f>MIN(MAX(0,(SUMPRODUCT(Oxides_min!$C33:$BB33,Factors!$C$44:$BB$44)+SUMPRODUCT(Oxides_max!$C33:$BB33,Factors!$C$44:$BB$44))/2),ABS(SUMPRODUCT(Oxides_max!$C33:$BB33,Factors!$C$44:$BB$44)-SUMPRODUCT(Oxides_min!$C33:$BB33,Factors!$C$44:$BB$44))/2)</f>
        <v>0</v>
      </c>
      <c r="AL33" s="20">
        <f>MIN(MAX(0,(SUMPRODUCT(Oxides_min!$C33:$BB33,Factors!$C$45:$BB$45)+SUMPRODUCT(Oxides_max!$C33:$BB33,Factors!$C$45:$BB$45))/2),ABS(SUMPRODUCT(Oxides_max!$C33:$BB33,Factors!$C$45:$BB$45)-SUMPRODUCT(Oxides_min!$C33:$BB33,Factors!$C$45:$BB$45))/2)</f>
        <v>0</v>
      </c>
      <c r="AM33" s="20">
        <f>MIN(MAX(0,(SUMPRODUCT(Oxides_min!$C33:$BB33,Factors!$C$46:$BB$46)+SUMPRODUCT(Oxides_max!$C33:$BB33,Factors!$C$46:$BB$46))/2),ABS(SUMPRODUCT(Oxides_max!$C33:$BB33,Factors!$C$46:$BB$46)-SUMPRODUCT(Oxides_min!$C33:$BB33,Factors!$C$46:$BB$46))/2)</f>
        <v>0</v>
      </c>
      <c r="AN33" s="20">
        <f>MIN(MAX(0,(SUMPRODUCT(Oxides_min!$C33:$BB33,Factors!$C$47:$BB$47)+SUMPRODUCT(Oxides_max!$C33:$BB33,Factors!$C$47:$BB$47))/2),ABS(SUMPRODUCT(Oxides_max!$C33:$BB33,Factors!$C$47:$BB$47)-SUMPRODUCT(Oxides_min!$C33:$BB33,Factors!$C$47:$BB$47))/2)</f>
        <v>0</v>
      </c>
      <c r="AO33" s="20">
        <f>MIN(MAX(0,(SUMPRODUCT(Oxides_min!$C33:$BB33,Factors!$C$48:$BB$48)+SUMPRODUCT(Oxides_max!$C33:$BB33,Factors!$C$48:$BB$48))/2),ABS(SUMPRODUCT(Oxides_max!$C33:$BB33,Factors!$C$48:$BB$48)-SUMPRODUCT(Oxides_min!$C33:$BB33,Factors!$C$48:$BB$48))/2)</f>
        <v>0</v>
      </c>
      <c r="AP33" s="20">
        <f>MIN(MAX(0,(SUMPRODUCT(Oxides_min!$C33:$BB33,Factors!$C$49:$BB$49)+SUMPRODUCT(Oxides_max!$C33:$BB33,Factors!$C$49:$BB$49))/2),ABS(SUMPRODUCT(Oxides_max!$C33:$BB33,Factors!$C$49:$BB$49)-SUMPRODUCT(Oxides_min!$C33:$BB33,Factors!$C$49:$BB$49))/2)</f>
        <v>0</v>
      </c>
      <c r="AQ33" s="20">
        <f>MIN(MAX(0,(SUMPRODUCT(Oxides_min!$C33:$BB33,Factors!$C$50:$BB$50)+SUMPRODUCT(Oxides_max!$C33:$BB33,Factors!$C$50:$BB$50))/2),ABS(SUMPRODUCT(Oxides_max!$C33:$BB33,Factors!$C$50:$BB$50)-SUMPRODUCT(Oxides_min!$C33:$BB33,Factors!$C$50:$BB$50))/2)</f>
        <v>0</v>
      </c>
      <c r="AR33" s="20">
        <f>MIN(MAX(0,(SUMPRODUCT(Oxides_min!$C33:$BB33,Factors!$C$51:$BB$51)+SUMPRODUCT(Oxides_max!$C33:$BB33,Factors!$C$51:$BB$51))/2),ABS(SUMPRODUCT(Oxides_max!$C33:$BB33,Factors!$C$51:$BB$51)-SUMPRODUCT(Oxides_min!$C33:$BB33,Factors!$C$51:$BB$51))/2)</f>
        <v>0</v>
      </c>
      <c r="AS33" s="20">
        <f>MIN(MAX(0,(SUMPRODUCT(Oxides_min!$C33:$BB33,Factors!$C$52:$BB$52)+SUMPRODUCT(Oxides_max!$C33:$BB33,Factors!$C$52:$BB$52))/2),ABS(SUMPRODUCT(Oxides_max!$C33:$BB33,Factors!$C$52:$BB$52)-SUMPRODUCT(Oxides_min!$C33:$BB33,Factors!$C$52:$BB$52))/2)</f>
        <v>0</v>
      </c>
      <c r="AT33" s="20">
        <f>MIN(MAX(0,(SUMPRODUCT(Oxides_min!$C33:$BB33,Factors!$C$53:$BB$53)+SUMPRODUCT(Oxides_max!$C33:$BB33,Factors!$C$53:$BB$53))/2),ABS(SUMPRODUCT(Oxides_max!$C33:$BB33,Factors!$C$53:$BB$53)-SUMPRODUCT(Oxides_min!$C33:$BB33,Factors!$C$53:$BB$53))/2)</f>
        <v>0</v>
      </c>
      <c r="AU33" s="20">
        <f>MIN(MAX(0,(SUMPRODUCT(Oxides_min!$C33:$BB33,Factors!$C$54:$BB$54)+SUMPRODUCT(Oxides_max!$C33:$BB33,Factors!$C$54:$BB$54))/2),ABS(SUMPRODUCT(Oxides_max!$C33:$BB33,Factors!$C$54:$BB$54)-SUMPRODUCT(Oxides_min!$C33:$BB33,Factors!$C$54:$BB$54))/2)</f>
        <v>0</v>
      </c>
      <c r="AV33" s="20">
        <f>MIN(MAX(0,(SUMPRODUCT(Oxides_min!$C33:$BB33,Factors!$C$55:$BB$55)+SUMPRODUCT(Oxides_max!$C33:$BB33,Factors!$C$55:$BB$55))/2),ABS(SUMPRODUCT(Oxides_max!$C33:$BB33,Factors!$C$55:$BB$55)-SUMPRODUCT(Oxides_min!$C33:$BB33,Factors!$C$55:$BB$55))/2)</f>
        <v>0</v>
      </c>
      <c r="AW33" s="20">
        <f>MIN(MAX(0,(SUMPRODUCT(Oxides_min!$C33:$BB33,Factors!$C$56:$BB$56)+SUMPRODUCT(Oxides_max!$C33:$BB33,Factors!$C$56:$BB$56))/2),ABS(SUMPRODUCT(Oxides_max!$C33:$BB33,Factors!$C$56:$BB$56)-SUMPRODUCT(Oxides_min!$C33:$BB33,Factors!$C$56:$BB$56))/2)</f>
        <v>0</v>
      </c>
      <c r="AX33" s="20">
        <f>MIN(MAX(0,(SUMPRODUCT(Oxides_min!$C33:$BB33,Factors!$C$57:$BB$57)+SUMPRODUCT(Oxides_max!$C33:$BB33,Factors!$C$57:$BB$57))/2),ABS(SUMPRODUCT(Oxides_max!$C33:$BB33,Factors!$C$57:$BB$57)-SUMPRODUCT(Oxides_min!$C33:$BB33,Factors!$C$57:$BB$57))/2)</f>
        <v>0</v>
      </c>
      <c r="AY33" s="20">
        <f>MIN(MAX(0,(SUMPRODUCT(Oxides_min!$C33:$BB33,Factors!$C$58:$BB$58)+SUMPRODUCT(Oxides_max!$C33:$BB33,Factors!$C$58:$BB$58))/2),ABS(SUMPRODUCT(Oxides_max!$C33:$BB33,Factors!$C$58:$BB$58)-SUMPRODUCT(Oxides_min!$C33:$BB33,Factors!$C$58:$BB$58))/2)</f>
        <v>0</v>
      </c>
      <c r="AZ33" s="18">
        <f t="shared" si="2"/>
        <v>2.0099999999999998</v>
      </c>
    </row>
    <row r="34" spans="1:52" x14ac:dyDescent="0.35">
      <c r="A34" s="13" t="s">
        <v>342</v>
      </c>
      <c r="B34" s="20">
        <f>MIN(MAX(0,(SUMPRODUCT(Oxides_min!$C34:$BB34,Factors!$C$9:$BB$9)+SUMPRODUCT(Oxides_max!$C34:$BB34,Factors!$C$9:$BB$9))/2),ABS(SUMPRODUCT(Oxides_max!$C34:$BB34,Factors!$C$9:$BB$9)-SUMPRODUCT(Oxides_min!$C34:$BB34,Factors!$C$9:$BB$9))/2)</f>
        <v>0.52127401325820522</v>
      </c>
      <c r="C34" s="20">
        <f>MIN(MAX(0,(SUMPRODUCT(Oxides_min!$C34:$BB34,Factors!$C$10:$BB$10)+SUMPRODUCT(Oxides_max!$C34:$BB34,Factors!$C$10:$BB$10))/2),ABS(SUMPRODUCT(Oxides_max!$C34:$BB34,Factors!$C$10:$BB$10)-SUMPRODUCT(Oxides_min!$C34:$BB34,Factors!$C$10:$BB$10))/2)</f>
        <v>0</v>
      </c>
      <c r="D34" s="20">
        <f>MIN(MAX(0,(SUMPRODUCT(Oxides_min!$C34:$BB34,Factors!$C$11:$BB$11)+SUMPRODUCT(Oxides_max!$C34:$BB34,Factors!$C$11:$BB$11))/2),ABS(SUMPRODUCT(Oxides_max!$C34:$BB34,Factors!$C$11:$BB$11)-SUMPRODUCT(Oxides_min!$C34:$BB34,Factors!$C$11:$BB$11))/2)</f>
        <v>0</v>
      </c>
      <c r="E34" s="20">
        <f>MIN(MAX(0,(SUMPRODUCT(Oxides_min!$C34:$BB34,Factors!$C$12:$BB$12)+SUMPRODUCT(Oxides_max!$C34:$BB34,Factors!$C$12:$BB$12))/2),ABS(SUMPRODUCT(Oxides_max!$C34:$BB34,Factors!$C$12:$BB$12)-SUMPRODUCT(Oxides_min!$C34:$BB34,Factors!$C$12:$BB$12))/2)</f>
        <v>0</v>
      </c>
      <c r="F34" s="20">
        <f>MIN(MAX(0,(SUMPRODUCT(Oxides_min!$C34:$BB34,Factors!$C$13:$BB$13)+SUMPRODUCT(Oxides_max!$C34:$BB34,Factors!$C$13:$BB$13))/2),ABS(SUMPRODUCT(Oxides_max!$C34:$BB34,Factors!$C$13:$BB$13)-SUMPRODUCT(Oxides_min!$C34:$BB34,Factors!$C$13:$BB$13))/2)</f>
        <v>0</v>
      </c>
      <c r="G34" s="20">
        <f>MIN(MAX(0,(SUMPRODUCT(Oxides_min!$C34:$BB34,Factors!$C$14:$BB$14)+SUMPRODUCT(Oxides_max!$C34:$BB34,Factors!$C$14:$BB$14))/2),ABS(SUMPRODUCT(Oxides_max!$C34:$BB34,Factors!$C$14:$BB$14)-SUMPRODUCT(Oxides_min!$C34:$BB34,Factors!$C$14:$BB$14))/2)</f>
        <v>0</v>
      </c>
      <c r="H34" s="20">
        <f>MIN(MAX(0,(SUMPRODUCT(Oxides_min!$C34:$BB34,Factors!$C$15:$BB$15)+SUMPRODUCT(Oxides_max!$C34:$BB34,Factors!$C$15:$BB$15))/2),ABS(SUMPRODUCT(Oxides_max!$C34:$BB34,Factors!$C$15:$BB$15)-SUMPRODUCT(Oxides_min!$C34:$BB34,Factors!$C$15:$BB$15))/2)</f>
        <v>0</v>
      </c>
      <c r="I34" s="20">
        <f>MIN(MAX(0,(SUMPRODUCT(Oxides_min!$C34:$BB34,Factors!$C$16:$BB$16)+SUMPRODUCT(Oxides_max!$C34:$BB34,Factors!$C$16:$BB$16))/2),ABS(SUMPRODUCT(Oxides_max!$C34:$BB34,Factors!$C$16:$BB$16)-SUMPRODUCT(Oxides_min!$C34:$BB34,Factors!$C$16:$BB$16))/2)</f>
        <v>1.1518350226920333</v>
      </c>
      <c r="J34" s="20">
        <f>MIN(MAX(0,(SUMPRODUCT(Oxides_min!$C34:$BB34,Factors!$C$17:$BB$17)+SUMPRODUCT(Oxides_max!$C34:$BB34,Factors!$C$17:$BB$17))/2),ABS(SUMPRODUCT(Oxides_max!$C34:$BB34,Factors!$C$17:$BB$17)-SUMPRODUCT(Oxides_min!$C34:$BB34,Factors!$C$17:$BB$17))/2)</f>
        <v>0.3368909640497566</v>
      </c>
      <c r="K34" s="20">
        <f>MIN(MAX(0,(SUMPRODUCT(Oxides_min!$C34:$BB34,Factors!$C$18:$BB$18)+SUMPRODUCT(Oxides_max!$C34:$BB34,Factors!$C$18:$BB$18))/2),ABS(SUMPRODUCT(Oxides_max!$C34:$BB34,Factors!$C$18:$BB$18)-SUMPRODUCT(Oxides_min!$C34:$BB34,Factors!$C$18:$BB$18))/2)</f>
        <v>0</v>
      </c>
      <c r="L34" s="20">
        <f>MIN(MAX(0,(SUMPRODUCT(Oxides_min!$C34:$BB34,Factors!$C$19:$BB$19)+SUMPRODUCT(Oxides_max!$C34:$BB34,Factors!$C$19:$BB$19))/2),ABS(SUMPRODUCT(Oxides_max!$C34:$BB34,Factors!$C$19:$BB$19)-SUMPRODUCT(Oxides_min!$C34:$BB34,Factors!$C$19:$BB$19))/2)</f>
        <v>0</v>
      </c>
      <c r="M34" s="20">
        <f>MIN(MAX(0,(SUMPRODUCT(Oxides_min!$C34:$BB34,Factors!$C$20:$BB$20)+SUMPRODUCT(Oxides_max!$C34:$BB34,Factors!$C$20:$BB$20))/2),ABS(SUMPRODUCT(Oxides_max!$C34:$BB34,Factors!$C$20:$BB$20)-SUMPRODUCT(Oxides_min!$C34:$BB34,Factors!$C$20:$BB$20))/2)</f>
        <v>0</v>
      </c>
      <c r="N34" s="20">
        <f>MIN(MAX(0,(SUMPRODUCT(Oxides_min!$C34:$BB34,Factors!$C$21:$BB$21)+SUMPRODUCT(Oxides_max!$C34:$BB34,Factors!$C$21:$BB$21))/2),ABS(SUMPRODUCT(Oxides_max!$C34:$BB34,Factors!$C$21:$BB$21)-SUMPRODUCT(Oxides_min!$C34:$BB34,Factors!$C$21:$BB$21))/2)</f>
        <v>0</v>
      </c>
      <c r="O34" s="20">
        <f>MIN(MAX(0,(SUMPRODUCT(Oxides_min!$C34:$BB34,Factors!$C$22:$BB$22)+SUMPRODUCT(Oxides_max!$C34:$BB34,Factors!$C$22:$BB$22))/2),ABS(SUMPRODUCT(Oxides_max!$C34:$BB34,Factors!$C$22:$BB$22)-SUMPRODUCT(Oxides_min!$C34:$BB34,Factors!$C$22:$BB$22))/2)</f>
        <v>0</v>
      </c>
      <c r="P34" s="20">
        <f>MIN(MAX(0,(SUMPRODUCT(Oxides_min!$C34:$BB34,Factors!$C$23:$BB$23)+SUMPRODUCT(Oxides_max!$C34:$BB34,Factors!$C$23:$BB$23))/2),ABS(SUMPRODUCT(Oxides_max!$C34:$BB34,Factors!$C$23:$BB$23)-SUMPRODUCT(Oxides_min!$C34:$BB34,Factors!$C$23:$BB$23))/2)</f>
        <v>0</v>
      </c>
      <c r="Q34" s="20">
        <f>MIN(MAX(0,(SUMPRODUCT(Oxides_min!$C34:$BB34,Factors!$C$24:$BB$24)+SUMPRODUCT(Oxides_max!$C34:$BB34,Factors!$C$24:$BB$24))/2),ABS(SUMPRODUCT(Oxides_max!$C34:$BB34,Factors!$C$24:$BB$24)-SUMPRODUCT(Oxides_min!$C34:$BB34,Factors!$C$24:$BB$24))/2)</f>
        <v>0</v>
      </c>
      <c r="R34" s="20">
        <f>MIN(MAX(0,(SUMPRODUCT(Oxides_min!$C34:$BB34,Factors!$C$25:$BB$25)+SUMPRODUCT(Oxides_max!$C34:$BB34,Factors!$C$25:$BB$25))/2),ABS(SUMPRODUCT(Oxides_max!$C34:$BB34,Factors!$C$25:$BB$25)-SUMPRODUCT(Oxides_min!$C34:$BB34,Factors!$C$25:$BB$25))/2)</f>
        <v>0</v>
      </c>
      <c r="S34" s="20">
        <f>MIN(MAX(0,(SUMPRODUCT(Oxides_min!$C34:$BB34,Factors!$C$26:$BB$26)+SUMPRODUCT(Oxides_max!$C34:$BB34,Factors!$C$26:$BB$26))/2),ABS(SUMPRODUCT(Oxides_max!$C34:$BB34,Factors!$C$26:$BB$26)-SUMPRODUCT(Oxides_min!$C34:$BB34,Factors!$C$26:$BB$26))/2)</f>
        <v>0</v>
      </c>
      <c r="T34" s="20">
        <f>MIN(MAX(0,(SUMPRODUCT(Oxides_min!$C34:$BB34,Factors!$C$27:$BB$27)+SUMPRODUCT(Oxides_max!$C34:$BB34,Factors!$C$27:$BB$27))/2),ABS(SUMPRODUCT(Oxides_max!$C34:$BB34,Factors!$C$27:$BB$27)-SUMPRODUCT(Oxides_min!$C34:$BB34,Factors!$C$27:$BB$27))/2)</f>
        <v>0</v>
      </c>
      <c r="U34" s="20">
        <f>MIN(MAX(0,(SUMPRODUCT(Oxides_min!$C34:$BB34,Factors!$C$28:$BB$28)+SUMPRODUCT(Oxides_max!$C34:$BB34,Factors!$C$28:$BB$28))/2),ABS(SUMPRODUCT(Oxides_max!$C34:$BB34,Factors!$C$28:$BB$28)-SUMPRODUCT(Oxides_min!$C34:$BB34,Factors!$C$28:$BB$28))/2)</f>
        <v>0</v>
      </c>
      <c r="V34" s="20">
        <f>MIN(MAX(0,(SUMPRODUCT(Oxides_min!$C34:$BB34,Factors!$C$29:$BB$29)+SUMPRODUCT(Oxides_max!$C34:$BB34,Factors!$C$29:$BB$29))/2),ABS(SUMPRODUCT(Oxides_max!$C34:$BB34,Factors!$C$29:$BB$29)-SUMPRODUCT(Oxides_min!$C34:$BB34,Factors!$C$29:$BB$29))/2)</f>
        <v>0</v>
      </c>
      <c r="W34" s="20">
        <f>MIN(MAX(0,(SUMPRODUCT(Oxides_min!$C34:$BB34,Factors!$C$30:$BB$30)+SUMPRODUCT(Oxides_max!$C34:$BB34,Factors!$C$30:$BB$30))/2),ABS(SUMPRODUCT(Oxides_max!$C34:$BB34,Factors!$C$30:$BB$30)-SUMPRODUCT(Oxides_min!$C34:$BB34,Factors!$C$30:$BB$30))/2)</f>
        <v>0</v>
      </c>
      <c r="X34" s="20">
        <f>MIN(MAX(0,(SUMPRODUCT(Oxides_min!$C34:$BB34,Factors!$C$31:$BB$31)+SUMPRODUCT(Oxides_max!$C34:$BB34,Factors!$C$31:$BB$31))/2),ABS(SUMPRODUCT(Oxides_max!$C34:$BB34,Factors!$C$31:$BB$31)-SUMPRODUCT(Oxides_min!$C34:$BB34,Factors!$C$31:$BB$31))/2)</f>
        <v>0</v>
      </c>
      <c r="Y34" s="20">
        <f>MIN(MAX(0,(SUMPRODUCT(Oxides_min!$C34:$BB34,Factors!$C$32:$BB$32)+SUMPRODUCT(Oxides_max!$C34:$BB34,Factors!$C$32:$BB$32))/2),ABS(SUMPRODUCT(Oxides_max!$C34:$BB34,Factors!$C$32:$BB$32)-SUMPRODUCT(Oxides_min!$C34:$BB34,Factors!$C$32:$BB$32))/2)</f>
        <v>0</v>
      </c>
      <c r="Z34" s="20">
        <f>MIN(MAX(0,(SUMPRODUCT(Oxides_min!$C34:$BB34,Factors!$C$33:$BB$33)+SUMPRODUCT(Oxides_max!$C34:$BB34,Factors!$C$33:$BB$33))/2),ABS(SUMPRODUCT(Oxides_max!$C34:$BB34,Factors!$C$33:$BB$33)-SUMPRODUCT(Oxides_min!$C34:$BB34,Factors!$C$33:$BB$33))/2)</f>
        <v>0</v>
      </c>
      <c r="AA34" s="20">
        <f>MIN(MAX(0,(SUMPRODUCT(Oxides_min!$C34:$BB34,Factors!$C$34:$BB$34)+SUMPRODUCT(Oxides_max!$C34:$BB34,Factors!$C$34:$BB$34))/2),ABS(SUMPRODUCT(Oxides_max!$C34:$BB34,Factors!$C$34:$BB$34)-SUMPRODUCT(Oxides_min!$C34:$BB34,Factors!$C$34:$BB$34))/2)</f>
        <v>0</v>
      </c>
      <c r="AB34" s="20">
        <f>MIN(MAX(0,(SUMPRODUCT(Oxides_min!$C34:$BB34,Factors!$C$35:$BB$35)+SUMPRODUCT(Oxides_max!$C34:$BB34,Factors!$C$35:$BB$35))/2),ABS(SUMPRODUCT(Oxides_max!$C34:$BB34,Factors!$C$35:$BB$35)-SUMPRODUCT(Oxides_min!$C34:$BB34,Factors!$C$35:$BB$35))/2)</f>
        <v>0</v>
      </c>
      <c r="AC34" s="20">
        <f>MIN(MAX(0,(SUMPRODUCT(Oxides_min!$C34:$BB34,Factors!$C$36:$BB$36)+SUMPRODUCT(Oxides_max!$C34:$BB34,Factors!$C$36:$BB$36))/2),ABS(SUMPRODUCT(Oxides_max!$C34:$BB34,Factors!$C$36:$BB$36)-SUMPRODUCT(Oxides_min!$C34:$BB34,Factors!$C$36:$BB$36))/2)</f>
        <v>0</v>
      </c>
      <c r="AD34" s="20">
        <f>MIN(MAX(0,(SUMPRODUCT(Oxides_min!$C34:$BB34,Factors!$C$37:$BB$37)+SUMPRODUCT(Oxides_max!$C34:$BB34,Factors!$C$37:$BB$37))/2),ABS(SUMPRODUCT(Oxides_max!$C34:$BB34,Factors!$C$37:$BB$37)-SUMPRODUCT(Oxides_min!$C34:$BB34,Factors!$C$37:$BB$37))/2)</f>
        <v>0</v>
      </c>
      <c r="AE34" s="20">
        <f>MIN(MAX(0,(SUMPRODUCT(Oxides_min!$C34:$BB34,Factors!$C$38:$BB$38)+SUMPRODUCT(Oxides_max!$C34:$BB34,Factors!$C$38:$BB$38))/2),ABS(SUMPRODUCT(Oxides_max!$C34:$BB34,Factors!$C$38:$BB$38)-SUMPRODUCT(Oxides_min!$C34:$BB34,Factors!$C$38:$BB$38))/2)</f>
        <v>0</v>
      </c>
      <c r="AF34" s="20">
        <f>MIN(MAX(0,(SUMPRODUCT(Oxides_min!$C34:$BB34,Factors!$C$39:$BB$39)+SUMPRODUCT(Oxides_max!$C34:$BB34,Factors!$C$39:$BB$39))/2),ABS(SUMPRODUCT(Oxides_max!$C34:$BB34,Factors!$C$39:$BB$39)-SUMPRODUCT(Oxides_min!$C34:$BB34,Factors!$C$39:$BB$39))/2)</f>
        <v>0</v>
      </c>
      <c r="AG34" s="20">
        <f>MIN(MAX(0,(SUMPRODUCT(Oxides_min!$C34:$BB34,Factors!$C$40:$BB$40)+SUMPRODUCT(Oxides_max!$C34:$BB34,Factors!$C$40:$BB$40))/2),ABS(SUMPRODUCT(Oxides_max!$C34:$BB34,Factors!$C$40:$BB$40)-SUMPRODUCT(Oxides_min!$C34:$BB34,Factors!$C$40:$BB$40))/2)</f>
        <v>0</v>
      </c>
      <c r="AH34" s="20">
        <f>MIN(MAX(0,(SUMPRODUCT(Oxides_min!$C34:$BB34,Factors!$C$41:$BB$41)+SUMPRODUCT(Oxides_max!$C34:$BB34,Factors!$C$41:$BB$41))/2),ABS(SUMPRODUCT(Oxides_max!$C34:$BB34,Factors!$C$41:$BB$41)-SUMPRODUCT(Oxides_min!$C34:$BB34,Factors!$C$41:$BB$41))/2)</f>
        <v>0</v>
      </c>
      <c r="AI34" s="20">
        <f>MIN(MAX(0,(SUMPRODUCT(Oxides_min!$C34:$BB34,Factors!$C$42:$BB$42)+SUMPRODUCT(Oxides_max!$C34:$BB34,Factors!$C$42:$BB$42))/2),ABS(SUMPRODUCT(Oxides_max!$C34:$BB34,Factors!$C$42:$BB$42)-SUMPRODUCT(Oxides_min!$C34:$BB34,Factors!$C$42:$BB$42))/2)</f>
        <v>0</v>
      </c>
      <c r="AJ34" s="20">
        <f>MIN(MAX(0,(SUMPRODUCT(Oxides_min!$C34:$BB34,Factors!$C$43:$BB$43)+SUMPRODUCT(Oxides_max!$C34:$BB34,Factors!$C$43:$BB$43))/2),ABS(SUMPRODUCT(Oxides_max!$C34:$BB34,Factors!$C$43:$BB$43)-SUMPRODUCT(Oxides_min!$C34:$BB34,Factors!$C$43:$BB$43))/2)</f>
        <v>0</v>
      </c>
      <c r="AK34" s="20">
        <f>MIN(MAX(0,(SUMPRODUCT(Oxides_min!$C34:$BB34,Factors!$C$44:$BB$44)+SUMPRODUCT(Oxides_max!$C34:$BB34,Factors!$C$44:$BB$44))/2),ABS(SUMPRODUCT(Oxides_max!$C34:$BB34,Factors!$C$44:$BB$44)-SUMPRODUCT(Oxides_min!$C34:$BB34,Factors!$C$44:$BB$44))/2)</f>
        <v>0</v>
      </c>
      <c r="AL34" s="20">
        <f>MIN(MAX(0,(SUMPRODUCT(Oxides_min!$C34:$BB34,Factors!$C$45:$BB$45)+SUMPRODUCT(Oxides_max!$C34:$BB34,Factors!$C$45:$BB$45))/2),ABS(SUMPRODUCT(Oxides_max!$C34:$BB34,Factors!$C$45:$BB$45)-SUMPRODUCT(Oxides_min!$C34:$BB34,Factors!$C$45:$BB$45))/2)</f>
        <v>0</v>
      </c>
      <c r="AM34" s="20">
        <f>MIN(MAX(0,(SUMPRODUCT(Oxides_min!$C34:$BB34,Factors!$C$46:$BB$46)+SUMPRODUCT(Oxides_max!$C34:$BB34,Factors!$C$46:$BB$46))/2),ABS(SUMPRODUCT(Oxides_max!$C34:$BB34,Factors!$C$46:$BB$46)-SUMPRODUCT(Oxides_min!$C34:$BB34,Factors!$C$46:$BB$46))/2)</f>
        <v>0</v>
      </c>
      <c r="AN34" s="20">
        <f>MIN(MAX(0,(SUMPRODUCT(Oxides_min!$C34:$BB34,Factors!$C$47:$BB$47)+SUMPRODUCT(Oxides_max!$C34:$BB34,Factors!$C$47:$BB$47))/2),ABS(SUMPRODUCT(Oxides_max!$C34:$BB34,Factors!$C$47:$BB$47)-SUMPRODUCT(Oxides_min!$C34:$BB34,Factors!$C$47:$BB$47))/2)</f>
        <v>0</v>
      </c>
      <c r="AO34" s="20">
        <f>MIN(MAX(0,(SUMPRODUCT(Oxides_min!$C34:$BB34,Factors!$C$48:$BB$48)+SUMPRODUCT(Oxides_max!$C34:$BB34,Factors!$C$48:$BB$48))/2),ABS(SUMPRODUCT(Oxides_max!$C34:$BB34,Factors!$C$48:$BB$48)-SUMPRODUCT(Oxides_min!$C34:$BB34,Factors!$C$48:$BB$48))/2)</f>
        <v>0</v>
      </c>
      <c r="AP34" s="20">
        <f>MIN(MAX(0,(SUMPRODUCT(Oxides_min!$C34:$BB34,Factors!$C$49:$BB$49)+SUMPRODUCT(Oxides_max!$C34:$BB34,Factors!$C$49:$BB$49))/2),ABS(SUMPRODUCT(Oxides_max!$C34:$BB34,Factors!$C$49:$BB$49)-SUMPRODUCT(Oxides_min!$C34:$BB34,Factors!$C$49:$BB$49))/2)</f>
        <v>0</v>
      </c>
      <c r="AQ34" s="20">
        <f>MIN(MAX(0,(SUMPRODUCT(Oxides_min!$C34:$BB34,Factors!$C$50:$BB$50)+SUMPRODUCT(Oxides_max!$C34:$BB34,Factors!$C$50:$BB$50))/2),ABS(SUMPRODUCT(Oxides_max!$C34:$BB34,Factors!$C$50:$BB$50)-SUMPRODUCT(Oxides_min!$C34:$BB34,Factors!$C$50:$BB$50))/2)</f>
        <v>0</v>
      </c>
      <c r="AR34" s="20">
        <f>MIN(MAX(0,(SUMPRODUCT(Oxides_min!$C34:$BB34,Factors!$C$51:$BB$51)+SUMPRODUCT(Oxides_max!$C34:$BB34,Factors!$C$51:$BB$51))/2),ABS(SUMPRODUCT(Oxides_max!$C34:$BB34,Factors!$C$51:$BB$51)-SUMPRODUCT(Oxides_min!$C34:$BB34,Factors!$C$51:$BB$51))/2)</f>
        <v>0</v>
      </c>
      <c r="AS34" s="20">
        <f>MIN(MAX(0,(SUMPRODUCT(Oxides_min!$C34:$BB34,Factors!$C$52:$BB$52)+SUMPRODUCT(Oxides_max!$C34:$BB34,Factors!$C$52:$BB$52))/2),ABS(SUMPRODUCT(Oxides_max!$C34:$BB34,Factors!$C$52:$BB$52)-SUMPRODUCT(Oxides_min!$C34:$BB34,Factors!$C$52:$BB$52))/2)</f>
        <v>0</v>
      </c>
      <c r="AT34" s="20">
        <f>MIN(MAX(0,(SUMPRODUCT(Oxides_min!$C34:$BB34,Factors!$C$53:$BB$53)+SUMPRODUCT(Oxides_max!$C34:$BB34,Factors!$C$53:$BB$53))/2),ABS(SUMPRODUCT(Oxides_max!$C34:$BB34,Factors!$C$53:$BB$53)-SUMPRODUCT(Oxides_min!$C34:$BB34,Factors!$C$53:$BB$53))/2)</f>
        <v>0</v>
      </c>
      <c r="AU34" s="20">
        <f>MIN(MAX(0,(SUMPRODUCT(Oxides_min!$C34:$BB34,Factors!$C$54:$BB$54)+SUMPRODUCT(Oxides_max!$C34:$BB34,Factors!$C$54:$BB$54))/2),ABS(SUMPRODUCT(Oxides_max!$C34:$BB34,Factors!$C$54:$BB$54)-SUMPRODUCT(Oxides_min!$C34:$BB34,Factors!$C$54:$BB$54))/2)</f>
        <v>0</v>
      </c>
      <c r="AV34" s="20">
        <f>MIN(MAX(0,(SUMPRODUCT(Oxides_min!$C34:$BB34,Factors!$C$55:$BB$55)+SUMPRODUCT(Oxides_max!$C34:$BB34,Factors!$C$55:$BB$55))/2),ABS(SUMPRODUCT(Oxides_max!$C34:$BB34,Factors!$C$55:$BB$55)-SUMPRODUCT(Oxides_min!$C34:$BB34,Factors!$C$55:$BB$55))/2)</f>
        <v>0</v>
      </c>
      <c r="AW34" s="20">
        <f>MIN(MAX(0,(SUMPRODUCT(Oxides_min!$C34:$BB34,Factors!$C$56:$BB$56)+SUMPRODUCT(Oxides_max!$C34:$BB34,Factors!$C$56:$BB$56))/2),ABS(SUMPRODUCT(Oxides_max!$C34:$BB34,Factors!$C$56:$BB$56)-SUMPRODUCT(Oxides_min!$C34:$BB34,Factors!$C$56:$BB$56))/2)</f>
        <v>0</v>
      </c>
      <c r="AX34" s="20">
        <f>MIN(MAX(0,(SUMPRODUCT(Oxides_min!$C34:$BB34,Factors!$C$57:$BB$57)+SUMPRODUCT(Oxides_max!$C34:$BB34,Factors!$C$57:$BB$57))/2),ABS(SUMPRODUCT(Oxides_max!$C34:$BB34,Factors!$C$57:$BB$57)-SUMPRODUCT(Oxides_min!$C34:$BB34,Factors!$C$57:$BB$57))/2)</f>
        <v>0</v>
      </c>
      <c r="AY34" s="20">
        <f>MIN(MAX(0,(SUMPRODUCT(Oxides_min!$C34:$BB34,Factors!$C$58:$BB$58)+SUMPRODUCT(Oxides_max!$C34:$BB34,Factors!$C$58:$BB$58))/2),ABS(SUMPRODUCT(Oxides_max!$C34:$BB34,Factors!$C$58:$BB$58)-SUMPRODUCT(Oxides_min!$C34:$BB34,Factors!$C$58:$BB$58))/2)</f>
        <v>0</v>
      </c>
      <c r="AZ34" s="18">
        <f t="shared" si="2"/>
        <v>2.0099999999999953</v>
      </c>
    </row>
    <row r="35" spans="1:52" x14ac:dyDescent="0.35">
      <c r="A35" s="13" t="s">
        <v>344</v>
      </c>
      <c r="B35" s="20">
        <f>MIN(MAX(0,(SUMPRODUCT(Oxides_min!$C35:$BB35,Factors!$C$9:$BB$9)+SUMPRODUCT(Oxides_max!$C35:$BB35,Factors!$C$9:$BB$9))/2),ABS(SUMPRODUCT(Oxides_max!$C35:$BB35,Factors!$C$9:$BB$9)-SUMPRODUCT(Oxides_min!$C35:$BB35,Factors!$C$9:$BB$9))/2)</f>
        <v>0.56756641043132738</v>
      </c>
      <c r="C35" s="20">
        <f>MIN(MAX(0,(SUMPRODUCT(Oxides_min!$C35:$BB35,Factors!$C$10:$BB$10)+SUMPRODUCT(Oxides_max!$C35:$BB35,Factors!$C$10:$BB$10))/2),ABS(SUMPRODUCT(Oxides_max!$C35:$BB35,Factors!$C$10:$BB$10)-SUMPRODUCT(Oxides_min!$C35:$BB35,Factors!$C$10:$BB$10))/2)</f>
        <v>6.3103956193931734E-2</v>
      </c>
      <c r="D35" s="20">
        <f>MIN(MAX(0,(SUMPRODUCT(Oxides_min!$C35:$BB35,Factors!$C$11:$BB$11)+SUMPRODUCT(Oxides_max!$C35:$BB35,Factors!$C$11:$BB$11))/2),ABS(SUMPRODUCT(Oxides_max!$C35:$BB35,Factors!$C$11:$BB$11)-SUMPRODUCT(Oxides_min!$C35:$BB35,Factors!$C$11:$BB$11))/2)</f>
        <v>8.6905590684279721E-2</v>
      </c>
      <c r="E35" s="20">
        <f>MIN(MAX(0,(SUMPRODUCT(Oxides_min!$C35:$BB35,Factors!$C$12:$BB$12)+SUMPRODUCT(Oxides_max!$C35:$BB35,Factors!$C$12:$BB$12))/2),ABS(SUMPRODUCT(Oxides_max!$C35:$BB35,Factors!$C$12:$BB$12)-SUMPRODUCT(Oxides_min!$C35:$BB35,Factors!$C$12:$BB$12))/2)</f>
        <v>0</v>
      </c>
      <c r="F35" s="20">
        <f>MIN(MAX(0,(SUMPRODUCT(Oxides_min!$C35:$BB35,Factors!$C$13:$BB$13)+SUMPRODUCT(Oxides_max!$C35:$BB35,Factors!$C$13:$BB$13))/2),ABS(SUMPRODUCT(Oxides_max!$C35:$BB35,Factors!$C$13:$BB$13)-SUMPRODUCT(Oxides_min!$C35:$BB35,Factors!$C$13:$BB$13))/2)</f>
        <v>0</v>
      </c>
      <c r="G35" s="20">
        <f>MIN(MAX(0,(SUMPRODUCT(Oxides_min!$C35:$BB35,Factors!$C$14:$BB$14)+SUMPRODUCT(Oxides_max!$C35:$BB35,Factors!$C$14:$BB$14))/2),ABS(SUMPRODUCT(Oxides_max!$C35:$BB35,Factors!$C$14:$BB$14)-SUMPRODUCT(Oxides_min!$C35:$BB35,Factors!$C$14:$BB$14))/2)</f>
        <v>0</v>
      </c>
      <c r="H35" s="20">
        <f>MIN(MAX(0,(SUMPRODUCT(Oxides_min!$C35:$BB35,Factors!$C$15:$BB$15)+SUMPRODUCT(Oxides_max!$C35:$BB35,Factors!$C$15:$BB$15))/2),ABS(SUMPRODUCT(Oxides_max!$C35:$BB35,Factors!$C$15:$BB$15)-SUMPRODUCT(Oxides_min!$C35:$BB35,Factors!$C$15:$BB$15))/2)</f>
        <v>0.11643652387590882</v>
      </c>
      <c r="I35" s="20">
        <f>MIN(MAX(0,(SUMPRODUCT(Oxides_min!$C35:$BB35,Factors!$C$16:$BB$16)+SUMPRODUCT(Oxides_max!$C35:$BB35,Factors!$C$16:$BB$16))/2),ABS(SUMPRODUCT(Oxides_max!$C35:$BB35,Factors!$C$16:$BB$16)-SUMPRODUCT(Oxides_min!$C35:$BB35,Factors!$C$16:$BB$16))/2)</f>
        <v>0.80010631061310278</v>
      </c>
      <c r="J35" s="20">
        <f>MIN(MAX(0,(SUMPRODUCT(Oxides_min!$C35:$BB35,Factors!$C$17:$BB$17)+SUMPRODUCT(Oxides_max!$C35:$BB35,Factors!$C$17:$BB$17))/2),ABS(SUMPRODUCT(Oxides_max!$C35:$BB35,Factors!$C$17:$BB$17)-SUMPRODUCT(Oxides_min!$C35:$BB35,Factors!$C$17:$BB$17))/2)</f>
        <v>3.4850789384457577E-2</v>
      </c>
      <c r="K35" s="20">
        <f>MIN(MAX(0,(SUMPRODUCT(Oxides_min!$C35:$BB35,Factors!$C$18:$BB$18)+SUMPRODUCT(Oxides_max!$C35:$BB35,Factors!$C$18:$BB$18))/2),ABS(SUMPRODUCT(Oxides_max!$C35:$BB35,Factors!$C$18:$BB$18)-SUMPRODUCT(Oxides_min!$C35:$BB35,Factors!$C$18:$BB$18))/2)</f>
        <v>0</v>
      </c>
      <c r="L35" s="20">
        <f>MIN(MAX(0,(SUMPRODUCT(Oxides_min!$C35:$BB35,Factors!$C$19:$BB$19)+SUMPRODUCT(Oxides_max!$C35:$BB35,Factors!$C$19:$BB$19))/2),ABS(SUMPRODUCT(Oxides_max!$C35:$BB35,Factors!$C$19:$BB$19)-SUMPRODUCT(Oxides_min!$C35:$BB35,Factors!$C$19:$BB$19))/2)</f>
        <v>0</v>
      </c>
      <c r="M35" s="20">
        <f>MIN(MAX(0,(SUMPRODUCT(Oxides_min!$C35:$BB35,Factors!$C$20:$BB$20)+SUMPRODUCT(Oxides_max!$C35:$BB35,Factors!$C$20:$BB$20))/2),ABS(SUMPRODUCT(Oxides_max!$C35:$BB35,Factors!$C$20:$BB$20)-SUMPRODUCT(Oxides_min!$C35:$BB35,Factors!$C$20:$BB$20))/2)</f>
        <v>6.0304188169908691E-3</v>
      </c>
      <c r="N35" s="20">
        <f>MIN(MAX(0,(SUMPRODUCT(Oxides_min!$C35:$BB35,Factors!$C$21:$BB$21)+SUMPRODUCT(Oxides_max!$C35:$BB35,Factors!$C$21:$BB$21))/2),ABS(SUMPRODUCT(Oxides_max!$C35:$BB35,Factors!$C$21:$BB$21)-SUMPRODUCT(Oxides_min!$C35:$BB35,Factors!$C$21:$BB$21))/2)</f>
        <v>0</v>
      </c>
      <c r="O35" s="20">
        <f>MIN(MAX(0,(SUMPRODUCT(Oxides_min!$C35:$BB35,Factors!$C$22:$BB$22)+SUMPRODUCT(Oxides_max!$C35:$BB35,Factors!$C$22:$BB$22))/2),ABS(SUMPRODUCT(Oxides_max!$C35:$BB35,Factors!$C$22:$BB$22)-SUMPRODUCT(Oxides_min!$C35:$BB35,Factors!$C$22:$BB$22))/2)</f>
        <v>0</v>
      </c>
      <c r="P35" s="20">
        <f>MIN(MAX(0,(SUMPRODUCT(Oxides_min!$C35:$BB35,Factors!$C$23:$BB$23)+SUMPRODUCT(Oxides_max!$C35:$BB35,Factors!$C$23:$BB$23))/2),ABS(SUMPRODUCT(Oxides_max!$C35:$BB35,Factors!$C$23:$BB$23)-SUMPRODUCT(Oxides_min!$C35:$BB35,Factors!$C$23:$BB$23))/2)</f>
        <v>0</v>
      </c>
      <c r="Q35" s="20">
        <f>MIN(MAX(0,(SUMPRODUCT(Oxides_min!$C35:$BB35,Factors!$C$24:$BB$24)+SUMPRODUCT(Oxides_max!$C35:$BB35,Factors!$C$24:$BB$24))/2),ABS(SUMPRODUCT(Oxides_max!$C35:$BB35,Factors!$C$24:$BB$24)-SUMPRODUCT(Oxides_min!$C35:$BB35,Factors!$C$24:$BB$24))/2)</f>
        <v>0</v>
      </c>
      <c r="R35" s="20">
        <f>MIN(MAX(0,(SUMPRODUCT(Oxides_min!$C35:$BB35,Factors!$C$25:$BB$25)+SUMPRODUCT(Oxides_max!$C35:$BB35,Factors!$C$25:$BB$25))/2),ABS(SUMPRODUCT(Oxides_max!$C35:$BB35,Factors!$C$25:$BB$25)-SUMPRODUCT(Oxides_min!$C35:$BB35,Factors!$C$25:$BB$25))/2)</f>
        <v>0</v>
      </c>
      <c r="S35" s="20">
        <f>MIN(MAX(0,(SUMPRODUCT(Oxides_min!$C35:$BB35,Factors!$C$26:$BB$26)+SUMPRODUCT(Oxides_max!$C35:$BB35,Factors!$C$26:$BB$26))/2),ABS(SUMPRODUCT(Oxides_max!$C35:$BB35,Factors!$C$26:$BB$26)-SUMPRODUCT(Oxides_min!$C35:$BB35,Factors!$C$26:$BB$26))/2)</f>
        <v>0</v>
      </c>
      <c r="T35" s="20">
        <f>MIN(MAX(0,(SUMPRODUCT(Oxides_min!$C35:$BB35,Factors!$C$27:$BB$27)+SUMPRODUCT(Oxides_max!$C35:$BB35,Factors!$C$27:$BB$27))/2),ABS(SUMPRODUCT(Oxides_max!$C35:$BB35,Factors!$C$27:$BB$27)-SUMPRODUCT(Oxides_min!$C35:$BB35,Factors!$C$27:$BB$27))/2)</f>
        <v>0</v>
      </c>
      <c r="U35" s="20">
        <f>MIN(MAX(0,(SUMPRODUCT(Oxides_min!$C35:$BB35,Factors!$C$28:$BB$28)+SUMPRODUCT(Oxides_max!$C35:$BB35,Factors!$C$28:$BB$28))/2),ABS(SUMPRODUCT(Oxides_max!$C35:$BB35,Factors!$C$28:$BB$28)-SUMPRODUCT(Oxides_min!$C35:$BB35,Factors!$C$28:$BB$28))/2)</f>
        <v>0</v>
      </c>
      <c r="V35" s="20">
        <f>MIN(MAX(0,(SUMPRODUCT(Oxides_min!$C35:$BB35,Factors!$C$29:$BB$29)+SUMPRODUCT(Oxides_max!$C35:$BB35,Factors!$C$29:$BB$29))/2),ABS(SUMPRODUCT(Oxides_max!$C35:$BB35,Factors!$C$29:$BB$29)-SUMPRODUCT(Oxides_min!$C35:$BB35,Factors!$C$29:$BB$29))/2)</f>
        <v>0</v>
      </c>
      <c r="W35" s="20">
        <f>MIN(MAX(0,(SUMPRODUCT(Oxides_min!$C35:$BB35,Factors!$C$30:$BB$30)+SUMPRODUCT(Oxides_max!$C35:$BB35,Factors!$C$30:$BB$30))/2),ABS(SUMPRODUCT(Oxides_max!$C35:$BB35,Factors!$C$30:$BB$30)-SUMPRODUCT(Oxides_min!$C35:$BB35,Factors!$C$30:$BB$30))/2)</f>
        <v>0</v>
      </c>
      <c r="X35" s="20">
        <f>MIN(MAX(0,(SUMPRODUCT(Oxides_min!$C35:$BB35,Factors!$C$31:$BB$31)+SUMPRODUCT(Oxides_max!$C35:$BB35,Factors!$C$31:$BB$31))/2),ABS(SUMPRODUCT(Oxides_max!$C35:$BB35,Factors!$C$31:$BB$31)-SUMPRODUCT(Oxides_min!$C35:$BB35,Factors!$C$31:$BB$31))/2)</f>
        <v>0</v>
      </c>
      <c r="Y35" s="20">
        <f>MIN(MAX(0,(SUMPRODUCT(Oxides_min!$C35:$BB35,Factors!$C$32:$BB$32)+SUMPRODUCT(Oxides_max!$C35:$BB35,Factors!$C$32:$BB$32))/2),ABS(SUMPRODUCT(Oxides_max!$C35:$BB35,Factors!$C$32:$BB$32)-SUMPRODUCT(Oxides_min!$C35:$BB35,Factors!$C$32:$BB$32))/2)</f>
        <v>0</v>
      </c>
      <c r="Z35" s="20">
        <f>MIN(MAX(0,(SUMPRODUCT(Oxides_min!$C35:$BB35,Factors!$C$33:$BB$33)+SUMPRODUCT(Oxides_max!$C35:$BB35,Factors!$C$33:$BB$33))/2),ABS(SUMPRODUCT(Oxides_max!$C35:$BB35,Factors!$C$33:$BB$33)-SUMPRODUCT(Oxides_min!$C35:$BB35,Factors!$C$33:$BB$33))/2)</f>
        <v>0</v>
      </c>
      <c r="AA35" s="20">
        <f>MIN(MAX(0,(SUMPRODUCT(Oxides_min!$C35:$BB35,Factors!$C$34:$BB$34)+SUMPRODUCT(Oxides_max!$C35:$BB35,Factors!$C$34:$BB$34))/2),ABS(SUMPRODUCT(Oxides_max!$C35:$BB35,Factors!$C$34:$BB$34)-SUMPRODUCT(Oxides_min!$C35:$BB35,Factors!$C$34:$BB$34))/2)</f>
        <v>0</v>
      </c>
      <c r="AB35" s="20">
        <f>MIN(MAX(0,(SUMPRODUCT(Oxides_min!$C35:$BB35,Factors!$C$35:$BB$35)+SUMPRODUCT(Oxides_max!$C35:$BB35,Factors!$C$35:$BB$35))/2),ABS(SUMPRODUCT(Oxides_max!$C35:$BB35,Factors!$C$35:$BB$35)-SUMPRODUCT(Oxides_min!$C35:$BB35,Factors!$C$35:$BB$35))/2)</f>
        <v>0</v>
      </c>
      <c r="AC35" s="20">
        <f>MIN(MAX(0,(SUMPRODUCT(Oxides_min!$C35:$BB35,Factors!$C$36:$BB$36)+SUMPRODUCT(Oxides_max!$C35:$BB35,Factors!$C$36:$BB$36))/2),ABS(SUMPRODUCT(Oxides_max!$C35:$BB35,Factors!$C$36:$BB$36)-SUMPRODUCT(Oxides_min!$C35:$BB35,Factors!$C$36:$BB$36))/2)</f>
        <v>0</v>
      </c>
      <c r="AD35" s="20">
        <f>MIN(MAX(0,(SUMPRODUCT(Oxides_min!$C35:$BB35,Factors!$C$37:$BB$37)+SUMPRODUCT(Oxides_max!$C35:$BB35,Factors!$C$37:$BB$37))/2),ABS(SUMPRODUCT(Oxides_max!$C35:$BB35,Factors!$C$37:$BB$37)-SUMPRODUCT(Oxides_min!$C35:$BB35,Factors!$C$37:$BB$37))/2)</f>
        <v>0</v>
      </c>
      <c r="AE35" s="20">
        <f>MIN(MAX(0,(SUMPRODUCT(Oxides_min!$C35:$BB35,Factors!$C$38:$BB$38)+SUMPRODUCT(Oxides_max!$C35:$BB35,Factors!$C$38:$BB$38))/2),ABS(SUMPRODUCT(Oxides_max!$C35:$BB35,Factors!$C$38:$BB$38)-SUMPRODUCT(Oxides_min!$C35:$BB35,Factors!$C$38:$BB$38))/2)</f>
        <v>0</v>
      </c>
      <c r="AF35" s="20">
        <f>MIN(MAX(0,(SUMPRODUCT(Oxides_min!$C35:$BB35,Factors!$C$39:$BB$39)+SUMPRODUCT(Oxides_max!$C35:$BB35,Factors!$C$39:$BB$39))/2),ABS(SUMPRODUCT(Oxides_max!$C35:$BB35,Factors!$C$39:$BB$39)-SUMPRODUCT(Oxides_min!$C35:$BB35,Factors!$C$39:$BB$39))/2)</f>
        <v>0</v>
      </c>
      <c r="AG35" s="20">
        <f>MIN(MAX(0,(SUMPRODUCT(Oxides_min!$C35:$BB35,Factors!$C$40:$BB$40)+SUMPRODUCT(Oxides_max!$C35:$BB35,Factors!$C$40:$BB$40))/2),ABS(SUMPRODUCT(Oxides_max!$C35:$BB35,Factors!$C$40:$BB$40)-SUMPRODUCT(Oxides_min!$C35:$BB35,Factors!$C$40:$BB$40))/2)</f>
        <v>0</v>
      </c>
      <c r="AH35" s="20">
        <f>MIN(MAX(0,(SUMPRODUCT(Oxides_min!$C35:$BB35,Factors!$C$41:$BB$41)+SUMPRODUCT(Oxides_max!$C35:$BB35,Factors!$C$41:$BB$41))/2),ABS(SUMPRODUCT(Oxides_max!$C35:$BB35,Factors!$C$41:$BB$41)-SUMPRODUCT(Oxides_min!$C35:$BB35,Factors!$C$41:$BB$41))/2)</f>
        <v>0</v>
      </c>
      <c r="AI35" s="20">
        <f>MIN(MAX(0,(SUMPRODUCT(Oxides_min!$C35:$BB35,Factors!$C$42:$BB$42)+SUMPRODUCT(Oxides_max!$C35:$BB35,Factors!$C$42:$BB$42))/2),ABS(SUMPRODUCT(Oxides_max!$C35:$BB35,Factors!$C$42:$BB$42)-SUMPRODUCT(Oxides_min!$C35:$BB35,Factors!$C$42:$BB$42))/2)</f>
        <v>0</v>
      </c>
      <c r="AJ35" s="20">
        <f>MIN(MAX(0,(SUMPRODUCT(Oxides_min!$C35:$BB35,Factors!$C$43:$BB$43)+SUMPRODUCT(Oxides_max!$C35:$BB35,Factors!$C$43:$BB$43))/2),ABS(SUMPRODUCT(Oxides_max!$C35:$BB35,Factors!$C$43:$BB$43)-SUMPRODUCT(Oxides_min!$C35:$BB35,Factors!$C$43:$BB$43))/2)</f>
        <v>0</v>
      </c>
      <c r="AK35" s="20">
        <f>MIN(MAX(0,(SUMPRODUCT(Oxides_min!$C35:$BB35,Factors!$C$44:$BB$44)+SUMPRODUCT(Oxides_max!$C35:$BB35,Factors!$C$44:$BB$44))/2),ABS(SUMPRODUCT(Oxides_max!$C35:$BB35,Factors!$C$44:$BB$44)-SUMPRODUCT(Oxides_min!$C35:$BB35,Factors!$C$44:$BB$44))/2)</f>
        <v>0</v>
      </c>
      <c r="AL35" s="20">
        <f>MIN(MAX(0,(SUMPRODUCT(Oxides_min!$C35:$BB35,Factors!$C$45:$BB$45)+SUMPRODUCT(Oxides_max!$C35:$BB35,Factors!$C$45:$BB$45))/2),ABS(SUMPRODUCT(Oxides_max!$C35:$BB35,Factors!$C$45:$BB$45)-SUMPRODUCT(Oxides_min!$C35:$BB35,Factors!$C$45:$BB$45))/2)</f>
        <v>0</v>
      </c>
      <c r="AM35" s="20">
        <f>MIN(MAX(0,(SUMPRODUCT(Oxides_min!$C35:$BB35,Factors!$C$46:$BB$46)+SUMPRODUCT(Oxides_max!$C35:$BB35,Factors!$C$46:$BB$46))/2),ABS(SUMPRODUCT(Oxides_max!$C35:$BB35,Factors!$C$46:$BB$46)-SUMPRODUCT(Oxides_min!$C35:$BB35,Factors!$C$46:$BB$46))/2)</f>
        <v>0</v>
      </c>
      <c r="AN35" s="20">
        <f>MIN(MAX(0,(SUMPRODUCT(Oxides_min!$C35:$BB35,Factors!$C$47:$BB$47)+SUMPRODUCT(Oxides_max!$C35:$BB35,Factors!$C$47:$BB$47))/2),ABS(SUMPRODUCT(Oxides_max!$C35:$BB35,Factors!$C$47:$BB$47)-SUMPRODUCT(Oxides_min!$C35:$BB35,Factors!$C$47:$BB$47))/2)</f>
        <v>0</v>
      </c>
      <c r="AO35" s="20">
        <f>MIN(MAX(0,(SUMPRODUCT(Oxides_min!$C35:$BB35,Factors!$C$48:$BB$48)+SUMPRODUCT(Oxides_max!$C35:$BB35,Factors!$C$48:$BB$48))/2),ABS(SUMPRODUCT(Oxides_max!$C35:$BB35,Factors!$C$48:$BB$48)-SUMPRODUCT(Oxides_min!$C35:$BB35,Factors!$C$48:$BB$48))/2)</f>
        <v>0</v>
      </c>
      <c r="AP35" s="20">
        <f>MIN(MAX(0,(SUMPRODUCT(Oxides_min!$C35:$BB35,Factors!$C$49:$BB$49)+SUMPRODUCT(Oxides_max!$C35:$BB35,Factors!$C$49:$BB$49))/2),ABS(SUMPRODUCT(Oxides_max!$C35:$BB35,Factors!$C$49:$BB$49)-SUMPRODUCT(Oxides_min!$C35:$BB35,Factors!$C$49:$BB$49))/2)</f>
        <v>0</v>
      </c>
      <c r="AQ35" s="20">
        <f>MIN(MAX(0,(SUMPRODUCT(Oxides_min!$C35:$BB35,Factors!$C$50:$BB$50)+SUMPRODUCT(Oxides_max!$C35:$BB35,Factors!$C$50:$BB$50))/2),ABS(SUMPRODUCT(Oxides_max!$C35:$BB35,Factors!$C$50:$BB$50)-SUMPRODUCT(Oxides_min!$C35:$BB35,Factors!$C$50:$BB$50))/2)</f>
        <v>0</v>
      </c>
      <c r="AR35" s="20">
        <f>MIN(MAX(0,(SUMPRODUCT(Oxides_min!$C35:$BB35,Factors!$C$51:$BB$51)+SUMPRODUCT(Oxides_max!$C35:$BB35,Factors!$C$51:$BB$51))/2),ABS(SUMPRODUCT(Oxides_max!$C35:$BB35,Factors!$C$51:$BB$51)-SUMPRODUCT(Oxides_min!$C35:$BB35,Factors!$C$51:$BB$51))/2)</f>
        <v>0</v>
      </c>
      <c r="AS35" s="20">
        <f>MIN(MAX(0,(SUMPRODUCT(Oxides_min!$C35:$BB35,Factors!$C$52:$BB$52)+SUMPRODUCT(Oxides_max!$C35:$BB35,Factors!$C$52:$BB$52))/2),ABS(SUMPRODUCT(Oxides_max!$C35:$BB35,Factors!$C$52:$BB$52)-SUMPRODUCT(Oxides_min!$C35:$BB35,Factors!$C$52:$BB$52))/2)</f>
        <v>0</v>
      </c>
      <c r="AT35" s="20">
        <f>MIN(MAX(0,(SUMPRODUCT(Oxides_min!$C35:$BB35,Factors!$C$53:$BB$53)+SUMPRODUCT(Oxides_max!$C35:$BB35,Factors!$C$53:$BB$53))/2),ABS(SUMPRODUCT(Oxides_max!$C35:$BB35,Factors!$C$53:$BB$53)-SUMPRODUCT(Oxides_min!$C35:$BB35,Factors!$C$53:$BB$53))/2)</f>
        <v>0</v>
      </c>
      <c r="AU35" s="20">
        <f>MIN(MAX(0,(SUMPRODUCT(Oxides_min!$C35:$BB35,Factors!$C$54:$BB$54)+SUMPRODUCT(Oxides_max!$C35:$BB35,Factors!$C$54:$BB$54))/2),ABS(SUMPRODUCT(Oxides_max!$C35:$BB35,Factors!$C$54:$BB$54)-SUMPRODUCT(Oxides_min!$C35:$BB35,Factors!$C$54:$BB$54))/2)</f>
        <v>0</v>
      </c>
      <c r="AV35" s="20">
        <f>MIN(MAX(0,(SUMPRODUCT(Oxides_min!$C35:$BB35,Factors!$C$55:$BB$55)+SUMPRODUCT(Oxides_max!$C35:$BB35,Factors!$C$55:$BB$55))/2),ABS(SUMPRODUCT(Oxides_max!$C35:$BB35,Factors!$C$55:$BB$55)-SUMPRODUCT(Oxides_min!$C35:$BB35,Factors!$C$55:$BB$55))/2)</f>
        <v>0</v>
      </c>
      <c r="AW35" s="20">
        <f>MIN(MAX(0,(SUMPRODUCT(Oxides_min!$C35:$BB35,Factors!$C$56:$BB$56)+SUMPRODUCT(Oxides_max!$C35:$BB35,Factors!$C$56:$BB$56))/2),ABS(SUMPRODUCT(Oxides_max!$C35:$BB35,Factors!$C$56:$BB$56)-SUMPRODUCT(Oxides_min!$C35:$BB35,Factors!$C$56:$BB$56))/2)</f>
        <v>0</v>
      </c>
      <c r="AX35" s="20">
        <f>MIN(MAX(0,(SUMPRODUCT(Oxides_min!$C35:$BB35,Factors!$C$57:$BB$57)+SUMPRODUCT(Oxides_max!$C35:$BB35,Factors!$C$57:$BB$57))/2),ABS(SUMPRODUCT(Oxides_max!$C35:$BB35,Factors!$C$57:$BB$57)-SUMPRODUCT(Oxides_min!$C35:$BB35,Factors!$C$57:$BB$57))/2)</f>
        <v>0</v>
      </c>
      <c r="AY35" s="20">
        <f>MIN(MAX(0,(SUMPRODUCT(Oxides_min!$C35:$BB35,Factors!$C$58:$BB$58)+SUMPRODUCT(Oxides_max!$C35:$BB35,Factors!$C$58:$BB$58))/2),ABS(SUMPRODUCT(Oxides_max!$C35:$BB35,Factors!$C$58:$BB$58)-SUMPRODUCT(Oxides_min!$C35:$BB35,Factors!$C$58:$BB$58))/2)</f>
        <v>0</v>
      </c>
      <c r="AZ35" s="18">
        <f t="shared" si="2"/>
        <v>1.6749999999999989</v>
      </c>
    </row>
    <row r="36" spans="1:52" x14ac:dyDescent="0.35">
      <c r="A36" s="13" t="s">
        <v>346</v>
      </c>
      <c r="B36" s="20">
        <f>MIN(MAX(0,(SUMPRODUCT(Oxides_min!$C36:$BB36,Factors!$C$9:$BB$9)+SUMPRODUCT(Oxides_max!$C36:$BB36,Factors!$C$9:$BB$9))/2),ABS(SUMPRODUCT(Oxides_max!$C36:$BB36,Factors!$C$9:$BB$9)-SUMPRODUCT(Oxides_min!$C36:$BB36,Factors!$C$9:$BB$9))/2)</f>
        <v>2.4596684594595875</v>
      </c>
      <c r="C36" s="20">
        <f>MIN(MAX(0,(SUMPRODUCT(Oxides_min!$C36:$BB36,Factors!$C$10:$BB$10)+SUMPRODUCT(Oxides_max!$C36:$BB36,Factors!$C$10:$BB$10))/2),ABS(SUMPRODUCT(Oxides_max!$C36:$BB36,Factors!$C$10:$BB$10)-SUMPRODUCT(Oxides_min!$C36:$BB36,Factors!$C$10:$BB$10))/2)</f>
        <v>0.48379699748680993</v>
      </c>
      <c r="D36" s="20">
        <f>MIN(MAX(0,(SUMPRODUCT(Oxides_min!$C36:$BB36,Factors!$C$11:$BB$11)+SUMPRODUCT(Oxides_max!$C36:$BB36,Factors!$C$11:$BB$11))/2),ABS(SUMPRODUCT(Oxides_max!$C36:$BB36,Factors!$C$11:$BB$11)-SUMPRODUCT(Oxides_min!$C36:$BB36,Factors!$C$11:$BB$11))/2)</f>
        <v>2.9967445063544734E-2</v>
      </c>
      <c r="E36" s="20">
        <f>MIN(MAX(0,(SUMPRODUCT(Oxides_min!$C36:$BB36,Factors!$C$12:$BB$12)+SUMPRODUCT(Oxides_max!$C36:$BB36,Factors!$C$12:$BB$12))/2),ABS(SUMPRODUCT(Oxides_max!$C36:$BB36,Factors!$C$12:$BB$12)-SUMPRODUCT(Oxides_min!$C36:$BB36,Factors!$C$12:$BB$12))/2)</f>
        <v>0</v>
      </c>
      <c r="F36" s="20">
        <f>MIN(MAX(0,(SUMPRODUCT(Oxides_min!$C36:$BB36,Factors!$C$13:$BB$13)+SUMPRODUCT(Oxides_max!$C36:$BB36,Factors!$C$13:$BB$13))/2),ABS(SUMPRODUCT(Oxides_max!$C36:$BB36,Factors!$C$13:$BB$13)-SUMPRODUCT(Oxides_min!$C36:$BB36,Factors!$C$13:$BB$13))/2)</f>
        <v>0</v>
      </c>
      <c r="G36" s="20">
        <f>MIN(MAX(0,(SUMPRODUCT(Oxides_min!$C36:$BB36,Factors!$C$14:$BB$14)+SUMPRODUCT(Oxides_max!$C36:$BB36,Factors!$C$14:$BB$14))/2),ABS(SUMPRODUCT(Oxides_max!$C36:$BB36,Factors!$C$14:$BB$14)-SUMPRODUCT(Oxides_min!$C36:$BB36,Factors!$C$14:$BB$14))/2)</f>
        <v>0</v>
      </c>
      <c r="H36" s="20">
        <f>MIN(MAX(0,(SUMPRODUCT(Oxides_min!$C36:$BB36,Factors!$C$15:$BB$15)+SUMPRODUCT(Oxides_max!$C36:$BB36,Factors!$C$15:$BB$15))/2),ABS(SUMPRODUCT(Oxides_max!$C36:$BB36,Factors!$C$15:$BB$15)-SUMPRODUCT(Oxides_min!$C36:$BB36,Factors!$C$15:$BB$15))/2)</f>
        <v>0.34137071772709632</v>
      </c>
      <c r="I36" s="20">
        <f>MIN(MAX(0,(SUMPRODUCT(Oxides_min!$C36:$BB36,Factors!$C$16:$BB$16)+SUMPRODUCT(Oxides_max!$C36:$BB36,Factors!$C$16:$BB$16))/2),ABS(SUMPRODUCT(Oxides_max!$C36:$BB36,Factors!$C$16:$BB$16)-SUMPRODUCT(Oxides_min!$C36:$BB36,Factors!$C$16:$BB$16))/2)</f>
        <v>0.22930620511107397</v>
      </c>
      <c r="J36" s="20">
        <f>MIN(MAX(0,(SUMPRODUCT(Oxides_min!$C36:$BB36,Factors!$C$17:$BB$17)+SUMPRODUCT(Oxides_max!$C36:$BB36,Factors!$C$17:$BB$17))/2),ABS(SUMPRODUCT(Oxides_max!$C36:$BB36,Factors!$C$17:$BB$17)-SUMPRODUCT(Oxides_min!$C36:$BB36,Factors!$C$17:$BB$17))/2)</f>
        <v>0</v>
      </c>
      <c r="K36" s="20">
        <f>MIN(MAX(0,(SUMPRODUCT(Oxides_min!$C36:$BB36,Factors!$C$18:$BB$18)+SUMPRODUCT(Oxides_max!$C36:$BB36,Factors!$C$18:$BB$18))/2),ABS(SUMPRODUCT(Oxides_max!$C36:$BB36,Factors!$C$18:$BB$18)-SUMPRODUCT(Oxides_min!$C36:$BB36,Factors!$C$18:$BB$18))/2)</f>
        <v>0</v>
      </c>
      <c r="L36" s="20">
        <f>MIN(MAX(0,(SUMPRODUCT(Oxides_min!$C36:$BB36,Factors!$C$19:$BB$19)+SUMPRODUCT(Oxides_max!$C36:$BB36,Factors!$C$19:$BB$19))/2),ABS(SUMPRODUCT(Oxides_max!$C36:$BB36,Factors!$C$19:$BB$19)-SUMPRODUCT(Oxides_min!$C36:$BB36,Factors!$C$19:$BB$19))/2)</f>
        <v>0</v>
      </c>
      <c r="M36" s="20">
        <f>MIN(MAX(0,(SUMPRODUCT(Oxides_min!$C36:$BB36,Factors!$C$20:$BB$20)+SUMPRODUCT(Oxides_max!$C36:$BB36,Factors!$C$20:$BB$20))/2),ABS(SUMPRODUCT(Oxides_max!$C36:$BB36,Factors!$C$20:$BB$20)-SUMPRODUCT(Oxides_min!$C36:$BB36,Factors!$C$20:$BB$20))/2)</f>
        <v>3.0152094084954346E-3</v>
      </c>
      <c r="N36" s="20">
        <f>MIN(MAX(0,(SUMPRODUCT(Oxides_min!$C36:$BB36,Factors!$C$21:$BB$21)+SUMPRODUCT(Oxides_max!$C36:$BB36,Factors!$C$21:$BB$21))/2),ABS(SUMPRODUCT(Oxides_max!$C36:$BB36,Factors!$C$21:$BB$21)-SUMPRODUCT(Oxides_min!$C36:$BB36,Factors!$C$21:$BB$21))/2)</f>
        <v>0</v>
      </c>
      <c r="O36" s="20">
        <f>MIN(MAX(0,(SUMPRODUCT(Oxides_min!$C36:$BB36,Factors!$C$22:$BB$22)+SUMPRODUCT(Oxides_max!$C36:$BB36,Factors!$C$22:$BB$22))/2),ABS(SUMPRODUCT(Oxides_max!$C36:$BB36,Factors!$C$22:$BB$22)-SUMPRODUCT(Oxides_min!$C36:$BB36,Factors!$C$22:$BB$22))/2)</f>
        <v>0</v>
      </c>
      <c r="P36" s="20">
        <f>MIN(MAX(0,(SUMPRODUCT(Oxides_min!$C36:$BB36,Factors!$C$23:$BB$23)+SUMPRODUCT(Oxides_max!$C36:$BB36,Factors!$C$23:$BB$23))/2),ABS(SUMPRODUCT(Oxides_max!$C36:$BB36,Factors!$C$23:$BB$23)-SUMPRODUCT(Oxides_min!$C36:$BB36,Factors!$C$23:$BB$23))/2)</f>
        <v>0</v>
      </c>
      <c r="Q36" s="20">
        <f>MIN(MAX(0,(SUMPRODUCT(Oxides_min!$C36:$BB36,Factors!$C$24:$BB$24)+SUMPRODUCT(Oxides_max!$C36:$BB36,Factors!$C$24:$BB$24))/2),ABS(SUMPRODUCT(Oxides_max!$C36:$BB36,Factors!$C$24:$BB$24)-SUMPRODUCT(Oxides_min!$C36:$BB36,Factors!$C$24:$BB$24))/2)</f>
        <v>4.6415978566212213E-2</v>
      </c>
      <c r="R36" s="20">
        <f>MIN(MAX(0,(SUMPRODUCT(Oxides_min!$C36:$BB36,Factors!$C$25:$BB$25)+SUMPRODUCT(Oxides_max!$C36:$BB36,Factors!$C$25:$BB$25))/2),ABS(SUMPRODUCT(Oxides_max!$C36:$BB36,Factors!$C$25:$BB$25)-SUMPRODUCT(Oxides_min!$C36:$BB36,Factors!$C$25:$BB$25))/2)</f>
        <v>0</v>
      </c>
      <c r="S36" s="20">
        <f>MIN(MAX(0,(SUMPRODUCT(Oxides_min!$C36:$BB36,Factors!$C$26:$BB$26)+SUMPRODUCT(Oxides_max!$C36:$BB36,Factors!$C$26:$BB$26))/2),ABS(SUMPRODUCT(Oxides_max!$C36:$BB36,Factors!$C$26:$BB$26)-SUMPRODUCT(Oxides_min!$C36:$BB36,Factors!$C$26:$BB$26))/2)</f>
        <v>0</v>
      </c>
      <c r="T36" s="20">
        <f>MIN(MAX(0,(SUMPRODUCT(Oxides_min!$C36:$BB36,Factors!$C$27:$BB$27)+SUMPRODUCT(Oxides_max!$C36:$BB36,Factors!$C$27:$BB$27))/2),ABS(SUMPRODUCT(Oxides_max!$C36:$BB36,Factors!$C$27:$BB$27)-SUMPRODUCT(Oxides_min!$C36:$BB36,Factors!$C$27:$BB$27))/2)</f>
        <v>0</v>
      </c>
      <c r="U36" s="20">
        <f>MIN(MAX(0,(SUMPRODUCT(Oxides_min!$C36:$BB36,Factors!$C$28:$BB$28)+SUMPRODUCT(Oxides_max!$C36:$BB36,Factors!$C$28:$BB$28))/2),ABS(SUMPRODUCT(Oxides_max!$C36:$BB36,Factors!$C$28:$BB$28)-SUMPRODUCT(Oxides_min!$C36:$BB36,Factors!$C$28:$BB$28))/2)</f>
        <v>0</v>
      </c>
      <c r="V36" s="20">
        <f>MIN(MAX(0,(SUMPRODUCT(Oxides_min!$C36:$BB36,Factors!$C$29:$BB$29)+SUMPRODUCT(Oxides_max!$C36:$BB36,Factors!$C$29:$BB$29))/2),ABS(SUMPRODUCT(Oxides_max!$C36:$BB36,Factors!$C$29:$BB$29)-SUMPRODUCT(Oxides_min!$C36:$BB36,Factors!$C$29:$BB$29))/2)</f>
        <v>0</v>
      </c>
      <c r="W36" s="20">
        <f>MIN(MAX(0,(SUMPRODUCT(Oxides_min!$C36:$BB36,Factors!$C$30:$BB$30)+SUMPRODUCT(Oxides_max!$C36:$BB36,Factors!$C$30:$BB$30))/2),ABS(SUMPRODUCT(Oxides_max!$C36:$BB36,Factors!$C$30:$BB$30)-SUMPRODUCT(Oxides_min!$C36:$BB36,Factors!$C$30:$BB$30))/2)</f>
        <v>0</v>
      </c>
      <c r="X36" s="20">
        <f>MIN(MAX(0,(SUMPRODUCT(Oxides_min!$C36:$BB36,Factors!$C$31:$BB$31)+SUMPRODUCT(Oxides_max!$C36:$BB36,Factors!$C$31:$BB$31))/2),ABS(SUMPRODUCT(Oxides_max!$C36:$BB36,Factors!$C$31:$BB$31)-SUMPRODUCT(Oxides_min!$C36:$BB36,Factors!$C$31:$BB$31))/2)</f>
        <v>0</v>
      </c>
      <c r="Y36" s="20">
        <f>MIN(MAX(0,(SUMPRODUCT(Oxides_min!$C36:$BB36,Factors!$C$32:$BB$32)+SUMPRODUCT(Oxides_max!$C36:$BB36,Factors!$C$32:$BB$32))/2),ABS(SUMPRODUCT(Oxides_max!$C36:$BB36,Factors!$C$32:$BB$32)-SUMPRODUCT(Oxides_min!$C36:$BB36,Factors!$C$32:$BB$32))/2)</f>
        <v>0</v>
      </c>
      <c r="Z36" s="20">
        <f>MIN(MAX(0,(SUMPRODUCT(Oxides_min!$C36:$BB36,Factors!$C$33:$BB$33)+SUMPRODUCT(Oxides_max!$C36:$BB36,Factors!$C$33:$BB$33))/2),ABS(SUMPRODUCT(Oxides_max!$C36:$BB36,Factors!$C$33:$BB$33)-SUMPRODUCT(Oxides_min!$C36:$BB36,Factors!$C$33:$BB$33))/2)</f>
        <v>0</v>
      </c>
      <c r="AA36" s="20">
        <f>MIN(MAX(0,(SUMPRODUCT(Oxides_min!$C36:$BB36,Factors!$C$34:$BB$34)+SUMPRODUCT(Oxides_max!$C36:$BB36,Factors!$C$34:$BB$34))/2),ABS(SUMPRODUCT(Oxides_max!$C36:$BB36,Factors!$C$34:$BB$34)-SUMPRODUCT(Oxides_min!$C36:$BB36,Factors!$C$34:$BB$34))/2)</f>
        <v>0</v>
      </c>
      <c r="AB36" s="20">
        <f>MIN(MAX(0,(SUMPRODUCT(Oxides_min!$C36:$BB36,Factors!$C$35:$BB$35)+SUMPRODUCT(Oxides_max!$C36:$BB36,Factors!$C$35:$BB$35))/2),ABS(SUMPRODUCT(Oxides_max!$C36:$BB36,Factors!$C$35:$BB$35)-SUMPRODUCT(Oxides_min!$C36:$BB36,Factors!$C$35:$BB$35))/2)</f>
        <v>0</v>
      </c>
      <c r="AC36" s="20">
        <f>MIN(MAX(0,(SUMPRODUCT(Oxides_min!$C36:$BB36,Factors!$C$36:$BB$36)+SUMPRODUCT(Oxides_max!$C36:$BB36,Factors!$C$36:$BB$36))/2),ABS(SUMPRODUCT(Oxides_max!$C36:$BB36,Factors!$C$36:$BB$36)-SUMPRODUCT(Oxides_min!$C36:$BB36,Factors!$C$36:$BB$36))/2)</f>
        <v>0</v>
      </c>
      <c r="AD36" s="20">
        <f>MIN(MAX(0,(SUMPRODUCT(Oxides_min!$C36:$BB36,Factors!$C$37:$BB$37)+SUMPRODUCT(Oxides_max!$C36:$BB36,Factors!$C$37:$BB$37))/2),ABS(SUMPRODUCT(Oxides_max!$C36:$BB36,Factors!$C$37:$BB$37)-SUMPRODUCT(Oxides_min!$C36:$BB36,Factors!$C$37:$BB$37))/2)</f>
        <v>4.8119900083263945E-2</v>
      </c>
      <c r="AE36" s="20">
        <f>MIN(MAX(0,(SUMPRODUCT(Oxides_min!$C36:$BB36,Factors!$C$38:$BB$38)+SUMPRODUCT(Oxides_max!$C36:$BB36,Factors!$C$38:$BB$38))/2),ABS(SUMPRODUCT(Oxides_max!$C36:$BB36,Factors!$C$38:$BB$38)-SUMPRODUCT(Oxides_min!$C36:$BB36,Factors!$C$38:$BB$38))/2)</f>
        <v>0</v>
      </c>
      <c r="AF36" s="20">
        <f>MIN(MAX(0,(SUMPRODUCT(Oxides_min!$C36:$BB36,Factors!$C$39:$BB$39)+SUMPRODUCT(Oxides_max!$C36:$BB36,Factors!$C$39:$BB$39))/2),ABS(SUMPRODUCT(Oxides_max!$C36:$BB36,Factors!$C$39:$BB$39)-SUMPRODUCT(Oxides_min!$C36:$BB36,Factors!$C$39:$BB$39))/2)</f>
        <v>0</v>
      </c>
      <c r="AG36" s="20">
        <f>MIN(MAX(0,(SUMPRODUCT(Oxides_min!$C36:$BB36,Factors!$C$40:$BB$40)+SUMPRODUCT(Oxides_max!$C36:$BB36,Factors!$C$40:$BB$40))/2),ABS(SUMPRODUCT(Oxides_max!$C36:$BB36,Factors!$C$40:$BB$40)-SUMPRODUCT(Oxides_min!$C36:$BB36,Factors!$C$40:$BB$40))/2)</f>
        <v>4.3281483242606953</v>
      </c>
      <c r="AH36" s="20">
        <f>MIN(MAX(0,(SUMPRODUCT(Oxides_min!$C36:$BB36,Factors!$C$41:$BB$41)+SUMPRODUCT(Oxides_max!$C36:$BB36,Factors!$C$41:$BB$41))/2),ABS(SUMPRODUCT(Oxides_max!$C36:$BB36,Factors!$C$41:$BB$41)-SUMPRODUCT(Oxides_min!$C36:$BB36,Factors!$C$41:$BB$41))/2)</f>
        <v>3.6846729231542144</v>
      </c>
      <c r="AI36" s="20">
        <f>MIN(MAX(0,(SUMPRODUCT(Oxides_min!$C36:$BB36,Factors!$C$42:$BB$42)+SUMPRODUCT(Oxides_max!$C36:$BB36,Factors!$C$42:$BB$42))/2),ABS(SUMPRODUCT(Oxides_max!$C36:$BB36,Factors!$C$42:$BB$42)-SUMPRODUCT(Oxides_min!$C36:$BB36,Factors!$C$42:$BB$42))/2)</f>
        <v>0</v>
      </c>
      <c r="AJ36" s="20">
        <f>MIN(MAX(0,(SUMPRODUCT(Oxides_min!$C36:$BB36,Factors!$C$43:$BB$43)+SUMPRODUCT(Oxides_max!$C36:$BB36,Factors!$C$43:$BB$43))/2),ABS(SUMPRODUCT(Oxides_max!$C36:$BB36,Factors!$C$43:$BB$43)-SUMPRODUCT(Oxides_min!$C36:$BB36,Factors!$C$43:$BB$43))/2)</f>
        <v>0</v>
      </c>
      <c r="AK36" s="20">
        <f>MIN(MAX(0,(SUMPRODUCT(Oxides_min!$C36:$BB36,Factors!$C$44:$BB$44)+SUMPRODUCT(Oxides_max!$C36:$BB36,Factors!$C$44:$BB$44))/2),ABS(SUMPRODUCT(Oxides_max!$C36:$BB36,Factors!$C$44:$BB$44)-SUMPRODUCT(Oxides_min!$C36:$BB36,Factors!$C$44:$BB$44))/2)</f>
        <v>0</v>
      </c>
      <c r="AL36" s="20">
        <f>MIN(MAX(0,(SUMPRODUCT(Oxides_min!$C36:$BB36,Factors!$C$45:$BB$45)+SUMPRODUCT(Oxides_max!$C36:$BB36,Factors!$C$45:$BB$45))/2),ABS(SUMPRODUCT(Oxides_max!$C36:$BB36,Factors!$C$45:$BB$45)-SUMPRODUCT(Oxides_min!$C36:$BB36,Factors!$C$45:$BB$45))/2)</f>
        <v>0.2305178396790046</v>
      </c>
      <c r="AM36" s="20">
        <f>MIN(MAX(0,(SUMPRODUCT(Oxides_min!$C36:$BB36,Factors!$C$46:$BB$46)+SUMPRODUCT(Oxides_max!$C36:$BB36,Factors!$C$46:$BB$46))/2),ABS(SUMPRODUCT(Oxides_max!$C36:$BB36,Factors!$C$46:$BB$46)-SUMPRODUCT(Oxides_min!$C36:$BB36,Factors!$C$46:$BB$46))/2)</f>
        <v>0</v>
      </c>
      <c r="AN36" s="20">
        <f>MIN(MAX(0,(SUMPRODUCT(Oxides_min!$C36:$BB36,Factors!$C$47:$BB$47)+SUMPRODUCT(Oxides_max!$C36:$BB36,Factors!$C$47:$BB$47))/2),ABS(SUMPRODUCT(Oxides_max!$C36:$BB36,Factors!$C$47:$BB$47)-SUMPRODUCT(Oxides_min!$C36:$BB36,Factors!$C$47:$BB$47))/2)</f>
        <v>0</v>
      </c>
      <c r="AO36" s="20">
        <f>MIN(MAX(0,(SUMPRODUCT(Oxides_min!$C36:$BB36,Factors!$C$48:$BB$48)+SUMPRODUCT(Oxides_max!$C36:$BB36,Factors!$C$48:$BB$48))/2),ABS(SUMPRODUCT(Oxides_max!$C36:$BB36,Factors!$C$48:$BB$48)-SUMPRODUCT(Oxides_min!$C36:$BB36,Factors!$C$48:$BB$48))/2)</f>
        <v>0</v>
      </c>
      <c r="AP36" s="20">
        <f>MIN(MAX(0,(SUMPRODUCT(Oxides_min!$C36:$BB36,Factors!$C$49:$BB$49)+SUMPRODUCT(Oxides_max!$C36:$BB36,Factors!$C$49:$BB$49))/2),ABS(SUMPRODUCT(Oxides_max!$C36:$BB36,Factors!$C$49:$BB$49)-SUMPRODUCT(Oxides_min!$C36:$BB36,Factors!$C$49:$BB$49))/2)</f>
        <v>0</v>
      </c>
      <c r="AQ36" s="20">
        <f>MIN(MAX(0,(SUMPRODUCT(Oxides_min!$C36:$BB36,Factors!$C$50:$BB$50)+SUMPRODUCT(Oxides_max!$C36:$BB36,Factors!$C$50:$BB$50))/2),ABS(SUMPRODUCT(Oxides_max!$C36:$BB36,Factors!$C$50:$BB$50)-SUMPRODUCT(Oxides_min!$C36:$BB36,Factors!$C$50:$BB$50))/2)</f>
        <v>0</v>
      </c>
      <c r="AR36" s="20">
        <f>MIN(MAX(0,(SUMPRODUCT(Oxides_min!$C36:$BB36,Factors!$C$51:$BB$51)+SUMPRODUCT(Oxides_max!$C36:$BB36,Factors!$C$51:$BB$51))/2),ABS(SUMPRODUCT(Oxides_max!$C36:$BB36,Factors!$C$51:$BB$51)-SUMPRODUCT(Oxides_min!$C36:$BB36,Factors!$C$51:$BB$51))/2)</f>
        <v>0</v>
      </c>
      <c r="AS36" s="20">
        <f>MIN(MAX(0,(SUMPRODUCT(Oxides_min!$C36:$BB36,Factors!$C$52:$BB$52)+SUMPRODUCT(Oxides_max!$C36:$BB36,Factors!$C$52:$BB$52))/2),ABS(SUMPRODUCT(Oxides_max!$C36:$BB36,Factors!$C$52:$BB$52)-SUMPRODUCT(Oxides_min!$C36:$BB36,Factors!$C$52:$BB$52))/2)</f>
        <v>0</v>
      </c>
      <c r="AT36" s="20">
        <f>MIN(MAX(0,(SUMPRODUCT(Oxides_min!$C36:$BB36,Factors!$C$53:$BB$53)+SUMPRODUCT(Oxides_max!$C36:$BB36,Factors!$C$53:$BB$53))/2),ABS(SUMPRODUCT(Oxides_max!$C36:$BB36,Factors!$C$53:$BB$53)-SUMPRODUCT(Oxides_min!$C36:$BB36,Factors!$C$53:$BB$53))/2)</f>
        <v>0</v>
      </c>
      <c r="AU36" s="20">
        <f>MIN(MAX(0,(SUMPRODUCT(Oxides_min!$C36:$BB36,Factors!$C$54:$BB$54)+SUMPRODUCT(Oxides_max!$C36:$BB36,Factors!$C$54:$BB$54))/2),ABS(SUMPRODUCT(Oxides_max!$C36:$BB36,Factors!$C$54:$BB$54)-SUMPRODUCT(Oxides_min!$C36:$BB36,Factors!$C$54:$BB$54))/2)</f>
        <v>0</v>
      </c>
      <c r="AV36" s="20">
        <f>MIN(MAX(0,(SUMPRODUCT(Oxides_min!$C36:$BB36,Factors!$C$55:$BB$55)+SUMPRODUCT(Oxides_max!$C36:$BB36,Factors!$C$55:$BB$55))/2),ABS(SUMPRODUCT(Oxides_max!$C36:$BB36,Factors!$C$55:$BB$55)-SUMPRODUCT(Oxides_min!$C36:$BB36,Factors!$C$55:$BB$55))/2)</f>
        <v>0</v>
      </c>
      <c r="AW36" s="20">
        <f>MIN(MAX(0,(SUMPRODUCT(Oxides_min!$C36:$BB36,Factors!$C$56:$BB$56)+SUMPRODUCT(Oxides_max!$C36:$BB36,Factors!$C$56:$BB$56))/2),ABS(SUMPRODUCT(Oxides_max!$C36:$BB36,Factors!$C$56:$BB$56)-SUMPRODUCT(Oxides_min!$C36:$BB36,Factors!$C$56:$BB$56))/2)</f>
        <v>0</v>
      </c>
      <c r="AX36" s="20">
        <f>MIN(MAX(0,(SUMPRODUCT(Oxides_min!$C36:$BB36,Factors!$C$57:$BB$57)+SUMPRODUCT(Oxides_max!$C36:$BB36,Factors!$C$57:$BB$57))/2),ABS(SUMPRODUCT(Oxides_max!$C36:$BB36,Factors!$C$57:$BB$57)-SUMPRODUCT(Oxides_min!$C36:$BB36,Factors!$C$57:$BB$57))/2)</f>
        <v>0</v>
      </c>
      <c r="AY36" s="20">
        <f>MIN(MAX(0,(SUMPRODUCT(Oxides_min!$C36:$BB36,Factors!$C$58:$BB$58)+SUMPRODUCT(Oxides_max!$C36:$BB36,Factors!$C$58:$BB$58))/2),ABS(SUMPRODUCT(Oxides_max!$C36:$BB36,Factors!$C$58:$BB$58)-SUMPRODUCT(Oxides_min!$C36:$BB36,Factors!$C$58:$BB$58))/2)</f>
        <v>0</v>
      </c>
      <c r="AZ36" s="18">
        <f t="shared" si="2"/>
        <v>11.884999999999998</v>
      </c>
    </row>
    <row r="37" spans="1:52" x14ac:dyDescent="0.35">
      <c r="A37" s="13" t="s">
        <v>348</v>
      </c>
      <c r="B37" s="20">
        <f>MIN(MAX(0,(SUMPRODUCT(Oxides_min!$C37:$BB37,Factors!$C$9:$BB$9)+SUMPRODUCT(Oxides_max!$C37:$BB37,Factors!$C$9:$BB$9))/2),ABS(SUMPRODUCT(Oxides_max!$C37:$BB37,Factors!$C$9:$BB$9)-SUMPRODUCT(Oxides_min!$C37:$BB37,Factors!$C$9:$BB$9))/2)</f>
        <v>0</v>
      </c>
      <c r="C37" s="20">
        <f>MIN(MAX(0,(SUMPRODUCT(Oxides_min!$C37:$BB37,Factors!$C$10:$BB$10)+SUMPRODUCT(Oxides_max!$C37:$BB37,Factors!$C$10:$BB$10))/2),ABS(SUMPRODUCT(Oxides_max!$C37:$BB37,Factors!$C$10:$BB$10)-SUMPRODUCT(Oxides_min!$C37:$BB37,Factors!$C$10:$BB$10))/2)</f>
        <v>0</v>
      </c>
      <c r="D37" s="20">
        <f>MIN(MAX(0,(SUMPRODUCT(Oxides_min!$C37:$BB37,Factors!$C$11:$BB$11)+SUMPRODUCT(Oxides_max!$C37:$BB37,Factors!$C$11:$BB$11))/2),ABS(SUMPRODUCT(Oxides_max!$C37:$BB37,Factors!$C$11:$BB$11)-SUMPRODUCT(Oxides_min!$C37:$BB37,Factors!$C$11:$BB$11))/2)</f>
        <v>0</v>
      </c>
      <c r="E37" s="20">
        <f>MIN(MAX(0,(SUMPRODUCT(Oxides_min!$C37:$BB37,Factors!$C$12:$BB$12)+SUMPRODUCT(Oxides_max!$C37:$BB37,Factors!$C$12:$BB$12))/2),ABS(SUMPRODUCT(Oxides_max!$C37:$BB37,Factors!$C$12:$BB$12)-SUMPRODUCT(Oxides_min!$C37:$BB37,Factors!$C$12:$BB$12))/2)</f>
        <v>0</v>
      </c>
      <c r="F37" s="20">
        <f>MIN(MAX(0,(SUMPRODUCT(Oxides_min!$C37:$BB37,Factors!$C$13:$BB$13)+SUMPRODUCT(Oxides_max!$C37:$BB37,Factors!$C$13:$BB$13))/2),ABS(SUMPRODUCT(Oxides_max!$C37:$BB37,Factors!$C$13:$BB$13)-SUMPRODUCT(Oxides_min!$C37:$BB37,Factors!$C$13:$BB$13))/2)</f>
        <v>0</v>
      </c>
      <c r="G37" s="20">
        <f>MIN(MAX(0,(SUMPRODUCT(Oxides_min!$C37:$BB37,Factors!$C$14:$BB$14)+SUMPRODUCT(Oxides_max!$C37:$BB37,Factors!$C$14:$BB$14))/2),ABS(SUMPRODUCT(Oxides_max!$C37:$BB37,Factors!$C$14:$BB$14)-SUMPRODUCT(Oxides_min!$C37:$BB37,Factors!$C$14:$BB$14))/2)</f>
        <v>0</v>
      </c>
      <c r="H37" s="20">
        <f>MIN(MAX(0,(SUMPRODUCT(Oxides_min!$C37:$BB37,Factors!$C$15:$BB$15)+SUMPRODUCT(Oxides_max!$C37:$BB37,Factors!$C$15:$BB$15))/2),ABS(SUMPRODUCT(Oxides_max!$C37:$BB37,Factors!$C$15:$BB$15)-SUMPRODUCT(Oxides_min!$C37:$BB37,Factors!$C$15:$BB$15))/2)</f>
        <v>7.9388539006300718E-2</v>
      </c>
      <c r="I37" s="20">
        <f>MIN(MAX(0,(SUMPRODUCT(Oxides_min!$C37:$BB37,Factors!$C$16:$BB$16)+SUMPRODUCT(Oxides_max!$C37:$BB37,Factors!$C$16:$BB$16))/2),ABS(SUMPRODUCT(Oxides_max!$C37:$BB37,Factors!$C$16:$BB$16)-SUMPRODUCT(Oxides_min!$C37:$BB37,Factors!$C$16:$BB$16))/2)</f>
        <v>0</v>
      </c>
      <c r="J37" s="20">
        <f>MIN(MAX(0,(SUMPRODUCT(Oxides_min!$C37:$BB37,Factors!$C$17:$BB$17)+SUMPRODUCT(Oxides_max!$C37:$BB37,Factors!$C$17:$BB$17))/2),ABS(SUMPRODUCT(Oxides_max!$C37:$BB37,Factors!$C$17:$BB$17)-SUMPRODUCT(Oxides_min!$C37:$BB37,Factors!$C$17:$BB$17))/2)</f>
        <v>0</v>
      </c>
      <c r="K37" s="20">
        <f>MIN(MAX(0,(SUMPRODUCT(Oxides_min!$C37:$BB37,Factors!$C$18:$BB$18)+SUMPRODUCT(Oxides_max!$C37:$BB37,Factors!$C$18:$BB$18))/2),ABS(SUMPRODUCT(Oxides_max!$C37:$BB37,Factors!$C$18:$BB$18)-SUMPRODUCT(Oxides_min!$C37:$BB37,Factors!$C$18:$BB$18))/2)</f>
        <v>0</v>
      </c>
      <c r="L37" s="20">
        <f>MIN(MAX(0,(SUMPRODUCT(Oxides_min!$C37:$BB37,Factors!$C$19:$BB$19)+SUMPRODUCT(Oxides_max!$C37:$BB37,Factors!$C$19:$BB$19))/2),ABS(SUMPRODUCT(Oxides_max!$C37:$BB37,Factors!$C$19:$BB$19)-SUMPRODUCT(Oxides_min!$C37:$BB37,Factors!$C$19:$BB$19))/2)</f>
        <v>0</v>
      </c>
      <c r="M37" s="20">
        <f>MIN(MAX(0,(SUMPRODUCT(Oxides_min!$C37:$BB37,Factors!$C$20:$BB$20)+SUMPRODUCT(Oxides_max!$C37:$BB37,Factors!$C$20:$BB$20))/2),ABS(SUMPRODUCT(Oxides_max!$C37:$BB37,Factors!$C$20:$BB$20)-SUMPRODUCT(Oxides_min!$C37:$BB37,Factors!$C$20:$BB$20))/2)</f>
        <v>0</v>
      </c>
      <c r="N37" s="20">
        <f>MIN(MAX(0,(SUMPRODUCT(Oxides_min!$C37:$BB37,Factors!$C$21:$BB$21)+SUMPRODUCT(Oxides_max!$C37:$BB37,Factors!$C$21:$BB$21))/2),ABS(SUMPRODUCT(Oxides_max!$C37:$BB37,Factors!$C$21:$BB$21)-SUMPRODUCT(Oxides_min!$C37:$BB37,Factors!$C$21:$BB$21))/2)</f>
        <v>0</v>
      </c>
      <c r="O37" s="20">
        <f>MIN(MAX(0,(SUMPRODUCT(Oxides_min!$C37:$BB37,Factors!$C$22:$BB$22)+SUMPRODUCT(Oxides_max!$C37:$BB37,Factors!$C$22:$BB$22))/2),ABS(SUMPRODUCT(Oxides_max!$C37:$BB37,Factors!$C$22:$BB$22)-SUMPRODUCT(Oxides_min!$C37:$BB37,Factors!$C$22:$BB$22))/2)</f>
        <v>0</v>
      </c>
      <c r="P37" s="20">
        <f>MIN(MAX(0,(SUMPRODUCT(Oxides_min!$C37:$BB37,Factors!$C$23:$BB$23)+SUMPRODUCT(Oxides_max!$C37:$BB37,Factors!$C$23:$BB$23))/2),ABS(SUMPRODUCT(Oxides_max!$C37:$BB37,Factors!$C$23:$BB$23)-SUMPRODUCT(Oxides_min!$C37:$BB37,Factors!$C$23:$BB$23))/2)</f>
        <v>0</v>
      </c>
      <c r="Q37" s="20">
        <f>MIN(MAX(0,(SUMPRODUCT(Oxides_min!$C37:$BB37,Factors!$C$24:$BB$24)+SUMPRODUCT(Oxides_max!$C37:$BB37,Factors!$C$24:$BB$24))/2),ABS(SUMPRODUCT(Oxides_max!$C37:$BB37,Factors!$C$24:$BB$24)-SUMPRODUCT(Oxides_min!$C37:$BB37,Factors!$C$24:$BB$24))/2)</f>
        <v>0</v>
      </c>
      <c r="R37" s="20">
        <f>MIN(MAX(0,(SUMPRODUCT(Oxides_min!$C37:$BB37,Factors!$C$25:$BB$25)+SUMPRODUCT(Oxides_max!$C37:$BB37,Factors!$C$25:$BB$25))/2),ABS(SUMPRODUCT(Oxides_max!$C37:$BB37,Factors!$C$25:$BB$25)-SUMPRODUCT(Oxides_min!$C37:$BB37,Factors!$C$25:$BB$25))/2)</f>
        <v>0.21884936609257366</v>
      </c>
      <c r="S37" s="20">
        <f>MIN(MAX(0,(SUMPRODUCT(Oxides_min!$C37:$BB37,Factors!$C$26:$BB$26)+SUMPRODUCT(Oxides_max!$C37:$BB37,Factors!$C$26:$BB$26))/2),ABS(SUMPRODUCT(Oxides_max!$C37:$BB37,Factors!$C$26:$BB$26)-SUMPRODUCT(Oxides_min!$C37:$BB37,Factors!$C$26:$BB$26))/2)</f>
        <v>0</v>
      </c>
      <c r="T37" s="20">
        <f>MIN(MAX(0,(SUMPRODUCT(Oxides_min!$C37:$BB37,Factors!$C$27:$BB$27)+SUMPRODUCT(Oxides_max!$C37:$BB37,Factors!$C$27:$BB$27))/2),ABS(SUMPRODUCT(Oxides_max!$C37:$BB37,Factors!$C$27:$BB$27)-SUMPRODUCT(Oxides_min!$C37:$BB37,Factors!$C$27:$BB$27))/2)</f>
        <v>0</v>
      </c>
      <c r="U37" s="20">
        <f>MIN(MAX(0,(SUMPRODUCT(Oxides_min!$C37:$BB37,Factors!$C$28:$BB$28)+SUMPRODUCT(Oxides_max!$C37:$BB37,Factors!$C$28:$BB$28))/2),ABS(SUMPRODUCT(Oxides_max!$C37:$BB37,Factors!$C$28:$BB$28)-SUMPRODUCT(Oxides_min!$C37:$BB37,Factors!$C$28:$BB$28))/2)</f>
        <v>0</v>
      </c>
      <c r="V37" s="20">
        <f>MIN(MAX(0,(SUMPRODUCT(Oxides_min!$C37:$BB37,Factors!$C$29:$BB$29)+SUMPRODUCT(Oxides_max!$C37:$BB37,Factors!$C$29:$BB$29))/2),ABS(SUMPRODUCT(Oxides_max!$C37:$BB37,Factors!$C$29:$BB$29)-SUMPRODUCT(Oxides_min!$C37:$BB37,Factors!$C$29:$BB$29))/2)</f>
        <v>0</v>
      </c>
      <c r="W37" s="20">
        <f>MIN(MAX(0,(SUMPRODUCT(Oxides_min!$C37:$BB37,Factors!$C$30:$BB$30)+SUMPRODUCT(Oxides_max!$C37:$BB37,Factors!$C$30:$BB$30))/2),ABS(SUMPRODUCT(Oxides_max!$C37:$BB37,Factors!$C$30:$BB$30)-SUMPRODUCT(Oxides_min!$C37:$BB37,Factors!$C$30:$BB$30))/2)</f>
        <v>0</v>
      </c>
      <c r="X37" s="20">
        <f>MIN(MAX(0,(SUMPRODUCT(Oxides_min!$C37:$BB37,Factors!$C$31:$BB$31)+SUMPRODUCT(Oxides_max!$C37:$BB37,Factors!$C$31:$BB$31))/2),ABS(SUMPRODUCT(Oxides_max!$C37:$BB37,Factors!$C$31:$BB$31)-SUMPRODUCT(Oxides_min!$C37:$BB37,Factors!$C$31:$BB$31))/2)</f>
        <v>0</v>
      </c>
      <c r="Y37" s="20">
        <f>MIN(MAX(0,(SUMPRODUCT(Oxides_min!$C37:$BB37,Factors!$C$32:$BB$32)+SUMPRODUCT(Oxides_max!$C37:$BB37,Factors!$C$32:$BB$32))/2),ABS(SUMPRODUCT(Oxides_max!$C37:$BB37,Factors!$C$32:$BB$32)-SUMPRODUCT(Oxides_min!$C37:$BB37,Factors!$C$32:$BB$32))/2)</f>
        <v>0</v>
      </c>
      <c r="Z37" s="20">
        <f>MIN(MAX(0,(SUMPRODUCT(Oxides_min!$C37:$BB37,Factors!$C$33:$BB$33)+SUMPRODUCT(Oxides_max!$C37:$BB37,Factors!$C$33:$BB$33))/2),ABS(SUMPRODUCT(Oxides_max!$C37:$BB37,Factors!$C$33:$BB$33)-SUMPRODUCT(Oxides_min!$C37:$BB37,Factors!$C$33:$BB$33))/2)</f>
        <v>0</v>
      </c>
      <c r="AA37" s="20">
        <f>MIN(MAX(0,(SUMPRODUCT(Oxides_min!$C37:$BB37,Factors!$C$34:$BB$34)+SUMPRODUCT(Oxides_max!$C37:$BB37,Factors!$C$34:$BB$34))/2),ABS(SUMPRODUCT(Oxides_max!$C37:$BB37,Factors!$C$34:$BB$34)-SUMPRODUCT(Oxides_min!$C37:$BB37,Factors!$C$34:$BB$34))/2)</f>
        <v>0</v>
      </c>
      <c r="AB37" s="20">
        <f>MIN(MAX(0,(SUMPRODUCT(Oxides_min!$C37:$BB37,Factors!$C$35:$BB$35)+SUMPRODUCT(Oxides_max!$C37:$BB37,Factors!$C$35:$BB$35))/2),ABS(SUMPRODUCT(Oxides_max!$C37:$BB37,Factors!$C$35:$BB$35)-SUMPRODUCT(Oxides_min!$C37:$BB37,Factors!$C$35:$BB$35))/2)</f>
        <v>0</v>
      </c>
      <c r="AC37" s="20">
        <f>MIN(MAX(0,(SUMPRODUCT(Oxides_min!$C37:$BB37,Factors!$C$36:$BB$36)+SUMPRODUCT(Oxides_max!$C37:$BB37,Factors!$C$36:$BB$36))/2),ABS(SUMPRODUCT(Oxides_max!$C37:$BB37,Factors!$C$36:$BB$36)-SUMPRODUCT(Oxides_min!$C37:$BB37,Factors!$C$36:$BB$36))/2)</f>
        <v>0</v>
      </c>
      <c r="AD37" s="20">
        <f>MIN(MAX(0,(SUMPRODUCT(Oxides_min!$C37:$BB37,Factors!$C$37:$BB$37)+SUMPRODUCT(Oxides_max!$C37:$BB37,Factors!$C$37:$BB$37))/2),ABS(SUMPRODUCT(Oxides_max!$C37:$BB37,Factors!$C$37:$BB$37)-SUMPRODUCT(Oxides_min!$C37:$BB37,Factors!$C$37:$BB$37))/2)</f>
        <v>0</v>
      </c>
      <c r="AE37" s="20">
        <f>MIN(MAX(0,(SUMPRODUCT(Oxides_min!$C37:$BB37,Factors!$C$38:$BB$38)+SUMPRODUCT(Oxides_max!$C37:$BB37,Factors!$C$38:$BB$38))/2),ABS(SUMPRODUCT(Oxides_max!$C37:$BB37,Factors!$C$38:$BB$38)-SUMPRODUCT(Oxides_min!$C37:$BB37,Factors!$C$38:$BB$38))/2)</f>
        <v>9.9999999999980105E-3</v>
      </c>
      <c r="AF37" s="20">
        <f>MIN(MAX(0,(SUMPRODUCT(Oxides_min!$C37:$BB37,Factors!$C$39:$BB$39)+SUMPRODUCT(Oxides_max!$C37:$BB37,Factors!$C$39:$BB$39))/2),ABS(SUMPRODUCT(Oxides_max!$C37:$BB37,Factors!$C$39:$BB$39)-SUMPRODUCT(Oxides_min!$C37:$BB37,Factors!$C$39:$BB$39))/2)</f>
        <v>0</v>
      </c>
      <c r="AG37" s="20">
        <f>MIN(MAX(0,(SUMPRODUCT(Oxides_min!$C37:$BB37,Factors!$C$40:$BB$40)+SUMPRODUCT(Oxides_max!$C37:$BB37,Factors!$C$40:$BB$40))/2),ABS(SUMPRODUCT(Oxides_max!$C37:$BB37,Factors!$C$40:$BB$40)-SUMPRODUCT(Oxides_min!$C37:$BB37,Factors!$C$40:$BB$40))/2)</f>
        <v>0</v>
      </c>
      <c r="AH37" s="20">
        <f>MIN(MAX(0,(SUMPRODUCT(Oxides_min!$C37:$BB37,Factors!$C$41:$BB$41)+SUMPRODUCT(Oxides_max!$C37:$BB37,Factors!$C$41:$BB$41))/2),ABS(SUMPRODUCT(Oxides_max!$C37:$BB37,Factors!$C$41:$BB$41)-SUMPRODUCT(Oxides_min!$C37:$BB37,Factors!$C$41:$BB$41))/2)</f>
        <v>0</v>
      </c>
      <c r="AI37" s="20">
        <f>MIN(MAX(0,(SUMPRODUCT(Oxides_min!$C37:$BB37,Factors!$C$42:$BB$42)+SUMPRODUCT(Oxides_max!$C37:$BB37,Factors!$C$42:$BB$42))/2),ABS(SUMPRODUCT(Oxides_max!$C37:$BB37,Factors!$C$42:$BB$42)-SUMPRODUCT(Oxides_min!$C37:$BB37,Factors!$C$42:$BB$42))/2)</f>
        <v>0</v>
      </c>
      <c r="AJ37" s="20">
        <f>MIN(MAX(0,(SUMPRODUCT(Oxides_min!$C37:$BB37,Factors!$C$43:$BB$43)+SUMPRODUCT(Oxides_max!$C37:$BB37,Factors!$C$43:$BB$43))/2),ABS(SUMPRODUCT(Oxides_max!$C37:$BB37,Factors!$C$43:$BB$43)-SUMPRODUCT(Oxides_min!$C37:$BB37,Factors!$C$43:$BB$43))/2)</f>
        <v>0</v>
      </c>
      <c r="AK37" s="20">
        <f>MIN(MAX(0,(SUMPRODUCT(Oxides_min!$C37:$BB37,Factors!$C$44:$BB$44)+SUMPRODUCT(Oxides_max!$C37:$BB37,Factors!$C$44:$BB$44))/2),ABS(SUMPRODUCT(Oxides_max!$C37:$BB37,Factors!$C$44:$BB$44)-SUMPRODUCT(Oxides_min!$C37:$BB37,Factors!$C$44:$BB$44))/2)</f>
        <v>0</v>
      </c>
      <c r="AL37" s="20">
        <f>MIN(MAX(0,(SUMPRODUCT(Oxides_min!$C37:$BB37,Factors!$C$45:$BB$45)+SUMPRODUCT(Oxides_max!$C37:$BB37,Factors!$C$45:$BB$45))/2),ABS(SUMPRODUCT(Oxides_max!$C37:$BB37,Factors!$C$45:$BB$45)-SUMPRODUCT(Oxides_min!$C37:$BB37,Factors!$C$45:$BB$45))/2)</f>
        <v>0</v>
      </c>
      <c r="AM37" s="20">
        <f>MIN(MAX(0,(SUMPRODUCT(Oxides_min!$C37:$BB37,Factors!$C$46:$BB$46)+SUMPRODUCT(Oxides_max!$C37:$BB37,Factors!$C$46:$BB$46))/2),ABS(SUMPRODUCT(Oxides_max!$C37:$BB37,Factors!$C$46:$BB$46)-SUMPRODUCT(Oxides_min!$C37:$BB37,Factors!$C$46:$BB$46))/2)</f>
        <v>0</v>
      </c>
      <c r="AN37" s="20">
        <f>MIN(MAX(0,(SUMPRODUCT(Oxides_min!$C37:$BB37,Factors!$C$47:$BB$47)+SUMPRODUCT(Oxides_max!$C37:$BB37,Factors!$C$47:$BB$47))/2),ABS(SUMPRODUCT(Oxides_max!$C37:$BB37,Factors!$C$47:$BB$47)-SUMPRODUCT(Oxides_min!$C37:$BB37,Factors!$C$47:$BB$47))/2)</f>
        <v>0</v>
      </c>
      <c r="AO37" s="20">
        <f>MIN(MAX(0,(SUMPRODUCT(Oxides_min!$C37:$BB37,Factors!$C$48:$BB$48)+SUMPRODUCT(Oxides_max!$C37:$BB37,Factors!$C$48:$BB$48))/2),ABS(SUMPRODUCT(Oxides_max!$C37:$BB37,Factors!$C$48:$BB$48)-SUMPRODUCT(Oxides_min!$C37:$BB37,Factors!$C$48:$BB$48))/2)</f>
        <v>0</v>
      </c>
      <c r="AP37" s="20">
        <f>MIN(MAX(0,(SUMPRODUCT(Oxides_min!$C37:$BB37,Factors!$C$49:$BB$49)+SUMPRODUCT(Oxides_max!$C37:$BB37,Factors!$C$49:$BB$49))/2),ABS(SUMPRODUCT(Oxides_max!$C37:$BB37,Factors!$C$49:$BB$49)-SUMPRODUCT(Oxides_min!$C37:$BB37,Factors!$C$49:$BB$49))/2)</f>
        <v>0</v>
      </c>
      <c r="AQ37" s="20">
        <f>MIN(MAX(0,(SUMPRODUCT(Oxides_min!$C37:$BB37,Factors!$C$50:$BB$50)+SUMPRODUCT(Oxides_max!$C37:$BB37,Factors!$C$50:$BB$50))/2),ABS(SUMPRODUCT(Oxides_max!$C37:$BB37,Factors!$C$50:$BB$50)-SUMPRODUCT(Oxides_min!$C37:$BB37,Factors!$C$50:$BB$50))/2)</f>
        <v>0</v>
      </c>
      <c r="AR37" s="20">
        <f>MIN(MAX(0,(SUMPRODUCT(Oxides_min!$C37:$BB37,Factors!$C$51:$BB$51)+SUMPRODUCT(Oxides_max!$C37:$BB37,Factors!$C$51:$BB$51))/2),ABS(SUMPRODUCT(Oxides_max!$C37:$BB37,Factors!$C$51:$BB$51)-SUMPRODUCT(Oxides_min!$C37:$BB37,Factors!$C$51:$BB$51))/2)</f>
        <v>0</v>
      </c>
      <c r="AS37" s="20">
        <f>MIN(MAX(0,(SUMPRODUCT(Oxides_min!$C37:$BB37,Factors!$C$52:$BB$52)+SUMPRODUCT(Oxides_max!$C37:$BB37,Factors!$C$52:$BB$52))/2),ABS(SUMPRODUCT(Oxides_max!$C37:$BB37,Factors!$C$52:$BB$52)-SUMPRODUCT(Oxides_min!$C37:$BB37,Factors!$C$52:$BB$52))/2)</f>
        <v>0</v>
      </c>
      <c r="AT37" s="20">
        <f>MIN(MAX(0,(SUMPRODUCT(Oxides_min!$C37:$BB37,Factors!$C$53:$BB$53)+SUMPRODUCT(Oxides_max!$C37:$BB37,Factors!$C$53:$BB$53))/2),ABS(SUMPRODUCT(Oxides_max!$C37:$BB37,Factors!$C$53:$BB$53)-SUMPRODUCT(Oxides_min!$C37:$BB37,Factors!$C$53:$BB$53))/2)</f>
        <v>0</v>
      </c>
      <c r="AU37" s="20">
        <f>MIN(MAX(0,(SUMPRODUCT(Oxides_min!$C37:$BB37,Factors!$C$54:$BB$54)+SUMPRODUCT(Oxides_max!$C37:$BB37,Factors!$C$54:$BB$54))/2),ABS(SUMPRODUCT(Oxides_max!$C37:$BB37,Factors!$C$54:$BB$54)-SUMPRODUCT(Oxides_min!$C37:$BB37,Factors!$C$54:$BB$54))/2)</f>
        <v>0</v>
      </c>
      <c r="AV37" s="20">
        <f>MIN(MAX(0,(SUMPRODUCT(Oxides_min!$C37:$BB37,Factors!$C$55:$BB$55)+SUMPRODUCT(Oxides_max!$C37:$BB37,Factors!$C$55:$BB$55))/2),ABS(SUMPRODUCT(Oxides_max!$C37:$BB37,Factors!$C$55:$BB$55)-SUMPRODUCT(Oxides_min!$C37:$BB37,Factors!$C$55:$BB$55))/2)</f>
        <v>0</v>
      </c>
      <c r="AW37" s="20">
        <f>MIN(MAX(0,(SUMPRODUCT(Oxides_min!$C37:$BB37,Factors!$C$56:$BB$56)+SUMPRODUCT(Oxides_max!$C37:$BB37,Factors!$C$56:$BB$56))/2),ABS(SUMPRODUCT(Oxides_max!$C37:$BB37,Factors!$C$56:$BB$56)-SUMPRODUCT(Oxides_min!$C37:$BB37,Factors!$C$56:$BB$56))/2)</f>
        <v>0</v>
      </c>
      <c r="AX37" s="20">
        <f>MIN(MAX(0,(SUMPRODUCT(Oxides_min!$C37:$BB37,Factors!$C$57:$BB$57)+SUMPRODUCT(Oxides_max!$C37:$BB37,Factors!$C$57:$BB$57))/2),ABS(SUMPRODUCT(Oxides_max!$C37:$BB37,Factors!$C$57:$BB$57)-SUMPRODUCT(Oxides_min!$C37:$BB37,Factors!$C$57:$BB$57))/2)</f>
        <v>0</v>
      </c>
      <c r="AY37" s="20">
        <f>MIN(MAX(0,(SUMPRODUCT(Oxides_min!$C37:$BB37,Factors!$C$58:$BB$58)+SUMPRODUCT(Oxides_max!$C37:$BB37,Factors!$C$58:$BB$58))/2),ABS(SUMPRODUCT(Oxides_max!$C37:$BB37,Factors!$C$58:$BB$58)-SUMPRODUCT(Oxides_min!$C37:$BB37,Factors!$C$58:$BB$58))/2)</f>
        <v>0</v>
      </c>
      <c r="AZ37" s="18">
        <f t="shared" si="2"/>
        <v>0.30823790509887239</v>
      </c>
    </row>
    <row r="38" spans="1:52" x14ac:dyDescent="0.35">
      <c r="A38" s="13" t="s">
        <v>350</v>
      </c>
      <c r="B38" s="20">
        <f>MIN(MAX(0,(SUMPRODUCT(Oxides_min!$C38:$BB38,Factors!$C$9:$BB$9)+SUMPRODUCT(Oxides_max!$C38:$BB38,Factors!$C$9:$BB$9))/2),ABS(SUMPRODUCT(Oxides_max!$C38:$BB38,Factors!$C$9:$BB$9)-SUMPRODUCT(Oxides_min!$C38:$BB38,Factors!$C$9:$BB$9))/2)</f>
        <v>0.14719410407967182</v>
      </c>
      <c r="C38" s="20">
        <f>MIN(MAX(0,(SUMPRODUCT(Oxides_min!$C38:$BB38,Factors!$C$10:$BB$10)+SUMPRODUCT(Oxides_max!$C38:$BB38,Factors!$C$10:$BB$10))/2),ABS(SUMPRODUCT(Oxides_max!$C38:$BB38,Factors!$C$10:$BB$10)-SUMPRODUCT(Oxides_min!$C38:$BB38,Factors!$C$10:$BB$10))/2)</f>
        <v>4.2069304129287818E-2</v>
      </c>
      <c r="D38" s="20">
        <f>MIN(MAX(0,(SUMPRODUCT(Oxides_min!$C38:$BB38,Factors!$C$11:$BB$11)+SUMPRODUCT(Oxides_max!$C38:$BB38,Factors!$C$11:$BB$11))/2),ABS(SUMPRODUCT(Oxides_max!$C38:$BB38,Factors!$C$11:$BB$11)-SUMPRODUCT(Oxides_min!$C38:$BB38,Factors!$C$11:$BB$11))/2)</f>
        <v>2.9967445063544735E-3</v>
      </c>
      <c r="E38" s="20">
        <f>MIN(MAX(0,(SUMPRODUCT(Oxides_min!$C38:$BB38,Factors!$C$12:$BB$12)+SUMPRODUCT(Oxides_max!$C38:$BB38,Factors!$C$12:$BB$12))/2),ABS(SUMPRODUCT(Oxides_max!$C38:$BB38,Factors!$C$12:$BB$12)-SUMPRODUCT(Oxides_min!$C38:$BB38,Factors!$C$12:$BB$12))/2)</f>
        <v>0</v>
      </c>
      <c r="F38" s="20">
        <f>MIN(MAX(0,(SUMPRODUCT(Oxides_min!$C38:$BB38,Factors!$C$13:$BB$13)+SUMPRODUCT(Oxides_max!$C38:$BB38,Factors!$C$13:$BB$13))/2),ABS(SUMPRODUCT(Oxides_max!$C38:$BB38,Factors!$C$13:$BB$13)-SUMPRODUCT(Oxides_min!$C38:$BB38,Factors!$C$13:$BB$13))/2)</f>
        <v>0</v>
      </c>
      <c r="G38" s="20">
        <f>MIN(MAX(0,(SUMPRODUCT(Oxides_min!$C38:$BB38,Factors!$C$14:$BB$14)+SUMPRODUCT(Oxides_max!$C38:$BB38,Factors!$C$14:$BB$14))/2),ABS(SUMPRODUCT(Oxides_max!$C38:$BB38,Factors!$C$14:$BB$14)-SUMPRODUCT(Oxides_min!$C38:$BB38,Factors!$C$14:$BB$14))/2)</f>
        <v>0.29144239191018784</v>
      </c>
      <c r="H38" s="20">
        <f>MIN(MAX(0,(SUMPRODUCT(Oxides_min!$C38:$BB38,Factors!$C$15:$BB$15)+SUMPRODUCT(Oxides_max!$C38:$BB38,Factors!$C$15:$BB$15))/2),ABS(SUMPRODUCT(Oxides_max!$C38:$BB38,Factors!$C$15:$BB$15)-SUMPRODUCT(Oxides_min!$C38:$BB38,Factors!$C$15:$BB$15))/2)</f>
        <v>0</v>
      </c>
      <c r="I38" s="20">
        <f>MIN(MAX(0,(SUMPRODUCT(Oxides_min!$C38:$BB38,Factors!$C$16:$BB$16)+SUMPRODUCT(Oxides_max!$C38:$BB38,Factors!$C$16:$BB$16))/2),ABS(SUMPRODUCT(Oxides_max!$C38:$BB38,Factors!$C$16:$BB$16)-SUMPRODUCT(Oxides_min!$C38:$BB38,Factors!$C$16:$BB$16))/2)</f>
        <v>4.2752004342742608E-2</v>
      </c>
      <c r="J38" s="20">
        <f>MIN(MAX(0,(SUMPRODUCT(Oxides_min!$C38:$BB38,Factors!$C$17:$BB$17)+SUMPRODUCT(Oxides_max!$C38:$BB38,Factors!$C$17:$BB$17))/2),ABS(SUMPRODUCT(Oxides_max!$C38:$BB38,Factors!$C$17:$BB$17)-SUMPRODUCT(Oxides_min!$C38:$BB38,Factors!$C$17:$BB$17))/2)</f>
        <v>0</v>
      </c>
      <c r="K38" s="20">
        <f>MIN(MAX(0,(SUMPRODUCT(Oxides_min!$C38:$BB38,Factors!$C$18:$BB$18)+SUMPRODUCT(Oxides_max!$C38:$BB38,Factors!$C$18:$BB$18))/2),ABS(SUMPRODUCT(Oxides_max!$C38:$BB38,Factors!$C$18:$BB$18)-SUMPRODUCT(Oxides_min!$C38:$BB38,Factors!$C$18:$BB$18))/2)</f>
        <v>0</v>
      </c>
      <c r="L38" s="20">
        <f>MIN(MAX(0,(SUMPRODUCT(Oxides_min!$C38:$BB38,Factors!$C$19:$BB$19)+SUMPRODUCT(Oxides_max!$C38:$BB38,Factors!$C$19:$BB$19))/2),ABS(SUMPRODUCT(Oxides_max!$C38:$BB38,Factors!$C$19:$BB$19)-SUMPRODUCT(Oxides_min!$C38:$BB38,Factors!$C$19:$BB$19))/2)</f>
        <v>0</v>
      </c>
      <c r="M38" s="20">
        <f>MIN(MAX(0,(SUMPRODUCT(Oxides_min!$C38:$BB38,Factors!$C$20:$BB$20)+SUMPRODUCT(Oxides_max!$C38:$BB38,Factors!$C$20:$BB$20))/2),ABS(SUMPRODUCT(Oxides_max!$C38:$BB38,Factors!$C$20:$BB$20)-SUMPRODUCT(Oxides_min!$C38:$BB38,Factors!$C$20:$BB$20))/2)</f>
        <v>0</v>
      </c>
      <c r="N38" s="20">
        <f>MIN(MAX(0,(SUMPRODUCT(Oxides_min!$C38:$BB38,Factors!$C$21:$BB$21)+SUMPRODUCT(Oxides_max!$C38:$BB38,Factors!$C$21:$BB$21))/2),ABS(SUMPRODUCT(Oxides_max!$C38:$BB38,Factors!$C$21:$BB$21)-SUMPRODUCT(Oxides_min!$C38:$BB38,Factors!$C$21:$BB$21))/2)</f>
        <v>0</v>
      </c>
      <c r="O38" s="20">
        <f>MIN(MAX(0,(SUMPRODUCT(Oxides_min!$C38:$BB38,Factors!$C$22:$BB$22)+SUMPRODUCT(Oxides_max!$C38:$BB38,Factors!$C$22:$BB$22))/2),ABS(SUMPRODUCT(Oxides_max!$C38:$BB38,Factors!$C$22:$BB$22)-SUMPRODUCT(Oxides_min!$C38:$BB38,Factors!$C$22:$BB$22))/2)</f>
        <v>0</v>
      </c>
      <c r="P38" s="20">
        <f>MIN(MAX(0,(SUMPRODUCT(Oxides_min!$C38:$BB38,Factors!$C$23:$BB$23)+SUMPRODUCT(Oxides_max!$C38:$BB38,Factors!$C$23:$BB$23))/2),ABS(SUMPRODUCT(Oxides_max!$C38:$BB38,Factors!$C$23:$BB$23)-SUMPRODUCT(Oxides_min!$C38:$BB38,Factors!$C$23:$BB$23))/2)</f>
        <v>0</v>
      </c>
      <c r="Q38" s="20">
        <f>MIN(MAX(0,(SUMPRODUCT(Oxides_min!$C38:$BB38,Factors!$C$24:$BB$24)+SUMPRODUCT(Oxides_max!$C38:$BB38,Factors!$C$24:$BB$24))/2),ABS(SUMPRODUCT(Oxides_max!$C38:$BB38,Factors!$C$24:$BB$24)-SUMPRODUCT(Oxides_min!$C38:$BB38,Factors!$C$24:$BB$24))/2)</f>
        <v>0</v>
      </c>
      <c r="R38" s="20">
        <f>MIN(MAX(0,(SUMPRODUCT(Oxides_min!$C38:$BB38,Factors!$C$25:$BB$25)+SUMPRODUCT(Oxides_max!$C38:$BB38,Factors!$C$25:$BB$25))/2),ABS(SUMPRODUCT(Oxides_max!$C38:$BB38,Factors!$C$25:$BB$25)-SUMPRODUCT(Oxides_min!$C38:$BB38,Factors!$C$25:$BB$25))/2)</f>
        <v>0</v>
      </c>
      <c r="S38" s="20">
        <f>MIN(MAX(0,(SUMPRODUCT(Oxides_min!$C38:$BB38,Factors!$C$26:$BB$26)+SUMPRODUCT(Oxides_max!$C38:$BB38,Factors!$C$26:$BB$26))/2),ABS(SUMPRODUCT(Oxides_max!$C38:$BB38,Factors!$C$26:$BB$26)-SUMPRODUCT(Oxides_min!$C38:$BB38,Factors!$C$26:$BB$26))/2)</f>
        <v>0</v>
      </c>
      <c r="T38" s="20">
        <f>MIN(MAX(0,(SUMPRODUCT(Oxides_min!$C38:$BB38,Factors!$C$27:$BB$27)+SUMPRODUCT(Oxides_max!$C38:$BB38,Factors!$C$27:$BB$27))/2),ABS(SUMPRODUCT(Oxides_max!$C38:$BB38,Factors!$C$27:$BB$27)-SUMPRODUCT(Oxides_min!$C38:$BB38,Factors!$C$27:$BB$27))/2)</f>
        <v>0</v>
      </c>
      <c r="U38" s="20">
        <f>MIN(MAX(0,(SUMPRODUCT(Oxides_min!$C38:$BB38,Factors!$C$28:$BB$28)+SUMPRODUCT(Oxides_max!$C38:$BB38,Factors!$C$28:$BB$28))/2),ABS(SUMPRODUCT(Oxides_max!$C38:$BB38,Factors!$C$28:$BB$28)-SUMPRODUCT(Oxides_min!$C38:$BB38,Factors!$C$28:$BB$28))/2)</f>
        <v>0</v>
      </c>
      <c r="V38" s="20">
        <f>MIN(MAX(0,(SUMPRODUCT(Oxides_min!$C38:$BB38,Factors!$C$29:$BB$29)+SUMPRODUCT(Oxides_max!$C38:$BB38,Factors!$C$29:$BB$29))/2),ABS(SUMPRODUCT(Oxides_max!$C38:$BB38,Factors!$C$29:$BB$29)-SUMPRODUCT(Oxides_min!$C38:$BB38,Factors!$C$29:$BB$29))/2)</f>
        <v>0</v>
      </c>
      <c r="W38" s="20">
        <f>MIN(MAX(0,(SUMPRODUCT(Oxides_min!$C38:$BB38,Factors!$C$30:$BB$30)+SUMPRODUCT(Oxides_max!$C38:$BB38,Factors!$C$30:$BB$30))/2),ABS(SUMPRODUCT(Oxides_max!$C38:$BB38,Factors!$C$30:$BB$30)-SUMPRODUCT(Oxides_min!$C38:$BB38,Factors!$C$30:$BB$30))/2)</f>
        <v>1.04857409344062E-2</v>
      </c>
      <c r="X38" s="20">
        <f>MIN(MAX(0,(SUMPRODUCT(Oxides_min!$C38:$BB38,Factors!$C$31:$BB$31)+SUMPRODUCT(Oxides_max!$C38:$BB38,Factors!$C$31:$BB$31))/2),ABS(SUMPRODUCT(Oxides_max!$C38:$BB38,Factors!$C$31:$BB$31)-SUMPRODUCT(Oxides_min!$C38:$BB38,Factors!$C$31:$BB$31))/2)</f>
        <v>4.0948554796665136E-3</v>
      </c>
      <c r="Y38" s="20">
        <f>MIN(MAX(0,(SUMPRODUCT(Oxides_min!$C38:$BB38,Factors!$C$32:$BB$32)+SUMPRODUCT(Oxides_max!$C38:$BB38,Factors!$C$32:$BB$32))/2),ABS(SUMPRODUCT(Oxides_max!$C38:$BB38,Factors!$C$32:$BB$32)-SUMPRODUCT(Oxides_min!$C38:$BB38,Factors!$C$32:$BB$32))/2)</f>
        <v>3.9648546176839763E-3</v>
      </c>
      <c r="Z38" s="20">
        <f>MIN(MAX(0,(SUMPRODUCT(Oxides_min!$C38:$BB38,Factors!$C$33:$BB$33)+SUMPRODUCT(Oxides_max!$C38:$BB38,Factors!$C$33:$BB$33))/2),ABS(SUMPRODUCT(Oxides_max!$C38:$BB38,Factors!$C$33:$BB$33)-SUMPRODUCT(Oxides_min!$C38:$BB38,Factors!$C$33:$BB$33))/2)</f>
        <v>0</v>
      </c>
      <c r="AA38" s="20">
        <f>MIN(MAX(0,(SUMPRODUCT(Oxides_min!$C38:$BB38,Factors!$C$34:$BB$34)+SUMPRODUCT(Oxides_max!$C38:$BB38,Factors!$C$34:$BB$34))/2),ABS(SUMPRODUCT(Oxides_max!$C38:$BB38,Factors!$C$34:$BB$34)-SUMPRODUCT(Oxides_min!$C38:$BB38,Factors!$C$34:$BB$34))/2)</f>
        <v>0</v>
      </c>
      <c r="AB38" s="20">
        <f>MIN(MAX(0,(SUMPRODUCT(Oxides_min!$C38:$BB38,Factors!$C$35:$BB$35)+SUMPRODUCT(Oxides_max!$C38:$BB38,Factors!$C$35:$BB$35))/2),ABS(SUMPRODUCT(Oxides_max!$C38:$BB38,Factors!$C$35:$BB$35)-SUMPRODUCT(Oxides_min!$C38:$BB38,Factors!$C$35:$BB$35))/2)</f>
        <v>0</v>
      </c>
      <c r="AC38" s="20">
        <f>MIN(MAX(0,(SUMPRODUCT(Oxides_min!$C38:$BB38,Factors!$C$36:$BB$36)+SUMPRODUCT(Oxides_max!$C38:$BB38,Factors!$C$36:$BB$36))/2),ABS(SUMPRODUCT(Oxides_max!$C38:$BB38,Factors!$C$36:$BB$36)-SUMPRODUCT(Oxides_min!$C38:$BB38,Factors!$C$36:$BB$36))/2)</f>
        <v>0</v>
      </c>
      <c r="AD38" s="20">
        <f>MIN(MAX(0,(SUMPRODUCT(Oxides_min!$C38:$BB38,Factors!$C$37:$BB$37)+SUMPRODUCT(Oxides_max!$C38:$BB38,Factors!$C$37:$BB$37))/2),ABS(SUMPRODUCT(Oxides_max!$C38:$BB38,Factors!$C$37:$BB$37)-SUMPRODUCT(Oxides_min!$C38:$BB38,Factors!$C$37:$BB$37))/2)</f>
        <v>0</v>
      </c>
      <c r="AE38" s="20">
        <f>MIN(MAX(0,(SUMPRODUCT(Oxides_min!$C38:$BB38,Factors!$C$38:$BB$38)+SUMPRODUCT(Oxides_max!$C38:$BB38,Factors!$C$38:$BB$38))/2),ABS(SUMPRODUCT(Oxides_max!$C38:$BB38,Factors!$C$38:$BB$38)-SUMPRODUCT(Oxides_min!$C38:$BB38,Factors!$C$38:$BB$38))/2)</f>
        <v>0</v>
      </c>
      <c r="AF38" s="20">
        <f>MIN(MAX(0,(SUMPRODUCT(Oxides_min!$C38:$BB38,Factors!$C$39:$BB$39)+SUMPRODUCT(Oxides_max!$C38:$BB38,Factors!$C$39:$BB$39))/2),ABS(SUMPRODUCT(Oxides_max!$C38:$BB38,Factors!$C$39:$BB$39)-SUMPRODUCT(Oxides_min!$C38:$BB38,Factors!$C$39:$BB$39))/2)</f>
        <v>0</v>
      </c>
      <c r="AG38" s="20">
        <f>MIN(MAX(0,(SUMPRODUCT(Oxides_min!$C38:$BB38,Factors!$C$40:$BB$40)+SUMPRODUCT(Oxides_max!$C38:$BB38,Factors!$C$40:$BB$40))/2),ABS(SUMPRODUCT(Oxides_max!$C38:$BB38,Factors!$C$40:$BB$40)-SUMPRODUCT(Oxides_min!$C38:$BB38,Factors!$C$40:$BB$40))/2)</f>
        <v>0</v>
      </c>
      <c r="AH38" s="20">
        <f>MIN(MAX(0,(SUMPRODUCT(Oxides_min!$C38:$BB38,Factors!$C$41:$BB$41)+SUMPRODUCT(Oxides_max!$C38:$BB38,Factors!$C$41:$BB$41))/2),ABS(SUMPRODUCT(Oxides_max!$C38:$BB38,Factors!$C$41:$BB$41)-SUMPRODUCT(Oxides_min!$C38:$BB38,Factors!$C$41:$BB$41))/2)</f>
        <v>0</v>
      </c>
      <c r="AI38" s="20">
        <f>MIN(MAX(0,(SUMPRODUCT(Oxides_min!$C38:$BB38,Factors!$C$42:$BB$42)+SUMPRODUCT(Oxides_max!$C38:$BB38,Factors!$C$42:$BB$42))/2),ABS(SUMPRODUCT(Oxides_max!$C38:$BB38,Factors!$C$42:$BB$42)-SUMPRODUCT(Oxides_min!$C38:$BB38,Factors!$C$42:$BB$42))/2)</f>
        <v>0</v>
      </c>
      <c r="AJ38" s="20">
        <f>MIN(MAX(0,(SUMPRODUCT(Oxides_min!$C38:$BB38,Factors!$C$43:$BB$43)+SUMPRODUCT(Oxides_max!$C38:$BB38,Factors!$C$43:$BB$43))/2),ABS(SUMPRODUCT(Oxides_max!$C38:$BB38,Factors!$C$43:$BB$43)-SUMPRODUCT(Oxides_min!$C38:$BB38,Factors!$C$43:$BB$43))/2)</f>
        <v>0</v>
      </c>
      <c r="AK38" s="20">
        <f>MIN(MAX(0,(SUMPRODUCT(Oxides_min!$C38:$BB38,Factors!$C$44:$BB$44)+SUMPRODUCT(Oxides_max!$C38:$BB38,Factors!$C$44:$BB$44))/2),ABS(SUMPRODUCT(Oxides_max!$C38:$BB38,Factors!$C$44:$BB$44)-SUMPRODUCT(Oxides_min!$C38:$BB38,Factors!$C$44:$BB$44))/2)</f>
        <v>0</v>
      </c>
      <c r="AL38" s="20">
        <f>MIN(MAX(0,(SUMPRODUCT(Oxides_min!$C38:$BB38,Factors!$C$45:$BB$45)+SUMPRODUCT(Oxides_max!$C38:$BB38,Factors!$C$45:$BB$45))/2),ABS(SUMPRODUCT(Oxides_max!$C38:$BB38,Factors!$C$45:$BB$45)-SUMPRODUCT(Oxides_min!$C38:$BB38,Factors!$C$45:$BB$45))/2)</f>
        <v>0</v>
      </c>
      <c r="AM38" s="20">
        <f>MIN(MAX(0,(SUMPRODUCT(Oxides_min!$C38:$BB38,Factors!$C$46:$BB$46)+SUMPRODUCT(Oxides_max!$C38:$BB38,Factors!$C$46:$BB$46))/2),ABS(SUMPRODUCT(Oxides_max!$C38:$BB38,Factors!$C$46:$BB$46)-SUMPRODUCT(Oxides_min!$C38:$BB38,Factors!$C$46:$BB$46))/2)</f>
        <v>0</v>
      </c>
      <c r="AN38" s="20">
        <f>MIN(MAX(0,(SUMPRODUCT(Oxides_min!$C38:$BB38,Factors!$C$47:$BB$47)+SUMPRODUCT(Oxides_max!$C38:$BB38,Factors!$C$47:$BB$47))/2),ABS(SUMPRODUCT(Oxides_max!$C38:$BB38,Factors!$C$47:$BB$47)-SUMPRODUCT(Oxides_min!$C38:$BB38,Factors!$C$47:$BB$47))/2)</f>
        <v>0</v>
      </c>
      <c r="AO38" s="20">
        <f>MIN(MAX(0,(SUMPRODUCT(Oxides_min!$C38:$BB38,Factors!$C$48:$BB$48)+SUMPRODUCT(Oxides_max!$C38:$BB38,Factors!$C$48:$BB$48))/2),ABS(SUMPRODUCT(Oxides_max!$C38:$BB38,Factors!$C$48:$BB$48)-SUMPRODUCT(Oxides_min!$C38:$BB38,Factors!$C$48:$BB$48))/2)</f>
        <v>0</v>
      </c>
      <c r="AP38" s="20">
        <f>MIN(MAX(0,(SUMPRODUCT(Oxides_min!$C38:$BB38,Factors!$C$49:$BB$49)+SUMPRODUCT(Oxides_max!$C38:$BB38,Factors!$C$49:$BB$49))/2),ABS(SUMPRODUCT(Oxides_max!$C38:$BB38,Factors!$C$49:$BB$49)-SUMPRODUCT(Oxides_min!$C38:$BB38,Factors!$C$49:$BB$49))/2)</f>
        <v>0</v>
      </c>
      <c r="AQ38" s="20">
        <f>MIN(MAX(0,(SUMPRODUCT(Oxides_min!$C38:$BB38,Factors!$C$50:$BB$50)+SUMPRODUCT(Oxides_max!$C38:$BB38,Factors!$C$50:$BB$50))/2),ABS(SUMPRODUCT(Oxides_max!$C38:$BB38,Factors!$C$50:$BB$50)-SUMPRODUCT(Oxides_min!$C38:$BB38,Factors!$C$50:$BB$50))/2)</f>
        <v>0</v>
      </c>
      <c r="AR38" s="20">
        <f>MIN(MAX(0,(SUMPRODUCT(Oxides_min!$C38:$BB38,Factors!$C$51:$BB$51)+SUMPRODUCT(Oxides_max!$C38:$BB38,Factors!$C$51:$BB$51))/2),ABS(SUMPRODUCT(Oxides_max!$C38:$BB38,Factors!$C$51:$BB$51)-SUMPRODUCT(Oxides_min!$C38:$BB38,Factors!$C$51:$BB$51))/2)</f>
        <v>0</v>
      </c>
      <c r="AS38" s="20">
        <f>MIN(MAX(0,(SUMPRODUCT(Oxides_min!$C38:$BB38,Factors!$C$52:$BB$52)+SUMPRODUCT(Oxides_max!$C38:$BB38,Factors!$C$52:$BB$52))/2),ABS(SUMPRODUCT(Oxides_max!$C38:$BB38,Factors!$C$52:$BB$52)-SUMPRODUCT(Oxides_min!$C38:$BB38,Factors!$C$52:$BB$52))/2)</f>
        <v>0</v>
      </c>
      <c r="AT38" s="20">
        <f>MIN(MAX(0,(SUMPRODUCT(Oxides_min!$C38:$BB38,Factors!$C$53:$BB$53)+SUMPRODUCT(Oxides_max!$C38:$BB38,Factors!$C$53:$BB$53))/2),ABS(SUMPRODUCT(Oxides_max!$C38:$BB38,Factors!$C$53:$BB$53)-SUMPRODUCT(Oxides_min!$C38:$BB38,Factors!$C$53:$BB$53))/2)</f>
        <v>0</v>
      </c>
      <c r="AU38" s="20">
        <f>MIN(MAX(0,(SUMPRODUCT(Oxides_min!$C38:$BB38,Factors!$C$54:$BB$54)+SUMPRODUCT(Oxides_max!$C38:$BB38,Factors!$C$54:$BB$54))/2),ABS(SUMPRODUCT(Oxides_max!$C38:$BB38,Factors!$C$54:$BB$54)-SUMPRODUCT(Oxides_min!$C38:$BB38,Factors!$C$54:$BB$54))/2)</f>
        <v>0</v>
      </c>
      <c r="AV38" s="20">
        <f>MIN(MAX(0,(SUMPRODUCT(Oxides_min!$C38:$BB38,Factors!$C$55:$BB$55)+SUMPRODUCT(Oxides_max!$C38:$BB38,Factors!$C$55:$BB$55))/2),ABS(SUMPRODUCT(Oxides_max!$C38:$BB38,Factors!$C$55:$BB$55)-SUMPRODUCT(Oxides_min!$C38:$BB38,Factors!$C$55:$BB$55))/2)</f>
        <v>0</v>
      </c>
      <c r="AW38" s="20">
        <f>MIN(MAX(0,(SUMPRODUCT(Oxides_min!$C38:$BB38,Factors!$C$56:$BB$56)+SUMPRODUCT(Oxides_max!$C38:$BB38,Factors!$C$56:$BB$56))/2),ABS(SUMPRODUCT(Oxides_max!$C38:$BB38,Factors!$C$56:$BB$56)-SUMPRODUCT(Oxides_min!$C38:$BB38,Factors!$C$56:$BB$56))/2)</f>
        <v>0</v>
      </c>
      <c r="AX38" s="20">
        <f>MIN(MAX(0,(SUMPRODUCT(Oxides_min!$C38:$BB38,Factors!$C$57:$BB$57)+SUMPRODUCT(Oxides_max!$C38:$BB38,Factors!$C$57:$BB$57))/2),ABS(SUMPRODUCT(Oxides_max!$C38:$BB38,Factors!$C$57:$BB$57)-SUMPRODUCT(Oxides_min!$C38:$BB38,Factors!$C$57:$BB$57))/2)</f>
        <v>0</v>
      </c>
      <c r="AY38" s="20">
        <f>MIN(MAX(0,(SUMPRODUCT(Oxides_min!$C38:$BB38,Factors!$C$58:$BB$58)+SUMPRODUCT(Oxides_max!$C38:$BB38,Factors!$C$58:$BB$58))/2),ABS(SUMPRODUCT(Oxides_max!$C38:$BB38,Factors!$C$58:$BB$58)-SUMPRODUCT(Oxides_min!$C38:$BB38,Factors!$C$58:$BB$58))/2)</f>
        <v>0</v>
      </c>
      <c r="AZ38" s="18">
        <f t="shared" si="2"/>
        <v>0.54500000000000126</v>
      </c>
    </row>
    <row r="39" spans="1:52" x14ac:dyDescent="0.35">
      <c r="A39" s="13" t="s">
        <v>351</v>
      </c>
      <c r="B39" s="20">
        <f>MIN(MAX(0,(SUMPRODUCT(Oxides_min!$C39:$BB39,Factors!$C$9:$BB$9)+SUMPRODUCT(Oxides_max!$C39:$BB39,Factors!$C$9:$BB$9))/2),ABS(SUMPRODUCT(Oxides_max!$C39:$BB39,Factors!$C$9:$BB$9)-SUMPRODUCT(Oxides_min!$C39:$BB39,Factors!$C$9:$BB$9))/2)</f>
        <v>0</v>
      </c>
      <c r="C39" s="20">
        <f>MIN(MAX(0,(SUMPRODUCT(Oxides_min!$C39:$BB39,Factors!$C$10:$BB$10)+SUMPRODUCT(Oxides_max!$C39:$BB39,Factors!$C$10:$BB$10))/2),ABS(SUMPRODUCT(Oxides_max!$C39:$BB39,Factors!$C$10:$BB$10)-SUMPRODUCT(Oxides_min!$C39:$BB39,Factors!$C$10:$BB$10))/2)</f>
        <v>0</v>
      </c>
      <c r="D39" s="20">
        <f>MIN(MAX(0,(SUMPRODUCT(Oxides_min!$C39:$BB39,Factors!$C$11:$BB$11)+SUMPRODUCT(Oxides_max!$C39:$BB39,Factors!$C$11:$BB$11))/2),ABS(SUMPRODUCT(Oxides_max!$C39:$BB39,Factors!$C$11:$BB$11)-SUMPRODUCT(Oxides_min!$C39:$BB39,Factors!$C$11:$BB$11))/2)</f>
        <v>0</v>
      </c>
      <c r="E39" s="20">
        <f>MIN(MAX(0,(SUMPRODUCT(Oxides_min!$C39:$BB39,Factors!$C$12:$BB$12)+SUMPRODUCT(Oxides_max!$C39:$BB39,Factors!$C$12:$BB$12))/2),ABS(SUMPRODUCT(Oxides_max!$C39:$BB39,Factors!$C$12:$BB$12)-SUMPRODUCT(Oxides_min!$C39:$BB39,Factors!$C$12:$BB$12))/2)</f>
        <v>0</v>
      </c>
      <c r="F39" s="20">
        <f>MIN(MAX(0,(SUMPRODUCT(Oxides_min!$C39:$BB39,Factors!$C$13:$BB$13)+SUMPRODUCT(Oxides_max!$C39:$BB39,Factors!$C$13:$BB$13))/2),ABS(SUMPRODUCT(Oxides_max!$C39:$BB39,Factors!$C$13:$BB$13)-SUMPRODUCT(Oxides_min!$C39:$BB39,Factors!$C$13:$BB$13))/2)</f>
        <v>0</v>
      </c>
      <c r="G39" s="20">
        <f>MIN(MAX(0,(SUMPRODUCT(Oxides_min!$C39:$BB39,Factors!$C$14:$BB$14)+SUMPRODUCT(Oxides_max!$C39:$BB39,Factors!$C$14:$BB$14))/2),ABS(SUMPRODUCT(Oxides_max!$C39:$BB39,Factors!$C$14:$BB$14)-SUMPRODUCT(Oxides_min!$C39:$BB39,Factors!$C$14:$BB$14))/2)</f>
        <v>0</v>
      </c>
      <c r="H39" s="20">
        <f>MIN(MAX(0,(SUMPRODUCT(Oxides_min!$C39:$BB39,Factors!$C$15:$BB$15)+SUMPRODUCT(Oxides_max!$C39:$BB39,Factors!$C$15:$BB$15))/2),ABS(SUMPRODUCT(Oxides_max!$C39:$BB39,Factors!$C$15:$BB$15)-SUMPRODUCT(Oxides_min!$C39:$BB39,Factors!$C$15:$BB$15))/2)</f>
        <v>0</v>
      </c>
      <c r="I39" s="20">
        <f>MIN(MAX(0,(SUMPRODUCT(Oxides_min!$C39:$BB39,Factors!$C$16:$BB$16)+SUMPRODUCT(Oxides_max!$C39:$BB39,Factors!$C$16:$BB$16))/2),ABS(SUMPRODUCT(Oxides_max!$C39:$BB39,Factors!$C$16:$BB$16)-SUMPRODUCT(Oxides_min!$C39:$BB39,Factors!$C$16:$BB$16))/2)</f>
        <v>0</v>
      </c>
      <c r="J39" s="20">
        <f>MIN(MAX(0,(SUMPRODUCT(Oxides_min!$C39:$BB39,Factors!$C$17:$BB$17)+SUMPRODUCT(Oxides_max!$C39:$BB39,Factors!$C$17:$BB$17))/2),ABS(SUMPRODUCT(Oxides_max!$C39:$BB39,Factors!$C$17:$BB$17)-SUMPRODUCT(Oxides_min!$C39:$BB39,Factors!$C$17:$BB$17))/2)</f>
        <v>0</v>
      </c>
      <c r="K39" s="20">
        <f>MIN(MAX(0,(SUMPRODUCT(Oxides_min!$C39:$BB39,Factors!$C$18:$BB$18)+SUMPRODUCT(Oxides_max!$C39:$BB39,Factors!$C$18:$BB$18))/2),ABS(SUMPRODUCT(Oxides_max!$C39:$BB39,Factors!$C$18:$BB$18)-SUMPRODUCT(Oxides_min!$C39:$BB39,Factors!$C$18:$BB$18))/2)</f>
        <v>0</v>
      </c>
      <c r="L39" s="20">
        <f>MIN(MAX(0,(SUMPRODUCT(Oxides_min!$C39:$BB39,Factors!$C$19:$BB$19)+SUMPRODUCT(Oxides_max!$C39:$BB39,Factors!$C$19:$BB$19))/2),ABS(SUMPRODUCT(Oxides_max!$C39:$BB39,Factors!$C$19:$BB$19)-SUMPRODUCT(Oxides_min!$C39:$BB39,Factors!$C$19:$BB$19))/2)</f>
        <v>0</v>
      </c>
      <c r="M39" s="20">
        <f>MIN(MAX(0,(SUMPRODUCT(Oxides_min!$C39:$BB39,Factors!$C$20:$BB$20)+SUMPRODUCT(Oxides_max!$C39:$BB39,Factors!$C$20:$BB$20))/2),ABS(SUMPRODUCT(Oxides_max!$C39:$BB39,Factors!$C$20:$BB$20)-SUMPRODUCT(Oxides_min!$C39:$BB39,Factors!$C$20:$BB$20))/2)</f>
        <v>0</v>
      </c>
      <c r="N39" s="20">
        <f>MIN(MAX(0,(SUMPRODUCT(Oxides_min!$C39:$BB39,Factors!$C$21:$BB$21)+SUMPRODUCT(Oxides_max!$C39:$BB39,Factors!$C$21:$BB$21))/2),ABS(SUMPRODUCT(Oxides_max!$C39:$BB39,Factors!$C$21:$BB$21)-SUMPRODUCT(Oxides_min!$C39:$BB39,Factors!$C$21:$BB$21))/2)</f>
        <v>0</v>
      </c>
      <c r="O39" s="20">
        <f>MIN(MAX(0,(SUMPRODUCT(Oxides_min!$C39:$BB39,Factors!$C$22:$BB$22)+SUMPRODUCT(Oxides_max!$C39:$BB39,Factors!$C$22:$BB$22))/2),ABS(SUMPRODUCT(Oxides_max!$C39:$BB39,Factors!$C$22:$BB$22)-SUMPRODUCT(Oxides_min!$C39:$BB39,Factors!$C$22:$BB$22))/2)</f>
        <v>0</v>
      </c>
      <c r="P39" s="20">
        <f>MIN(MAX(0,(SUMPRODUCT(Oxides_min!$C39:$BB39,Factors!$C$23:$BB$23)+SUMPRODUCT(Oxides_max!$C39:$BB39,Factors!$C$23:$BB$23))/2),ABS(SUMPRODUCT(Oxides_max!$C39:$BB39,Factors!$C$23:$BB$23)-SUMPRODUCT(Oxides_min!$C39:$BB39,Factors!$C$23:$BB$23))/2)</f>
        <v>0</v>
      </c>
      <c r="Q39" s="20">
        <f>MIN(MAX(0,(SUMPRODUCT(Oxides_min!$C39:$BB39,Factors!$C$24:$BB$24)+SUMPRODUCT(Oxides_max!$C39:$BB39,Factors!$C$24:$BB$24))/2),ABS(SUMPRODUCT(Oxides_max!$C39:$BB39,Factors!$C$24:$BB$24)-SUMPRODUCT(Oxides_min!$C39:$BB39,Factors!$C$24:$BB$24))/2)</f>
        <v>0</v>
      </c>
      <c r="R39" s="20">
        <f>MIN(MAX(0,(SUMPRODUCT(Oxides_min!$C39:$BB39,Factors!$C$25:$BB$25)+SUMPRODUCT(Oxides_max!$C39:$BB39,Factors!$C$25:$BB$25))/2),ABS(SUMPRODUCT(Oxides_max!$C39:$BB39,Factors!$C$25:$BB$25)-SUMPRODUCT(Oxides_min!$C39:$BB39,Factors!$C$25:$BB$25))/2)</f>
        <v>0</v>
      </c>
      <c r="S39" s="20">
        <f>MIN(MAX(0,(SUMPRODUCT(Oxides_min!$C39:$BB39,Factors!$C$26:$BB$26)+SUMPRODUCT(Oxides_max!$C39:$BB39,Factors!$C$26:$BB$26))/2),ABS(SUMPRODUCT(Oxides_max!$C39:$BB39,Factors!$C$26:$BB$26)-SUMPRODUCT(Oxides_min!$C39:$BB39,Factors!$C$26:$BB$26))/2)</f>
        <v>0</v>
      </c>
      <c r="T39" s="20">
        <f>MIN(MAX(0,(SUMPRODUCT(Oxides_min!$C39:$BB39,Factors!$C$27:$BB$27)+SUMPRODUCT(Oxides_max!$C39:$BB39,Factors!$C$27:$BB$27))/2),ABS(SUMPRODUCT(Oxides_max!$C39:$BB39,Factors!$C$27:$BB$27)-SUMPRODUCT(Oxides_min!$C39:$BB39,Factors!$C$27:$BB$27))/2)</f>
        <v>0</v>
      </c>
      <c r="U39" s="20">
        <f>MIN(MAX(0,(SUMPRODUCT(Oxides_min!$C39:$BB39,Factors!$C$28:$BB$28)+SUMPRODUCT(Oxides_max!$C39:$BB39,Factors!$C$28:$BB$28))/2),ABS(SUMPRODUCT(Oxides_max!$C39:$BB39,Factors!$C$28:$BB$28)-SUMPRODUCT(Oxides_min!$C39:$BB39,Factors!$C$28:$BB$28))/2)</f>
        <v>0</v>
      </c>
      <c r="V39" s="20">
        <f>MIN(MAX(0,(SUMPRODUCT(Oxides_min!$C39:$BB39,Factors!$C$29:$BB$29)+SUMPRODUCT(Oxides_max!$C39:$BB39,Factors!$C$29:$BB$29))/2),ABS(SUMPRODUCT(Oxides_max!$C39:$BB39,Factors!$C$29:$BB$29)-SUMPRODUCT(Oxides_min!$C39:$BB39,Factors!$C$29:$BB$29))/2)</f>
        <v>0</v>
      </c>
      <c r="W39" s="20">
        <f>MIN(MAX(0,(SUMPRODUCT(Oxides_min!$C39:$BB39,Factors!$C$30:$BB$30)+SUMPRODUCT(Oxides_max!$C39:$BB39,Factors!$C$30:$BB$30))/2),ABS(SUMPRODUCT(Oxides_max!$C39:$BB39,Factors!$C$30:$BB$30)-SUMPRODUCT(Oxides_min!$C39:$BB39,Factors!$C$30:$BB$30))/2)</f>
        <v>0</v>
      </c>
      <c r="X39" s="20">
        <f>MIN(MAX(0,(SUMPRODUCT(Oxides_min!$C39:$BB39,Factors!$C$31:$BB$31)+SUMPRODUCT(Oxides_max!$C39:$BB39,Factors!$C$31:$BB$31))/2),ABS(SUMPRODUCT(Oxides_max!$C39:$BB39,Factors!$C$31:$BB$31)-SUMPRODUCT(Oxides_min!$C39:$BB39,Factors!$C$31:$BB$31))/2)</f>
        <v>0</v>
      </c>
      <c r="Y39" s="20">
        <f>MIN(MAX(0,(SUMPRODUCT(Oxides_min!$C39:$BB39,Factors!$C$32:$BB$32)+SUMPRODUCT(Oxides_max!$C39:$BB39,Factors!$C$32:$BB$32))/2),ABS(SUMPRODUCT(Oxides_max!$C39:$BB39,Factors!$C$32:$BB$32)-SUMPRODUCT(Oxides_min!$C39:$BB39,Factors!$C$32:$BB$32))/2)</f>
        <v>0</v>
      </c>
      <c r="Z39" s="20">
        <f>MIN(MAX(0,(SUMPRODUCT(Oxides_min!$C39:$BB39,Factors!$C$33:$BB$33)+SUMPRODUCT(Oxides_max!$C39:$BB39,Factors!$C$33:$BB$33))/2),ABS(SUMPRODUCT(Oxides_max!$C39:$BB39,Factors!$C$33:$BB$33)-SUMPRODUCT(Oxides_min!$C39:$BB39,Factors!$C$33:$BB$33))/2)</f>
        <v>0</v>
      </c>
      <c r="AA39" s="20">
        <f>MIN(MAX(0,(SUMPRODUCT(Oxides_min!$C39:$BB39,Factors!$C$34:$BB$34)+SUMPRODUCT(Oxides_max!$C39:$BB39,Factors!$C$34:$BB$34))/2),ABS(SUMPRODUCT(Oxides_max!$C39:$BB39,Factors!$C$34:$BB$34)-SUMPRODUCT(Oxides_min!$C39:$BB39,Factors!$C$34:$BB$34))/2)</f>
        <v>0</v>
      </c>
      <c r="AB39" s="20">
        <f>MIN(MAX(0,(SUMPRODUCT(Oxides_min!$C39:$BB39,Factors!$C$35:$BB$35)+SUMPRODUCT(Oxides_max!$C39:$BB39,Factors!$C$35:$BB$35))/2),ABS(SUMPRODUCT(Oxides_max!$C39:$BB39,Factors!$C$35:$BB$35)-SUMPRODUCT(Oxides_min!$C39:$BB39,Factors!$C$35:$BB$35))/2)</f>
        <v>0</v>
      </c>
      <c r="AC39" s="20">
        <f>MIN(MAX(0,(SUMPRODUCT(Oxides_min!$C39:$BB39,Factors!$C$36:$BB$36)+SUMPRODUCT(Oxides_max!$C39:$BB39,Factors!$C$36:$BB$36))/2),ABS(SUMPRODUCT(Oxides_max!$C39:$BB39,Factors!$C$36:$BB$36)-SUMPRODUCT(Oxides_min!$C39:$BB39,Factors!$C$36:$BB$36))/2)</f>
        <v>0</v>
      </c>
      <c r="AD39" s="20">
        <f>MIN(MAX(0,(SUMPRODUCT(Oxides_min!$C39:$BB39,Factors!$C$37:$BB$37)+SUMPRODUCT(Oxides_max!$C39:$BB39,Factors!$C$37:$BB$37))/2),ABS(SUMPRODUCT(Oxides_max!$C39:$BB39,Factors!$C$37:$BB$37)-SUMPRODUCT(Oxides_min!$C39:$BB39,Factors!$C$37:$BB$37))/2)</f>
        <v>0</v>
      </c>
      <c r="AE39" s="20">
        <f>MIN(MAX(0,(SUMPRODUCT(Oxides_min!$C39:$BB39,Factors!$C$38:$BB$38)+SUMPRODUCT(Oxides_max!$C39:$BB39,Factors!$C$38:$BB$38))/2),ABS(SUMPRODUCT(Oxides_max!$C39:$BB39,Factors!$C$38:$BB$38)-SUMPRODUCT(Oxides_min!$C39:$BB39,Factors!$C$38:$BB$38))/2)</f>
        <v>0</v>
      </c>
      <c r="AF39" s="20">
        <f>MIN(MAX(0,(SUMPRODUCT(Oxides_min!$C39:$BB39,Factors!$C$39:$BB$39)+SUMPRODUCT(Oxides_max!$C39:$BB39,Factors!$C$39:$BB$39))/2),ABS(SUMPRODUCT(Oxides_max!$C39:$BB39,Factors!$C$39:$BB$39)-SUMPRODUCT(Oxides_min!$C39:$BB39,Factors!$C$39:$BB$39))/2)</f>
        <v>0</v>
      </c>
      <c r="AG39" s="20">
        <f>MIN(MAX(0,(SUMPRODUCT(Oxides_min!$C39:$BB39,Factors!$C$40:$BB$40)+SUMPRODUCT(Oxides_max!$C39:$BB39,Factors!$C$40:$BB$40))/2),ABS(SUMPRODUCT(Oxides_max!$C39:$BB39,Factors!$C$40:$BB$40)-SUMPRODUCT(Oxides_min!$C39:$BB39,Factors!$C$40:$BB$40))/2)</f>
        <v>0</v>
      </c>
      <c r="AH39" s="20">
        <f>MIN(MAX(0,(SUMPRODUCT(Oxides_min!$C39:$BB39,Factors!$C$41:$BB$41)+SUMPRODUCT(Oxides_max!$C39:$BB39,Factors!$C$41:$BB$41))/2),ABS(SUMPRODUCT(Oxides_max!$C39:$BB39,Factors!$C$41:$BB$41)-SUMPRODUCT(Oxides_min!$C39:$BB39,Factors!$C$41:$BB$41))/2)</f>
        <v>0</v>
      </c>
      <c r="AI39" s="20">
        <f>MIN(MAX(0,(SUMPRODUCT(Oxides_min!$C39:$BB39,Factors!$C$42:$BB$42)+SUMPRODUCT(Oxides_max!$C39:$BB39,Factors!$C$42:$BB$42))/2),ABS(SUMPRODUCT(Oxides_max!$C39:$BB39,Factors!$C$42:$BB$42)-SUMPRODUCT(Oxides_min!$C39:$BB39,Factors!$C$42:$BB$42))/2)</f>
        <v>0</v>
      </c>
      <c r="AJ39" s="20">
        <f>MIN(MAX(0,(SUMPRODUCT(Oxides_min!$C39:$BB39,Factors!$C$43:$BB$43)+SUMPRODUCT(Oxides_max!$C39:$BB39,Factors!$C$43:$BB$43))/2),ABS(SUMPRODUCT(Oxides_max!$C39:$BB39,Factors!$C$43:$BB$43)-SUMPRODUCT(Oxides_min!$C39:$BB39,Factors!$C$43:$BB$43))/2)</f>
        <v>0</v>
      </c>
      <c r="AK39" s="20">
        <f>MIN(MAX(0,(SUMPRODUCT(Oxides_min!$C39:$BB39,Factors!$C$44:$BB$44)+SUMPRODUCT(Oxides_max!$C39:$BB39,Factors!$C$44:$BB$44))/2),ABS(SUMPRODUCT(Oxides_max!$C39:$BB39,Factors!$C$44:$BB$44)-SUMPRODUCT(Oxides_min!$C39:$BB39,Factors!$C$44:$BB$44))/2)</f>
        <v>0</v>
      </c>
      <c r="AL39" s="20">
        <f>MIN(MAX(0,(SUMPRODUCT(Oxides_min!$C39:$BB39,Factors!$C$45:$BB$45)+SUMPRODUCT(Oxides_max!$C39:$BB39,Factors!$C$45:$BB$45))/2),ABS(SUMPRODUCT(Oxides_max!$C39:$BB39,Factors!$C$45:$BB$45)-SUMPRODUCT(Oxides_min!$C39:$BB39,Factors!$C$45:$BB$45))/2)</f>
        <v>0</v>
      </c>
      <c r="AM39" s="20">
        <f>MIN(MAX(0,(SUMPRODUCT(Oxides_min!$C39:$BB39,Factors!$C$46:$BB$46)+SUMPRODUCT(Oxides_max!$C39:$BB39,Factors!$C$46:$BB$46))/2),ABS(SUMPRODUCT(Oxides_max!$C39:$BB39,Factors!$C$46:$BB$46)-SUMPRODUCT(Oxides_min!$C39:$BB39,Factors!$C$46:$BB$46))/2)</f>
        <v>0</v>
      </c>
      <c r="AN39" s="20">
        <f>MIN(MAX(0,(SUMPRODUCT(Oxides_min!$C39:$BB39,Factors!$C$47:$BB$47)+SUMPRODUCT(Oxides_max!$C39:$BB39,Factors!$C$47:$BB$47))/2),ABS(SUMPRODUCT(Oxides_max!$C39:$BB39,Factors!$C$47:$BB$47)-SUMPRODUCT(Oxides_min!$C39:$BB39,Factors!$C$47:$BB$47))/2)</f>
        <v>0</v>
      </c>
      <c r="AO39" s="20">
        <f>MIN(MAX(0,(SUMPRODUCT(Oxides_min!$C39:$BB39,Factors!$C$48:$BB$48)+SUMPRODUCT(Oxides_max!$C39:$BB39,Factors!$C$48:$BB$48))/2),ABS(SUMPRODUCT(Oxides_max!$C39:$BB39,Factors!$C$48:$BB$48)-SUMPRODUCT(Oxides_min!$C39:$BB39,Factors!$C$48:$BB$48))/2)</f>
        <v>0</v>
      </c>
      <c r="AP39" s="20">
        <f>MIN(MAX(0,(SUMPRODUCT(Oxides_min!$C39:$BB39,Factors!$C$49:$BB$49)+SUMPRODUCT(Oxides_max!$C39:$BB39,Factors!$C$49:$BB$49))/2),ABS(SUMPRODUCT(Oxides_max!$C39:$BB39,Factors!$C$49:$BB$49)-SUMPRODUCT(Oxides_min!$C39:$BB39,Factors!$C$49:$BB$49))/2)</f>
        <v>0</v>
      </c>
      <c r="AQ39" s="20">
        <f>MIN(MAX(0,(SUMPRODUCT(Oxides_min!$C39:$BB39,Factors!$C$50:$BB$50)+SUMPRODUCT(Oxides_max!$C39:$BB39,Factors!$C$50:$BB$50))/2),ABS(SUMPRODUCT(Oxides_max!$C39:$BB39,Factors!$C$50:$BB$50)-SUMPRODUCT(Oxides_min!$C39:$BB39,Factors!$C$50:$BB$50))/2)</f>
        <v>0</v>
      </c>
      <c r="AR39" s="20">
        <f>MIN(MAX(0,(SUMPRODUCT(Oxides_min!$C39:$BB39,Factors!$C$51:$BB$51)+SUMPRODUCT(Oxides_max!$C39:$BB39,Factors!$C$51:$BB$51))/2),ABS(SUMPRODUCT(Oxides_max!$C39:$BB39,Factors!$C$51:$BB$51)-SUMPRODUCT(Oxides_min!$C39:$BB39,Factors!$C$51:$BB$51))/2)</f>
        <v>0</v>
      </c>
      <c r="AS39" s="20">
        <f>MIN(MAX(0,(SUMPRODUCT(Oxides_min!$C39:$BB39,Factors!$C$52:$BB$52)+SUMPRODUCT(Oxides_max!$C39:$BB39,Factors!$C$52:$BB$52))/2),ABS(SUMPRODUCT(Oxides_max!$C39:$BB39,Factors!$C$52:$BB$52)-SUMPRODUCT(Oxides_min!$C39:$BB39,Factors!$C$52:$BB$52))/2)</f>
        <v>0</v>
      </c>
      <c r="AT39" s="20">
        <f>MIN(MAX(0,(SUMPRODUCT(Oxides_min!$C39:$BB39,Factors!$C$53:$BB$53)+SUMPRODUCT(Oxides_max!$C39:$BB39,Factors!$C$53:$BB$53))/2),ABS(SUMPRODUCT(Oxides_max!$C39:$BB39,Factors!$C$53:$BB$53)-SUMPRODUCT(Oxides_min!$C39:$BB39,Factors!$C$53:$BB$53))/2)</f>
        <v>0</v>
      </c>
      <c r="AU39" s="20">
        <f>MIN(MAX(0,(SUMPRODUCT(Oxides_min!$C39:$BB39,Factors!$C$54:$BB$54)+SUMPRODUCT(Oxides_max!$C39:$BB39,Factors!$C$54:$BB$54))/2),ABS(SUMPRODUCT(Oxides_max!$C39:$BB39,Factors!$C$54:$BB$54)-SUMPRODUCT(Oxides_min!$C39:$BB39,Factors!$C$54:$BB$54))/2)</f>
        <v>0</v>
      </c>
      <c r="AV39" s="20">
        <f>MIN(MAX(0,(SUMPRODUCT(Oxides_min!$C39:$BB39,Factors!$C$55:$BB$55)+SUMPRODUCT(Oxides_max!$C39:$BB39,Factors!$C$55:$BB$55))/2),ABS(SUMPRODUCT(Oxides_max!$C39:$BB39,Factors!$C$55:$BB$55)-SUMPRODUCT(Oxides_min!$C39:$BB39,Factors!$C$55:$BB$55))/2)</f>
        <v>0</v>
      </c>
      <c r="AW39" s="20">
        <f>MIN(MAX(0,(SUMPRODUCT(Oxides_min!$C39:$BB39,Factors!$C$56:$BB$56)+SUMPRODUCT(Oxides_max!$C39:$BB39,Factors!$C$56:$BB$56))/2),ABS(SUMPRODUCT(Oxides_max!$C39:$BB39,Factors!$C$56:$BB$56)-SUMPRODUCT(Oxides_min!$C39:$BB39,Factors!$C$56:$BB$56))/2)</f>
        <v>0</v>
      </c>
      <c r="AX39" s="20">
        <f>MIN(MAX(0,(SUMPRODUCT(Oxides_min!$C39:$BB39,Factors!$C$57:$BB$57)+SUMPRODUCT(Oxides_max!$C39:$BB39,Factors!$C$57:$BB$57))/2),ABS(SUMPRODUCT(Oxides_max!$C39:$BB39,Factors!$C$57:$BB$57)-SUMPRODUCT(Oxides_min!$C39:$BB39,Factors!$C$57:$BB$57))/2)</f>
        <v>0</v>
      </c>
      <c r="AY39" s="20">
        <f>MIN(MAX(0,(SUMPRODUCT(Oxides_min!$C39:$BB39,Factors!$C$58:$BB$58)+SUMPRODUCT(Oxides_max!$C39:$BB39,Factors!$C$58:$BB$58))/2),ABS(SUMPRODUCT(Oxides_max!$C39:$BB39,Factors!$C$58:$BB$58)-SUMPRODUCT(Oxides_min!$C39:$BB39,Factors!$C$58:$BB$58))/2)</f>
        <v>0</v>
      </c>
      <c r="AZ39" s="18">
        <f t="shared" si="2"/>
        <v>0</v>
      </c>
    </row>
    <row r="40" spans="1:52" x14ac:dyDescent="0.35">
      <c r="A40" s="13" t="s">
        <v>353</v>
      </c>
      <c r="B40" s="20">
        <f>MIN(MAX(0,(SUMPRODUCT(Oxides_min!$C40:$BB40,Factors!$C$9:$BB$9)+SUMPRODUCT(Oxides_max!$C40:$BB40,Factors!$C$9:$BB$9))/2),ABS(SUMPRODUCT(Oxides_max!$C40:$BB40,Factors!$C$9:$BB$9)-SUMPRODUCT(Oxides_min!$C40:$BB40,Factors!$C$9:$BB$9))/2)</f>
        <v>1.3801609498767</v>
      </c>
      <c r="C40" s="20">
        <f>MIN(MAX(0,(SUMPRODUCT(Oxides_min!$C40:$BB40,Factors!$C$10:$BB$10)+SUMPRODUCT(Oxides_max!$C40:$BB40,Factors!$C$10:$BB$10))/2),ABS(SUMPRODUCT(Oxides_max!$C40:$BB40,Factors!$C$10:$BB$10)-SUMPRODUCT(Oxides_min!$C40:$BB40,Factors!$C$10:$BB$10))/2)</f>
        <v>7.4789874007622714E-2</v>
      </c>
      <c r="D40" s="20">
        <f>MIN(MAX(0,(SUMPRODUCT(Oxides_min!$C40:$BB40,Factors!$C$11:$BB$11)+SUMPRODUCT(Oxides_max!$C40:$BB40,Factors!$C$11:$BB$11))/2),ABS(SUMPRODUCT(Oxides_max!$C40:$BB40,Factors!$C$11:$BB$11)-SUMPRODUCT(Oxides_min!$C40:$BB40,Factors!$C$11:$BB$11))/2)</f>
        <v>8.9902335190634175E-3</v>
      </c>
      <c r="E40" s="20">
        <f>MIN(MAX(0,(SUMPRODUCT(Oxides_min!$C40:$BB40,Factors!$C$12:$BB$12)+SUMPRODUCT(Oxides_max!$C40:$BB40,Factors!$C$12:$BB$12))/2),ABS(SUMPRODUCT(Oxides_max!$C40:$BB40,Factors!$C$12:$BB$12)-SUMPRODUCT(Oxides_min!$C40:$BB40,Factors!$C$12:$BB$12))/2)</f>
        <v>0</v>
      </c>
      <c r="F40" s="20">
        <f>MIN(MAX(0,(SUMPRODUCT(Oxides_min!$C40:$BB40,Factors!$C$13:$BB$13)+SUMPRODUCT(Oxides_max!$C40:$BB40,Factors!$C$13:$BB$13))/2),ABS(SUMPRODUCT(Oxides_max!$C40:$BB40,Factors!$C$13:$BB$13)-SUMPRODUCT(Oxides_min!$C40:$BB40,Factors!$C$13:$BB$13))/2)</f>
        <v>0</v>
      </c>
      <c r="G40" s="20">
        <f>MIN(MAX(0,(SUMPRODUCT(Oxides_min!$C40:$BB40,Factors!$C$14:$BB$14)+SUMPRODUCT(Oxides_max!$C40:$BB40,Factors!$C$14:$BB$14))/2),ABS(SUMPRODUCT(Oxides_max!$C40:$BB40,Factors!$C$14:$BB$14)-SUMPRODUCT(Oxides_min!$C40:$BB40,Factors!$C$14:$BB$14))/2)</f>
        <v>0</v>
      </c>
      <c r="H40" s="20">
        <f>MIN(MAX(0,(SUMPRODUCT(Oxides_min!$C40:$BB40,Factors!$C$15:$BB$15)+SUMPRODUCT(Oxides_max!$C40:$BB40,Factors!$C$15:$BB$15))/2),ABS(SUMPRODUCT(Oxides_max!$C40:$BB40,Factors!$C$15:$BB$15)-SUMPRODUCT(Oxides_min!$C40:$BB40,Factors!$C$15:$BB$15))/2)</f>
        <v>3.175541560252082E-2</v>
      </c>
      <c r="I40" s="20">
        <f>MIN(MAX(0,(SUMPRODUCT(Oxides_min!$C40:$BB40,Factors!$C$16:$BB$16)+SUMPRODUCT(Oxides_max!$C40:$BB40,Factors!$C$16:$BB$16))/2),ABS(SUMPRODUCT(Oxides_max!$C40:$BB40,Factors!$C$16:$BB$16)-SUMPRODUCT(Oxides_min!$C40:$BB40,Factors!$C$16:$BB$16))/2)</f>
        <v>1.0588883177683983</v>
      </c>
      <c r="J40" s="20">
        <f>MIN(MAX(0,(SUMPRODUCT(Oxides_min!$C40:$BB40,Factors!$C$17:$BB$17)+SUMPRODUCT(Oxides_max!$C40:$BB40,Factors!$C$17:$BB$17))/2),ABS(SUMPRODUCT(Oxides_max!$C40:$BB40,Factors!$C$17:$BB$17)-SUMPRODUCT(Oxides_min!$C40:$BB40,Factors!$C$17:$BB$17))/2)</f>
        <v>8.5190818495340714E-2</v>
      </c>
      <c r="K40" s="20">
        <f>MIN(MAX(0,(SUMPRODUCT(Oxides_min!$C40:$BB40,Factors!$C$18:$BB$18)+SUMPRODUCT(Oxides_max!$C40:$BB40,Factors!$C$18:$BB$18))/2),ABS(SUMPRODUCT(Oxides_max!$C40:$BB40,Factors!$C$18:$BB$18)-SUMPRODUCT(Oxides_min!$C40:$BB40,Factors!$C$18:$BB$18))/2)</f>
        <v>1.2733911697120872</v>
      </c>
      <c r="L40" s="20">
        <f>MIN(MAX(0,(SUMPRODUCT(Oxides_min!$C40:$BB40,Factors!$C$19:$BB$19)+SUMPRODUCT(Oxides_max!$C40:$BB40,Factors!$C$19:$BB$19))/2),ABS(SUMPRODUCT(Oxides_max!$C40:$BB40,Factors!$C$19:$BB$19)-SUMPRODUCT(Oxides_min!$C40:$BB40,Factors!$C$19:$BB$19))/2)</f>
        <v>0</v>
      </c>
      <c r="M40" s="20">
        <f>MIN(MAX(0,(SUMPRODUCT(Oxides_min!$C40:$BB40,Factors!$C$20:$BB$20)+SUMPRODUCT(Oxides_max!$C40:$BB40,Factors!$C$20:$BB$20))/2),ABS(SUMPRODUCT(Oxides_max!$C40:$BB40,Factors!$C$20:$BB$20)-SUMPRODUCT(Oxides_min!$C40:$BB40,Factors!$C$20:$BB$20))/2)</f>
        <v>0.29850573144104786</v>
      </c>
      <c r="N40" s="20">
        <f>MIN(MAX(0,(SUMPRODUCT(Oxides_min!$C40:$BB40,Factors!$C$21:$BB$21)+SUMPRODUCT(Oxides_max!$C40:$BB40,Factors!$C$21:$BB$21))/2),ABS(SUMPRODUCT(Oxides_max!$C40:$BB40,Factors!$C$21:$BB$21)-SUMPRODUCT(Oxides_min!$C40:$BB40,Factors!$C$21:$BB$21))/2)</f>
        <v>7.1469586461472617E-3</v>
      </c>
      <c r="O40" s="20">
        <f>MIN(MAX(0,(SUMPRODUCT(Oxides_min!$C40:$BB40,Factors!$C$22:$BB$22)+SUMPRODUCT(Oxides_max!$C40:$BB40,Factors!$C$22:$BB$22))/2),ABS(SUMPRODUCT(Oxides_max!$C40:$BB40,Factors!$C$22:$BB$22)-SUMPRODUCT(Oxides_min!$C40:$BB40,Factors!$C$22:$BB$22))/2)</f>
        <v>0</v>
      </c>
      <c r="P40" s="20">
        <f>MIN(MAX(0,(SUMPRODUCT(Oxides_min!$C40:$BB40,Factors!$C$23:$BB$23)+SUMPRODUCT(Oxides_max!$C40:$BB40,Factors!$C$23:$BB$23))/2),ABS(SUMPRODUCT(Oxides_max!$C40:$BB40,Factors!$C$23:$BB$23)-SUMPRODUCT(Oxides_min!$C40:$BB40,Factors!$C$23:$BB$23))/2)</f>
        <v>0.15673939840601075</v>
      </c>
      <c r="Q40" s="20">
        <f>MIN(MAX(0,(SUMPRODUCT(Oxides_min!$C40:$BB40,Factors!$C$24:$BB$24)+SUMPRODUCT(Oxides_max!$C40:$BB40,Factors!$C$24:$BB$24))/2),ABS(SUMPRODUCT(Oxides_max!$C40:$BB40,Factors!$C$24:$BB$24)-SUMPRODUCT(Oxides_min!$C40:$BB40,Factors!$C$24:$BB$24))/2)</f>
        <v>0</v>
      </c>
      <c r="R40" s="20">
        <f>MIN(MAX(0,(SUMPRODUCT(Oxides_min!$C40:$BB40,Factors!$C$25:$BB$25)+SUMPRODUCT(Oxides_max!$C40:$BB40,Factors!$C$25:$BB$25))/2),ABS(SUMPRODUCT(Oxides_max!$C40:$BB40,Factors!$C$25:$BB$25)-SUMPRODUCT(Oxides_min!$C40:$BB40,Factors!$C$25:$BB$25))/2)</f>
        <v>5.193035805586442E-2</v>
      </c>
      <c r="S40" s="20">
        <f>MIN(MAX(0,(SUMPRODUCT(Oxides_min!$C40:$BB40,Factors!$C$26:$BB$26)+SUMPRODUCT(Oxides_max!$C40:$BB40,Factors!$C$26:$BB$26))/2),ABS(SUMPRODUCT(Oxides_max!$C40:$BB40,Factors!$C$26:$BB$26)-SUMPRODUCT(Oxides_min!$C40:$BB40,Factors!$C$26:$BB$26))/2)</f>
        <v>0.28640219925346821</v>
      </c>
      <c r="T40" s="20">
        <f>MIN(MAX(0,(SUMPRODUCT(Oxides_min!$C40:$BB40,Factors!$C$27:$BB$27)+SUMPRODUCT(Oxides_max!$C40:$BB40,Factors!$C$27:$BB$27))/2),ABS(SUMPRODUCT(Oxides_max!$C40:$BB40,Factors!$C$27:$BB$27)-SUMPRODUCT(Oxides_min!$C40:$BB40,Factors!$C$27:$BB$27))/2)</f>
        <v>0</v>
      </c>
      <c r="U40" s="20">
        <f>MIN(MAX(0,(SUMPRODUCT(Oxides_min!$C40:$BB40,Factors!$C$28:$BB$28)+SUMPRODUCT(Oxides_max!$C40:$BB40,Factors!$C$28:$BB$28))/2),ABS(SUMPRODUCT(Oxides_max!$C40:$BB40,Factors!$C$28:$BB$28)-SUMPRODUCT(Oxides_min!$C40:$BB40,Factors!$C$28:$BB$28))/2)</f>
        <v>0</v>
      </c>
      <c r="V40" s="20">
        <f>MIN(MAX(0,(SUMPRODUCT(Oxides_min!$C40:$BB40,Factors!$C$29:$BB$29)+SUMPRODUCT(Oxides_max!$C40:$BB40,Factors!$C$29:$BB$29))/2),ABS(SUMPRODUCT(Oxides_max!$C40:$BB40,Factors!$C$29:$BB$29)-SUMPRODUCT(Oxides_min!$C40:$BB40,Factors!$C$29:$BB$29))/2)</f>
        <v>0</v>
      </c>
      <c r="W40" s="20">
        <f>MIN(MAX(0,(SUMPRODUCT(Oxides_min!$C40:$BB40,Factors!$C$30:$BB$30)+SUMPRODUCT(Oxides_max!$C40:$BB40,Factors!$C$30:$BB$30))/2),ABS(SUMPRODUCT(Oxides_max!$C40:$BB40,Factors!$C$30:$BB$30)-SUMPRODUCT(Oxides_min!$C40:$BB40,Factors!$C$30:$BB$30))/2)</f>
        <v>0</v>
      </c>
      <c r="X40" s="20">
        <f>MIN(MAX(0,(SUMPRODUCT(Oxides_min!$C40:$BB40,Factors!$C$31:$BB$31)+SUMPRODUCT(Oxides_max!$C40:$BB40,Factors!$C$31:$BB$31))/2),ABS(SUMPRODUCT(Oxides_max!$C40:$BB40,Factors!$C$31:$BB$31)-SUMPRODUCT(Oxides_min!$C40:$BB40,Factors!$C$31:$BB$31))/2)</f>
        <v>0</v>
      </c>
      <c r="Y40" s="20">
        <f>MIN(MAX(0,(SUMPRODUCT(Oxides_min!$C40:$BB40,Factors!$C$32:$BB$32)+SUMPRODUCT(Oxides_max!$C40:$BB40,Factors!$C$32:$BB$32))/2),ABS(SUMPRODUCT(Oxides_max!$C40:$BB40,Factors!$C$32:$BB$32)-SUMPRODUCT(Oxides_min!$C40:$BB40,Factors!$C$32:$BB$32))/2)</f>
        <v>0</v>
      </c>
      <c r="Z40" s="20">
        <f>MIN(MAX(0,(SUMPRODUCT(Oxides_min!$C40:$BB40,Factors!$C$33:$BB$33)+SUMPRODUCT(Oxides_max!$C40:$BB40,Factors!$C$33:$BB$33))/2),ABS(SUMPRODUCT(Oxides_max!$C40:$BB40,Factors!$C$33:$BB$33)-SUMPRODUCT(Oxides_min!$C40:$BB40,Factors!$C$33:$BB$33))/2)</f>
        <v>0</v>
      </c>
      <c r="AA40" s="20">
        <f>MIN(MAX(0,(SUMPRODUCT(Oxides_min!$C40:$BB40,Factors!$C$34:$BB$34)+SUMPRODUCT(Oxides_max!$C40:$BB40,Factors!$C$34:$BB$34))/2),ABS(SUMPRODUCT(Oxides_max!$C40:$BB40,Factors!$C$34:$BB$34)-SUMPRODUCT(Oxides_min!$C40:$BB40,Factors!$C$34:$BB$34))/2)</f>
        <v>0</v>
      </c>
      <c r="AB40" s="20">
        <f>MIN(MAX(0,(SUMPRODUCT(Oxides_min!$C40:$BB40,Factors!$C$35:$BB$35)+SUMPRODUCT(Oxides_max!$C40:$BB40,Factors!$C$35:$BB$35))/2),ABS(SUMPRODUCT(Oxides_max!$C40:$BB40,Factors!$C$35:$BB$35)-SUMPRODUCT(Oxides_min!$C40:$BB40,Factors!$C$35:$BB$35))/2)</f>
        <v>0</v>
      </c>
      <c r="AC40" s="20">
        <f>MIN(MAX(0,(SUMPRODUCT(Oxides_min!$C40:$BB40,Factors!$C$36:$BB$36)+SUMPRODUCT(Oxides_max!$C40:$BB40,Factors!$C$36:$BB$36))/2),ABS(SUMPRODUCT(Oxides_max!$C40:$BB40,Factors!$C$36:$BB$36)-SUMPRODUCT(Oxides_min!$C40:$BB40,Factors!$C$36:$BB$36))/2)</f>
        <v>0</v>
      </c>
      <c r="AD40" s="20">
        <f>MIN(MAX(0,(SUMPRODUCT(Oxides_min!$C40:$BB40,Factors!$C$37:$BB$37)+SUMPRODUCT(Oxides_max!$C40:$BB40,Factors!$C$37:$BB$37))/2),ABS(SUMPRODUCT(Oxides_max!$C40:$BB40,Factors!$C$37:$BB$37)-SUMPRODUCT(Oxides_min!$C40:$BB40,Factors!$C$37:$BB$37))/2)</f>
        <v>3.6369691923397146E-2</v>
      </c>
      <c r="AE40" s="20">
        <f>MIN(MAX(0,(SUMPRODUCT(Oxides_min!$C40:$BB40,Factors!$C$38:$BB$38)+SUMPRODUCT(Oxides_max!$C40:$BB40,Factors!$C$38:$BB$38))/2),ABS(SUMPRODUCT(Oxides_max!$C40:$BB40,Factors!$C$38:$BB$38)-SUMPRODUCT(Oxides_min!$C40:$BB40,Factors!$C$38:$BB$38))/2)</f>
        <v>0.22500000000000001</v>
      </c>
      <c r="AF40" s="20">
        <f>MIN(MAX(0,(SUMPRODUCT(Oxides_min!$C40:$BB40,Factors!$C$39:$BB$39)+SUMPRODUCT(Oxides_max!$C40:$BB40,Factors!$C$39:$BB$39))/2),ABS(SUMPRODUCT(Oxides_max!$C40:$BB40,Factors!$C$39:$BB$39)-SUMPRODUCT(Oxides_min!$C40:$BB40,Factors!$C$39:$BB$39))/2)</f>
        <v>0</v>
      </c>
      <c r="AG40" s="20">
        <f>MIN(MAX(0,(SUMPRODUCT(Oxides_min!$C40:$BB40,Factors!$C$40:$BB$40)+SUMPRODUCT(Oxides_max!$C40:$BB40,Factors!$C$40:$BB$40))/2),ABS(SUMPRODUCT(Oxides_max!$C40:$BB40,Factors!$C$40:$BB$40)-SUMPRODUCT(Oxides_min!$C40:$BB40,Factors!$C$40:$BB$40))/2)</f>
        <v>0</v>
      </c>
      <c r="AH40" s="20">
        <f>MIN(MAX(0,(SUMPRODUCT(Oxides_min!$C40:$BB40,Factors!$C$41:$BB$41)+SUMPRODUCT(Oxides_max!$C40:$BB40,Factors!$C$41:$BB$41))/2),ABS(SUMPRODUCT(Oxides_max!$C40:$BB40,Factors!$C$41:$BB$41)-SUMPRODUCT(Oxides_min!$C40:$BB40,Factors!$C$41:$BB$41))/2)</f>
        <v>0</v>
      </c>
      <c r="AI40" s="20">
        <f>MIN(MAX(0,(SUMPRODUCT(Oxides_min!$C40:$BB40,Factors!$C$42:$BB$42)+SUMPRODUCT(Oxides_max!$C40:$BB40,Factors!$C$42:$BB$42))/2),ABS(SUMPRODUCT(Oxides_max!$C40:$BB40,Factors!$C$42:$BB$42)-SUMPRODUCT(Oxides_min!$C40:$BB40,Factors!$C$42:$BB$42))/2)</f>
        <v>0</v>
      </c>
      <c r="AJ40" s="20">
        <f>MIN(MAX(0,(SUMPRODUCT(Oxides_min!$C40:$BB40,Factors!$C$43:$BB$43)+SUMPRODUCT(Oxides_max!$C40:$BB40,Factors!$C$43:$BB$43))/2),ABS(SUMPRODUCT(Oxides_max!$C40:$BB40,Factors!$C$43:$BB$43)-SUMPRODUCT(Oxides_min!$C40:$BB40,Factors!$C$43:$BB$43))/2)</f>
        <v>0</v>
      </c>
      <c r="AK40" s="20">
        <f>MIN(MAX(0,(SUMPRODUCT(Oxides_min!$C40:$BB40,Factors!$C$44:$BB$44)+SUMPRODUCT(Oxides_max!$C40:$BB40,Factors!$C$44:$BB$44))/2),ABS(SUMPRODUCT(Oxides_max!$C40:$BB40,Factors!$C$44:$BB$44)-SUMPRODUCT(Oxides_min!$C40:$BB40,Factors!$C$44:$BB$44))/2)</f>
        <v>0</v>
      </c>
      <c r="AL40" s="20">
        <f>MIN(MAX(0,(SUMPRODUCT(Oxides_min!$C40:$BB40,Factors!$C$45:$BB$45)+SUMPRODUCT(Oxides_max!$C40:$BB40,Factors!$C$45:$BB$45))/2),ABS(SUMPRODUCT(Oxides_max!$C40:$BB40,Factors!$C$45:$BB$45)-SUMPRODUCT(Oxides_min!$C40:$BB40,Factors!$C$45:$BB$45))/2)</f>
        <v>0</v>
      </c>
      <c r="AM40" s="20">
        <f>MIN(MAX(0,(SUMPRODUCT(Oxides_min!$C40:$BB40,Factors!$C$46:$BB$46)+SUMPRODUCT(Oxides_max!$C40:$BB40,Factors!$C$46:$BB$46))/2),ABS(SUMPRODUCT(Oxides_max!$C40:$BB40,Factors!$C$46:$BB$46)-SUMPRODUCT(Oxides_min!$C40:$BB40,Factors!$C$46:$BB$46))/2)</f>
        <v>0</v>
      </c>
      <c r="AN40" s="20">
        <f>MIN(MAX(0,(SUMPRODUCT(Oxides_min!$C40:$BB40,Factors!$C$47:$BB$47)+SUMPRODUCT(Oxides_max!$C40:$BB40,Factors!$C$47:$BB$47))/2),ABS(SUMPRODUCT(Oxides_max!$C40:$BB40,Factors!$C$47:$BB$47)-SUMPRODUCT(Oxides_min!$C40:$BB40,Factors!$C$47:$BB$47))/2)</f>
        <v>0</v>
      </c>
      <c r="AO40" s="20">
        <f>MIN(MAX(0,(SUMPRODUCT(Oxides_min!$C40:$BB40,Factors!$C$48:$BB$48)+SUMPRODUCT(Oxides_max!$C40:$BB40,Factors!$C$48:$BB$48))/2),ABS(SUMPRODUCT(Oxides_max!$C40:$BB40,Factors!$C$48:$BB$48)-SUMPRODUCT(Oxides_min!$C40:$BB40,Factors!$C$48:$BB$48))/2)</f>
        <v>0</v>
      </c>
      <c r="AP40" s="20">
        <f>MIN(MAX(0,(SUMPRODUCT(Oxides_min!$C40:$BB40,Factors!$C$49:$BB$49)+SUMPRODUCT(Oxides_max!$C40:$BB40,Factors!$C$49:$BB$49))/2),ABS(SUMPRODUCT(Oxides_max!$C40:$BB40,Factors!$C$49:$BB$49)-SUMPRODUCT(Oxides_min!$C40:$BB40,Factors!$C$49:$BB$49))/2)</f>
        <v>0</v>
      </c>
      <c r="AQ40" s="20">
        <f>MIN(MAX(0,(SUMPRODUCT(Oxides_min!$C40:$BB40,Factors!$C$50:$BB$50)+SUMPRODUCT(Oxides_max!$C40:$BB40,Factors!$C$50:$BB$50))/2),ABS(SUMPRODUCT(Oxides_max!$C40:$BB40,Factors!$C$50:$BB$50)-SUMPRODUCT(Oxides_min!$C40:$BB40,Factors!$C$50:$BB$50))/2)</f>
        <v>0</v>
      </c>
      <c r="AR40" s="20">
        <f>MIN(MAX(0,(SUMPRODUCT(Oxides_min!$C40:$BB40,Factors!$C$51:$BB$51)+SUMPRODUCT(Oxides_max!$C40:$BB40,Factors!$C$51:$BB$51))/2),ABS(SUMPRODUCT(Oxides_max!$C40:$BB40,Factors!$C$51:$BB$51)-SUMPRODUCT(Oxides_min!$C40:$BB40,Factors!$C$51:$BB$51))/2)</f>
        <v>0</v>
      </c>
      <c r="AS40" s="20">
        <f>MIN(MAX(0,(SUMPRODUCT(Oxides_min!$C40:$BB40,Factors!$C$52:$BB$52)+SUMPRODUCT(Oxides_max!$C40:$BB40,Factors!$C$52:$BB$52))/2),ABS(SUMPRODUCT(Oxides_max!$C40:$BB40,Factors!$C$52:$BB$52)-SUMPRODUCT(Oxides_min!$C40:$BB40,Factors!$C$52:$BB$52))/2)</f>
        <v>0</v>
      </c>
      <c r="AT40" s="20">
        <f>MIN(MAX(0,(SUMPRODUCT(Oxides_min!$C40:$BB40,Factors!$C$53:$BB$53)+SUMPRODUCT(Oxides_max!$C40:$BB40,Factors!$C$53:$BB$53))/2),ABS(SUMPRODUCT(Oxides_max!$C40:$BB40,Factors!$C$53:$BB$53)-SUMPRODUCT(Oxides_min!$C40:$BB40,Factors!$C$53:$BB$53))/2)</f>
        <v>0</v>
      </c>
      <c r="AU40" s="20">
        <f>MIN(MAX(0,(SUMPRODUCT(Oxides_min!$C40:$BB40,Factors!$C$54:$BB$54)+SUMPRODUCT(Oxides_max!$C40:$BB40,Factors!$C$54:$BB$54))/2),ABS(SUMPRODUCT(Oxides_max!$C40:$BB40,Factors!$C$54:$BB$54)-SUMPRODUCT(Oxides_min!$C40:$BB40,Factors!$C$54:$BB$54))/2)</f>
        <v>0</v>
      </c>
      <c r="AV40" s="20">
        <f>MIN(MAX(0,(SUMPRODUCT(Oxides_min!$C40:$BB40,Factors!$C$55:$BB$55)+SUMPRODUCT(Oxides_max!$C40:$BB40,Factors!$C$55:$BB$55))/2),ABS(SUMPRODUCT(Oxides_max!$C40:$BB40,Factors!$C$55:$BB$55)-SUMPRODUCT(Oxides_min!$C40:$BB40,Factors!$C$55:$BB$55))/2)</f>
        <v>0</v>
      </c>
      <c r="AW40" s="20">
        <f>MIN(MAX(0,(SUMPRODUCT(Oxides_min!$C40:$BB40,Factors!$C$56:$BB$56)+SUMPRODUCT(Oxides_max!$C40:$BB40,Factors!$C$56:$BB$56))/2),ABS(SUMPRODUCT(Oxides_max!$C40:$BB40,Factors!$C$56:$BB$56)-SUMPRODUCT(Oxides_min!$C40:$BB40,Factors!$C$56:$BB$56))/2)</f>
        <v>0</v>
      </c>
      <c r="AX40" s="20">
        <f>MIN(MAX(0,(SUMPRODUCT(Oxides_min!$C40:$BB40,Factors!$C$57:$BB$57)+SUMPRODUCT(Oxides_max!$C40:$BB40,Factors!$C$57:$BB$57))/2),ABS(SUMPRODUCT(Oxides_max!$C40:$BB40,Factors!$C$57:$BB$57)-SUMPRODUCT(Oxides_min!$C40:$BB40,Factors!$C$57:$BB$57))/2)</f>
        <v>0</v>
      </c>
      <c r="AY40" s="20">
        <f>MIN(MAX(0,(SUMPRODUCT(Oxides_min!$C40:$BB40,Factors!$C$58:$BB$58)+SUMPRODUCT(Oxides_max!$C40:$BB40,Factors!$C$58:$BB$58))/2),ABS(SUMPRODUCT(Oxides_max!$C40:$BB40,Factors!$C$58:$BB$58)-SUMPRODUCT(Oxides_min!$C40:$BB40,Factors!$C$58:$BB$58))/2)</f>
        <v>0</v>
      </c>
      <c r="AZ40" s="18">
        <f t="shared" si="2"/>
        <v>4.975261116707669</v>
      </c>
    </row>
    <row r="41" spans="1:52" x14ac:dyDescent="0.35">
      <c r="A41" s="13" t="s">
        <v>355</v>
      </c>
      <c r="B41" s="20">
        <f>MIN(MAX(0,(SUMPRODUCT(Oxides_min!$C41:$BB41,Factors!$C$9:$BB$9)+SUMPRODUCT(Oxides_max!$C41:$BB41,Factors!$C$9:$BB$9))/2),ABS(SUMPRODUCT(Oxides_max!$C41:$BB41,Factors!$C$9:$BB$9)-SUMPRODUCT(Oxides_min!$C41:$BB41,Factors!$C$9:$BB$9))/2)</f>
        <v>0</v>
      </c>
      <c r="C41" s="20">
        <f>MIN(MAX(0,(SUMPRODUCT(Oxides_min!$C41:$BB41,Factors!$C$10:$BB$10)+SUMPRODUCT(Oxides_max!$C41:$BB41,Factors!$C$10:$BB$10))/2),ABS(SUMPRODUCT(Oxides_max!$C41:$BB41,Factors!$C$10:$BB$10)-SUMPRODUCT(Oxides_min!$C41:$BB41,Factors!$C$10:$BB$10))/2)</f>
        <v>0</v>
      </c>
      <c r="D41" s="20">
        <f>MIN(MAX(0,(SUMPRODUCT(Oxides_min!$C41:$BB41,Factors!$C$11:$BB$11)+SUMPRODUCT(Oxides_max!$C41:$BB41,Factors!$C$11:$BB$11))/2),ABS(SUMPRODUCT(Oxides_max!$C41:$BB41,Factors!$C$11:$BB$11)-SUMPRODUCT(Oxides_min!$C41:$BB41,Factors!$C$11:$BB$11))/2)</f>
        <v>0</v>
      </c>
      <c r="E41" s="20">
        <f>MIN(MAX(0,(SUMPRODUCT(Oxides_min!$C41:$BB41,Factors!$C$12:$BB$12)+SUMPRODUCT(Oxides_max!$C41:$BB41,Factors!$C$12:$BB$12))/2),ABS(SUMPRODUCT(Oxides_max!$C41:$BB41,Factors!$C$12:$BB$12)-SUMPRODUCT(Oxides_min!$C41:$BB41,Factors!$C$12:$BB$12))/2)</f>
        <v>0</v>
      </c>
      <c r="F41" s="20">
        <f>MIN(MAX(0,(SUMPRODUCT(Oxides_min!$C41:$BB41,Factors!$C$13:$BB$13)+SUMPRODUCT(Oxides_max!$C41:$BB41,Factors!$C$13:$BB$13))/2),ABS(SUMPRODUCT(Oxides_max!$C41:$BB41,Factors!$C$13:$BB$13)-SUMPRODUCT(Oxides_min!$C41:$BB41,Factors!$C$13:$BB$13))/2)</f>
        <v>0</v>
      </c>
      <c r="G41" s="20">
        <f>MIN(MAX(0,(SUMPRODUCT(Oxides_min!$C41:$BB41,Factors!$C$14:$BB$14)+SUMPRODUCT(Oxides_max!$C41:$BB41,Factors!$C$14:$BB$14))/2),ABS(SUMPRODUCT(Oxides_max!$C41:$BB41,Factors!$C$14:$BB$14)-SUMPRODUCT(Oxides_min!$C41:$BB41,Factors!$C$14:$BB$14))/2)</f>
        <v>0</v>
      </c>
      <c r="H41" s="20">
        <f>MIN(MAX(0,(SUMPRODUCT(Oxides_min!$C41:$BB41,Factors!$C$15:$BB$15)+SUMPRODUCT(Oxides_max!$C41:$BB41,Factors!$C$15:$BB$15))/2),ABS(SUMPRODUCT(Oxides_max!$C41:$BB41,Factors!$C$15:$BB$15)-SUMPRODUCT(Oxides_min!$C41:$BB41,Factors!$C$15:$BB$15))/2)</f>
        <v>0</v>
      </c>
      <c r="I41" s="20">
        <f>MIN(MAX(0,(SUMPRODUCT(Oxides_min!$C41:$BB41,Factors!$C$16:$BB$16)+SUMPRODUCT(Oxides_max!$C41:$BB41,Factors!$C$16:$BB$16))/2),ABS(SUMPRODUCT(Oxides_max!$C41:$BB41,Factors!$C$16:$BB$16)-SUMPRODUCT(Oxides_min!$C41:$BB41,Factors!$C$16:$BB$16))/2)</f>
        <v>0</v>
      </c>
      <c r="J41" s="20">
        <f>MIN(MAX(0,(SUMPRODUCT(Oxides_min!$C41:$BB41,Factors!$C$17:$BB$17)+SUMPRODUCT(Oxides_max!$C41:$BB41,Factors!$C$17:$BB$17))/2),ABS(SUMPRODUCT(Oxides_max!$C41:$BB41,Factors!$C$17:$BB$17)-SUMPRODUCT(Oxides_min!$C41:$BB41,Factors!$C$17:$BB$17))/2)</f>
        <v>0</v>
      </c>
      <c r="K41" s="20">
        <f>MIN(MAX(0,(SUMPRODUCT(Oxides_min!$C41:$BB41,Factors!$C$18:$BB$18)+SUMPRODUCT(Oxides_max!$C41:$BB41,Factors!$C$18:$BB$18))/2),ABS(SUMPRODUCT(Oxides_max!$C41:$BB41,Factors!$C$18:$BB$18)-SUMPRODUCT(Oxides_min!$C41:$BB41,Factors!$C$18:$BB$18))/2)</f>
        <v>0</v>
      </c>
      <c r="L41" s="20">
        <f>MIN(MAX(0,(SUMPRODUCT(Oxides_min!$C41:$BB41,Factors!$C$19:$BB$19)+SUMPRODUCT(Oxides_max!$C41:$BB41,Factors!$C$19:$BB$19))/2),ABS(SUMPRODUCT(Oxides_max!$C41:$BB41,Factors!$C$19:$BB$19)-SUMPRODUCT(Oxides_min!$C41:$BB41,Factors!$C$19:$BB$19))/2)</f>
        <v>0</v>
      </c>
      <c r="M41" s="20">
        <f>MIN(MAX(0,(SUMPRODUCT(Oxides_min!$C41:$BB41,Factors!$C$20:$BB$20)+SUMPRODUCT(Oxides_max!$C41:$BB41,Factors!$C$20:$BB$20))/2),ABS(SUMPRODUCT(Oxides_max!$C41:$BB41,Factors!$C$20:$BB$20)-SUMPRODUCT(Oxides_min!$C41:$BB41,Factors!$C$20:$BB$20))/2)</f>
        <v>0</v>
      </c>
      <c r="N41" s="20">
        <f>MIN(MAX(0,(SUMPRODUCT(Oxides_min!$C41:$BB41,Factors!$C$21:$BB$21)+SUMPRODUCT(Oxides_max!$C41:$BB41,Factors!$C$21:$BB$21))/2),ABS(SUMPRODUCT(Oxides_max!$C41:$BB41,Factors!$C$21:$BB$21)-SUMPRODUCT(Oxides_min!$C41:$BB41,Factors!$C$21:$BB$21))/2)</f>
        <v>0</v>
      </c>
      <c r="O41" s="20">
        <f>MIN(MAX(0,(SUMPRODUCT(Oxides_min!$C41:$BB41,Factors!$C$22:$BB$22)+SUMPRODUCT(Oxides_max!$C41:$BB41,Factors!$C$22:$BB$22))/2),ABS(SUMPRODUCT(Oxides_max!$C41:$BB41,Factors!$C$22:$BB$22)-SUMPRODUCT(Oxides_min!$C41:$BB41,Factors!$C$22:$BB$22))/2)</f>
        <v>0</v>
      </c>
      <c r="P41" s="20">
        <f>MIN(MAX(0,(SUMPRODUCT(Oxides_min!$C41:$BB41,Factors!$C$23:$BB$23)+SUMPRODUCT(Oxides_max!$C41:$BB41,Factors!$C$23:$BB$23))/2),ABS(SUMPRODUCT(Oxides_max!$C41:$BB41,Factors!$C$23:$BB$23)-SUMPRODUCT(Oxides_min!$C41:$BB41,Factors!$C$23:$BB$23))/2)</f>
        <v>0</v>
      </c>
      <c r="Q41" s="20">
        <f>MIN(MAX(0,(SUMPRODUCT(Oxides_min!$C41:$BB41,Factors!$C$24:$BB$24)+SUMPRODUCT(Oxides_max!$C41:$BB41,Factors!$C$24:$BB$24))/2),ABS(SUMPRODUCT(Oxides_max!$C41:$BB41,Factors!$C$24:$BB$24)-SUMPRODUCT(Oxides_min!$C41:$BB41,Factors!$C$24:$BB$24))/2)</f>
        <v>0</v>
      </c>
      <c r="R41" s="20">
        <f>MIN(MAX(0,(SUMPRODUCT(Oxides_min!$C41:$BB41,Factors!$C$25:$BB$25)+SUMPRODUCT(Oxides_max!$C41:$BB41,Factors!$C$25:$BB$25))/2),ABS(SUMPRODUCT(Oxides_max!$C41:$BB41,Factors!$C$25:$BB$25)-SUMPRODUCT(Oxides_min!$C41:$BB41,Factors!$C$25:$BB$25))/2)</f>
        <v>0</v>
      </c>
      <c r="S41" s="20">
        <f>MIN(MAX(0,(SUMPRODUCT(Oxides_min!$C41:$BB41,Factors!$C$26:$BB$26)+SUMPRODUCT(Oxides_max!$C41:$BB41,Factors!$C$26:$BB$26))/2),ABS(SUMPRODUCT(Oxides_max!$C41:$BB41,Factors!$C$26:$BB$26)-SUMPRODUCT(Oxides_min!$C41:$BB41,Factors!$C$26:$BB$26))/2)</f>
        <v>0</v>
      </c>
      <c r="T41" s="20">
        <f>MIN(MAX(0,(SUMPRODUCT(Oxides_min!$C41:$BB41,Factors!$C$27:$BB$27)+SUMPRODUCT(Oxides_max!$C41:$BB41,Factors!$C$27:$BB$27))/2),ABS(SUMPRODUCT(Oxides_max!$C41:$BB41,Factors!$C$27:$BB$27)-SUMPRODUCT(Oxides_min!$C41:$BB41,Factors!$C$27:$BB$27))/2)</f>
        <v>0</v>
      </c>
      <c r="U41" s="20">
        <f>MIN(MAX(0,(SUMPRODUCT(Oxides_min!$C41:$BB41,Factors!$C$28:$BB$28)+SUMPRODUCT(Oxides_max!$C41:$BB41,Factors!$C$28:$BB$28))/2),ABS(SUMPRODUCT(Oxides_max!$C41:$BB41,Factors!$C$28:$BB$28)-SUMPRODUCT(Oxides_min!$C41:$BB41,Factors!$C$28:$BB$28))/2)</f>
        <v>0</v>
      </c>
      <c r="V41" s="20">
        <f>MIN(MAX(0,(SUMPRODUCT(Oxides_min!$C41:$BB41,Factors!$C$29:$BB$29)+SUMPRODUCT(Oxides_max!$C41:$BB41,Factors!$C$29:$BB$29))/2),ABS(SUMPRODUCT(Oxides_max!$C41:$BB41,Factors!$C$29:$BB$29)-SUMPRODUCT(Oxides_min!$C41:$BB41,Factors!$C$29:$BB$29))/2)</f>
        <v>0</v>
      </c>
      <c r="W41" s="20">
        <f>MIN(MAX(0,(SUMPRODUCT(Oxides_min!$C41:$BB41,Factors!$C$30:$BB$30)+SUMPRODUCT(Oxides_max!$C41:$BB41,Factors!$C$30:$BB$30))/2),ABS(SUMPRODUCT(Oxides_max!$C41:$BB41,Factors!$C$30:$BB$30)-SUMPRODUCT(Oxides_min!$C41:$BB41,Factors!$C$30:$BB$30))/2)</f>
        <v>0</v>
      </c>
      <c r="X41" s="20">
        <f>MIN(MAX(0,(SUMPRODUCT(Oxides_min!$C41:$BB41,Factors!$C$31:$BB$31)+SUMPRODUCT(Oxides_max!$C41:$BB41,Factors!$C$31:$BB$31))/2),ABS(SUMPRODUCT(Oxides_max!$C41:$BB41,Factors!$C$31:$BB$31)-SUMPRODUCT(Oxides_min!$C41:$BB41,Factors!$C$31:$BB$31))/2)</f>
        <v>0</v>
      </c>
      <c r="Y41" s="20">
        <f>MIN(MAX(0,(SUMPRODUCT(Oxides_min!$C41:$BB41,Factors!$C$32:$BB$32)+SUMPRODUCT(Oxides_max!$C41:$BB41,Factors!$C$32:$BB$32))/2),ABS(SUMPRODUCT(Oxides_max!$C41:$BB41,Factors!$C$32:$BB$32)-SUMPRODUCT(Oxides_min!$C41:$BB41,Factors!$C$32:$BB$32))/2)</f>
        <v>0</v>
      </c>
      <c r="Z41" s="20">
        <f>MIN(MAX(0,(SUMPRODUCT(Oxides_min!$C41:$BB41,Factors!$C$33:$BB$33)+SUMPRODUCT(Oxides_max!$C41:$BB41,Factors!$C$33:$BB$33))/2),ABS(SUMPRODUCT(Oxides_max!$C41:$BB41,Factors!$C$33:$BB$33)-SUMPRODUCT(Oxides_min!$C41:$BB41,Factors!$C$33:$BB$33))/2)</f>
        <v>0</v>
      </c>
      <c r="AA41" s="20">
        <f>MIN(MAX(0,(SUMPRODUCT(Oxides_min!$C41:$BB41,Factors!$C$34:$BB$34)+SUMPRODUCT(Oxides_max!$C41:$BB41,Factors!$C$34:$BB$34))/2),ABS(SUMPRODUCT(Oxides_max!$C41:$BB41,Factors!$C$34:$BB$34)-SUMPRODUCT(Oxides_min!$C41:$BB41,Factors!$C$34:$BB$34))/2)</f>
        <v>0</v>
      </c>
      <c r="AB41" s="20">
        <f>MIN(MAX(0,(SUMPRODUCT(Oxides_min!$C41:$BB41,Factors!$C$35:$BB$35)+SUMPRODUCT(Oxides_max!$C41:$BB41,Factors!$C$35:$BB$35))/2),ABS(SUMPRODUCT(Oxides_max!$C41:$BB41,Factors!$C$35:$BB$35)-SUMPRODUCT(Oxides_min!$C41:$BB41,Factors!$C$35:$BB$35))/2)</f>
        <v>0</v>
      </c>
      <c r="AC41" s="20">
        <f>MIN(MAX(0,(SUMPRODUCT(Oxides_min!$C41:$BB41,Factors!$C$36:$BB$36)+SUMPRODUCT(Oxides_max!$C41:$BB41,Factors!$C$36:$BB$36))/2),ABS(SUMPRODUCT(Oxides_max!$C41:$BB41,Factors!$C$36:$BB$36)-SUMPRODUCT(Oxides_min!$C41:$BB41,Factors!$C$36:$BB$36))/2)</f>
        <v>0</v>
      </c>
      <c r="AD41" s="20">
        <f>MIN(MAX(0,(SUMPRODUCT(Oxides_min!$C41:$BB41,Factors!$C$37:$BB$37)+SUMPRODUCT(Oxides_max!$C41:$BB41,Factors!$C$37:$BB$37))/2),ABS(SUMPRODUCT(Oxides_max!$C41:$BB41,Factors!$C$37:$BB$37)-SUMPRODUCT(Oxides_min!$C41:$BB41,Factors!$C$37:$BB$37))/2)</f>
        <v>0</v>
      </c>
      <c r="AE41" s="20">
        <f>MIN(MAX(0,(SUMPRODUCT(Oxides_min!$C41:$BB41,Factors!$C$38:$BB$38)+SUMPRODUCT(Oxides_max!$C41:$BB41,Factors!$C$38:$BB$38))/2),ABS(SUMPRODUCT(Oxides_max!$C41:$BB41,Factors!$C$38:$BB$38)-SUMPRODUCT(Oxides_min!$C41:$BB41,Factors!$C$38:$BB$38))/2)</f>
        <v>0</v>
      </c>
      <c r="AF41" s="20">
        <f>MIN(MAX(0,(SUMPRODUCT(Oxides_min!$C41:$BB41,Factors!$C$39:$BB$39)+SUMPRODUCT(Oxides_max!$C41:$BB41,Factors!$C$39:$BB$39))/2),ABS(SUMPRODUCT(Oxides_max!$C41:$BB41,Factors!$C$39:$BB$39)-SUMPRODUCT(Oxides_min!$C41:$BB41,Factors!$C$39:$BB$39))/2)</f>
        <v>0</v>
      </c>
      <c r="AG41" s="20">
        <f>MIN(MAX(0,(SUMPRODUCT(Oxides_min!$C41:$BB41,Factors!$C$40:$BB$40)+SUMPRODUCT(Oxides_max!$C41:$BB41,Factors!$C$40:$BB$40))/2),ABS(SUMPRODUCT(Oxides_max!$C41:$BB41,Factors!$C$40:$BB$40)-SUMPRODUCT(Oxides_min!$C41:$BB41,Factors!$C$40:$BB$40))/2)</f>
        <v>0</v>
      </c>
      <c r="AH41" s="20">
        <f>MIN(MAX(0,(SUMPRODUCT(Oxides_min!$C41:$BB41,Factors!$C$41:$BB$41)+SUMPRODUCT(Oxides_max!$C41:$BB41,Factors!$C$41:$BB$41))/2),ABS(SUMPRODUCT(Oxides_max!$C41:$BB41,Factors!$C$41:$BB$41)-SUMPRODUCT(Oxides_min!$C41:$BB41,Factors!$C$41:$BB$41))/2)</f>
        <v>0</v>
      </c>
      <c r="AI41" s="20">
        <f>MIN(MAX(0,(SUMPRODUCT(Oxides_min!$C41:$BB41,Factors!$C$42:$BB$42)+SUMPRODUCT(Oxides_max!$C41:$BB41,Factors!$C$42:$BB$42))/2),ABS(SUMPRODUCT(Oxides_max!$C41:$BB41,Factors!$C$42:$BB$42)-SUMPRODUCT(Oxides_min!$C41:$BB41,Factors!$C$42:$BB$42))/2)</f>
        <v>0</v>
      </c>
      <c r="AJ41" s="20">
        <f>MIN(MAX(0,(SUMPRODUCT(Oxides_min!$C41:$BB41,Factors!$C$43:$BB$43)+SUMPRODUCT(Oxides_max!$C41:$BB41,Factors!$C$43:$BB$43))/2),ABS(SUMPRODUCT(Oxides_max!$C41:$BB41,Factors!$C$43:$BB$43)-SUMPRODUCT(Oxides_min!$C41:$BB41,Factors!$C$43:$BB$43))/2)</f>
        <v>0</v>
      </c>
      <c r="AK41" s="20">
        <f>MIN(MAX(0,(SUMPRODUCT(Oxides_min!$C41:$BB41,Factors!$C$44:$BB$44)+SUMPRODUCT(Oxides_max!$C41:$BB41,Factors!$C$44:$BB$44))/2),ABS(SUMPRODUCT(Oxides_max!$C41:$BB41,Factors!$C$44:$BB$44)-SUMPRODUCT(Oxides_min!$C41:$BB41,Factors!$C$44:$BB$44))/2)</f>
        <v>0</v>
      </c>
      <c r="AL41" s="20">
        <f>MIN(MAX(0,(SUMPRODUCT(Oxides_min!$C41:$BB41,Factors!$C$45:$BB$45)+SUMPRODUCT(Oxides_max!$C41:$BB41,Factors!$C$45:$BB$45))/2),ABS(SUMPRODUCT(Oxides_max!$C41:$BB41,Factors!$C$45:$BB$45)-SUMPRODUCT(Oxides_min!$C41:$BB41,Factors!$C$45:$BB$45))/2)</f>
        <v>0</v>
      </c>
      <c r="AM41" s="20">
        <f>MIN(MAX(0,(SUMPRODUCT(Oxides_min!$C41:$BB41,Factors!$C$46:$BB$46)+SUMPRODUCT(Oxides_max!$C41:$BB41,Factors!$C$46:$BB$46))/2),ABS(SUMPRODUCT(Oxides_max!$C41:$BB41,Factors!$C$46:$BB$46)-SUMPRODUCT(Oxides_min!$C41:$BB41,Factors!$C$46:$BB$46))/2)</f>
        <v>0</v>
      </c>
      <c r="AN41" s="20">
        <f>MIN(MAX(0,(SUMPRODUCT(Oxides_min!$C41:$BB41,Factors!$C$47:$BB$47)+SUMPRODUCT(Oxides_max!$C41:$BB41,Factors!$C$47:$BB$47))/2),ABS(SUMPRODUCT(Oxides_max!$C41:$BB41,Factors!$C$47:$BB$47)-SUMPRODUCT(Oxides_min!$C41:$BB41,Factors!$C$47:$BB$47))/2)</f>
        <v>0</v>
      </c>
      <c r="AO41" s="20">
        <f>MIN(MAX(0,(SUMPRODUCT(Oxides_min!$C41:$BB41,Factors!$C$48:$BB$48)+SUMPRODUCT(Oxides_max!$C41:$BB41,Factors!$C$48:$BB$48))/2),ABS(SUMPRODUCT(Oxides_max!$C41:$BB41,Factors!$C$48:$BB$48)-SUMPRODUCT(Oxides_min!$C41:$BB41,Factors!$C$48:$BB$48))/2)</f>
        <v>0</v>
      </c>
      <c r="AP41" s="20">
        <f>MIN(MAX(0,(SUMPRODUCT(Oxides_min!$C41:$BB41,Factors!$C$49:$BB$49)+SUMPRODUCT(Oxides_max!$C41:$BB41,Factors!$C$49:$BB$49))/2),ABS(SUMPRODUCT(Oxides_max!$C41:$BB41,Factors!$C$49:$BB$49)-SUMPRODUCT(Oxides_min!$C41:$BB41,Factors!$C$49:$BB$49))/2)</f>
        <v>0</v>
      </c>
      <c r="AQ41" s="20">
        <f>MIN(MAX(0,(SUMPRODUCT(Oxides_min!$C41:$BB41,Factors!$C$50:$BB$50)+SUMPRODUCT(Oxides_max!$C41:$BB41,Factors!$C$50:$BB$50))/2),ABS(SUMPRODUCT(Oxides_max!$C41:$BB41,Factors!$C$50:$BB$50)-SUMPRODUCT(Oxides_min!$C41:$BB41,Factors!$C$50:$BB$50))/2)</f>
        <v>0</v>
      </c>
      <c r="AR41" s="20">
        <f>MIN(MAX(0,(SUMPRODUCT(Oxides_min!$C41:$BB41,Factors!$C$51:$BB$51)+SUMPRODUCT(Oxides_max!$C41:$BB41,Factors!$C$51:$BB$51))/2),ABS(SUMPRODUCT(Oxides_max!$C41:$BB41,Factors!$C$51:$BB$51)-SUMPRODUCT(Oxides_min!$C41:$BB41,Factors!$C$51:$BB$51))/2)</f>
        <v>0</v>
      </c>
      <c r="AS41" s="20">
        <f>MIN(MAX(0,(SUMPRODUCT(Oxides_min!$C41:$BB41,Factors!$C$52:$BB$52)+SUMPRODUCT(Oxides_max!$C41:$BB41,Factors!$C$52:$BB$52))/2),ABS(SUMPRODUCT(Oxides_max!$C41:$BB41,Factors!$C$52:$BB$52)-SUMPRODUCT(Oxides_min!$C41:$BB41,Factors!$C$52:$BB$52))/2)</f>
        <v>0</v>
      </c>
      <c r="AT41" s="20">
        <f>MIN(MAX(0,(SUMPRODUCT(Oxides_min!$C41:$BB41,Factors!$C$53:$BB$53)+SUMPRODUCT(Oxides_max!$C41:$BB41,Factors!$C$53:$BB$53))/2),ABS(SUMPRODUCT(Oxides_max!$C41:$BB41,Factors!$C$53:$BB$53)-SUMPRODUCT(Oxides_min!$C41:$BB41,Factors!$C$53:$BB$53))/2)</f>
        <v>0</v>
      </c>
      <c r="AU41" s="20">
        <f>MIN(MAX(0,(SUMPRODUCT(Oxides_min!$C41:$BB41,Factors!$C$54:$BB$54)+SUMPRODUCT(Oxides_max!$C41:$BB41,Factors!$C$54:$BB$54))/2),ABS(SUMPRODUCT(Oxides_max!$C41:$BB41,Factors!$C$54:$BB$54)-SUMPRODUCT(Oxides_min!$C41:$BB41,Factors!$C$54:$BB$54))/2)</f>
        <v>0</v>
      </c>
      <c r="AV41" s="20">
        <f>MIN(MAX(0,(SUMPRODUCT(Oxides_min!$C41:$BB41,Factors!$C$55:$BB$55)+SUMPRODUCT(Oxides_max!$C41:$BB41,Factors!$C$55:$BB$55))/2),ABS(SUMPRODUCT(Oxides_max!$C41:$BB41,Factors!$C$55:$BB$55)-SUMPRODUCT(Oxides_min!$C41:$BB41,Factors!$C$55:$BB$55))/2)</f>
        <v>0</v>
      </c>
      <c r="AW41" s="20">
        <f>MIN(MAX(0,(SUMPRODUCT(Oxides_min!$C41:$BB41,Factors!$C$56:$BB$56)+SUMPRODUCT(Oxides_max!$C41:$BB41,Factors!$C$56:$BB$56))/2),ABS(SUMPRODUCT(Oxides_max!$C41:$BB41,Factors!$C$56:$BB$56)-SUMPRODUCT(Oxides_min!$C41:$BB41,Factors!$C$56:$BB$56))/2)</f>
        <v>0</v>
      </c>
      <c r="AX41" s="20">
        <f>MIN(MAX(0,(SUMPRODUCT(Oxides_min!$C41:$BB41,Factors!$C$57:$BB$57)+SUMPRODUCT(Oxides_max!$C41:$BB41,Factors!$C$57:$BB$57))/2),ABS(SUMPRODUCT(Oxides_max!$C41:$BB41,Factors!$C$57:$BB$57)-SUMPRODUCT(Oxides_min!$C41:$BB41,Factors!$C$57:$BB$57))/2)</f>
        <v>0</v>
      </c>
      <c r="AY41" s="20">
        <f>MIN(MAX(0,(SUMPRODUCT(Oxides_min!$C41:$BB41,Factors!$C$58:$BB$58)+SUMPRODUCT(Oxides_max!$C41:$BB41,Factors!$C$58:$BB$58))/2),ABS(SUMPRODUCT(Oxides_max!$C41:$BB41,Factors!$C$58:$BB$58)-SUMPRODUCT(Oxides_min!$C41:$BB41,Factors!$C$58:$BB$58))/2)</f>
        <v>0</v>
      </c>
      <c r="AZ41" s="18">
        <f t="shared" si="2"/>
        <v>0</v>
      </c>
    </row>
    <row r="42" spans="1:52" x14ac:dyDescent="0.35">
      <c r="A42" s="13" t="s">
        <v>357</v>
      </c>
      <c r="B42" s="20">
        <f>MIN(MAX(0,(SUMPRODUCT(Oxides_min!$C42:$BB42,Factors!$C$9:$BB$9)+SUMPRODUCT(Oxides_max!$C42:$BB42,Factors!$C$9:$BB$9))/2),ABS(SUMPRODUCT(Oxides_max!$C42:$BB42,Factors!$C$9:$BB$9)-SUMPRODUCT(Oxides_min!$C42:$BB42,Factors!$C$9:$BB$9))/2)</f>
        <v>5.6847786757763217</v>
      </c>
      <c r="C42" s="20">
        <f>MIN(MAX(0,(SUMPRODUCT(Oxides_min!$C42:$BB42,Factors!$C$10:$BB$10)+SUMPRODUCT(Oxides_max!$C42:$BB42,Factors!$C$10:$BB$10))/2),ABS(SUMPRODUCT(Oxides_max!$C42:$BB42,Factors!$C$10:$BB$10)-SUMPRODUCT(Oxides_min!$C42:$BB42,Factors!$C$10:$BB$10))/2)</f>
        <v>0.61935364412562688</v>
      </c>
      <c r="D42" s="20">
        <f>MIN(MAX(0,(SUMPRODUCT(Oxides_min!$C42:$BB42,Factors!$C$11:$BB$11)+SUMPRODUCT(Oxides_max!$C42:$BB42,Factors!$C$11:$BB$11))/2),ABS(SUMPRODUCT(Oxides_max!$C42:$BB42,Factors!$C$11:$BB$11)-SUMPRODUCT(Oxides_min!$C42:$BB42,Factors!$C$11:$BB$11))/2)</f>
        <v>0.44351818694046208</v>
      </c>
      <c r="E42" s="20">
        <f>MIN(MAX(0,(SUMPRODUCT(Oxides_min!$C42:$BB42,Factors!$C$12:$BB$12)+SUMPRODUCT(Oxides_max!$C42:$BB42,Factors!$C$12:$BB$12))/2),ABS(SUMPRODUCT(Oxides_max!$C42:$BB42,Factors!$C$12:$BB$12)-SUMPRODUCT(Oxides_min!$C42:$BB42,Factors!$C$12:$BB$12))/2)</f>
        <v>0</v>
      </c>
      <c r="F42" s="20">
        <f>MIN(MAX(0,(SUMPRODUCT(Oxides_min!$C42:$BB42,Factors!$C$13:$BB$13)+SUMPRODUCT(Oxides_max!$C42:$BB42,Factors!$C$13:$BB$13))/2),ABS(SUMPRODUCT(Oxides_max!$C42:$BB42,Factors!$C$13:$BB$13)-SUMPRODUCT(Oxides_min!$C42:$BB42,Factors!$C$13:$BB$13))/2)</f>
        <v>0</v>
      </c>
      <c r="G42" s="20">
        <f>MIN(MAX(0,(SUMPRODUCT(Oxides_min!$C42:$BB42,Factors!$C$14:$BB$14)+SUMPRODUCT(Oxides_max!$C42:$BB42,Factors!$C$14:$BB$14))/2),ABS(SUMPRODUCT(Oxides_max!$C42:$BB42,Factors!$C$14:$BB$14)-SUMPRODUCT(Oxides_min!$C42:$BB42,Factors!$C$14:$BB$14))/2)</f>
        <v>0</v>
      </c>
      <c r="H42" s="20">
        <f>MIN(MAX(0,(SUMPRODUCT(Oxides_min!$C42:$BB42,Factors!$C$15:$BB$15)+SUMPRODUCT(Oxides_max!$C42:$BB42,Factors!$C$15:$BB$15))/2),ABS(SUMPRODUCT(Oxides_max!$C42:$BB42,Factors!$C$15:$BB$15)-SUMPRODUCT(Oxides_min!$C42:$BB42,Factors!$C$15:$BB$15))/2)</f>
        <v>1.9264952132195812</v>
      </c>
      <c r="I42" s="20">
        <f>MIN(MAX(0,(SUMPRODUCT(Oxides_min!$C42:$BB42,Factors!$C$16:$BB$16)+SUMPRODUCT(Oxides_max!$C42:$BB42,Factors!$C$16:$BB$16))/2),ABS(SUMPRODUCT(Oxides_max!$C42:$BB42,Factors!$C$16:$BB$16)-SUMPRODUCT(Oxides_min!$C42:$BB42,Factors!$C$16:$BB$16))/2)</f>
        <v>3.0548250375814252</v>
      </c>
      <c r="J42" s="20">
        <f>MIN(MAX(0,(SUMPRODUCT(Oxides_min!$C42:$BB42,Factors!$C$17:$BB$17)+SUMPRODUCT(Oxides_max!$C42:$BB42,Factors!$C$17:$BB$17))/2),ABS(SUMPRODUCT(Oxides_max!$C42:$BB42,Factors!$C$17:$BB$17)-SUMPRODUCT(Oxides_min!$C42:$BB42,Factors!$C$17:$BB$17))/2)</f>
        <v>0.68539885789433241</v>
      </c>
      <c r="K42" s="20">
        <f>MIN(MAX(0,(SUMPRODUCT(Oxides_min!$C42:$BB42,Factors!$C$18:$BB$18)+SUMPRODUCT(Oxides_max!$C42:$BB42,Factors!$C$18:$BB$18))/2),ABS(SUMPRODUCT(Oxides_max!$C42:$BB42,Factors!$C$18:$BB$18)-SUMPRODUCT(Oxides_min!$C42:$BB42,Factors!$C$18:$BB$18))/2)</f>
        <v>0</v>
      </c>
      <c r="L42" s="20">
        <f>MIN(MAX(0,(SUMPRODUCT(Oxides_min!$C42:$BB42,Factors!$C$19:$BB$19)+SUMPRODUCT(Oxides_max!$C42:$BB42,Factors!$C$19:$BB$19))/2),ABS(SUMPRODUCT(Oxides_max!$C42:$BB42,Factors!$C$19:$BB$19)-SUMPRODUCT(Oxides_min!$C42:$BB42,Factors!$C$19:$BB$19))/2)</f>
        <v>0</v>
      </c>
      <c r="M42" s="20">
        <f>MIN(MAX(0,(SUMPRODUCT(Oxides_min!$C42:$BB42,Factors!$C$20:$BB$20)+SUMPRODUCT(Oxides_max!$C42:$BB42,Factors!$C$20:$BB$20))/2),ABS(SUMPRODUCT(Oxides_max!$C42:$BB42,Factors!$C$20:$BB$20)-SUMPRODUCT(Oxides_min!$C42:$BB42,Factors!$C$20:$BB$20))/2)</f>
        <v>1.0251711988884478</v>
      </c>
      <c r="N42" s="20">
        <f>MIN(MAX(0,(SUMPRODUCT(Oxides_min!$C42:$BB42,Factors!$C$21:$BB$21)+SUMPRODUCT(Oxides_max!$C42:$BB42,Factors!$C$21:$BB$21))/2),ABS(SUMPRODUCT(Oxides_max!$C42:$BB42,Factors!$C$21:$BB$21)-SUMPRODUCT(Oxides_min!$C42:$BB42,Factors!$C$21:$BB$21))/2)</f>
        <v>5.3602189846104459E-2</v>
      </c>
      <c r="O42" s="20">
        <f>MIN(MAX(0,(SUMPRODUCT(Oxides_min!$C42:$BB42,Factors!$C$22:$BB$22)+SUMPRODUCT(Oxides_max!$C42:$BB42,Factors!$C$22:$BB$22))/2),ABS(SUMPRODUCT(Oxides_max!$C42:$BB42,Factors!$C$22:$BB$22)-SUMPRODUCT(Oxides_min!$C42:$BB42,Factors!$C$22:$BB$22))/2)</f>
        <v>0</v>
      </c>
      <c r="P42" s="20">
        <f>MIN(MAX(0,(SUMPRODUCT(Oxides_min!$C42:$BB42,Factors!$C$23:$BB$23)+SUMPRODUCT(Oxides_max!$C42:$BB42,Factors!$C$23:$BB$23))/2),ABS(SUMPRODUCT(Oxides_max!$C42:$BB42,Factors!$C$23:$BB$23)-SUMPRODUCT(Oxides_min!$C42:$BB42,Factors!$C$23:$BB$23))/2)</f>
        <v>0</v>
      </c>
      <c r="Q42" s="20">
        <f>MIN(MAX(0,(SUMPRODUCT(Oxides_min!$C42:$BB42,Factors!$C$24:$BB$24)+SUMPRODUCT(Oxides_max!$C42:$BB42,Factors!$C$24:$BB$24))/2),ABS(SUMPRODUCT(Oxides_max!$C42:$BB42,Factors!$C$24:$BB$24)-SUMPRODUCT(Oxides_min!$C42:$BB42,Factors!$C$24:$BB$24))/2)</f>
        <v>0</v>
      </c>
      <c r="R42" s="20">
        <f>MIN(MAX(0,(SUMPRODUCT(Oxides_min!$C42:$BB42,Factors!$C$25:$BB$25)+SUMPRODUCT(Oxides_max!$C42:$BB42,Factors!$C$25:$BB$25))/2),ABS(SUMPRODUCT(Oxides_max!$C42:$BB42,Factors!$C$25:$BB$25)-SUMPRODUCT(Oxides_min!$C42:$BB42,Factors!$C$25:$BB$25))/2)</f>
        <v>0.10386071611172885</v>
      </c>
      <c r="S42" s="20">
        <f>MIN(MAX(0,(SUMPRODUCT(Oxides_min!$C42:$BB42,Factors!$C$26:$BB$26)+SUMPRODUCT(Oxides_max!$C42:$BB42,Factors!$C$26:$BB$26))/2),ABS(SUMPRODUCT(Oxides_max!$C42:$BB42,Factors!$C$26:$BB$26)-SUMPRODUCT(Oxides_min!$C42:$BB42,Factors!$C$26:$BB$26))/2)</f>
        <v>0.45658321620118114</v>
      </c>
      <c r="T42" s="20">
        <f>MIN(MAX(0,(SUMPRODUCT(Oxides_min!$C42:$BB42,Factors!$C$27:$BB$27)+SUMPRODUCT(Oxides_max!$C42:$BB42,Factors!$C$27:$BB$27))/2),ABS(SUMPRODUCT(Oxides_max!$C42:$BB42,Factors!$C$27:$BB$27)-SUMPRODUCT(Oxides_min!$C42:$BB42,Factors!$C$27:$BB$27))/2)</f>
        <v>0</v>
      </c>
      <c r="U42" s="20">
        <f>MIN(MAX(0,(SUMPRODUCT(Oxides_min!$C42:$BB42,Factors!$C$28:$BB$28)+SUMPRODUCT(Oxides_max!$C42:$BB42,Factors!$C$28:$BB$28))/2),ABS(SUMPRODUCT(Oxides_max!$C42:$BB42,Factors!$C$28:$BB$28)-SUMPRODUCT(Oxides_min!$C42:$BB42,Factors!$C$28:$BB$28))/2)</f>
        <v>0</v>
      </c>
      <c r="V42" s="20">
        <f>MIN(MAX(0,(SUMPRODUCT(Oxides_min!$C42:$BB42,Factors!$C$29:$BB$29)+SUMPRODUCT(Oxides_max!$C42:$BB42,Factors!$C$29:$BB$29))/2),ABS(SUMPRODUCT(Oxides_max!$C42:$BB42,Factors!$C$29:$BB$29)-SUMPRODUCT(Oxides_min!$C42:$BB42,Factors!$C$29:$BB$29))/2)</f>
        <v>0</v>
      </c>
      <c r="W42" s="20">
        <f>MIN(MAX(0,(SUMPRODUCT(Oxides_min!$C42:$BB42,Factors!$C$30:$BB$30)+SUMPRODUCT(Oxides_max!$C42:$BB42,Factors!$C$30:$BB$30))/2),ABS(SUMPRODUCT(Oxides_max!$C42:$BB42,Factors!$C$30:$BB$30)-SUMPRODUCT(Oxides_min!$C42:$BB42,Factors!$C$30:$BB$30))/2)</f>
        <v>0</v>
      </c>
      <c r="X42" s="20">
        <f>MIN(MAX(0,(SUMPRODUCT(Oxides_min!$C42:$BB42,Factors!$C$31:$BB$31)+SUMPRODUCT(Oxides_max!$C42:$BB42,Factors!$C$31:$BB$31))/2),ABS(SUMPRODUCT(Oxides_max!$C42:$BB42,Factors!$C$31:$BB$31)-SUMPRODUCT(Oxides_min!$C42:$BB42,Factors!$C$31:$BB$31))/2)</f>
        <v>0</v>
      </c>
      <c r="Y42" s="20">
        <f>MIN(MAX(0,(SUMPRODUCT(Oxides_min!$C42:$BB42,Factors!$C$32:$BB$32)+SUMPRODUCT(Oxides_max!$C42:$BB42,Factors!$C$32:$BB$32))/2),ABS(SUMPRODUCT(Oxides_max!$C42:$BB42,Factors!$C$32:$BB$32)-SUMPRODUCT(Oxides_min!$C42:$BB42,Factors!$C$32:$BB$32))/2)</f>
        <v>0</v>
      </c>
      <c r="Z42" s="20">
        <f>MIN(MAX(0,(SUMPRODUCT(Oxides_min!$C42:$BB42,Factors!$C$33:$BB$33)+SUMPRODUCT(Oxides_max!$C42:$BB42,Factors!$C$33:$BB$33))/2),ABS(SUMPRODUCT(Oxides_max!$C42:$BB42,Factors!$C$33:$BB$33)-SUMPRODUCT(Oxides_min!$C42:$BB42,Factors!$C$33:$BB$33))/2)</f>
        <v>0</v>
      </c>
      <c r="AA42" s="20">
        <f>MIN(MAX(0,(SUMPRODUCT(Oxides_min!$C42:$BB42,Factors!$C$34:$BB$34)+SUMPRODUCT(Oxides_max!$C42:$BB42,Factors!$C$34:$BB$34))/2),ABS(SUMPRODUCT(Oxides_max!$C42:$BB42,Factors!$C$34:$BB$34)-SUMPRODUCT(Oxides_min!$C42:$BB42,Factors!$C$34:$BB$34))/2)</f>
        <v>0</v>
      </c>
      <c r="AB42" s="20">
        <f>MIN(MAX(0,(SUMPRODUCT(Oxides_min!$C42:$BB42,Factors!$C$35:$BB$35)+SUMPRODUCT(Oxides_max!$C42:$BB42,Factors!$C$35:$BB$35))/2),ABS(SUMPRODUCT(Oxides_max!$C42:$BB42,Factors!$C$35:$BB$35)-SUMPRODUCT(Oxides_min!$C42:$BB42,Factors!$C$35:$BB$35))/2)</f>
        <v>0</v>
      </c>
      <c r="AC42" s="20">
        <f>MIN(MAX(0,(SUMPRODUCT(Oxides_min!$C42:$BB42,Factors!$C$36:$BB$36)+SUMPRODUCT(Oxides_max!$C42:$BB42,Factors!$C$36:$BB$36))/2),ABS(SUMPRODUCT(Oxides_max!$C42:$BB42,Factors!$C$36:$BB$36)-SUMPRODUCT(Oxides_min!$C42:$BB42,Factors!$C$36:$BB$36))/2)</f>
        <v>0</v>
      </c>
      <c r="AD42" s="20">
        <f>MIN(MAX(0,(SUMPRODUCT(Oxides_min!$C42:$BB42,Factors!$C$37:$BB$37)+SUMPRODUCT(Oxides_max!$C42:$BB42,Factors!$C$37:$BB$37))/2),ABS(SUMPRODUCT(Oxides_max!$C42:$BB42,Factors!$C$37:$BB$37)-SUMPRODUCT(Oxides_min!$C42:$BB42,Factors!$C$37:$BB$37))/2)</f>
        <v>0.19695587010824311</v>
      </c>
      <c r="AE42" s="20">
        <f>MIN(MAX(0,(SUMPRODUCT(Oxides_min!$C42:$BB42,Factors!$C$38:$BB$38)+SUMPRODUCT(Oxides_max!$C42:$BB42,Factors!$C$38:$BB$38))/2),ABS(SUMPRODUCT(Oxides_max!$C42:$BB42,Factors!$C$38:$BB$38)-SUMPRODUCT(Oxides_min!$C42:$BB42,Factors!$C$38:$BB$38))/2)</f>
        <v>1.1100000000000001</v>
      </c>
      <c r="AF42" s="20">
        <f>MIN(MAX(0,(SUMPRODUCT(Oxides_min!$C42:$BB42,Factors!$C$39:$BB$39)+SUMPRODUCT(Oxides_max!$C42:$BB42,Factors!$C$39:$BB$39))/2),ABS(SUMPRODUCT(Oxides_max!$C42:$BB42,Factors!$C$39:$BB$39)-SUMPRODUCT(Oxides_min!$C42:$BB42,Factors!$C$39:$BB$39))/2)</f>
        <v>0.12</v>
      </c>
      <c r="AG42" s="20">
        <f>MIN(MAX(0,(SUMPRODUCT(Oxides_min!$C42:$BB42,Factors!$C$40:$BB$40)+SUMPRODUCT(Oxides_max!$C42:$BB42,Factors!$C$40:$BB$40))/2),ABS(SUMPRODUCT(Oxides_max!$C42:$BB42,Factors!$C$40:$BB$40)-SUMPRODUCT(Oxides_min!$C42:$BB42,Factors!$C$40:$BB$40))/2)</f>
        <v>0</v>
      </c>
      <c r="AH42" s="20">
        <f>MIN(MAX(0,(SUMPRODUCT(Oxides_min!$C42:$BB42,Factors!$C$41:$BB$41)+SUMPRODUCT(Oxides_max!$C42:$BB42,Factors!$C$41:$BB$41))/2),ABS(SUMPRODUCT(Oxides_max!$C42:$BB42,Factors!$C$41:$BB$41)-SUMPRODUCT(Oxides_min!$C42:$BB42,Factors!$C$41:$BB$41))/2)</f>
        <v>0</v>
      </c>
      <c r="AI42" s="20">
        <f>MIN(MAX(0,(SUMPRODUCT(Oxides_min!$C42:$BB42,Factors!$C$42:$BB$42)+SUMPRODUCT(Oxides_max!$C42:$BB42,Factors!$C$42:$BB$42))/2),ABS(SUMPRODUCT(Oxides_max!$C42:$BB42,Factors!$C$42:$BB$42)-SUMPRODUCT(Oxides_min!$C42:$BB42,Factors!$C$42:$BB$42))/2)</f>
        <v>0</v>
      </c>
      <c r="AJ42" s="20">
        <f>MIN(MAX(0,(SUMPRODUCT(Oxides_min!$C42:$BB42,Factors!$C$43:$BB$43)+SUMPRODUCT(Oxides_max!$C42:$BB42,Factors!$C$43:$BB$43))/2),ABS(SUMPRODUCT(Oxides_max!$C42:$BB42,Factors!$C$43:$BB$43)-SUMPRODUCT(Oxides_min!$C42:$BB42,Factors!$C$43:$BB$43))/2)</f>
        <v>0</v>
      </c>
      <c r="AK42" s="20">
        <f>MIN(MAX(0,(SUMPRODUCT(Oxides_min!$C42:$BB42,Factors!$C$44:$BB$44)+SUMPRODUCT(Oxides_max!$C42:$BB42,Factors!$C$44:$BB$44))/2),ABS(SUMPRODUCT(Oxides_max!$C42:$BB42,Factors!$C$44:$BB$44)-SUMPRODUCT(Oxides_min!$C42:$BB42,Factors!$C$44:$BB$44))/2)</f>
        <v>0</v>
      </c>
      <c r="AL42" s="20">
        <f>MIN(MAX(0,(SUMPRODUCT(Oxides_min!$C42:$BB42,Factors!$C$45:$BB$45)+SUMPRODUCT(Oxides_max!$C42:$BB42,Factors!$C$45:$BB$45))/2),ABS(SUMPRODUCT(Oxides_max!$C42:$BB42,Factors!$C$45:$BB$45)-SUMPRODUCT(Oxides_min!$C42:$BB42,Factors!$C$45:$BB$45))/2)</f>
        <v>0</v>
      </c>
      <c r="AM42" s="20">
        <f>MIN(MAX(0,(SUMPRODUCT(Oxides_min!$C42:$BB42,Factors!$C$46:$BB$46)+SUMPRODUCT(Oxides_max!$C42:$BB42,Factors!$C$46:$BB$46))/2),ABS(SUMPRODUCT(Oxides_max!$C42:$BB42,Factors!$C$46:$BB$46)-SUMPRODUCT(Oxides_min!$C42:$BB42,Factors!$C$46:$BB$46))/2)</f>
        <v>0</v>
      </c>
      <c r="AN42" s="20">
        <f>MIN(MAX(0,(SUMPRODUCT(Oxides_min!$C42:$BB42,Factors!$C$47:$BB$47)+SUMPRODUCT(Oxides_max!$C42:$BB42,Factors!$C$47:$BB$47))/2),ABS(SUMPRODUCT(Oxides_max!$C42:$BB42,Factors!$C$47:$BB$47)-SUMPRODUCT(Oxides_min!$C42:$BB42,Factors!$C$47:$BB$47))/2)</f>
        <v>0</v>
      </c>
      <c r="AO42" s="20">
        <f>MIN(MAX(0,(SUMPRODUCT(Oxides_min!$C42:$BB42,Factors!$C$48:$BB$48)+SUMPRODUCT(Oxides_max!$C42:$BB42,Factors!$C$48:$BB$48))/2),ABS(SUMPRODUCT(Oxides_max!$C42:$BB42,Factors!$C$48:$BB$48)-SUMPRODUCT(Oxides_min!$C42:$BB42,Factors!$C$48:$BB$48))/2)</f>
        <v>0</v>
      </c>
      <c r="AP42" s="20">
        <f>MIN(MAX(0,(SUMPRODUCT(Oxides_min!$C42:$BB42,Factors!$C$49:$BB$49)+SUMPRODUCT(Oxides_max!$C42:$BB42,Factors!$C$49:$BB$49))/2),ABS(SUMPRODUCT(Oxides_max!$C42:$BB42,Factors!$C$49:$BB$49)-SUMPRODUCT(Oxides_min!$C42:$BB42,Factors!$C$49:$BB$49))/2)</f>
        <v>0</v>
      </c>
      <c r="AQ42" s="20">
        <f>MIN(MAX(0,(SUMPRODUCT(Oxides_min!$C42:$BB42,Factors!$C$50:$BB$50)+SUMPRODUCT(Oxides_max!$C42:$BB42,Factors!$C$50:$BB$50))/2),ABS(SUMPRODUCT(Oxides_max!$C42:$BB42,Factors!$C$50:$BB$50)-SUMPRODUCT(Oxides_min!$C42:$BB42,Factors!$C$50:$BB$50))/2)</f>
        <v>0</v>
      </c>
      <c r="AR42" s="20">
        <f>MIN(MAX(0,(SUMPRODUCT(Oxides_min!$C42:$BB42,Factors!$C$51:$BB$51)+SUMPRODUCT(Oxides_max!$C42:$BB42,Factors!$C$51:$BB$51))/2),ABS(SUMPRODUCT(Oxides_max!$C42:$BB42,Factors!$C$51:$BB$51)-SUMPRODUCT(Oxides_min!$C42:$BB42,Factors!$C$51:$BB$51))/2)</f>
        <v>0</v>
      </c>
      <c r="AS42" s="20">
        <f>MIN(MAX(0,(SUMPRODUCT(Oxides_min!$C42:$BB42,Factors!$C$52:$BB$52)+SUMPRODUCT(Oxides_max!$C42:$BB42,Factors!$C$52:$BB$52))/2),ABS(SUMPRODUCT(Oxides_max!$C42:$BB42,Factors!$C$52:$BB$52)-SUMPRODUCT(Oxides_min!$C42:$BB42,Factors!$C$52:$BB$52))/2)</f>
        <v>0</v>
      </c>
      <c r="AT42" s="20">
        <f>MIN(MAX(0,(SUMPRODUCT(Oxides_min!$C42:$BB42,Factors!$C$53:$BB$53)+SUMPRODUCT(Oxides_max!$C42:$BB42,Factors!$C$53:$BB$53))/2),ABS(SUMPRODUCT(Oxides_max!$C42:$BB42,Factors!$C$53:$BB$53)-SUMPRODUCT(Oxides_min!$C42:$BB42,Factors!$C$53:$BB$53))/2)</f>
        <v>0</v>
      </c>
      <c r="AU42" s="20">
        <f>MIN(MAX(0,(SUMPRODUCT(Oxides_min!$C42:$BB42,Factors!$C$54:$BB$54)+SUMPRODUCT(Oxides_max!$C42:$BB42,Factors!$C$54:$BB$54))/2),ABS(SUMPRODUCT(Oxides_max!$C42:$BB42,Factors!$C$54:$BB$54)-SUMPRODUCT(Oxides_min!$C42:$BB42,Factors!$C$54:$BB$54))/2)</f>
        <v>0</v>
      </c>
      <c r="AV42" s="20">
        <f>MIN(MAX(0,(SUMPRODUCT(Oxides_min!$C42:$BB42,Factors!$C$55:$BB$55)+SUMPRODUCT(Oxides_max!$C42:$BB42,Factors!$C$55:$BB$55))/2),ABS(SUMPRODUCT(Oxides_max!$C42:$BB42,Factors!$C$55:$BB$55)-SUMPRODUCT(Oxides_min!$C42:$BB42,Factors!$C$55:$BB$55))/2)</f>
        <v>0</v>
      </c>
      <c r="AW42" s="20">
        <f>MIN(MAX(0,(SUMPRODUCT(Oxides_min!$C42:$BB42,Factors!$C$56:$BB$56)+SUMPRODUCT(Oxides_max!$C42:$BB42,Factors!$C$56:$BB$56))/2),ABS(SUMPRODUCT(Oxides_max!$C42:$BB42,Factors!$C$56:$BB$56)-SUMPRODUCT(Oxides_min!$C42:$BB42,Factors!$C$56:$BB$56))/2)</f>
        <v>0</v>
      </c>
      <c r="AX42" s="20">
        <f>MIN(MAX(0,(SUMPRODUCT(Oxides_min!$C42:$BB42,Factors!$C$57:$BB$57)+SUMPRODUCT(Oxides_max!$C42:$BB42,Factors!$C$57:$BB$57))/2),ABS(SUMPRODUCT(Oxides_max!$C42:$BB42,Factors!$C$57:$BB$57)-SUMPRODUCT(Oxides_min!$C42:$BB42,Factors!$C$57:$BB$57))/2)</f>
        <v>0</v>
      </c>
      <c r="AY42" s="20">
        <f>MIN(MAX(0,(SUMPRODUCT(Oxides_min!$C42:$BB42,Factors!$C$58:$BB$58)+SUMPRODUCT(Oxides_max!$C42:$BB42,Factors!$C$58:$BB$58))/2),ABS(SUMPRODUCT(Oxides_max!$C42:$BB42,Factors!$C$58:$BB$58)-SUMPRODUCT(Oxides_min!$C42:$BB42,Factors!$C$58:$BB$58))/2)</f>
        <v>0</v>
      </c>
      <c r="AZ42" s="18">
        <f t="shared" si="2"/>
        <v>15.480542806693453</v>
      </c>
    </row>
    <row r="43" spans="1:52" x14ac:dyDescent="0.35">
      <c r="A43" s="13" t="s">
        <v>359</v>
      </c>
      <c r="B43" s="20">
        <f>MIN(MAX(0,(SUMPRODUCT(Oxides_min!$C43:$BB43,Factors!$C$9:$BB$9)+SUMPRODUCT(Oxides_max!$C43:$BB43,Factors!$C$9:$BB$9))/2),ABS(SUMPRODUCT(Oxides_max!$C43:$BB43,Factors!$C$9:$BB$9)-SUMPRODUCT(Oxides_min!$C43:$BB43,Factors!$C$9:$BB$9))/2)</f>
        <v>8.6938902556168802</v>
      </c>
      <c r="C43" s="20">
        <f>MIN(MAX(0,(SUMPRODUCT(Oxides_min!$C43:$BB43,Factors!$C$10:$BB$10)+SUMPRODUCT(Oxides_max!$C43:$BB43,Factors!$C$10:$BB$10))/2),ABS(SUMPRODUCT(Oxides_max!$C43:$BB43,Factors!$C$10:$BB$10)-SUMPRODUCT(Oxides_min!$C43:$BB43,Factors!$C$10:$BB$10))/2)</f>
        <v>0</v>
      </c>
      <c r="D43" s="20">
        <f>MIN(MAX(0,(SUMPRODUCT(Oxides_min!$C43:$BB43,Factors!$C$11:$BB$11)+SUMPRODUCT(Oxides_max!$C43:$BB43,Factors!$C$11:$BB$11))/2),ABS(SUMPRODUCT(Oxides_max!$C43:$BB43,Factors!$C$11:$BB$11)-SUMPRODUCT(Oxides_min!$C43:$BB43,Factors!$C$11:$BB$11))/2)</f>
        <v>0.38957678582608157</v>
      </c>
      <c r="E43" s="20">
        <f>MIN(MAX(0,(SUMPRODUCT(Oxides_min!$C43:$BB43,Factors!$C$12:$BB$12)+SUMPRODUCT(Oxides_max!$C43:$BB43,Factors!$C$12:$BB$12))/2),ABS(SUMPRODUCT(Oxides_max!$C43:$BB43,Factors!$C$12:$BB$12)-SUMPRODUCT(Oxides_min!$C43:$BB43,Factors!$C$12:$BB$12))/2)</f>
        <v>0</v>
      </c>
      <c r="F43" s="20">
        <f>MIN(MAX(0,(SUMPRODUCT(Oxides_min!$C43:$BB43,Factors!$C$13:$BB$13)+SUMPRODUCT(Oxides_max!$C43:$BB43,Factors!$C$13:$BB$13))/2),ABS(SUMPRODUCT(Oxides_max!$C43:$BB43,Factors!$C$13:$BB$13)-SUMPRODUCT(Oxides_min!$C43:$BB43,Factors!$C$13:$BB$13))/2)</f>
        <v>0</v>
      </c>
      <c r="G43" s="20">
        <f>MIN(MAX(0,(SUMPRODUCT(Oxides_min!$C43:$BB43,Factors!$C$14:$BB$14)+SUMPRODUCT(Oxides_max!$C43:$BB43,Factors!$C$14:$BB$14))/2),ABS(SUMPRODUCT(Oxides_max!$C43:$BB43,Factors!$C$14:$BB$14)-SUMPRODUCT(Oxides_min!$C43:$BB43,Factors!$C$14:$BB$14))/2)</f>
        <v>0.26387351699976114</v>
      </c>
      <c r="H43" s="20">
        <f>MIN(MAX(0,(SUMPRODUCT(Oxides_min!$C43:$BB43,Factors!$C$15:$BB$15)+SUMPRODUCT(Oxides_max!$C43:$BB43,Factors!$C$15:$BB$15))/2),ABS(SUMPRODUCT(Oxides_max!$C43:$BB43,Factors!$C$15:$BB$15)-SUMPRODUCT(Oxides_min!$C43:$BB43,Factors!$C$15:$BB$15))/2)</f>
        <v>0</v>
      </c>
      <c r="I43" s="20">
        <f>MIN(MAX(0,(SUMPRODUCT(Oxides_min!$C43:$BB43,Factors!$C$16:$BB$16)+SUMPRODUCT(Oxides_max!$C43:$BB43,Factors!$C$16:$BB$16))/2),ABS(SUMPRODUCT(Oxides_max!$C43:$BB43,Factors!$C$16:$BB$16)-SUMPRODUCT(Oxides_min!$C43:$BB43,Factors!$C$16:$BB$16))/2)</f>
        <v>3.2064003257056966</v>
      </c>
      <c r="J43" s="20">
        <f>MIN(MAX(0,(SUMPRODUCT(Oxides_min!$C43:$BB43,Factors!$C$17:$BB$17)+SUMPRODUCT(Oxides_max!$C43:$BB43,Factors!$C$17:$BB$17))/2),ABS(SUMPRODUCT(Oxides_max!$C43:$BB43,Factors!$C$17:$BB$17)-SUMPRODUCT(Oxides_min!$C43:$BB43,Factors!$C$17:$BB$17))/2)</f>
        <v>2.3117690291690192</v>
      </c>
      <c r="K43" s="20">
        <f>MIN(MAX(0,(SUMPRODUCT(Oxides_min!$C43:$BB43,Factors!$C$18:$BB$18)+SUMPRODUCT(Oxides_max!$C43:$BB43,Factors!$C$18:$BB$18))/2),ABS(SUMPRODUCT(Oxides_max!$C43:$BB43,Factors!$C$18:$BB$18)-SUMPRODUCT(Oxides_min!$C43:$BB43,Factors!$C$18:$BB$18))/2)</f>
        <v>0</v>
      </c>
      <c r="L43" s="20">
        <f>MIN(MAX(0,(SUMPRODUCT(Oxides_min!$C43:$BB43,Factors!$C$19:$BB$19)+SUMPRODUCT(Oxides_max!$C43:$BB43,Factors!$C$19:$BB$19))/2),ABS(SUMPRODUCT(Oxides_max!$C43:$BB43,Factors!$C$19:$BB$19)-SUMPRODUCT(Oxides_min!$C43:$BB43,Factors!$C$19:$BB$19))/2)</f>
        <v>0</v>
      </c>
      <c r="M43" s="20">
        <f>MIN(MAX(0,(SUMPRODUCT(Oxides_min!$C43:$BB43,Factors!$C$20:$BB$20)+SUMPRODUCT(Oxides_max!$C43:$BB43,Factors!$C$20:$BB$20))/2),ABS(SUMPRODUCT(Oxides_max!$C43:$BB43,Factors!$C$20:$BB$20)-SUMPRODUCT(Oxides_min!$C43:$BB43,Factors!$C$20:$BB$20))/2)</f>
        <v>0</v>
      </c>
      <c r="N43" s="20">
        <f>MIN(MAX(0,(SUMPRODUCT(Oxides_min!$C43:$BB43,Factors!$C$21:$BB$21)+SUMPRODUCT(Oxides_max!$C43:$BB43,Factors!$C$21:$BB$21))/2),ABS(SUMPRODUCT(Oxides_max!$C43:$BB43,Factors!$C$21:$BB$21)-SUMPRODUCT(Oxides_min!$C43:$BB43,Factors!$C$21:$BB$21))/2)</f>
        <v>0.20726180073827055</v>
      </c>
      <c r="O43" s="20">
        <f>MIN(MAX(0,(SUMPRODUCT(Oxides_min!$C43:$BB43,Factors!$C$22:$BB$22)+SUMPRODUCT(Oxides_max!$C43:$BB43,Factors!$C$22:$BB$22))/2),ABS(SUMPRODUCT(Oxides_max!$C43:$BB43,Factors!$C$22:$BB$22)-SUMPRODUCT(Oxides_min!$C43:$BB43,Factors!$C$22:$BB$22))/2)</f>
        <v>0</v>
      </c>
      <c r="P43" s="20">
        <f>MIN(MAX(0,(SUMPRODUCT(Oxides_min!$C43:$BB43,Factors!$C$23:$BB$23)+SUMPRODUCT(Oxides_max!$C43:$BB43,Factors!$C$23:$BB$23))/2),ABS(SUMPRODUCT(Oxides_max!$C43:$BB43,Factors!$C$23:$BB$23)-SUMPRODUCT(Oxides_min!$C43:$BB43,Factors!$C$23:$BB$23))/2)</f>
        <v>0</v>
      </c>
      <c r="Q43" s="20">
        <f>MIN(MAX(0,(SUMPRODUCT(Oxides_min!$C43:$BB43,Factors!$C$24:$BB$24)+SUMPRODUCT(Oxides_max!$C43:$BB43,Factors!$C$24:$BB$24))/2),ABS(SUMPRODUCT(Oxides_max!$C43:$BB43,Factors!$C$24:$BB$24)-SUMPRODUCT(Oxides_min!$C43:$BB43,Factors!$C$24:$BB$24))/2)</f>
        <v>0</v>
      </c>
      <c r="R43" s="20">
        <f>MIN(MAX(0,(SUMPRODUCT(Oxides_min!$C43:$BB43,Factors!$C$25:$BB$25)+SUMPRODUCT(Oxides_max!$C43:$BB43,Factors!$C$25:$BB$25))/2),ABS(SUMPRODUCT(Oxides_max!$C43:$BB43,Factors!$C$25:$BB$25)-SUMPRODUCT(Oxides_min!$C43:$BB43,Factors!$C$25:$BB$25))/2)</f>
        <v>0</v>
      </c>
      <c r="S43" s="20">
        <f>MIN(MAX(0,(SUMPRODUCT(Oxides_min!$C43:$BB43,Factors!$C$26:$BB$26)+SUMPRODUCT(Oxides_max!$C43:$BB43,Factors!$C$26:$BB$26))/2),ABS(SUMPRODUCT(Oxides_max!$C43:$BB43,Factors!$C$26:$BB$26)-SUMPRODUCT(Oxides_min!$C43:$BB43,Factors!$C$26:$BB$26))/2)</f>
        <v>0</v>
      </c>
      <c r="T43" s="20">
        <f>MIN(MAX(0,(SUMPRODUCT(Oxides_min!$C43:$BB43,Factors!$C$27:$BB$27)+SUMPRODUCT(Oxides_max!$C43:$BB43,Factors!$C$27:$BB$27))/2),ABS(SUMPRODUCT(Oxides_max!$C43:$BB43,Factors!$C$27:$BB$27)-SUMPRODUCT(Oxides_min!$C43:$BB43,Factors!$C$27:$BB$27))/2)</f>
        <v>0</v>
      </c>
      <c r="U43" s="20">
        <f>MIN(MAX(0,(SUMPRODUCT(Oxides_min!$C43:$BB43,Factors!$C$28:$BB$28)+SUMPRODUCT(Oxides_max!$C43:$BB43,Factors!$C$28:$BB$28))/2),ABS(SUMPRODUCT(Oxides_max!$C43:$BB43,Factors!$C$28:$BB$28)-SUMPRODUCT(Oxides_min!$C43:$BB43,Factors!$C$28:$BB$28))/2)</f>
        <v>0</v>
      </c>
      <c r="V43" s="20">
        <f>MIN(MAX(0,(SUMPRODUCT(Oxides_min!$C43:$BB43,Factors!$C$29:$BB$29)+SUMPRODUCT(Oxides_max!$C43:$BB43,Factors!$C$29:$BB$29))/2),ABS(SUMPRODUCT(Oxides_max!$C43:$BB43,Factors!$C$29:$BB$29)-SUMPRODUCT(Oxides_min!$C43:$BB43,Factors!$C$29:$BB$29))/2)</f>
        <v>0</v>
      </c>
      <c r="W43" s="20">
        <f>MIN(MAX(0,(SUMPRODUCT(Oxides_min!$C43:$BB43,Factors!$C$30:$BB$30)+SUMPRODUCT(Oxides_max!$C43:$BB43,Factors!$C$30:$BB$30))/2),ABS(SUMPRODUCT(Oxides_max!$C43:$BB43,Factors!$C$30:$BB$30)-SUMPRODUCT(Oxides_min!$C43:$BB43,Factors!$C$30:$BB$30))/2)</f>
        <v>9.4371668409655776</v>
      </c>
      <c r="X43" s="20">
        <f>MIN(MAX(0,(SUMPRODUCT(Oxides_min!$C43:$BB43,Factors!$C$31:$BB$31)+SUMPRODUCT(Oxides_max!$C43:$BB43,Factors!$C$31:$BB$31))/2),ABS(SUMPRODUCT(Oxides_max!$C43:$BB43,Factors!$C$31:$BB$31)-SUMPRODUCT(Oxides_min!$C43:$BB43,Factors!$C$31:$BB$31))/2)</f>
        <v>11.74404551568356</v>
      </c>
      <c r="Y43" s="20">
        <f>MIN(MAX(0,(SUMPRODUCT(Oxides_min!$C43:$BB43,Factors!$C$32:$BB$32)+SUMPRODUCT(Oxides_max!$C43:$BB43,Factors!$C$32:$BB$32))/2),ABS(SUMPRODUCT(Oxides_max!$C43:$BB43,Factors!$C$32:$BB$32)-SUMPRODUCT(Oxides_min!$C43:$BB43,Factors!$C$32:$BB$32))/2)</f>
        <v>0.11101592929515136</v>
      </c>
      <c r="Z43" s="20">
        <f>MIN(MAX(0,(SUMPRODUCT(Oxides_min!$C43:$BB43,Factors!$C$33:$BB$33)+SUMPRODUCT(Oxides_max!$C43:$BB43,Factors!$C$33:$BB$33))/2),ABS(SUMPRODUCT(Oxides_max!$C43:$BB43,Factors!$C$33:$BB$33)-SUMPRODUCT(Oxides_min!$C43:$BB43,Factors!$C$33:$BB$33))/2)</f>
        <v>0</v>
      </c>
      <c r="AA43" s="20">
        <f>MIN(MAX(0,(SUMPRODUCT(Oxides_min!$C43:$BB43,Factors!$C$34:$BB$34)+SUMPRODUCT(Oxides_max!$C43:$BB43,Factors!$C$34:$BB$34))/2),ABS(SUMPRODUCT(Oxides_max!$C43:$BB43,Factors!$C$34:$BB$34)-SUMPRODUCT(Oxides_min!$C43:$BB43,Factors!$C$34:$BB$34))/2)</f>
        <v>0</v>
      </c>
      <c r="AB43" s="20">
        <f>MIN(MAX(0,(SUMPRODUCT(Oxides_min!$C43:$BB43,Factors!$C$35:$BB$35)+SUMPRODUCT(Oxides_max!$C43:$BB43,Factors!$C$35:$BB$35))/2),ABS(SUMPRODUCT(Oxides_max!$C43:$BB43,Factors!$C$35:$BB$35)-SUMPRODUCT(Oxides_min!$C43:$BB43,Factors!$C$35:$BB$35))/2)</f>
        <v>0</v>
      </c>
      <c r="AC43" s="20">
        <f>MIN(MAX(0,(SUMPRODUCT(Oxides_min!$C43:$BB43,Factors!$C$36:$BB$36)+SUMPRODUCT(Oxides_max!$C43:$BB43,Factors!$C$36:$BB$36))/2),ABS(SUMPRODUCT(Oxides_max!$C43:$BB43,Factors!$C$36:$BB$36)-SUMPRODUCT(Oxides_min!$C43:$BB43,Factors!$C$36:$BB$36))/2)</f>
        <v>0</v>
      </c>
      <c r="AD43" s="20">
        <f>MIN(MAX(0,(SUMPRODUCT(Oxides_min!$C43:$BB43,Factors!$C$37:$BB$37)+SUMPRODUCT(Oxides_max!$C43:$BB43,Factors!$C$37:$BB$37))/2),ABS(SUMPRODUCT(Oxides_max!$C43:$BB43,Factors!$C$37:$BB$37)-SUMPRODUCT(Oxides_min!$C43:$BB43,Factors!$C$37:$BB$37))/2)</f>
        <v>0</v>
      </c>
      <c r="AE43" s="20">
        <f>MIN(MAX(0,(SUMPRODUCT(Oxides_min!$C43:$BB43,Factors!$C$38:$BB$38)+SUMPRODUCT(Oxides_max!$C43:$BB43,Factors!$C$38:$BB$38))/2),ABS(SUMPRODUCT(Oxides_max!$C43:$BB43,Factors!$C$38:$BB$38)-SUMPRODUCT(Oxides_min!$C43:$BB43,Factors!$C$38:$BB$38))/2)</f>
        <v>0</v>
      </c>
      <c r="AF43" s="20">
        <f>MIN(MAX(0,(SUMPRODUCT(Oxides_min!$C43:$BB43,Factors!$C$39:$BB$39)+SUMPRODUCT(Oxides_max!$C43:$BB43,Factors!$C$39:$BB$39))/2),ABS(SUMPRODUCT(Oxides_max!$C43:$BB43,Factors!$C$39:$BB$39)-SUMPRODUCT(Oxides_min!$C43:$BB43,Factors!$C$39:$BB$39))/2)</f>
        <v>0</v>
      </c>
      <c r="AG43" s="20">
        <f>MIN(MAX(0,(SUMPRODUCT(Oxides_min!$C43:$BB43,Factors!$C$40:$BB$40)+SUMPRODUCT(Oxides_max!$C43:$BB43,Factors!$C$40:$BB$40))/2),ABS(SUMPRODUCT(Oxides_max!$C43:$BB43,Factors!$C$40:$BB$40)-SUMPRODUCT(Oxides_min!$C43:$BB43,Factors!$C$40:$BB$40))/2)</f>
        <v>0</v>
      </c>
      <c r="AH43" s="20">
        <f>MIN(MAX(0,(SUMPRODUCT(Oxides_min!$C43:$BB43,Factors!$C$41:$BB$41)+SUMPRODUCT(Oxides_max!$C43:$BB43,Factors!$C$41:$BB$41))/2),ABS(SUMPRODUCT(Oxides_max!$C43:$BB43,Factors!$C$41:$BB$41)-SUMPRODUCT(Oxides_min!$C43:$BB43,Factors!$C$41:$BB$41))/2)</f>
        <v>0</v>
      </c>
      <c r="AI43" s="20">
        <f>MIN(MAX(0,(SUMPRODUCT(Oxides_min!$C43:$BB43,Factors!$C$42:$BB$42)+SUMPRODUCT(Oxides_max!$C43:$BB43,Factors!$C$42:$BB$42))/2),ABS(SUMPRODUCT(Oxides_max!$C43:$BB43,Factors!$C$42:$BB$42)-SUMPRODUCT(Oxides_min!$C43:$BB43,Factors!$C$42:$BB$42))/2)</f>
        <v>0</v>
      </c>
      <c r="AJ43" s="20">
        <f>MIN(MAX(0,(SUMPRODUCT(Oxides_min!$C43:$BB43,Factors!$C$43:$BB$43)+SUMPRODUCT(Oxides_max!$C43:$BB43,Factors!$C$43:$BB$43))/2),ABS(SUMPRODUCT(Oxides_max!$C43:$BB43,Factors!$C$43:$BB$43)-SUMPRODUCT(Oxides_min!$C43:$BB43,Factors!$C$43:$BB$43))/2)</f>
        <v>0</v>
      </c>
      <c r="AK43" s="20">
        <f>MIN(MAX(0,(SUMPRODUCT(Oxides_min!$C43:$BB43,Factors!$C$44:$BB$44)+SUMPRODUCT(Oxides_max!$C43:$BB43,Factors!$C$44:$BB$44))/2),ABS(SUMPRODUCT(Oxides_max!$C43:$BB43,Factors!$C$44:$BB$44)-SUMPRODUCT(Oxides_min!$C43:$BB43,Factors!$C$44:$BB$44))/2)</f>
        <v>0</v>
      </c>
      <c r="AL43" s="20">
        <f>MIN(MAX(0,(SUMPRODUCT(Oxides_min!$C43:$BB43,Factors!$C$45:$BB$45)+SUMPRODUCT(Oxides_max!$C43:$BB43,Factors!$C$45:$BB$45))/2),ABS(SUMPRODUCT(Oxides_max!$C43:$BB43,Factors!$C$45:$BB$45)-SUMPRODUCT(Oxides_min!$C43:$BB43,Factors!$C$45:$BB$45))/2)</f>
        <v>0</v>
      </c>
      <c r="AM43" s="20">
        <f>MIN(MAX(0,(SUMPRODUCT(Oxides_min!$C43:$BB43,Factors!$C$46:$BB$46)+SUMPRODUCT(Oxides_max!$C43:$BB43,Factors!$C$46:$BB$46))/2),ABS(SUMPRODUCT(Oxides_max!$C43:$BB43,Factors!$C$46:$BB$46)-SUMPRODUCT(Oxides_min!$C43:$BB43,Factors!$C$46:$BB$46))/2)</f>
        <v>0</v>
      </c>
      <c r="AN43" s="20">
        <f>MIN(MAX(0,(SUMPRODUCT(Oxides_min!$C43:$BB43,Factors!$C$47:$BB$47)+SUMPRODUCT(Oxides_max!$C43:$BB43,Factors!$C$47:$BB$47))/2),ABS(SUMPRODUCT(Oxides_max!$C43:$BB43,Factors!$C$47:$BB$47)-SUMPRODUCT(Oxides_min!$C43:$BB43,Factors!$C$47:$BB$47))/2)</f>
        <v>0</v>
      </c>
      <c r="AO43" s="20">
        <f>MIN(MAX(0,(SUMPRODUCT(Oxides_min!$C43:$BB43,Factors!$C$48:$BB$48)+SUMPRODUCT(Oxides_max!$C43:$BB43,Factors!$C$48:$BB$48))/2),ABS(SUMPRODUCT(Oxides_max!$C43:$BB43,Factors!$C$48:$BB$48)-SUMPRODUCT(Oxides_min!$C43:$BB43,Factors!$C$48:$BB$48))/2)</f>
        <v>0</v>
      </c>
      <c r="AP43" s="20">
        <f>MIN(MAX(0,(SUMPRODUCT(Oxides_min!$C43:$BB43,Factors!$C$49:$BB$49)+SUMPRODUCT(Oxides_max!$C43:$BB43,Factors!$C$49:$BB$49))/2),ABS(SUMPRODUCT(Oxides_max!$C43:$BB43,Factors!$C$49:$BB$49)-SUMPRODUCT(Oxides_min!$C43:$BB43,Factors!$C$49:$BB$49))/2)</f>
        <v>0</v>
      </c>
      <c r="AQ43" s="20">
        <f>MIN(MAX(0,(SUMPRODUCT(Oxides_min!$C43:$BB43,Factors!$C$50:$BB$50)+SUMPRODUCT(Oxides_max!$C43:$BB43,Factors!$C$50:$BB$50))/2),ABS(SUMPRODUCT(Oxides_max!$C43:$BB43,Factors!$C$50:$BB$50)-SUMPRODUCT(Oxides_min!$C43:$BB43,Factors!$C$50:$BB$50))/2)</f>
        <v>0</v>
      </c>
      <c r="AR43" s="20">
        <f>MIN(MAX(0,(SUMPRODUCT(Oxides_min!$C43:$BB43,Factors!$C$51:$BB$51)+SUMPRODUCT(Oxides_max!$C43:$BB43,Factors!$C$51:$BB$51))/2),ABS(SUMPRODUCT(Oxides_max!$C43:$BB43,Factors!$C$51:$BB$51)-SUMPRODUCT(Oxides_min!$C43:$BB43,Factors!$C$51:$BB$51))/2)</f>
        <v>0</v>
      </c>
      <c r="AS43" s="20">
        <f>MIN(MAX(0,(SUMPRODUCT(Oxides_min!$C43:$BB43,Factors!$C$52:$BB$52)+SUMPRODUCT(Oxides_max!$C43:$BB43,Factors!$C$52:$BB$52))/2),ABS(SUMPRODUCT(Oxides_max!$C43:$BB43,Factors!$C$52:$BB$52)-SUMPRODUCT(Oxides_min!$C43:$BB43,Factors!$C$52:$BB$52))/2)</f>
        <v>0</v>
      </c>
      <c r="AT43" s="20">
        <f>MIN(MAX(0,(SUMPRODUCT(Oxides_min!$C43:$BB43,Factors!$C$53:$BB$53)+SUMPRODUCT(Oxides_max!$C43:$BB43,Factors!$C$53:$BB$53))/2),ABS(SUMPRODUCT(Oxides_max!$C43:$BB43,Factors!$C$53:$BB$53)-SUMPRODUCT(Oxides_min!$C43:$BB43,Factors!$C$53:$BB$53))/2)</f>
        <v>0</v>
      </c>
      <c r="AU43" s="20">
        <f>MIN(MAX(0,(SUMPRODUCT(Oxides_min!$C43:$BB43,Factors!$C$54:$BB$54)+SUMPRODUCT(Oxides_max!$C43:$BB43,Factors!$C$54:$BB$54))/2),ABS(SUMPRODUCT(Oxides_max!$C43:$BB43,Factors!$C$54:$BB$54)-SUMPRODUCT(Oxides_min!$C43:$BB43,Factors!$C$54:$BB$54))/2)</f>
        <v>0</v>
      </c>
      <c r="AV43" s="20">
        <f>MIN(MAX(0,(SUMPRODUCT(Oxides_min!$C43:$BB43,Factors!$C$55:$BB$55)+SUMPRODUCT(Oxides_max!$C43:$BB43,Factors!$C$55:$BB$55))/2),ABS(SUMPRODUCT(Oxides_max!$C43:$BB43,Factors!$C$55:$BB$55)-SUMPRODUCT(Oxides_min!$C43:$BB43,Factors!$C$55:$BB$55))/2)</f>
        <v>0</v>
      </c>
      <c r="AW43" s="20">
        <f>MIN(MAX(0,(SUMPRODUCT(Oxides_min!$C43:$BB43,Factors!$C$56:$BB$56)+SUMPRODUCT(Oxides_max!$C43:$BB43,Factors!$C$56:$BB$56))/2),ABS(SUMPRODUCT(Oxides_max!$C43:$BB43,Factors!$C$56:$BB$56)-SUMPRODUCT(Oxides_min!$C43:$BB43,Factors!$C$56:$BB$56))/2)</f>
        <v>0</v>
      </c>
      <c r="AX43" s="20">
        <f>MIN(MAX(0,(SUMPRODUCT(Oxides_min!$C43:$BB43,Factors!$C$57:$BB$57)+SUMPRODUCT(Oxides_max!$C43:$BB43,Factors!$C$57:$BB$57))/2),ABS(SUMPRODUCT(Oxides_max!$C43:$BB43,Factors!$C$57:$BB$57)-SUMPRODUCT(Oxides_min!$C43:$BB43,Factors!$C$57:$BB$57))/2)</f>
        <v>0</v>
      </c>
      <c r="AY43" s="20">
        <f>MIN(MAX(0,(SUMPRODUCT(Oxides_min!$C43:$BB43,Factors!$C$58:$BB$58)+SUMPRODUCT(Oxides_max!$C43:$BB43,Factors!$C$58:$BB$58))/2),ABS(SUMPRODUCT(Oxides_max!$C43:$BB43,Factors!$C$58:$BB$58)-SUMPRODUCT(Oxides_min!$C43:$BB43,Factors!$C$58:$BB$58))/2)</f>
        <v>0</v>
      </c>
      <c r="AZ43" s="18">
        <f t="shared" si="2"/>
        <v>36.364999999999995</v>
      </c>
    </row>
    <row r="44" spans="1:52" x14ac:dyDescent="0.35">
      <c r="A44" s="13" t="s">
        <v>361</v>
      </c>
      <c r="B44" s="20">
        <f>MIN(MAX(0,(SUMPRODUCT(Oxides_min!$C44:$BB44,Factors!$C$9:$BB$9)+SUMPRODUCT(Oxides_max!$C44:$BB44,Factors!$C$9:$BB$9))/2),ABS(SUMPRODUCT(Oxides_max!$C44:$BB44,Factors!$C$9:$BB$9)-SUMPRODUCT(Oxides_min!$C44:$BB44,Factors!$C$9:$BB$9))/2)</f>
        <v>10.409027021556383</v>
      </c>
      <c r="C44" s="20">
        <f>MIN(MAX(0,(SUMPRODUCT(Oxides_min!$C44:$BB44,Factors!$C$10:$BB$10)+SUMPRODUCT(Oxides_max!$C44:$BB44,Factors!$C$10:$BB$10))/2),ABS(SUMPRODUCT(Oxides_max!$C44:$BB44,Factors!$C$10:$BB$10)-SUMPRODUCT(Oxides_min!$C44:$BB44,Factors!$C$10:$BB$10))/2)</f>
        <v>0</v>
      </c>
      <c r="D44" s="20">
        <f>MIN(MAX(0,(SUMPRODUCT(Oxides_min!$C44:$BB44,Factors!$C$11:$BB$11)+SUMPRODUCT(Oxides_max!$C44:$BB44,Factors!$C$11:$BB$11))/2),ABS(SUMPRODUCT(Oxides_max!$C44:$BB44,Factors!$C$11:$BB$11)-SUMPRODUCT(Oxides_min!$C44:$BB44,Factors!$C$11:$BB$11))/2)</f>
        <v>0.56938145620734992</v>
      </c>
      <c r="E44" s="20">
        <f>MIN(MAX(0,(SUMPRODUCT(Oxides_min!$C44:$BB44,Factors!$C$12:$BB$12)+SUMPRODUCT(Oxides_max!$C44:$BB44,Factors!$C$12:$BB$12))/2),ABS(SUMPRODUCT(Oxides_max!$C44:$BB44,Factors!$C$12:$BB$12)-SUMPRODUCT(Oxides_min!$C44:$BB44,Factors!$C$12:$BB$12))/2)</f>
        <v>0</v>
      </c>
      <c r="F44" s="20">
        <f>MIN(MAX(0,(SUMPRODUCT(Oxides_min!$C44:$BB44,Factors!$C$13:$BB$13)+SUMPRODUCT(Oxides_max!$C44:$BB44,Factors!$C$13:$BB$13))/2),ABS(SUMPRODUCT(Oxides_max!$C44:$BB44,Factors!$C$13:$BB$13)-SUMPRODUCT(Oxides_min!$C44:$BB44,Factors!$C$13:$BB$13))/2)</f>
        <v>0</v>
      </c>
      <c r="G44" s="20">
        <f>MIN(MAX(0,(SUMPRODUCT(Oxides_min!$C44:$BB44,Factors!$C$14:$BB$14)+SUMPRODUCT(Oxides_max!$C44:$BB44,Factors!$C$14:$BB$14))/2),ABS(SUMPRODUCT(Oxides_max!$C44:$BB44,Factors!$C$14:$BB$14)-SUMPRODUCT(Oxides_min!$C44:$BB44,Factors!$C$14:$BB$14))/2)</f>
        <v>0.34658014173102952</v>
      </c>
      <c r="H44" s="20">
        <f>MIN(MAX(0,(SUMPRODUCT(Oxides_min!$C44:$BB44,Factors!$C$15:$BB$15)+SUMPRODUCT(Oxides_max!$C44:$BB44,Factors!$C$15:$BB$15))/2),ABS(SUMPRODUCT(Oxides_max!$C44:$BB44,Factors!$C$15:$BB$15)-SUMPRODUCT(Oxides_min!$C44:$BB44,Factors!$C$15:$BB$15))/2)</f>
        <v>0</v>
      </c>
      <c r="I44" s="20">
        <f>MIN(MAX(0,(SUMPRODUCT(Oxides_min!$C44:$BB44,Factors!$C$16:$BB$16)+SUMPRODUCT(Oxides_max!$C44:$BB44,Factors!$C$16:$BB$16))/2),ABS(SUMPRODUCT(Oxides_max!$C44:$BB44,Factors!$C$16:$BB$16)-SUMPRODUCT(Oxides_min!$C44:$BB44,Factors!$C$16:$BB$16))/2)</f>
        <v>3.3424294304326039</v>
      </c>
      <c r="J44" s="20">
        <f>MIN(MAX(0,(SUMPRODUCT(Oxides_min!$C44:$BB44,Factors!$C$17:$BB$17)+SUMPRODUCT(Oxides_max!$C44:$BB44,Factors!$C$17:$BB$17))/2),ABS(SUMPRODUCT(Oxides_max!$C44:$BB44,Factors!$C$17:$BB$17)-SUMPRODUCT(Oxides_min!$C44:$BB44,Factors!$C$17:$BB$17))/2)</f>
        <v>4.5189856901846657</v>
      </c>
      <c r="K44" s="20">
        <f>MIN(MAX(0,(SUMPRODUCT(Oxides_min!$C44:$BB44,Factors!$C$18:$BB$18)+SUMPRODUCT(Oxides_max!$C44:$BB44,Factors!$C$18:$BB$18))/2),ABS(SUMPRODUCT(Oxides_max!$C44:$BB44,Factors!$C$18:$BB$18)-SUMPRODUCT(Oxides_min!$C44:$BB44,Factors!$C$18:$BB$18))/2)</f>
        <v>0</v>
      </c>
      <c r="L44" s="20">
        <f>MIN(MAX(0,(SUMPRODUCT(Oxides_min!$C44:$BB44,Factors!$C$19:$BB$19)+SUMPRODUCT(Oxides_max!$C44:$BB44,Factors!$C$19:$BB$19))/2),ABS(SUMPRODUCT(Oxides_max!$C44:$BB44,Factors!$C$19:$BB$19)-SUMPRODUCT(Oxides_min!$C44:$BB44,Factors!$C$19:$BB$19))/2)</f>
        <v>0</v>
      </c>
      <c r="M44" s="20">
        <f>MIN(MAX(0,(SUMPRODUCT(Oxides_min!$C44:$BB44,Factors!$C$20:$BB$20)+SUMPRODUCT(Oxides_max!$C44:$BB44,Factors!$C$20:$BB$20))/2),ABS(SUMPRODUCT(Oxides_max!$C44:$BB44,Factors!$C$20:$BB$20)-SUMPRODUCT(Oxides_min!$C44:$BB44,Factors!$C$20:$BB$20))/2)</f>
        <v>0</v>
      </c>
      <c r="N44" s="20">
        <f>MIN(MAX(0,(SUMPRODUCT(Oxides_min!$C44:$BB44,Factors!$C$21:$BB$21)+SUMPRODUCT(Oxides_max!$C44:$BB44,Factors!$C$21:$BB$21))/2),ABS(SUMPRODUCT(Oxides_max!$C44:$BB44,Factors!$C$21:$BB$21)-SUMPRODUCT(Oxides_min!$C44:$BB44,Factors!$C$21:$BB$21))/2)</f>
        <v>0</v>
      </c>
      <c r="O44" s="20">
        <f>MIN(MAX(0,(SUMPRODUCT(Oxides_min!$C44:$BB44,Factors!$C$22:$BB$22)+SUMPRODUCT(Oxides_max!$C44:$BB44,Factors!$C$22:$BB$22))/2),ABS(SUMPRODUCT(Oxides_max!$C44:$BB44,Factors!$C$22:$BB$22)-SUMPRODUCT(Oxides_min!$C44:$BB44,Factors!$C$22:$BB$22))/2)</f>
        <v>0</v>
      </c>
      <c r="P44" s="20">
        <f>MIN(MAX(0,(SUMPRODUCT(Oxides_min!$C44:$BB44,Factors!$C$23:$BB$23)+SUMPRODUCT(Oxides_max!$C44:$BB44,Factors!$C$23:$BB$23))/2),ABS(SUMPRODUCT(Oxides_max!$C44:$BB44,Factors!$C$23:$BB$23)-SUMPRODUCT(Oxides_min!$C44:$BB44,Factors!$C$23:$BB$23))/2)</f>
        <v>0</v>
      </c>
      <c r="Q44" s="20">
        <f>MIN(MAX(0,(SUMPRODUCT(Oxides_min!$C44:$BB44,Factors!$C$24:$BB$24)+SUMPRODUCT(Oxides_max!$C44:$BB44,Factors!$C$24:$BB$24))/2),ABS(SUMPRODUCT(Oxides_max!$C44:$BB44,Factors!$C$24:$BB$24)-SUMPRODUCT(Oxides_min!$C44:$BB44,Factors!$C$24:$BB$24))/2)</f>
        <v>0</v>
      </c>
      <c r="R44" s="20">
        <f>MIN(MAX(0,(SUMPRODUCT(Oxides_min!$C44:$BB44,Factors!$C$25:$BB$25)+SUMPRODUCT(Oxides_max!$C44:$BB44,Factors!$C$25:$BB$25))/2),ABS(SUMPRODUCT(Oxides_max!$C44:$BB44,Factors!$C$25:$BB$25)-SUMPRODUCT(Oxides_min!$C44:$BB44,Factors!$C$25:$BB$25))/2)</f>
        <v>7.4186225794092035E-3</v>
      </c>
      <c r="S44" s="20">
        <f>MIN(MAX(0,(SUMPRODUCT(Oxides_min!$C44:$BB44,Factors!$C$26:$BB$26)+SUMPRODUCT(Oxides_max!$C44:$BB44,Factors!$C$26:$BB$26))/2),ABS(SUMPRODUCT(Oxides_max!$C44:$BB44,Factors!$C$26:$BB$26)-SUMPRODUCT(Oxides_min!$C44:$BB44,Factors!$C$26:$BB$26))/2)</f>
        <v>0</v>
      </c>
      <c r="T44" s="20">
        <f>MIN(MAX(0,(SUMPRODUCT(Oxides_min!$C44:$BB44,Factors!$C$27:$BB$27)+SUMPRODUCT(Oxides_max!$C44:$BB44,Factors!$C$27:$BB$27))/2),ABS(SUMPRODUCT(Oxides_max!$C44:$BB44,Factors!$C$27:$BB$27)-SUMPRODUCT(Oxides_min!$C44:$BB44,Factors!$C$27:$BB$27))/2)</f>
        <v>0</v>
      </c>
      <c r="U44" s="20">
        <f>MIN(MAX(0,(SUMPRODUCT(Oxides_min!$C44:$BB44,Factors!$C$28:$BB$28)+SUMPRODUCT(Oxides_max!$C44:$BB44,Factors!$C$28:$BB$28))/2),ABS(SUMPRODUCT(Oxides_max!$C44:$BB44,Factors!$C$28:$BB$28)-SUMPRODUCT(Oxides_min!$C44:$BB44,Factors!$C$28:$BB$28))/2)</f>
        <v>0</v>
      </c>
      <c r="V44" s="20">
        <f>MIN(MAX(0,(SUMPRODUCT(Oxides_min!$C44:$BB44,Factors!$C$29:$BB$29)+SUMPRODUCT(Oxides_max!$C44:$BB44,Factors!$C$29:$BB$29))/2),ABS(SUMPRODUCT(Oxides_max!$C44:$BB44,Factors!$C$29:$BB$29)-SUMPRODUCT(Oxides_min!$C44:$BB44,Factors!$C$29:$BB$29))/2)</f>
        <v>0</v>
      </c>
      <c r="W44" s="20">
        <f>MIN(MAX(0,(SUMPRODUCT(Oxides_min!$C44:$BB44,Factors!$C$30:$BB$30)+SUMPRODUCT(Oxides_max!$C44:$BB44,Factors!$C$30:$BB$30))/2),ABS(SUMPRODUCT(Oxides_max!$C44:$BB44,Factors!$C$30:$BB$30)-SUMPRODUCT(Oxides_min!$C44:$BB44,Factors!$C$30:$BB$30))/2)</f>
        <v>11.230228540749046</v>
      </c>
      <c r="X44" s="20">
        <f>MIN(MAX(0,(SUMPRODUCT(Oxides_min!$C44:$BB44,Factors!$C$31:$BB$31)+SUMPRODUCT(Oxides_max!$C44:$BB44,Factors!$C$31:$BB$31))/2),ABS(SUMPRODUCT(Oxides_max!$C44:$BB44,Factors!$C$31:$BB$31)-SUMPRODUCT(Oxides_min!$C44:$BB44,Factors!$C$31:$BB$31))/2)</f>
        <v>12.77594909655952</v>
      </c>
      <c r="Y44" s="20">
        <f>MIN(MAX(0,(SUMPRODUCT(Oxides_min!$C44:$BB44,Factors!$C$32:$BB$32)+SUMPRODUCT(Oxides_max!$C44:$BB44,Factors!$C$32:$BB$32))/2),ABS(SUMPRODUCT(Oxides_max!$C44:$BB44,Factors!$C$32:$BB$32)-SUMPRODUCT(Oxides_min!$C44:$BB44,Factors!$C$32:$BB$32))/2)</f>
        <v>0</v>
      </c>
      <c r="Z44" s="20">
        <f>MIN(MAX(0,(SUMPRODUCT(Oxides_min!$C44:$BB44,Factors!$C$33:$BB$33)+SUMPRODUCT(Oxides_max!$C44:$BB44,Factors!$C$33:$BB$33))/2),ABS(SUMPRODUCT(Oxides_max!$C44:$BB44,Factors!$C$33:$BB$33)-SUMPRODUCT(Oxides_min!$C44:$BB44,Factors!$C$33:$BB$33))/2)</f>
        <v>0</v>
      </c>
      <c r="AA44" s="20">
        <f>MIN(MAX(0,(SUMPRODUCT(Oxides_min!$C44:$BB44,Factors!$C$34:$BB$34)+SUMPRODUCT(Oxides_max!$C44:$BB44,Factors!$C$34:$BB$34))/2),ABS(SUMPRODUCT(Oxides_max!$C44:$BB44,Factors!$C$34:$BB$34)-SUMPRODUCT(Oxides_min!$C44:$BB44,Factors!$C$34:$BB$34))/2)</f>
        <v>0</v>
      </c>
      <c r="AB44" s="20">
        <f>MIN(MAX(0,(SUMPRODUCT(Oxides_min!$C44:$BB44,Factors!$C$35:$BB$35)+SUMPRODUCT(Oxides_max!$C44:$BB44,Factors!$C$35:$BB$35))/2),ABS(SUMPRODUCT(Oxides_max!$C44:$BB44,Factors!$C$35:$BB$35)-SUMPRODUCT(Oxides_min!$C44:$BB44,Factors!$C$35:$BB$35))/2)</f>
        <v>0</v>
      </c>
      <c r="AC44" s="20">
        <f>MIN(MAX(0,(SUMPRODUCT(Oxides_min!$C44:$BB44,Factors!$C$36:$BB$36)+SUMPRODUCT(Oxides_max!$C44:$BB44,Factors!$C$36:$BB$36))/2),ABS(SUMPRODUCT(Oxides_max!$C44:$BB44,Factors!$C$36:$BB$36)-SUMPRODUCT(Oxides_min!$C44:$BB44,Factors!$C$36:$BB$36))/2)</f>
        <v>0</v>
      </c>
      <c r="AD44" s="20">
        <f>MIN(MAX(0,(SUMPRODUCT(Oxides_min!$C44:$BB44,Factors!$C$37:$BB$37)+SUMPRODUCT(Oxides_max!$C44:$BB44,Factors!$C$37:$BB$37))/2),ABS(SUMPRODUCT(Oxides_max!$C44:$BB44,Factors!$C$37:$BB$37)-SUMPRODUCT(Oxides_min!$C44:$BB44,Factors!$C$37:$BB$37))/2)</f>
        <v>0</v>
      </c>
      <c r="AE44" s="20">
        <f>MIN(MAX(0,(SUMPRODUCT(Oxides_min!$C44:$BB44,Factors!$C$38:$BB$38)+SUMPRODUCT(Oxides_max!$C44:$BB44,Factors!$C$38:$BB$38))/2),ABS(SUMPRODUCT(Oxides_max!$C44:$BB44,Factors!$C$38:$BB$38)-SUMPRODUCT(Oxides_min!$C44:$BB44,Factors!$C$38:$BB$38))/2)</f>
        <v>0</v>
      </c>
      <c r="AF44" s="20">
        <f>MIN(MAX(0,(SUMPRODUCT(Oxides_min!$C44:$BB44,Factors!$C$39:$BB$39)+SUMPRODUCT(Oxides_max!$C44:$BB44,Factors!$C$39:$BB$39))/2),ABS(SUMPRODUCT(Oxides_max!$C44:$BB44,Factors!$C$39:$BB$39)-SUMPRODUCT(Oxides_min!$C44:$BB44,Factors!$C$39:$BB$39))/2)</f>
        <v>0</v>
      </c>
      <c r="AG44" s="20">
        <f>MIN(MAX(0,(SUMPRODUCT(Oxides_min!$C44:$BB44,Factors!$C$40:$BB$40)+SUMPRODUCT(Oxides_max!$C44:$BB44,Factors!$C$40:$BB$40))/2),ABS(SUMPRODUCT(Oxides_max!$C44:$BB44,Factors!$C$40:$BB$40)-SUMPRODUCT(Oxides_min!$C44:$BB44,Factors!$C$40:$BB$40))/2)</f>
        <v>0</v>
      </c>
      <c r="AH44" s="20">
        <f>MIN(MAX(0,(SUMPRODUCT(Oxides_min!$C44:$BB44,Factors!$C$41:$BB$41)+SUMPRODUCT(Oxides_max!$C44:$BB44,Factors!$C$41:$BB$41))/2),ABS(SUMPRODUCT(Oxides_max!$C44:$BB44,Factors!$C$41:$BB$41)-SUMPRODUCT(Oxides_min!$C44:$BB44,Factors!$C$41:$BB$41))/2)</f>
        <v>0</v>
      </c>
      <c r="AI44" s="20">
        <f>MIN(MAX(0,(SUMPRODUCT(Oxides_min!$C44:$BB44,Factors!$C$42:$BB$42)+SUMPRODUCT(Oxides_max!$C44:$BB44,Factors!$C$42:$BB$42))/2),ABS(SUMPRODUCT(Oxides_max!$C44:$BB44,Factors!$C$42:$BB$42)-SUMPRODUCT(Oxides_min!$C44:$BB44,Factors!$C$42:$BB$42))/2)</f>
        <v>0</v>
      </c>
      <c r="AJ44" s="20">
        <f>MIN(MAX(0,(SUMPRODUCT(Oxides_min!$C44:$BB44,Factors!$C$43:$BB$43)+SUMPRODUCT(Oxides_max!$C44:$BB44,Factors!$C$43:$BB$43))/2),ABS(SUMPRODUCT(Oxides_max!$C44:$BB44,Factors!$C$43:$BB$43)-SUMPRODUCT(Oxides_min!$C44:$BB44,Factors!$C$43:$BB$43))/2)</f>
        <v>0</v>
      </c>
      <c r="AK44" s="20">
        <f>MIN(MAX(0,(SUMPRODUCT(Oxides_min!$C44:$BB44,Factors!$C$44:$BB$44)+SUMPRODUCT(Oxides_max!$C44:$BB44,Factors!$C$44:$BB$44))/2),ABS(SUMPRODUCT(Oxides_max!$C44:$BB44,Factors!$C$44:$BB$44)-SUMPRODUCT(Oxides_min!$C44:$BB44,Factors!$C$44:$BB$44))/2)</f>
        <v>0</v>
      </c>
      <c r="AL44" s="20">
        <f>MIN(MAX(0,(SUMPRODUCT(Oxides_min!$C44:$BB44,Factors!$C$45:$BB$45)+SUMPRODUCT(Oxides_max!$C44:$BB44,Factors!$C$45:$BB$45))/2),ABS(SUMPRODUCT(Oxides_max!$C44:$BB44,Factors!$C$45:$BB$45)-SUMPRODUCT(Oxides_min!$C44:$BB44,Factors!$C$45:$BB$45))/2)</f>
        <v>0</v>
      </c>
      <c r="AM44" s="20">
        <f>MIN(MAX(0,(SUMPRODUCT(Oxides_min!$C44:$BB44,Factors!$C$46:$BB$46)+SUMPRODUCT(Oxides_max!$C44:$BB44,Factors!$C$46:$BB$46))/2),ABS(SUMPRODUCT(Oxides_max!$C44:$BB44,Factors!$C$46:$BB$46)-SUMPRODUCT(Oxides_min!$C44:$BB44,Factors!$C$46:$BB$46))/2)</f>
        <v>0</v>
      </c>
      <c r="AN44" s="20">
        <f>MIN(MAX(0,(SUMPRODUCT(Oxides_min!$C44:$BB44,Factors!$C$47:$BB$47)+SUMPRODUCT(Oxides_max!$C44:$BB44,Factors!$C$47:$BB$47))/2),ABS(SUMPRODUCT(Oxides_max!$C44:$BB44,Factors!$C$47:$BB$47)-SUMPRODUCT(Oxides_min!$C44:$BB44,Factors!$C$47:$BB$47))/2)</f>
        <v>0</v>
      </c>
      <c r="AO44" s="20">
        <f>MIN(MAX(0,(SUMPRODUCT(Oxides_min!$C44:$BB44,Factors!$C$48:$BB$48)+SUMPRODUCT(Oxides_max!$C44:$BB44,Factors!$C$48:$BB$48))/2),ABS(SUMPRODUCT(Oxides_max!$C44:$BB44,Factors!$C$48:$BB$48)-SUMPRODUCT(Oxides_min!$C44:$BB44,Factors!$C$48:$BB$48))/2)</f>
        <v>0</v>
      </c>
      <c r="AP44" s="20">
        <f>MIN(MAX(0,(SUMPRODUCT(Oxides_min!$C44:$BB44,Factors!$C$49:$BB$49)+SUMPRODUCT(Oxides_max!$C44:$BB44,Factors!$C$49:$BB$49))/2),ABS(SUMPRODUCT(Oxides_max!$C44:$BB44,Factors!$C$49:$BB$49)-SUMPRODUCT(Oxides_min!$C44:$BB44,Factors!$C$49:$BB$49))/2)</f>
        <v>0</v>
      </c>
      <c r="AQ44" s="20">
        <f>MIN(MAX(0,(SUMPRODUCT(Oxides_min!$C44:$BB44,Factors!$C$50:$BB$50)+SUMPRODUCT(Oxides_max!$C44:$BB44,Factors!$C$50:$BB$50))/2),ABS(SUMPRODUCT(Oxides_max!$C44:$BB44,Factors!$C$50:$BB$50)-SUMPRODUCT(Oxides_min!$C44:$BB44,Factors!$C$50:$BB$50))/2)</f>
        <v>0</v>
      </c>
      <c r="AR44" s="20">
        <f>MIN(MAX(0,(SUMPRODUCT(Oxides_min!$C44:$BB44,Factors!$C$51:$BB$51)+SUMPRODUCT(Oxides_max!$C44:$BB44,Factors!$C$51:$BB$51))/2),ABS(SUMPRODUCT(Oxides_max!$C44:$BB44,Factors!$C$51:$BB$51)-SUMPRODUCT(Oxides_min!$C44:$BB44,Factors!$C$51:$BB$51))/2)</f>
        <v>0</v>
      </c>
      <c r="AS44" s="20">
        <f>MIN(MAX(0,(SUMPRODUCT(Oxides_min!$C44:$BB44,Factors!$C$52:$BB$52)+SUMPRODUCT(Oxides_max!$C44:$BB44,Factors!$C$52:$BB$52))/2),ABS(SUMPRODUCT(Oxides_max!$C44:$BB44,Factors!$C$52:$BB$52)-SUMPRODUCT(Oxides_min!$C44:$BB44,Factors!$C$52:$BB$52))/2)</f>
        <v>0</v>
      </c>
      <c r="AT44" s="20">
        <f>MIN(MAX(0,(SUMPRODUCT(Oxides_min!$C44:$BB44,Factors!$C$53:$BB$53)+SUMPRODUCT(Oxides_max!$C44:$BB44,Factors!$C$53:$BB$53))/2),ABS(SUMPRODUCT(Oxides_max!$C44:$BB44,Factors!$C$53:$BB$53)-SUMPRODUCT(Oxides_min!$C44:$BB44,Factors!$C$53:$BB$53))/2)</f>
        <v>0</v>
      </c>
      <c r="AU44" s="20">
        <f>MIN(MAX(0,(SUMPRODUCT(Oxides_min!$C44:$BB44,Factors!$C$54:$BB$54)+SUMPRODUCT(Oxides_max!$C44:$BB44,Factors!$C$54:$BB$54))/2),ABS(SUMPRODUCT(Oxides_max!$C44:$BB44,Factors!$C$54:$BB$54)-SUMPRODUCT(Oxides_min!$C44:$BB44,Factors!$C$54:$BB$54))/2)</f>
        <v>0</v>
      </c>
      <c r="AV44" s="20">
        <f>MIN(MAX(0,(SUMPRODUCT(Oxides_min!$C44:$BB44,Factors!$C$55:$BB$55)+SUMPRODUCT(Oxides_max!$C44:$BB44,Factors!$C$55:$BB$55))/2),ABS(SUMPRODUCT(Oxides_max!$C44:$BB44,Factors!$C$55:$BB$55)-SUMPRODUCT(Oxides_min!$C44:$BB44,Factors!$C$55:$BB$55))/2)</f>
        <v>0</v>
      </c>
      <c r="AW44" s="20">
        <f>MIN(MAX(0,(SUMPRODUCT(Oxides_min!$C44:$BB44,Factors!$C$56:$BB$56)+SUMPRODUCT(Oxides_max!$C44:$BB44,Factors!$C$56:$BB$56))/2),ABS(SUMPRODUCT(Oxides_max!$C44:$BB44,Factors!$C$56:$BB$56)-SUMPRODUCT(Oxides_min!$C44:$BB44,Factors!$C$56:$BB$56))/2)</f>
        <v>0</v>
      </c>
      <c r="AX44" s="20">
        <f>MIN(MAX(0,(SUMPRODUCT(Oxides_min!$C44:$BB44,Factors!$C$57:$BB$57)+SUMPRODUCT(Oxides_max!$C44:$BB44,Factors!$C$57:$BB$57))/2),ABS(SUMPRODUCT(Oxides_max!$C44:$BB44,Factors!$C$57:$BB$57)-SUMPRODUCT(Oxides_min!$C44:$BB44,Factors!$C$57:$BB$57))/2)</f>
        <v>0</v>
      </c>
      <c r="AY44" s="20">
        <f>MIN(MAX(0,(SUMPRODUCT(Oxides_min!$C44:$BB44,Factors!$C$58:$BB$58)+SUMPRODUCT(Oxides_max!$C44:$BB44,Factors!$C$58:$BB$58))/2),ABS(SUMPRODUCT(Oxides_max!$C44:$BB44,Factors!$C$58:$BB$58)-SUMPRODUCT(Oxides_min!$C44:$BB44,Factors!$C$58:$BB$58))/2)</f>
        <v>0</v>
      </c>
      <c r="AZ44" s="18">
        <f t="shared" si="2"/>
        <v>43.20000000000001</v>
      </c>
    </row>
    <row r="45" spans="1:52" x14ac:dyDescent="0.35">
      <c r="A45" s="13" t="s">
        <v>432</v>
      </c>
      <c r="B45" s="20">
        <f>MIN(MAX(0,(SUMPRODUCT(Oxides_min!$C45:$BB45,Factors!$C$9:$BB$9)+SUMPRODUCT(Oxides_max!$C45:$BB45,Factors!$C$9:$BB$9))/2),ABS(SUMPRODUCT(Oxides_max!$C45:$BB45,Factors!$C$9:$BB$9)-SUMPRODUCT(Oxides_min!$C45:$BB45,Factors!$C$9:$BB$9))/2)</f>
        <v>1.2444479503685599</v>
      </c>
      <c r="C45" s="20">
        <f>MIN(MAX(0,(SUMPRODUCT(Oxides_min!$C45:$BB45,Factors!$C$10:$BB$10)+SUMPRODUCT(Oxides_max!$C45:$BB45,Factors!$C$10:$BB$10))/2),ABS(SUMPRODUCT(Oxides_max!$C45:$BB45,Factors!$C$10:$BB$10)-SUMPRODUCT(Oxides_min!$C45:$BB45,Factors!$C$10:$BB$10))/2)</f>
        <v>0.25241582477572599</v>
      </c>
      <c r="D45" s="20">
        <f>MIN(MAX(0,(SUMPRODUCT(Oxides_min!$C45:$BB45,Factors!$C$11:$BB$11)+SUMPRODUCT(Oxides_max!$C45:$BB45,Factors!$C$11:$BB$11))/2),ABS(SUMPRODUCT(Oxides_max!$C45:$BB45,Factors!$C$11:$BB$11)-SUMPRODUCT(Oxides_min!$C45:$BB45,Factors!$C$11:$BB$11))/2)</f>
        <v>0</v>
      </c>
      <c r="E45" s="20">
        <f>MIN(MAX(0,(SUMPRODUCT(Oxides_min!$C45:$BB45,Factors!$C$12:$BB$12)+SUMPRODUCT(Oxides_max!$C45:$BB45,Factors!$C$12:$BB$12))/2),ABS(SUMPRODUCT(Oxides_max!$C45:$BB45,Factors!$C$12:$BB$12)-SUMPRODUCT(Oxides_min!$C45:$BB45,Factors!$C$12:$BB$12))/2)</f>
        <v>0</v>
      </c>
      <c r="F45" s="20">
        <f>MIN(MAX(0,(SUMPRODUCT(Oxides_min!$C45:$BB45,Factors!$C$13:$BB$13)+SUMPRODUCT(Oxides_max!$C45:$BB45,Factors!$C$13:$BB$13))/2),ABS(SUMPRODUCT(Oxides_max!$C45:$BB45,Factors!$C$13:$BB$13)-SUMPRODUCT(Oxides_min!$C45:$BB45,Factors!$C$13:$BB$13))/2)</f>
        <v>0</v>
      </c>
      <c r="G45" s="20">
        <f>MIN(MAX(0,(SUMPRODUCT(Oxides_min!$C45:$BB45,Factors!$C$14:$BB$14)+SUMPRODUCT(Oxides_max!$C45:$BB45,Factors!$C$14:$BB$14))/2),ABS(SUMPRODUCT(Oxides_max!$C45:$BB45,Factors!$C$14:$BB$14)-SUMPRODUCT(Oxides_min!$C45:$BB45,Factors!$C$14:$BB$14))/2)</f>
        <v>0</v>
      </c>
      <c r="H45" s="20">
        <f>MIN(MAX(0,(SUMPRODUCT(Oxides_min!$C45:$BB45,Factors!$C$15:$BB$15)+SUMPRODUCT(Oxides_max!$C45:$BB45,Factors!$C$15:$BB$15))/2),ABS(SUMPRODUCT(Oxides_max!$C45:$BB45,Factors!$C$15:$BB$15)-SUMPRODUCT(Oxides_min!$C45:$BB45,Factors!$C$15:$BB$15))/2)</f>
        <v>0.23816561701890393</v>
      </c>
      <c r="I45" s="20">
        <f>MIN(MAX(0,(SUMPRODUCT(Oxides_min!$C45:$BB45,Factors!$C$16:$BB$16)+SUMPRODUCT(Oxides_max!$C45:$BB45,Factors!$C$16:$BB$16))/2),ABS(SUMPRODUCT(Oxides_max!$C45:$BB45,Factors!$C$16:$BB$16)-SUMPRODUCT(Oxides_min!$C45:$BB45,Factors!$C$16:$BB$16))/2)</f>
        <v>0</v>
      </c>
      <c r="J45" s="20">
        <f>MIN(MAX(0,(SUMPRODUCT(Oxides_min!$C45:$BB45,Factors!$C$17:$BB$17)+SUMPRODUCT(Oxides_max!$C45:$BB45,Factors!$C$17:$BB$17))/2),ABS(SUMPRODUCT(Oxides_max!$C45:$BB45,Factors!$C$17:$BB$17)-SUMPRODUCT(Oxides_min!$C45:$BB45,Factors!$C$17:$BB$17))/2)</f>
        <v>0.74735581680003271</v>
      </c>
      <c r="K45" s="20">
        <f>MIN(MAX(0,(SUMPRODUCT(Oxides_min!$C45:$BB45,Factors!$C$18:$BB$18)+SUMPRODUCT(Oxides_max!$C45:$BB45,Factors!$C$18:$BB$18))/2),ABS(SUMPRODUCT(Oxides_max!$C45:$BB45,Factors!$C$18:$BB$18)-SUMPRODUCT(Oxides_min!$C45:$BB45,Factors!$C$18:$BB$18))/2)</f>
        <v>0</v>
      </c>
      <c r="L45" s="20">
        <f>MIN(MAX(0,(SUMPRODUCT(Oxides_min!$C45:$BB45,Factors!$C$19:$BB$19)+SUMPRODUCT(Oxides_max!$C45:$BB45,Factors!$C$19:$BB$19))/2),ABS(SUMPRODUCT(Oxides_max!$C45:$BB45,Factors!$C$19:$BB$19)-SUMPRODUCT(Oxides_min!$C45:$BB45,Factors!$C$19:$BB$19))/2)</f>
        <v>0</v>
      </c>
      <c r="M45" s="20">
        <f>MIN(MAX(0,(SUMPRODUCT(Oxides_min!$C45:$BB45,Factors!$C$20:$BB$20)+SUMPRODUCT(Oxides_max!$C45:$BB45,Factors!$C$20:$BB$20))/2),ABS(SUMPRODUCT(Oxides_max!$C45:$BB45,Factors!$C$20:$BB$20)-SUMPRODUCT(Oxides_min!$C45:$BB45,Factors!$C$20:$BB$20))/2)</f>
        <v>0</v>
      </c>
      <c r="N45" s="20">
        <f>MIN(MAX(0,(SUMPRODUCT(Oxides_min!$C45:$BB45,Factors!$C$21:$BB$21)+SUMPRODUCT(Oxides_max!$C45:$BB45,Factors!$C$21:$BB$21))/2),ABS(SUMPRODUCT(Oxides_max!$C45:$BB45,Factors!$C$21:$BB$21)-SUMPRODUCT(Oxides_min!$C45:$BB45,Factors!$C$21:$BB$21))/2)</f>
        <v>0.36449489095351034</v>
      </c>
      <c r="O45" s="20">
        <f>MIN(MAX(0,(SUMPRODUCT(Oxides_min!$C45:$BB45,Factors!$C$22:$BB$22)+SUMPRODUCT(Oxides_max!$C45:$BB45,Factors!$C$22:$BB$22))/2),ABS(SUMPRODUCT(Oxides_max!$C45:$BB45,Factors!$C$22:$BB$22)-SUMPRODUCT(Oxides_min!$C45:$BB45,Factors!$C$22:$BB$22))/2)</f>
        <v>0</v>
      </c>
      <c r="P45" s="20">
        <f>MIN(MAX(0,(SUMPRODUCT(Oxides_min!$C45:$BB45,Factors!$C$23:$BB$23)+SUMPRODUCT(Oxides_max!$C45:$BB45,Factors!$C$23:$BB$23))/2),ABS(SUMPRODUCT(Oxides_max!$C45:$BB45,Factors!$C$23:$BB$23)-SUMPRODUCT(Oxides_min!$C45:$BB45,Factors!$C$23:$BB$23))/2)</f>
        <v>0</v>
      </c>
      <c r="Q45" s="20">
        <f>MIN(MAX(0,(SUMPRODUCT(Oxides_min!$C45:$BB45,Factors!$C$24:$BB$24)+SUMPRODUCT(Oxides_max!$C45:$BB45,Factors!$C$24:$BB$24))/2),ABS(SUMPRODUCT(Oxides_max!$C45:$BB45,Factors!$C$24:$BB$24)-SUMPRODUCT(Oxides_min!$C45:$BB45,Factors!$C$24:$BB$24))/2)</f>
        <v>0</v>
      </c>
      <c r="R45" s="20">
        <f>MIN(MAX(0,(SUMPRODUCT(Oxides_min!$C45:$BB45,Factors!$C$25:$BB$25)+SUMPRODUCT(Oxides_max!$C45:$BB45,Factors!$C$25:$BB$25))/2),ABS(SUMPRODUCT(Oxides_max!$C45:$BB45,Factors!$C$25:$BB$25)-SUMPRODUCT(Oxides_min!$C45:$BB45,Factors!$C$25:$BB$25))/2)</f>
        <v>0</v>
      </c>
      <c r="S45" s="20">
        <f>MIN(MAX(0,(SUMPRODUCT(Oxides_min!$C45:$BB45,Factors!$C$26:$BB$26)+SUMPRODUCT(Oxides_max!$C45:$BB45,Factors!$C$26:$BB$26))/2),ABS(SUMPRODUCT(Oxides_max!$C45:$BB45,Factors!$C$26:$BB$26)-SUMPRODUCT(Oxides_min!$C45:$BB45,Factors!$C$26:$BB$26))/2)</f>
        <v>0</v>
      </c>
      <c r="T45" s="20">
        <f>MIN(MAX(0,(SUMPRODUCT(Oxides_min!$C45:$BB45,Factors!$C$27:$BB$27)+SUMPRODUCT(Oxides_max!$C45:$BB45,Factors!$C$27:$BB$27))/2),ABS(SUMPRODUCT(Oxides_max!$C45:$BB45,Factors!$C$27:$BB$27)-SUMPRODUCT(Oxides_min!$C45:$BB45,Factors!$C$27:$BB$27))/2)</f>
        <v>0</v>
      </c>
      <c r="U45" s="20">
        <f>MIN(MAX(0,(SUMPRODUCT(Oxides_min!$C45:$BB45,Factors!$C$28:$BB$28)+SUMPRODUCT(Oxides_max!$C45:$BB45,Factors!$C$28:$BB$28))/2),ABS(SUMPRODUCT(Oxides_max!$C45:$BB45,Factors!$C$28:$BB$28)-SUMPRODUCT(Oxides_min!$C45:$BB45,Factors!$C$28:$BB$28))/2)</f>
        <v>0</v>
      </c>
      <c r="V45" s="20">
        <f>MIN(MAX(0,(SUMPRODUCT(Oxides_min!$C45:$BB45,Factors!$C$29:$BB$29)+SUMPRODUCT(Oxides_max!$C45:$BB45,Factors!$C$29:$BB$29))/2),ABS(SUMPRODUCT(Oxides_max!$C45:$BB45,Factors!$C$29:$BB$29)-SUMPRODUCT(Oxides_min!$C45:$BB45,Factors!$C$29:$BB$29))/2)</f>
        <v>0</v>
      </c>
      <c r="W45" s="20">
        <f>MIN(MAX(0,(SUMPRODUCT(Oxides_min!$C45:$BB45,Factors!$C$30:$BB$30)+SUMPRODUCT(Oxides_max!$C45:$BB45,Factors!$C$30:$BB$30))/2),ABS(SUMPRODUCT(Oxides_max!$C45:$BB45,Factors!$C$30:$BB$30)-SUMPRODUCT(Oxides_min!$C45:$BB45,Factors!$C$30:$BB$30))/2)</f>
        <v>0</v>
      </c>
      <c r="X45" s="20">
        <f>MIN(MAX(0,(SUMPRODUCT(Oxides_min!$C45:$BB45,Factors!$C$31:$BB$31)+SUMPRODUCT(Oxides_max!$C45:$BB45,Factors!$C$31:$BB$31))/2),ABS(SUMPRODUCT(Oxides_max!$C45:$BB45,Factors!$C$31:$BB$31)-SUMPRODUCT(Oxides_min!$C45:$BB45,Factors!$C$31:$BB$31))/2)</f>
        <v>0</v>
      </c>
      <c r="Y45" s="20">
        <f>MIN(MAX(0,(SUMPRODUCT(Oxides_min!$C45:$BB45,Factors!$C$32:$BB$32)+SUMPRODUCT(Oxides_max!$C45:$BB45,Factors!$C$32:$BB$32))/2),ABS(SUMPRODUCT(Oxides_max!$C45:$BB45,Factors!$C$32:$BB$32)-SUMPRODUCT(Oxides_min!$C45:$BB45,Factors!$C$32:$BB$32))/2)</f>
        <v>0</v>
      </c>
      <c r="Z45" s="20">
        <f>MIN(MAX(0,(SUMPRODUCT(Oxides_min!$C45:$BB45,Factors!$C$33:$BB$33)+SUMPRODUCT(Oxides_max!$C45:$BB45,Factors!$C$33:$BB$33))/2),ABS(SUMPRODUCT(Oxides_max!$C45:$BB45,Factors!$C$33:$BB$33)-SUMPRODUCT(Oxides_min!$C45:$BB45,Factors!$C$33:$BB$33))/2)</f>
        <v>0</v>
      </c>
      <c r="AA45" s="20">
        <f>MIN(MAX(0,(SUMPRODUCT(Oxides_min!$C45:$BB45,Factors!$C$34:$BB$34)+SUMPRODUCT(Oxides_max!$C45:$BB45,Factors!$C$34:$BB$34))/2),ABS(SUMPRODUCT(Oxides_max!$C45:$BB45,Factors!$C$34:$BB$34)-SUMPRODUCT(Oxides_min!$C45:$BB45,Factors!$C$34:$BB$34))/2)</f>
        <v>0</v>
      </c>
      <c r="AB45" s="20">
        <f>MIN(MAX(0,(SUMPRODUCT(Oxides_min!$C45:$BB45,Factors!$C$35:$BB$35)+SUMPRODUCT(Oxides_max!$C45:$BB45,Factors!$C$35:$BB$35))/2),ABS(SUMPRODUCT(Oxides_max!$C45:$BB45,Factors!$C$35:$BB$35)-SUMPRODUCT(Oxides_min!$C45:$BB45,Factors!$C$35:$BB$35))/2)</f>
        <v>0</v>
      </c>
      <c r="AC45" s="20">
        <f>MIN(MAX(0,(SUMPRODUCT(Oxides_min!$C45:$BB45,Factors!$C$36:$BB$36)+SUMPRODUCT(Oxides_max!$C45:$BB45,Factors!$C$36:$BB$36))/2),ABS(SUMPRODUCT(Oxides_max!$C45:$BB45,Factors!$C$36:$BB$36)-SUMPRODUCT(Oxides_min!$C45:$BB45,Factors!$C$36:$BB$36))/2)</f>
        <v>0</v>
      </c>
      <c r="AD45" s="20">
        <f>MIN(MAX(0,(SUMPRODUCT(Oxides_min!$C45:$BB45,Factors!$C$37:$BB$37)+SUMPRODUCT(Oxides_max!$C45:$BB45,Factors!$C$37:$BB$37))/2),ABS(SUMPRODUCT(Oxides_max!$C45:$BB45,Factors!$C$37:$BB$37)-SUMPRODUCT(Oxides_min!$C45:$BB45,Factors!$C$37:$BB$37))/2)</f>
        <v>4.8119900083263945E-2</v>
      </c>
      <c r="AE45" s="20">
        <f>MIN(MAX(0,(SUMPRODUCT(Oxides_min!$C45:$BB45,Factors!$C$38:$BB$38)+SUMPRODUCT(Oxides_max!$C45:$BB45,Factors!$C$38:$BB$38))/2),ABS(SUMPRODUCT(Oxides_max!$C45:$BB45,Factors!$C$38:$BB$38)-SUMPRODUCT(Oxides_min!$C45:$BB45,Factors!$C$38:$BB$38))/2)</f>
        <v>0</v>
      </c>
      <c r="AF45" s="20">
        <f>MIN(MAX(0,(SUMPRODUCT(Oxides_min!$C45:$BB45,Factors!$C$39:$BB$39)+SUMPRODUCT(Oxides_max!$C45:$BB45,Factors!$C$39:$BB$39))/2),ABS(SUMPRODUCT(Oxides_max!$C45:$BB45,Factors!$C$39:$BB$39)-SUMPRODUCT(Oxides_min!$C45:$BB45,Factors!$C$39:$BB$39))/2)</f>
        <v>0</v>
      </c>
      <c r="AG45" s="20">
        <f>MIN(MAX(0,(SUMPRODUCT(Oxides_min!$C45:$BB45,Factors!$C$40:$BB$40)+SUMPRODUCT(Oxides_max!$C45:$BB45,Factors!$C$40:$BB$40))/2),ABS(SUMPRODUCT(Oxides_max!$C45:$BB45,Factors!$C$40:$BB$40)-SUMPRODUCT(Oxides_min!$C45:$BB45,Factors!$C$40:$BB$40))/2)</f>
        <v>0</v>
      </c>
      <c r="AH45" s="20">
        <f>MIN(MAX(0,(SUMPRODUCT(Oxides_min!$C45:$BB45,Factors!$C$41:$BB$41)+SUMPRODUCT(Oxides_max!$C45:$BB45,Factors!$C$41:$BB$41))/2),ABS(SUMPRODUCT(Oxides_max!$C45:$BB45,Factors!$C$41:$BB$41)-SUMPRODUCT(Oxides_min!$C45:$BB45,Factors!$C$41:$BB$41))/2)</f>
        <v>0</v>
      </c>
      <c r="AI45" s="20">
        <f>MIN(MAX(0,(SUMPRODUCT(Oxides_min!$C45:$BB45,Factors!$C$42:$BB$42)+SUMPRODUCT(Oxides_max!$C45:$BB45,Factors!$C$42:$BB$42))/2),ABS(SUMPRODUCT(Oxides_max!$C45:$BB45,Factors!$C$42:$BB$42)-SUMPRODUCT(Oxides_min!$C45:$BB45,Factors!$C$42:$BB$42))/2)</f>
        <v>0</v>
      </c>
      <c r="AJ45" s="20">
        <f>MIN(MAX(0,(SUMPRODUCT(Oxides_min!$C45:$BB45,Factors!$C$43:$BB$43)+SUMPRODUCT(Oxides_max!$C45:$BB45,Factors!$C$43:$BB$43))/2),ABS(SUMPRODUCT(Oxides_max!$C45:$BB45,Factors!$C$43:$BB$43)-SUMPRODUCT(Oxides_min!$C45:$BB45,Factors!$C$43:$BB$43))/2)</f>
        <v>0</v>
      </c>
      <c r="AK45" s="20">
        <f>MIN(MAX(0,(SUMPRODUCT(Oxides_min!$C45:$BB45,Factors!$C$44:$BB$44)+SUMPRODUCT(Oxides_max!$C45:$BB45,Factors!$C$44:$BB$44))/2),ABS(SUMPRODUCT(Oxides_max!$C45:$BB45,Factors!$C$44:$BB$44)-SUMPRODUCT(Oxides_min!$C45:$BB45,Factors!$C$44:$BB$44))/2)</f>
        <v>0</v>
      </c>
      <c r="AL45" s="20">
        <f>MIN(MAX(0,(SUMPRODUCT(Oxides_min!$C45:$BB45,Factors!$C$45:$BB$45)+SUMPRODUCT(Oxides_max!$C45:$BB45,Factors!$C$45:$BB$45))/2),ABS(SUMPRODUCT(Oxides_max!$C45:$BB45,Factors!$C$45:$BB$45)-SUMPRODUCT(Oxides_min!$C45:$BB45,Factors!$C$45:$BB$45))/2)</f>
        <v>0</v>
      </c>
      <c r="AM45" s="20">
        <f>MIN(MAX(0,(SUMPRODUCT(Oxides_min!$C45:$BB45,Factors!$C$46:$BB$46)+SUMPRODUCT(Oxides_max!$C45:$BB45,Factors!$C$46:$BB$46))/2),ABS(SUMPRODUCT(Oxides_max!$C45:$BB45,Factors!$C$46:$BB$46)-SUMPRODUCT(Oxides_min!$C45:$BB45,Factors!$C$46:$BB$46))/2)</f>
        <v>0</v>
      </c>
      <c r="AN45" s="20">
        <f>MIN(MAX(0,(SUMPRODUCT(Oxides_min!$C45:$BB45,Factors!$C$47:$BB$47)+SUMPRODUCT(Oxides_max!$C45:$BB45,Factors!$C$47:$BB$47))/2),ABS(SUMPRODUCT(Oxides_max!$C45:$BB45,Factors!$C$47:$BB$47)-SUMPRODUCT(Oxides_min!$C45:$BB45,Factors!$C$47:$BB$47))/2)</f>
        <v>0</v>
      </c>
      <c r="AO45" s="20">
        <f>MIN(MAX(0,(SUMPRODUCT(Oxides_min!$C45:$BB45,Factors!$C$48:$BB$48)+SUMPRODUCT(Oxides_max!$C45:$BB45,Factors!$C$48:$BB$48))/2),ABS(SUMPRODUCT(Oxides_max!$C45:$BB45,Factors!$C$48:$BB$48)-SUMPRODUCT(Oxides_min!$C45:$BB45,Factors!$C$48:$BB$48))/2)</f>
        <v>0</v>
      </c>
      <c r="AP45" s="20">
        <f>MIN(MAX(0,(SUMPRODUCT(Oxides_min!$C45:$BB45,Factors!$C$49:$BB$49)+SUMPRODUCT(Oxides_max!$C45:$BB45,Factors!$C$49:$BB$49))/2),ABS(SUMPRODUCT(Oxides_max!$C45:$BB45,Factors!$C$49:$BB$49)-SUMPRODUCT(Oxides_min!$C45:$BB45,Factors!$C$49:$BB$49))/2)</f>
        <v>0</v>
      </c>
      <c r="AQ45" s="20">
        <f>MIN(MAX(0,(SUMPRODUCT(Oxides_min!$C45:$BB45,Factors!$C$50:$BB$50)+SUMPRODUCT(Oxides_max!$C45:$BB45,Factors!$C$50:$BB$50))/2),ABS(SUMPRODUCT(Oxides_max!$C45:$BB45,Factors!$C$50:$BB$50)-SUMPRODUCT(Oxides_min!$C45:$BB45,Factors!$C$50:$BB$50))/2)</f>
        <v>0</v>
      </c>
      <c r="AR45" s="20">
        <f>MIN(MAX(0,(SUMPRODUCT(Oxides_min!$C45:$BB45,Factors!$C$51:$BB$51)+SUMPRODUCT(Oxides_max!$C45:$BB45,Factors!$C$51:$BB$51))/2),ABS(SUMPRODUCT(Oxides_max!$C45:$BB45,Factors!$C$51:$BB$51)-SUMPRODUCT(Oxides_min!$C45:$BB45,Factors!$C$51:$BB$51))/2)</f>
        <v>0</v>
      </c>
      <c r="AS45" s="20">
        <f>MIN(MAX(0,(SUMPRODUCT(Oxides_min!$C45:$BB45,Factors!$C$52:$BB$52)+SUMPRODUCT(Oxides_max!$C45:$BB45,Factors!$C$52:$BB$52))/2),ABS(SUMPRODUCT(Oxides_max!$C45:$BB45,Factors!$C$52:$BB$52)-SUMPRODUCT(Oxides_min!$C45:$BB45,Factors!$C$52:$BB$52))/2)</f>
        <v>0</v>
      </c>
      <c r="AT45" s="20">
        <f>MIN(MAX(0,(SUMPRODUCT(Oxides_min!$C45:$BB45,Factors!$C$53:$BB$53)+SUMPRODUCT(Oxides_max!$C45:$BB45,Factors!$C$53:$BB$53))/2),ABS(SUMPRODUCT(Oxides_max!$C45:$BB45,Factors!$C$53:$BB$53)-SUMPRODUCT(Oxides_min!$C45:$BB45,Factors!$C$53:$BB$53))/2)</f>
        <v>0</v>
      </c>
      <c r="AU45" s="20">
        <f>MIN(MAX(0,(SUMPRODUCT(Oxides_min!$C45:$BB45,Factors!$C$54:$BB$54)+SUMPRODUCT(Oxides_max!$C45:$BB45,Factors!$C$54:$BB$54))/2),ABS(SUMPRODUCT(Oxides_max!$C45:$BB45,Factors!$C$54:$BB$54)-SUMPRODUCT(Oxides_min!$C45:$BB45,Factors!$C$54:$BB$54))/2)</f>
        <v>0</v>
      </c>
      <c r="AV45" s="20">
        <f>MIN(MAX(0,(SUMPRODUCT(Oxides_min!$C45:$BB45,Factors!$C$55:$BB$55)+SUMPRODUCT(Oxides_max!$C45:$BB45,Factors!$C$55:$BB$55))/2),ABS(SUMPRODUCT(Oxides_max!$C45:$BB45,Factors!$C$55:$BB$55)-SUMPRODUCT(Oxides_min!$C45:$BB45,Factors!$C$55:$BB$55))/2)</f>
        <v>0</v>
      </c>
      <c r="AW45" s="20">
        <f>MIN(MAX(0,(SUMPRODUCT(Oxides_min!$C45:$BB45,Factors!$C$56:$BB$56)+SUMPRODUCT(Oxides_max!$C45:$BB45,Factors!$C$56:$BB$56))/2),ABS(SUMPRODUCT(Oxides_max!$C45:$BB45,Factors!$C$56:$BB$56)-SUMPRODUCT(Oxides_min!$C45:$BB45,Factors!$C$56:$BB$56))/2)</f>
        <v>0</v>
      </c>
      <c r="AX45" s="20">
        <f>MIN(MAX(0,(SUMPRODUCT(Oxides_min!$C45:$BB45,Factors!$C$57:$BB$57)+SUMPRODUCT(Oxides_max!$C45:$BB45,Factors!$C$57:$BB$57))/2),ABS(SUMPRODUCT(Oxides_max!$C45:$BB45,Factors!$C$57:$BB$57)-SUMPRODUCT(Oxides_min!$C45:$BB45,Factors!$C$57:$BB$57))/2)</f>
        <v>0</v>
      </c>
      <c r="AY45" s="20">
        <f>MIN(MAX(0,(SUMPRODUCT(Oxides_min!$C45:$BB45,Factors!$C$58:$BB$58)+SUMPRODUCT(Oxides_max!$C45:$BB45,Factors!$C$58:$BB$58))/2),ABS(SUMPRODUCT(Oxides_max!$C45:$BB45,Factors!$C$58:$BB$58)-SUMPRODUCT(Oxides_min!$C45:$BB45,Factors!$C$58:$BB$58))/2)</f>
        <v>0</v>
      </c>
      <c r="AZ45" s="18">
        <f t="shared" ref="AZ45:AZ55" si="3">SUM(B45:AY45)</f>
        <v>2.8949999999999969</v>
      </c>
    </row>
    <row r="46" spans="1:52" x14ac:dyDescent="0.35">
      <c r="A46" s="13" t="s">
        <v>434</v>
      </c>
      <c r="B46" s="20">
        <f>MIN(MAX(0,(SUMPRODUCT(Oxides_min!$C46:$BB46,Factors!$C$9:$BB$9)+SUMPRODUCT(Oxides_max!$C46:$BB46,Factors!$C$9:$BB$9))/2),ABS(SUMPRODUCT(Oxides_max!$C46:$BB46,Factors!$C$9:$BB$9)-SUMPRODUCT(Oxides_min!$C46:$BB46,Factors!$C$9:$BB$9))/2)</f>
        <v>3.3040653545169683</v>
      </c>
      <c r="C46" s="20">
        <f>MIN(MAX(0,(SUMPRODUCT(Oxides_min!$C46:$BB46,Factors!$C$10:$BB$10)+SUMPRODUCT(Oxides_max!$C46:$BB46,Factors!$C$10:$BB$10))/2),ABS(SUMPRODUCT(Oxides_max!$C46:$BB46,Factors!$C$10:$BB$10)-SUMPRODUCT(Oxides_min!$C46:$BB46,Factors!$C$10:$BB$10))/2)</f>
        <v>0.42536740841835563</v>
      </c>
      <c r="D46" s="20">
        <f>MIN(MAX(0,(SUMPRODUCT(Oxides_min!$C46:$BB46,Factors!$C$11:$BB$11)+SUMPRODUCT(Oxides_max!$C46:$BB46,Factors!$C$11:$BB$11))/2),ABS(SUMPRODUCT(Oxides_max!$C46:$BB46,Factors!$C$11:$BB$11)-SUMPRODUCT(Oxides_min!$C46:$BB46,Factors!$C$11:$BB$11))/2)</f>
        <v>0.16182420334314157</v>
      </c>
      <c r="E46" s="20">
        <f>MIN(MAX(0,(SUMPRODUCT(Oxides_min!$C46:$BB46,Factors!$C$12:$BB$12)+SUMPRODUCT(Oxides_max!$C46:$BB46,Factors!$C$12:$BB$12))/2),ABS(SUMPRODUCT(Oxides_max!$C46:$BB46,Factors!$C$12:$BB$12)-SUMPRODUCT(Oxides_min!$C46:$BB46,Factors!$C$12:$BB$12))/2)</f>
        <v>0</v>
      </c>
      <c r="F46" s="20">
        <f>MIN(MAX(0,(SUMPRODUCT(Oxides_min!$C46:$BB46,Factors!$C$13:$BB$13)+SUMPRODUCT(Oxides_max!$C46:$BB46,Factors!$C$13:$BB$13))/2),ABS(SUMPRODUCT(Oxides_max!$C46:$BB46,Factors!$C$13:$BB$13)-SUMPRODUCT(Oxides_min!$C46:$BB46,Factors!$C$13:$BB$13))/2)</f>
        <v>0</v>
      </c>
      <c r="G46" s="20">
        <f>MIN(MAX(0,(SUMPRODUCT(Oxides_min!$C46:$BB46,Factors!$C$14:$BB$14)+SUMPRODUCT(Oxides_max!$C46:$BB46,Factors!$C$14:$BB$14))/2),ABS(SUMPRODUCT(Oxides_max!$C46:$BB46,Factors!$C$14:$BB$14)-SUMPRODUCT(Oxides_min!$C46:$BB46,Factors!$C$14:$BB$14))/2)</f>
        <v>0</v>
      </c>
      <c r="H46" s="20">
        <f>MIN(MAX(0,(SUMPRODUCT(Oxides_min!$C46:$BB46,Factors!$C$15:$BB$15)+SUMPRODUCT(Oxides_max!$C46:$BB46,Factors!$C$15:$BB$15))/2),ABS(SUMPRODUCT(Oxides_max!$C46:$BB46,Factors!$C$15:$BB$15)-SUMPRODUCT(Oxides_min!$C46:$BB46,Factors!$C$15:$BB$15))/2)</f>
        <v>0.47368494940426409</v>
      </c>
      <c r="I46" s="20">
        <f>MIN(MAX(0,(SUMPRODUCT(Oxides_min!$C46:$BB46,Factors!$C$16:$BB$16)+SUMPRODUCT(Oxides_max!$C46:$BB46,Factors!$C$16:$BB$16))/2),ABS(SUMPRODUCT(Oxides_max!$C46:$BB46,Factors!$C$16:$BB$16)-SUMPRODUCT(Oxides_min!$C46:$BB46,Factors!$C$16:$BB$16))/2)</f>
        <v>1.115438658760648</v>
      </c>
      <c r="J46" s="20">
        <f>MIN(MAX(0,(SUMPRODUCT(Oxides_min!$C46:$BB46,Factors!$C$17:$BB$17)+SUMPRODUCT(Oxides_max!$C46:$BB46,Factors!$C$17:$BB$17))/2),ABS(SUMPRODUCT(Oxides_max!$C46:$BB46,Factors!$C$17:$BB$17)-SUMPRODUCT(Oxides_min!$C46:$BB46,Factors!$C$17:$BB$17))/2)</f>
        <v>4.2595409247670371E-2</v>
      </c>
      <c r="K46" s="20">
        <f>MIN(MAX(0,(SUMPRODUCT(Oxides_min!$C46:$BB46,Factors!$C$18:$BB$18)+SUMPRODUCT(Oxides_max!$C46:$BB46,Factors!$C$18:$BB$18))/2),ABS(SUMPRODUCT(Oxides_max!$C46:$BB46,Factors!$C$18:$BB$18)-SUMPRODUCT(Oxides_min!$C46:$BB46,Factors!$C$18:$BB$18))/2)</f>
        <v>0</v>
      </c>
      <c r="L46" s="20">
        <f>MIN(MAX(0,(SUMPRODUCT(Oxides_min!$C46:$BB46,Factors!$C$19:$BB$19)+SUMPRODUCT(Oxides_max!$C46:$BB46,Factors!$C$19:$BB$19))/2),ABS(SUMPRODUCT(Oxides_max!$C46:$BB46,Factors!$C$19:$BB$19)-SUMPRODUCT(Oxides_min!$C46:$BB46,Factors!$C$19:$BB$19))/2)</f>
        <v>0</v>
      </c>
      <c r="M46" s="20">
        <f>MIN(MAX(0,(SUMPRODUCT(Oxides_min!$C46:$BB46,Factors!$C$20:$BB$20)+SUMPRODUCT(Oxides_max!$C46:$BB46,Factors!$C$20:$BB$20))/2),ABS(SUMPRODUCT(Oxides_max!$C46:$BB46,Factors!$C$20:$BB$20)-SUMPRODUCT(Oxides_min!$C46:$BB46,Factors!$C$20:$BB$20))/2)</f>
        <v>0.12663879515680823</v>
      </c>
      <c r="N46" s="20">
        <f>MIN(MAX(0,(SUMPRODUCT(Oxides_min!$C46:$BB46,Factors!$C$21:$BB$21)+SUMPRODUCT(Oxides_max!$C46:$BB46,Factors!$C$21:$BB$21))/2),ABS(SUMPRODUCT(Oxides_max!$C46:$BB46,Factors!$C$21:$BB$21)-SUMPRODUCT(Oxides_min!$C46:$BB46,Factors!$C$21:$BB$21))/2)</f>
        <v>0.36092141163043667</v>
      </c>
      <c r="O46" s="20">
        <f>MIN(MAX(0,(SUMPRODUCT(Oxides_min!$C46:$BB46,Factors!$C$22:$BB$22)+SUMPRODUCT(Oxides_max!$C46:$BB46,Factors!$C$22:$BB$22))/2),ABS(SUMPRODUCT(Oxides_max!$C46:$BB46,Factors!$C$22:$BB$22)-SUMPRODUCT(Oxides_min!$C46:$BB46,Factors!$C$22:$BB$22))/2)</f>
        <v>0</v>
      </c>
      <c r="P46" s="20">
        <f>MIN(MAX(0,(SUMPRODUCT(Oxides_min!$C46:$BB46,Factors!$C$23:$BB$23)+SUMPRODUCT(Oxides_max!$C46:$BB46,Factors!$C$23:$BB$23))/2),ABS(SUMPRODUCT(Oxides_max!$C46:$BB46,Factors!$C$23:$BB$23)-SUMPRODUCT(Oxides_min!$C46:$BB46,Factors!$C$23:$BB$23))/2)</f>
        <v>0</v>
      </c>
      <c r="Q46" s="20">
        <f>MIN(MAX(0,(SUMPRODUCT(Oxides_min!$C46:$BB46,Factors!$C$24:$BB$24)+SUMPRODUCT(Oxides_max!$C46:$BB46,Factors!$C$24:$BB$24))/2),ABS(SUMPRODUCT(Oxides_max!$C46:$BB46,Factors!$C$24:$BB$24)-SUMPRODUCT(Oxides_min!$C46:$BB46,Factors!$C$24:$BB$24))/2)</f>
        <v>0</v>
      </c>
      <c r="R46" s="20">
        <f>MIN(MAX(0,(SUMPRODUCT(Oxides_min!$C46:$BB46,Factors!$C$25:$BB$25)+SUMPRODUCT(Oxides_max!$C46:$BB46,Factors!$C$25:$BB$25))/2),ABS(SUMPRODUCT(Oxides_max!$C46:$BB46,Factors!$C$25:$BB$25)-SUMPRODUCT(Oxides_min!$C46:$BB46,Factors!$C$25:$BB$25))/2)</f>
        <v>8.1604848373501016E-2</v>
      </c>
      <c r="S46" s="20">
        <f>MIN(MAX(0,(SUMPRODUCT(Oxides_min!$C46:$BB46,Factors!$C$26:$BB$26)+SUMPRODUCT(Oxides_max!$C46:$BB46,Factors!$C$26:$BB$26))/2),ABS(SUMPRODUCT(Oxides_max!$C46:$BB46,Factors!$C$26:$BB$26)-SUMPRODUCT(Oxides_min!$C46:$BB46,Factors!$C$26:$BB$26))/2)</f>
        <v>2.0753782554599157E-2</v>
      </c>
      <c r="T46" s="20">
        <f>MIN(MAX(0,(SUMPRODUCT(Oxides_min!$C46:$BB46,Factors!$C$27:$BB$27)+SUMPRODUCT(Oxides_max!$C46:$BB46,Factors!$C$27:$BB$27))/2),ABS(SUMPRODUCT(Oxides_max!$C46:$BB46,Factors!$C$27:$BB$27)-SUMPRODUCT(Oxides_min!$C46:$BB46,Factors!$C$27:$BB$27))/2)</f>
        <v>0</v>
      </c>
      <c r="U46" s="20">
        <f>MIN(MAX(0,(SUMPRODUCT(Oxides_min!$C46:$BB46,Factors!$C$28:$BB$28)+SUMPRODUCT(Oxides_max!$C46:$BB46,Factors!$C$28:$BB$28))/2),ABS(SUMPRODUCT(Oxides_max!$C46:$BB46,Factors!$C$28:$BB$28)-SUMPRODUCT(Oxides_min!$C46:$BB46,Factors!$C$28:$BB$28))/2)</f>
        <v>8.074464570435369E-2</v>
      </c>
      <c r="V46" s="20">
        <f>MIN(MAX(0,(SUMPRODUCT(Oxides_min!$C46:$BB46,Factors!$C$29:$BB$29)+SUMPRODUCT(Oxides_max!$C46:$BB46,Factors!$C$29:$BB$29))/2),ABS(SUMPRODUCT(Oxides_max!$C46:$BB46,Factors!$C$29:$BB$29)-SUMPRODUCT(Oxides_min!$C46:$BB46,Factors!$C$29:$BB$29))/2)</f>
        <v>0</v>
      </c>
      <c r="W46" s="20">
        <f>MIN(MAX(0,(SUMPRODUCT(Oxides_min!$C46:$BB46,Factors!$C$30:$BB$30)+SUMPRODUCT(Oxides_max!$C46:$BB46,Factors!$C$30:$BB$30))/2),ABS(SUMPRODUCT(Oxides_max!$C46:$BB46,Factors!$C$30:$BB$30)-SUMPRODUCT(Oxides_min!$C46:$BB46,Factors!$C$30:$BB$30))/2)</f>
        <v>0</v>
      </c>
      <c r="X46" s="20">
        <f>MIN(MAX(0,(SUMPRODUCT(Oxides_min!$C46:$BB46,Factors!$C$31:$BB$31)+SUMPRODUCT(Oxides_max!$C46:$BB46,Factors!$C$31:$BB$31))/2),ABS(SUMPRODUCT(Oxides_max!$C46:$BB46,Factors!$C$31:$BB$31)-SUMPRODUCT(Oxides_min!$C46:$BB46,Factors!$C$31:$BB$31))/2)</f>
        <v>0</v>
      </c>
      <c r="Y46" s="20">
        <f>MIN(MAX(0,(SUMPRODUCT(Oxides_min!$C46:$BB46,Factors!$C$32:$BB$32)+SUMPRODUCT(Oxides_max!$C46:$BB46,Factors!$C$32:$BB$32))/2),ABS(SUMPRODUCT(Oxides_max!$C46:$BB46,Factors!$C$32:$BB$32)-SUMPRODUCT(Oxides_min!$C46:$BB46,Factors!$C$32:$BB$32))/2)</f>
        <v>0</v>
      </c>
      <c r="Z46" s="20">
        <f>MIN(MAX(0,(SUMPRODUCT(Oxides_min!$C46:$BB46,Factors!$C$33:$BB$33)+SUMPRODUCT(Oxides_max!$C46:$BB46,Factors!$C$33:$BB$33))/2),ABS(SUMPRODUCT(Oxides_max!$C46:$BB46,Factors!$C$33:$BB$33)-SUMPRODUCT(Oxides_min!$C46:$BB46,Factors!$C$33:$BB$33))/2)</f>
        <v>0</v>
      </c>
      <c r="AA46" s="20">
        <f>MIN(MAX(0,(SUMPRODUCT(Oxides_min!$C46:$BB46,Factors!$C$34:$BB$34)+SUMPRODUCT(Oxides_max!$C46:$BB46,Factors!$C$34:$BB$34))/2),ABS(SUMPRODUCT(Oxides_max!$C46:$BB46,Factors!$C$34:$BB$34)-SUMPRODUCT(Oxides_min!$C46:$BB46,Factors!$C$34:$BB$34))/2)</f>
        <v>0</v>
      </c>
      <c r="AB46" s="20">
        <f>MIN(MAX(0,(SUMPRODUCT(Oxides_min!$C46:$BB46,Factors!$C$35:$BB$35)+SUMPRODUCT(Oxides_max!$C46:$BB46,Factors!$C$35:$BB$35))/2),ABS(SUMPRODUCT(Oxides_max!$C46:$BB46,Factors!$C$35:$BB$35)-SUMPRODUCT(Oxides_min!$C46:$BB46,Factors!$C$35:$BB$35))/2)</f>
        <v>0</v>
      </c>
      <c r="AC46" s="20">
        <f>MIN(MAX(0,(SUMPRODUCT(Oxides_min!$C46:$BB46,Factors!$C$36:$BB$36)+SUMPRODUCT(Oxides_max!$C46:$BB46,Factors!$C$36:$BB$36))/2),ABS(SUMPRODUCT(Oxides_max!$C46:$BB46,Factors!$C$36:$BB$36)-SUMPRODUCT(Oxides_min!$C46:$BB46,Factors!$C$36:$BB$36))/2)</f>
        <v>0</v>
      </c>
      <c r="AD46" s="20">
        <f>MIN(MAX(0,(SUMPRODUCT(Oxides_min!$C46:$BB46,Factors!$C$37:$BB$37)+SUMPRODUCT(Oxides_max!$C46:$BB46,Factors!$C$37:$BB$37))/2),ABS(SUMPRODUCT(Oxides_max!$C46:$BB46,Factors!$C$37:$BB$37)-SUMPRODUCT(Oxides_min!$C46:$BB46,Factors!$C$37:$BB$37))/2)</f>
        <v>0.19136053288925894</v>
      </c>
      <c r="AE46" s="20">
        <f>MIN(MAX(0,(SUMPRODUCT(Oxides_min!$C46:$BB46,Factors!$C$38:$BB$38)+SUMPRODUCT(Oxides_max!$C46:$BB46,Factors!$C$38:$BB$38))/2),ABS(SUMPRODUCT(Oxides_max!$C46:$BB46,Factors!$C$38:$BB$38)-SUMPRODUCT(Oxides_min!$C46:$BB46,Factors!$C$38:$BB$38))/2)</f>
        <v>0</v>
      </c>
      <c r="AF46" s="20">
        <f>MIN(MAX(0,(SUMPRODUCT(Oxides_min!$C46:$BB46,Factors!$C$39:$BB$39)+SUMPRODUCT(Oxides_max!$C46:$BB46,Factors!$C$39:$BB$39))/2),ABS(SUMPRODUCT(Oxides_max!$C46:$BB46,Factors!$C$39:$BB$39)-SUMPRODUCT(Oxides_min!$C46:$BB46,Factors!$C$39:$BB$39))/2)</f>
        <v>0</v>
      </c>
      <c r="AG46" s="20">
        <f>MIN(MAX(0,(SUMPRODUCT(Oxides_min!$C46:$BB46,Factors!$C$40:$BB$40)+SUMPRODUCT(Oxides_max!$C46:$BB46,Factors!$C$40:$BB$40))/2),ABS(SUMPRODUCT(Oxides_max!$C46:$BB46,Factors!$C$40:$BB$40)-SUMPRODUCT(Oxides_min!$C46:$BB46,Factors!$C$40:$BB$40))/2)</f>
        <v>0</v>
      </c>
      <c r="AH46" s="20">
        <f>MIN(MAX(0,(SUMPRODUCT(Oxides_min!$C46:$BB46,Factors!$C$41:$BB$41)+SUMPRODUCT(Oxides_max!$C46:$BB46,Factors!$C$41:$BB$41))/2),ABS(SUMPRODUCT(Oxides_max!$C46:$BB46,Factors!$C$41:$BB$41)-SUMPRODUCT(Oxides_min!$C46:$BB46,Factors!$C$41:$BB$41))/2)</f>
        <v>0</v>
      </c>
      <c r="AI46" s="20">
        <f>MIN(MAX(0,(SUMPRODUCT(Oxides_min!$C46:$BB46,Factors!$C$42:$BB$42)+SUMPRODUCT(Oxides_max!$C46:$BB46,Factors!$C$42:$BB$42))/2),ABS(SUMPRODUCT(Oxides_max!$C46:$BB46,Factors!$C$42:$BB$42)-SUMPRODUCT(Oxides_min!$C46:$BB46,Factors!$C$42:$BB$42))/2)</f>
        <v>0</v>
      </c>
      <c r="AJ46" s="20">
        <f>MIN(MAX(0,(SUMPRODUCT(Oxides_min!$C46:$BB46,Factors!$C$43:$BB$43)+SUMPRODUCT(Oxides_max!$C46:$BB46,Factors!$C$43:$BB$43))/2),ABS(SUMPRODUCT(Oxides_max!$C46:$BB46,Factors!$C$43:$BB$43)-SUMPRODUCT(Oxides_min!$C46:$BB46,Factors!$C$43:$BB$43))/2)</f>
        <v>0</v>
      </c>
      <c r="AK46" s="20">
        <f>MIN(MAX(0,(SUMPRODUCT(Oxides_min!$C46:$BB46,Factors!$C$44:$BB$44)+SUMPRODUCT(Oxides_max!$C46:$BB46,Factors!$C$44:$BB$44))/2),ABS(SUMPRODUCT(Oxides_max!$C46:$BB46,Factors!$C$44:$BB$44)-SUMPRODUCT(Oxides_min!$C46:$BB46,Factors!$C$44:$BB$44))/2)</f>
        <v>0</v>
      </c>
      <c r="AL46" s="20">
        <f>MIN(MAX(0,(SUMPRODUCT(Oxides_min!$C46:$BB46,Factors!$C$45:$BB$45)+SUMPRODUCT(Oxides_max!$C46:$BB46,Factors!$C$45:$BB$45))/2),ABS(SUMPRODUCT(Oxides_max!$C46:$BB46,Factors!$C$45:$BB$45)-SUMPRODUCT(Oxides_min!$C46:$BB46,Factors!$C$45:$BB$45))/2)</f>
        <v>0</v>
      </c>
      <c r="AM46" s="20">
        <f>MIN(MAX(0,(SUMPRODUCT(Oxides_min!$C46:$BB46,Factors!$C$46:$BB$46)+SUMPRODUCT(Oxides_max!$C46:$BB46,Factors!$C$46:$BB$46))/2),ABS(SUMPRODUCT(Oxides_max!$C46:$BB46,Factors!$C$46:$BB$46)-SUMPRODUCT(Oxides_min!$C46:$BB46,Factors!$C$46:$BB$46))/2)</f>
        <v>0</v>
      </c>
      <c r="AN46" s="20">
        <f>MIN(MAX(0,(SUMPRODUCT(Oxides_min!$C46:$BB46,Factors!$C$47:$BB$47)+SUMPRODUCT(Oxides_max!$C46:$BB46,Factors!$C$47:$BB$47))/2),ABS(SUMPRODUCT(Oxides_max!$C46:$BB46,Factors!$C$47:$BB$47)-SUMPRODUCT(Oxides_min!$C46:$BB46,Factors!$C$47:$BB$47))/2)</f>
        <v>0</v>
      </c>
      <c r="AO46" s="20">
        <f>MIN(MAX(0,(SUMPRODUCT(Oxides_min!$C46:$BB46,Factors!$C$48:$BB$48)+SUMPRODUCT(Oxides_max!$C46:$BB46,Factors!$C$48:$BB$48))/2),ABS(SUMPRODUCT(Oxides_max!$C46:$BB46,Factors!$C$48:$BB$48)-SUMPRODUCT(Oxides_min!$C46:$BB46,Factors!$C$48:$BB$48))/2)</f>
        <v>0</v>
      </c>
      <c r="AP46" s="20">
        <f>MIN(MAX(0,(SUMPRODUCT(Oxides_min!$C46:$BB46,Factors!$C$49:$BB$49)+SUMPRODUCT(Oxides_max!$C46:$BB46,Factors!$C$49:$BB$49))/2),ABS(SUMPRODUCT(Oxides_max!$C46:$BB46,Factors!$C$49:$BB$49)-SUMPRODUCT(Oxides_min!$C46:$BB46,Factors!$C$49:$BB$49))/2)</f>
        <v>0</v>
      </c>
      <c r="AQ46" s="20">
        <f>MIN(MAX(0,(SUMPRODUCT(Oxides_min!$C46:$BB46,Factors!$C$50:$BB$50)+SUMPRODUCT(Oxides_max!$C46:$BB46,Factors!$C$50:$BB$50))/2),ABS(SUMPRODUCT(Oxides_max!$C46:$BB46,Factors!$C$50:$BB$50)-SUMPRODUCT(Oxides_min!$C46:$BB46,Factors!$C$50:$BB$50))/2)</f>
        <v>0</v>
      </c>
      <c r="AR46" s="20">
        <f>MIN(MAX(0,(SUMPRODUCT(Oxides_min!$C46:$BB46,Factors!$C$51:$BB$51)+SUMPRODUCT(Oxides_max!$C46:$BB46,Factors!$C$51:$BB$51))/2),ABS(SUMPRODUCT(Oxides_max!$C46:$BB46,Factors!$C$51:$BB$51)-SUMPRODUCT(Oxides_min!$C46:$BB46,Factors!$C$51:$BB$51))/2)</f>
        <v>0</v>
      </c>
      <c r="AS46" s="20">
        <f>MIN(MAX(0,(SUMPRODUCT(Oxides_min!$C46:$BB46,Factors!$C$52:$BB$52)+SUMPRODUCT(Oxides_max!$C46:$BB46,Factors!$C$52:$BB$52))/2),ABS(SUMPRODUCT(Oxides_max!$C46:$BB46,Factors!$C$52:$BB$52)-SUMPRODUCT(Oxides_min!$C46:$BB46,Factors!$C$52:$BB$52))/2)</f>
        <v>0</v>
      </c>
      <c r="AT46" s="20">
        <f>MIN(MAX(0,(SUMPRODUCT(Oxides_min!$C46:$BB46,Factors!$C$53:$BB$53)+SUMPRODUCT(Oxides_max!$C46:$BB46,Factors!$C$53:$BB$53))/2),ABS(SUMPRODUCT(Oxides_max!$C46:$BB46,Factors!$C$53:$BB$53)-SUMPRODUCT(Oxides_min!$C46:$BB46,Factors!$C$53:$BB$53))/2)</f>
        <v>0</v>
      </c>
      <c r="AU46" s="20">
        <f>MIN(MAX(0,(SUMPRODUCT(Oxides_min!$C46:$BB46,Factors!$C$54:$BB$54)+SUMPRODUCT(Oxides_max!$C46:$BB46,Factors!$C$54:$BB$54))/2),ABS(SUMPRODUCT(Oxides_max!$C46:$BB46,Factors!$C$54:$BB$54)-SUMPRODUCT(Oxides_min!$C46:$BB46,Factors!$C$54:$BB$54))/2)</f>
        <v>0</v>
      </c>
      <c r="AV46" s="20">
        <f>MIN(MAX(0,(SUMPRODUCT(Oxides_min!$C46:$BB46,Factors!$C$55:$BB$55)+SUMPRODUCT(Oxides_max!$C46:$BB46,Factors!$C$55:$BB$55))/2),ABS(SUMPRODUCT(Oxides_max!$C46:$BB46,Factors!$C$55:$BB$55)-SUMPRODUCT(Oxides_min!$C46:$BB46,Factors!$C$55:$BB$55))/2)</f>
        <v>0</v>
      </c>
      <c r="AW46" s="20">
        <f>MIN(MAX(0,(SUMPRODUCT(Oxides_min!$C46:$BB46,Factors!$C$56:$BB$56)+SUMPRODUCT(Oxides_max!$C46:$BB46,Factors!$C$56:$BB$56))/2),ABS(SUMPRODUCT(Oxides_max!$C46:$BB46,Factors!$C$56:$BB$56)-SUMPRODUCT(Oxides_min!$C46:$BB46,Factors!$C$56:$BB$56))/2)</f>
        <v>0</v>
      </c>
      <c r="AX46" s="20">
        <f>MIN(MAX(0,(SUMPRODUCT(Oxides_min!$C46:$BB46,Factors!$C$57:$BB$57)+SUMPRODUCT(Oxides_max!$C46:$BB46,Factors!$C$57:$BB$57))/2),ABS(SUMPRODUCT(Oxides_max!$C46:$BB46,Factors!$C$57:$BB$57)-SUMPRODUCT(Oxides_min!$C46:$BB46,Factors!$C$57:$BB$57))/2)</f>
        <v>0</v>
      </c>
      <c r="AY46" s="20">
        <f>MIN(MAX(0,(SUMPRODUCT(Oxides_min!$C46:$BB46,Factors!$C$58:$BB$58)+SUMPRODUCT(Oxides_max!$C46:$BB46,Factors!$C$58:$BB$58))/2),ABS(SUMPRODUCT(Oxides_max!$C46:$BB46,Factors!$C$58:$BB$58)-SUMPRODUCT(Oxides_min!$C46:$BB46,Factors!$C$58:$BB$58))/2)</f>
        <v>0</v>
      </c>
      <c r="AZ46" s="18">
        <f t="shared" si="3"/>
        <v>6.3850000000000069</v>
      </c>
    </row>
    <row r="47" spans="1:52" x14ac:dyDescent="0.35">
      <c r="A47" s="13" t="s">
        <v>436</v>
      </c>
      <c r="B47" s="20">
        <f>MIN(MAX(0,(SUMPRODUCT(Oxides_min!$C47:$BB47,Factors!$C$9:$BB$9)+SUMPRODUCT(Oxides_max!$C47:$BB47,Factors!$C$9:$BB$9))/2),ABS(SUMPRODUCT(Oxides_max!$C47:$BB47,Factors!$C$9:$BB$9)-SUMPRODUCT(Oxides_min!$C47:$BB47,Factors!$C$9:$BB$9))/2)</f>
        <v>0.46373242544969173</v>
      </c>
      <c r="C47" s="20">
        <f>MIN(MAX(0,(SUMPRODUCT(Oxides_min!$C47:$BB47,Factors!$C$10:$BB$10)+SUMPRODUCT(Oxides_max!$C47:$BB47,Factors!$C$10:$BB$10))/2),ABS(SUMPRODUCT(Oxides_max!$C47:$BB47,Factors!$C$10:$BB$10)-SUMPRODUCT(Oxides_min!$C47:$BB47,Factors!$C$10:$BB$10))/2)</f>
        <v>0.17528876720536601</v>
      </c>
      <c r="D47" s="20">
        <f>MIN(MAX(0,(SUMPRODUCT(Oxides_min!$C47:$BB47,Factors!$C$11:$BB$11)+SUMPRODUCT(Oxides_max!$C47:$BB47,Factors!$C$11:$BB$11))/2),ABS(SUMPRODUCT(Oxides_max!$C47:$BB47,Factors!$C$11:$BB$11)-SUMPRODUCT(Oxides_min!$C47:$BB47,Factors!$C$11:$BB$11))/2)</f>
        <v>0</v>
      </c>
      <c r="E47" s="20">
        <f>MIN(MAX(0,(SUMPRODUCT(Oxides_min!$C47:$BB47,Factors!$C$12:$BB$12)+SUMPRODUCT(Oxides_max!$C47:$BB47,Factors!$C$12:$BB$12))/2),ABS(SUMPRODUCT(Oxides_max!$C47:$BB47,Factors!$C$12:$BB$12)-SUMPRODUCT(Oxides_min!$C47:$BB47,Factors!$C$12:$BB$12))/2)</f>
        <v>0</v>
      </c>
      <c r="F47" s="20">
        <f>MIN(MAX(0,(SUMPRODUCT(Oxides_min!$C47:$BB47,Factors!$C$13:$BB$13)+SUMPRODUCT(Oxides_max!$C47:$BB47,Factors!$C$13:$BB$13))/2),ABS(SUMPRODUCT(Oxides_max!$C47:$BB47,Factors!$C$13:$BB$13)-SUMPRODUCT(Oxides_min!$C47:$BB47,Factors!$C$13:$BB$13))/2)</f>
        <v>0</v>
      </c>
      <c r="G47" s="20">
        <f>MIN(MAX(0,(SUMPRODUCT(Oxides_min!$C47:$BB47,Factors!$C$14:$BB$14)+SUMPRODUCT(Oxides_max!$C47:$BB47,Factors!$C$14:$BB$14))/2),ABS(SUMPRODUCT(Oxides_max!$C47:$BB47,Factors!$C$14:$BB$14)-SUMPRODUCT(Oxides_min!$C47:$BB47,Factors!$C$14:$BB$14))/2)</f>
        <v>0</v>
      </c>
      <c r="H47" s="20">
        <f>MIN(MAX(0,(SUMPRODUCT(Oxides_min!$C47:$BB47,Factors!$C$15:$BB$15)+SUMPRODUCT(Oxides_max!$C47:$BB47,Factors!$C$15:$BB$15))/2),ABS(SUMPRODUCT(Oxides_max!$C47:$BB47,Factors!$C$15:$BB$15)-SUMPRODUCT(Oxides_min!$C47:$BB47,Factors!$C$15:$BB$15))/2)</f>
        <v>1.3231423167717082E-2</v>
      </c>
      <c r="I47" s="20">
        <f>MIN(MAX(0,(SUMPRODUCT(Oxides_min!$C47:$BB47,Factors!$C$16:$BB$16)+SUMPRODUCT(Oxides_max!$C47:$BB47,Factors!$C$16:$BB$16))/2),ABS(SUMPRODUCT(Oxides_max!$C47:$BB47,Factors!$C$16:$BB$16)-SUMPRODUCT(Oxides_min!$C47:$BB47,Factors!$C$16:$BB$16))/2)</f>
        <v>0.26929559229483113</v>
      </c>
      <c r="J47" s="20">
        <f>MIN(MAX(0,(SUMPRODUCT(Oxides_min!$C47:$BB47,Factors!$C$17:$BB$17)+SUMPRODUCT(Oxides_max!$C47:$BB47,Factors!$C$17:$BB$17))/2),ABS(SUMPRODUCT(Oxides_max!$C47:$BB47,Factors!$C$17:$BB$17)-SUMPRODUCT(Oxides_min!$C47:$BB47,Factors!$C$17:$BB$17))/2)</f>
        <v>0</v>
      </c>
      <c r="K47" s="20">
        <f>MIN(MAX(0,(SUMPRODUCT(Oxides_min!$C47:$BB47,Factors!$C$18:$BB$18)+SUMPRODUCT(Oxides_max!$C47:$BB47,Factors!$C$18:$BB$18))/2),ABS(SUMPRODUCT(Oxides_max!$C47:$BB47,Factors!$C$18:$BB$18)-SUMPRODUCT(Oxides_min!$C47:$BB47,Factors!$C$18:$BB$18))/2)</f>
        <v>0</v>
      </c>
      <c r="L47" s="20">
        <f>MIN(MAX(0,(SUMPRODUCT(Oxides_min!$C47:$BB47,Factors!$C$19:$BB$19)+SUMPRODUCT(Oxides_max!$C47:$BB47,Factors!$C$19:$BB$19))/2),ABS(SUMPRODUCT(Oxides_max!$C47:$BB47,Factors!$C$19:$BB$19)-SUMPRODUCT(Oxides_min!$C47:$BB47,Factors!$C$19:$BB$19))/2)</f>
        <v>0</v>
      </c>
      <c r="M47" s="20">
        <f>MIN(MAX(0,(SUMPRODUCT(Oxides_min!$C47:$BB47,Factors!$C$20:$BB$20)+SUMPRODUCT(Oxides_max!$C47:$BB47,Factors!$C$20:$BB$20))/2),ABS(SUMPRODUCT(Oxides_max!$C47:$BB47,Factors!$C$20:$BB$20)-SUMPRODUCT(Oxides_min!$C47:$BB47,Factors!$C$20:$BB$20))/2)</f>
        <v>4.2212931718936086E-2</v>
      </c>
      <c r="N47" s="20">
        <f>MIN(MAX(0,(SUMPRODUCT(Oxides_min!$C47:$BB47,Factors!$C$21:$BB$21)+SUMPRODUCT(Oxides_max!$C47:$BB47,Factors!$C$21:$BB$21))/2),ABS(SUMPRODUCT(Oxides_max!$C47:$BB47,Factors!$C$21:$BB$21)-SUMPRODUCT(Oxides_min!$C47:$BB47,Factors!$C$21:$BB$21))/2)</f>
        <v>0.14651265224601884</v>
      </c>
      <c r="O47" s="20">
        <f>MIN(MAX(0,(SUMPRODUCT(Oxides_min!$C47:$BB47,Factors!$C$22:$BB$22)+SUMPRODUCT(Oxides_max!$C47:$BB47,Factors!$C$22:$BB$22))/2),ABS(SUMPRODUCT(Oxides_max!$C47:$BB47,Factors!$C$22:$BB$22)-SUMPRODUCT(Oxides_min!$C47:$BB47,Factors!$C$22:$BB$22))/2)</f>
        <v>0</v>
      </c>
      <c r="P47" s="20">
        <f>MIN(MAX(0,(SUMPRODUCT(Oxides_min!$C47:$BB47,Factors!$C$23:$BB$23)+SUMPRODUCT(Oxides_max!$C47:$BB47,Factors!$C$23:$BB$23))/2),ABS(SUMPRODUCT(Oxides_max!$C47:$BB47,Factors!$C$23:$BB$23)-SUMPRODUCT(Oxides_min!$C47:$BB47,Factors!$C$23:$BB$23))/2)</f>
        <v>0</v>
      </c>
      <c r="Q47" s="20">
        <f>MIN(MAX(0,(SUMPRODUCT(Oxides_min!$C47:$BB47,Factors!$C$24:$BB$24)+SUMPRODUCT(Oxides_max!$C47:$BB47,Factors!$C$24:$BB$24))/2),ABS(SUMPRODUCT(Oxides_max!$C47:$BB47,Factors!$C$24:$BB$24)-SUMPRODUCT(Oxides_min!$C47:$BB47,Factors!$C$24:$BB$24))/2)</f>
        <v>0</v>
      </c>
      <c r="R47" s="20">
        <f>MIN(MAX(0,(SUMPRODUCT(Oxides_min!$C47:$BB47,Factors!$C$25:$BB$25)+SUMPRODUCT(Oxides_max!$C47:$BB47,Factors!$C$25:$BB$25))/2),ABS(SUMPRODUCT(Oxides_max!$C47:$BB47,Factors!$C$25:$BB$25)-SUMPRODUCT(Oxides_min!$C47:$BB47,Factors!$C$25:$BB$25))/2)</f>
        <v>0</v>
      </c>
      <c r="S47" s="20">
        <f>MIN(MAX(0,(SUMPRODUCT(Oxides_min!$C47:$BB47,Factors!$C$26:$BB$26)+SUMPRODUCT(Oxides_max!$C47:$BB47,Factors!$C$26:$BB$26))/2),ABS(SUMPRODUCT(Oxides_max!$C47:$BB47,Factors!$C$26:$BB$26)-SUMPRODUCT(Oxides_min!$C47:$BB47,Factors!$C$26:$BB$26))/2)</f>
        <v>1.2452269532759491E-2</v>
      </c>
      <c r="T47" s="20">
        <f>MIN(MAX(0,(SUMPRODUCT(Oxides_min!$C47:$BB47,Factors!$C$27:$BB$27)+SUMPRODUCT(Oxides_max!$C47:$BB47,Factors!$C$27:$BB$27))/2),ABS(SUMPRODUCT(Oxides_max!$C47:$BB47,Factors!$C$27:$BB$27)-SUMPRODUCT(Oxides_min!$C47:$BB47,Factors!$C$27:$BB$27))/2)</f>
        <v>0</v>
      </c>
      <c r="U47" s="20">
        <f>MIN(MAX(0,(SUMPRODUCT(Oxides_min!$C47:$BB47,Factors!$C$28:$BB$28)+SUMPRODUCT(Oxides_max!$C47:$BB47,Factors!$C$28:$BB$28))/2),ABS(SUMPRODUCT(Oxides_max!$C47:$BB47,Factors!$C$28:$BB$28)-SUMPRODUCT(Oxides_min!$C47:$BB47,Factors!$C$28:$BB$28))/2)</f>
        <v>0</v>
      </c>
      <c r="V47" s="20">
        <f>MIN(MAX(0,(SUMPRODUCT(Oxides_min!$C47:$BB47,Factors!$C$29:$BB$29)+SUMPRODUCT(Oxides_max!$C47:$BB47,Factors!$C$29:$BB$29))/2),ABS(SUMPRODUCT(Oxides_max!$C47:$BB47,Factors!$C$29:$BB$29)-SUMPRODUCT(Oxides_min!$C47:$BB47,Factors!$C$29:$BB$29))/2)</f>
        <v>0</v>
      </c>
      <c r="W47" s="20">
        <f>MIN(MAX(0,(SUMPRODUCT(Oxides_min!$C47:$BB47,Factors!$C$30:$BB$30)+SUMPRODUCT(Oxides_max!$C47:$BB47,Factors!$C$30:$BB$30))/2),ABS(SUMPRODUCT(Oxides_max!$C47:$BB47,Factors!$C$30:$BB$30)-SUMPRODUCT(Oxides_min!$C47:$BB47,Factors!$C$30:$BB$30))/2)</f>
        <v>0</v>
      </c>
      <c r="X47" s="20">
        <f>MIN(MAX(0,(SUMPRODUCT(Oxides_min!$C47:$BB47,Factors!$C$31:$BB$31)+SUMPRODUCT(Oxides_max!$C47:$BB47,Factors!$C$31:$BB$31))/2),ABS(SUMPRODUCT(Oxides_max!$C47:$BB47,Factors!$C$31:$BB$31)-SUMPRODUCT(Oxides_min!$C47:$BB47,Factors!$C$31:$BB$31))/2)</f>
        <v>0</v>
      </c>
      <c r="Y47" s="20">
        <f>MIN(MAX(0,(SUMPRODUCT(Oxides_min!$C47:$BB47,Factors!$C$32:$BB$32)+SUMPRODUCT(Oxides_max!$C47:$BB47,Factors!$C$32:$BB$32))/2),ABS(SUMPRODUCT(Oxides_max!$C47:$BB47,Factors!$C$32:$BB$32)-SUMPRODUCT(Oxides_min!$C47:$BB47,Factors!$C$32:$BB$32))/2)</f>
        <v>0</v>
      </c>
      <c r="Z47" s="20">
        <f>MIN(MAX(0,(SUMPRODUCT(Oxides_min!$C47:$BB47,Factors!$C$33:$BB$33)+SUMPRODUCT(Oxides_max!$C47:$BB47,Factors!$C$33:$BB$33))/2),ABS(SUMPRODUCT(Oxides_max!$C47:$BB47,Factors!$C$33:$BB$33)-SUMPRODUCT(Oxides_min!$C47:$BB47,Factors!$C$33:$BB$33))/2)</f>
        <v>0</v>
      </c>
      <c r="AA47" s="20">
        <f>MIN(MAX(0,(SUMPRODUCT(Oxides_min!$C47:$BB47,Factors!$C$34:$BB$34)+SUMPRODUCT(Oxides_max!$C47:$BB47,Factors!$C$34:$BB$34))/2),ABS(SUMPRODUCT(Oxides_max!$C47:$BB47,Factors!$C$34:$BB$34)-SUMPRODUCT(Oxides_min!$C47:$BB47,Factors!$C$34:$BB$34))/2)</f>
        <v>0</v>
      </c>
      <c r="AB47" s="20">
        <f>MIN(MAX(0,(SUMPRODUCT(Oxides_min!$C47:$BB47,Factors!$C$35:$BB$35)+SUMPRODUCT(Oxides_max!$C47:$BB47,Factors!$C$35:$BB$35))/2),ABS(SUMPRODUCT(Oxides_max!$C47:$BB47,Factors!$C$35:$BB$35)-SUMPRODUCT(Oxides_min!$C47:$BB47,Factors!$C$35:$BB$35))/2)</f>
        <v>0</v>
      </c>
      <c r="AC47" s="20">
        <f>MIN(MAX(0,(SUMPRODUCT(Oxides_min!$C47:$BB47,Factors!$C$36:$BB$36)+SUMPRODUCT(Oxides_max!$C47:$BB47,Factors!$C$36:$BB$36))/2),ABS(SUMPRODUCT(Oxides_max!$C47:$BB47,Factors!$C$36:$BB$36)-SUMPRODUCT(Oxides_min!$C47:$BB47,Factors!$C$36:$BB$36))/2)</f>
        <v>0</v>
      </c>
      <c r="AD47" s="20">
        <f>MIN(MAX(0,(SUMPRODUCT(Oxides_min!$C47:$BB47,Factors!$C$37:$BB$37)+SUMPRODUCT(Oxides_max!$C47:$BB47,Factors!$C$37:$BB$37))/2),ABS(SUMPRODUCT(Oxides_max!$C47:$BB47,Factors!$C$37:$BB$37)-SUMPRODUCT(Oxides_min!$C47:$BB47,Factors!$C$37:$BB$37))/2)</f>
        <v>7.2739383846793793E-3</v>
      </c>
      <c r="AE47" s="20">
        <f>MIN(MAX(0,(SUMPRODUCT(Oxides_min!$C47:$BB47,Factors!$C$38:$BB$38)+SUMPRODUCT(Oxides_max!$C47:$BB47,Factors!$C$38:$BB$38))/2),ABS(SUMPRODUCT(Oxides_max!$C47:$BB47,Factors!$C$38:$BB$38)-SUMPRODUCT(Oxides_min!$C47:$BB47,Factors!$C$38:$BB$38))/2)</f>
        <v>0</v>
      </c>
      <c r="AF47" s="20">
        <f>MIN(MAX(0,(SUMPRODUCT(Oxides_min!$C47:$BB47,Factors!$C$39:$BB$39)+SUMPRODUCT(Oxides_max!$C47:$BB47,Factors!$C$39:$BB$39))/2),ABS(SUMPRODUCT(Oxides_max!$C47:$BB47,Factors!$C$39:$BB$39)-SUMPRODUCT(Oxides_min!$C47:$BB47,Factors!$C$39:$BB$39))/2)</f>
        <v>0</v>
      </c>
      <c r="AG47" s="20">
        <f>MIN(MAX(0,(SUMPRODUCT(Oxides_min!$C47:$BB47,Factors!$C$40:$BB$40)+SUMPRODUCT(Oxides_max!$C47:$BB47,Factors!$C$40:$BB$40))/2),ABS(SUMPRODUCT(Oxides_max!$C47:$BB47,Factors!$C$40:$BB$40)-SUMPRODUCT(Oxides_min!$C47:$BB47,Factors!$C$40:$BB$40))/2)</f>
        <v>0</v>
      </c>
      <c r="AH47" s="20">
        <f>MIN(MAX(0,(SUMPRODUCT(Oxides_min!$C47:$BB47,Factors!$C$41:$BB$41)+SUMPRODUCT(Oxides_max!$C47:$BB47,Factors!$C$41:$BB$41))/2),ABS(SUMPRODUCT(Oxides_max!$C47:$BB47,Factors!$C$41:$BB$41)-SUMPRODUCT(Oxides_min!$C47:$BB47,Factors!$C$41:$BB$41))/2)</f>
        <v>0</v>
      </c>
      <c r="AI47" s="20">
        <f>MIN(MAX(0,(SUMPRODUCT(Oxides_min!$C47:$BB47,Factors!$C$42:$BB$42)+SUMPRODUCT(Oxides_max!$C47:$BB47,Factors!$C$42:$BB$42))/2),ABS(SUMPRODUCT(Oxides_max!$C47:$BB47,Factors!$C$42:$BB$42)-SUMPRODUCT(Oxides_min!$C47:$BB47,Factors!$C$42:$BB$42))/2)</f>
        <v>0</v>
      </c>
      <c r="AJ47" s="20">
        <f>MIN(MAX(0,(SUMPRODUCT(Oxides_min!$C47:$BB47,Factors!$C$43:$BB$43)+SUMPRODUCT(Oxides_max!$C47:$BB47,Factors!$C$43:$BB$43))/2),ABS(SUMPRODUCT(Oxides_max!$C47:$BB47,Factors!$C$43:$BB$43)-SUMPRODUCT(Oxides_min!$C47:$BB47,Factors!$C$43:$BB$43))/2)</f>
        <v>0</v>
      </c>
      <c r="AK47" s="20">
        <f>MIN(MAX(0,(SUMPRODUCT(Oxides_min!$C47:$BB47,Factors!$C$44:$BB$44)+SUMPRODUCT(Oxides_max!$C47:$BB47,Factors!$C$44:$BB$44))/2),ABS(SUMPRODUCT(Oxides_max!$C47:$BB47,Factors!$C$44:$BB$44)-SUMPRODUCT(Oxides_min!$C47:$BB47,Factors!$C$44:$BB$44))/2)</f>
        <v>0</v>
      </c>
      <c r="AL47" s="20">
        <f>MIN(MAX(0,(SUMPRODUCT(Oxides_min!$C47:$BB47,Factors!$C$45:$BB$45)+SUMPRODUCT(Oxides_max!$C47:$BB47,Factors!$C$45:$BB$45))/2),ABS(SUMPRODUCT(Oxides_max!$C47:$BB47,Factors!$C$45:$BB$45)-SUMPRODUCT(Oxides_min!$C47:$BB47,Factors!$C$45:$BB$45))/2)</f>
        <v>0</v>
      </c>
      <c r="AM47" s="20">
        <f>MIN(MAX(0,(SUMPRODUCT(Oxides_min!$C47:$BB47,Factors!$C$46:$BB$46)+SUMPRODUCT(Oxides_max!$C47:$BB47,Factors!$C$46:$BB$46))/2),ABS(SUMPRODUCT(Oxides_max!$C47:$BB47,Factors!$C$46:$BB$46)-SUMPRODUCT(Oxides_min!$C47:$BB47,Factors!$C$46:$BB$46))/2)</f>
        <v>0</v>
      </c>
      <c r="AN47" s="20">
        <f>MIN(MAX(0,(SUMPRODUCT(Oxides_min!$C47:$BB47,Factors!$C$47:$BB$47)+SUMPRODUCT(Oxides_max!$C47:$BB47,Factors!$C$47:$BB$47))/2),ABS(SUMPRODUCT(Oxides_max!$C47:$BB47,Factors!$C$47:$BB$47)-SUMPRODUCT(Oxides_min!$C47:$BB47,Factors!$C$47:$BB$47))/2)</f>
        <v>0</v>
      </c>
      <c r="AO47" s="20">
        <f>MIN(MAX(0,(SUMPRODUCT(Oxides_min!$C47:$BB47,Factors!$C$48:$BB$48)+SUMPRODUCT(Oxides_max!$C47:$BB47,Factors!$C$48:$BB$48))/2),ABS(SUMPRODUCT(Oxides_max!$C47:$BB47,Factors!$C$48:$BB$48)-SUMPRODUCT(Oxides_min!$C47:$BB47,Factors!$C$48:$BB$48))/2)</f>
        <v>0</v>
      </c>
      <c r="AP47" s="20">
        <f>MIN(MAX(0,(SUMPRODUCT(Oxides_min!$C47:$BB47,Factors!$C$49:$BB$49)+SUMPRODUCT(Oxides_max!$C47:$BB47,Factors!$C$49:$BB$49))/2),ABS(SUMPRODUCT(Oxides_max!$C47:$BB47,Factors!$C$49:$BB$49)-SUMPRODUCT(Oxides_min!$C47:$BB47,Factors!$C$49:$BB$49))/2)</f>
        <v>0</v>
      </c>
      <c r="AQ47" s="20">
        <f>MIN(MAX(0,(SUMPRODUCT(Oxides_min!$C47:$BB47,Factors!$C$50:$BB$50)+SUMPRODUCT(Oxides_max!$C47:$BB47,Factors!$C$50:$BB$50))/2),ABS(SUMPRODUCT(Oxides_max!$C47:$BB47,Factors!$C$50:$BB$50)-SUMPRODUCT(Oxides_min!$C47:$BB47,Factors!$C$50:$BB$50))/2)</f>
        <v>0</v>
      </c>
      <c r="AR47" s="20">
        <f>MIN(MAX(0,(SUMPRODUCT(Oxides_min!$C47:$BB47,Factors!$C$51:$BB$51)+SUMPRODUCT(Oxides_max!$C47:$BB47,Factors!$C$51:$BB$51))/2),ABS(SUMPRODUCT(Oxides_max!$C47:$BB47,Factors!$C$51:$BB$51)-SUMPRODUCT(Oxides_min!$C47:$BB47,Factors!$C$51:$BB$51))/2)</f>
        <v>0</v>
      </c>
      <c r="AS47" s="20">
        <f>MIN(MAX(0,(SUMPRODUCT(Oxides_min!$C47:$BB47,Factors!$C$52:$BB$52)+SUMPRODUCT(Oxides_max!$C47:$BB47,Factors!$C$52:$BB$52))/2),ABS(SUMPRODUCT(Oxides_max!$C47:$BB47,Factors!$C$52:$BB$52)-SUMPRODUCT(Oxides_min!$C47:$BB47,Factors!$C$52:$BB$52))/2)</f>
        <v>0</v>
      </c>
      <c r="AT47" s="20">
        <f>MIN(MAX(0,(SUMPRODUCT(Oxides_min!$C47:$BB47,Factors!$C$53:$BB$53)+SUMPRODUCT(Oxides_max!$C47:$BB47,Factors!$C$53:$BB$53))/2),ABS(SUMPRODUCT(Oxides_max!$C47:$BB47,Factors!$C$53:$BB$53)-SUMPRODUCT(Oxides_min!$C47:$BB47,Factors!$C$53:$BB$53))/2)</f>
        <v>0</v>
      </c>
      <c r="AU47" s="20">
        <f>MIN(MAX(0,(SUMPRODUCT(Oxides_min!$C47:$BB47,Factors!$C$54:$BB$54)+SUMPRODUCT(Oxides_max!$C47:$BB47,Factors!$C$54:$BB$54))/2),ABS(SUMPRODUCT(Oxides_max!$C47:$BB47,Factors!$C$54:$BB$54)-SUMPRODUCT(Oxides_min!$C47:$BB47,Factors!$C$54:$BB$54))/2)</f>
        <v>0</v>
      </c>
      <c r="AV47" s="20">
        <f>MIN(MAX(0,(SUMPRODUCT(Oxides_min!$C47:$BB47,Factors!$C$55:$BB$55)+SUMPRODUCT(Oxides_max!$C47:$BB47,Factors!$C$55:$BB$55))/2),ABS(SUMPRODUCT(Oxides_max!$C47:$BB47,Factors!$C$55:$BB$55)-SUMPRODUCT(Oxides_min!$C47:$BB47,Factors!$C$55:$BB$55))/2)</f>
        <v>0</v>
      </c>
      <c r="AW47" s="20">
        <f>MIN(MAX(0,(SUMPRODUCT(Oxides_min!$C47:$BB47,Factors!$C$56:$BB$56)+SUMPRODUCT(Oxides_max!$C47:$BB47,Factors!$C$56:$BB$56))/2),ABS(SUMPRODUCT(Oxides_max!$C47:$BB47,Factors!$C$56:$BB$56)-SUMPRODUCT(Oxides_min!$C47:$BB47,Factors!$C$56:$BB$56))/2)</f>
        <v>0</v>
      </c>
      <c r="AX47" s="20">
        <f>MIN(MAX(0,(SUMPRODUCT(Oxides_min!$C47:$BB47,Factors!$C$57:$BB$57)+SUMPRODUCT(Oxides_max!$C47:$BB47,Factors!$C$57:$BB$57))/2),ABS(SUMPRODUCT(Oxides_max!$C47:$BB47,Factors!$C$57:$BB$57)-SUMPRODUCT(Oxides_min!$C47:$BB47,Factors!$C$57:$BB$57))/2)</f>
        <v>0</v>
      </c>
      <c r="AY47" s="20">
        <f>MIN(MAX(0,(SUMPRODUCT(Oxides_min!$C47:$BB47,Factors!$C$58:$BB$58)+SUMPRODUCT(Oxides_max!$C47:$BB47,Factors!$C$58:$BB$58))/2),ABS(SUMPRODUCT(Oxides_max!$C47:$BB47,Factors!$C$58:$BB$58)-SUMPRODUCT(Oxides_min!$C47:$BB47,Factors!$C$58:$BB$58))/2)</f>
        <v>0</v>
      </c>
      <c r="AZ47" s="18">
        <f t="shared" si="3"/>
        <v>1.1299999999999997</v>
      </c>
    </row>
    <row r="48" spans="1:52" x14ac:dyDescent="0.35">
      <c r="A48" s="13" t="s">
        <v>438</v>
      </c>
      <c r="B48" s="20">
        <f>MIN(MAX(0,(SUMPRODUCT(Oxides_min!$C48:$BB48,Factors!$C$9:$BB$9)+SUMPRODUCT(Oxides_max!$C48:$BB48,Factors!$C$9:$BB$9))/2),ABS(SUMPRODUCT(Oxides_max!$C48:$BB48,Factors!$C$9:$BB$9)-SUMPRODUCT(Oxides_min!$C48:$BB48,Factors!$C$9:$BB$9))/2)</f>
        <v>1.6722120178056663</v>
      </c>
      <c r="C48" s="20">
        <f>MIN(MAX(0,(SUMPRODUCT(Oxides_min!$C48:$BB48,Factors!$C$10:$BB$10)+SUMPRODUCT(Oxides_max!$C48:$BB48,Factors!$C$10:$BB$10))/2),ABS(SUMPRODUCT(Oxides_max!$C48:$BB48,Factors!$C$10:$BB$10)-SUMPRODUCT(Oxides_min!$C48:$BB48,Factors!$C$10:$BB$10))/2)</f>
        <v>0.14023101376429281</v>
      </c>
      <c r="D48" s="20">
        <f>MIN(MAX(0,(SUMPRODUCT(Oxides_min!$C48:$BB48,Factors!$C$11:$BB$11)+SUMPRODUCT(Oxides_max!$C48:$BB48,Factors!$C$11:$BB$11))/2),ABS(SUMPRODUCT(Oxides_max!$C48:$BB48,Factors!$C$11:$BB$11)-SUMPRODUCT(Oxides_min!$C48:$BB48,Factors!$C$11:$BB$11))/2)</f>
        <v>1.1986978025417894E-2</v>
      </c>
      <c r="E48" s="20">
        <f>MIN(MAX(0,(SUMPRODUCT(Oxides_min!$C48:$BB48,Factors!$C$12:$BB$12)+SUMPRODUCT(Oxides_max!$C48:$BB48,Factors!$C$12:$BB$12))/2),ABS(SUMPRODUCT(Oxides_max!$C48:$BB48,Factors!$C$12:$BB$12)-SUMPRODUCT(Oxides_min!$C48:$BB48,Factors!$C$12:$BB$12))/2)</f>
        <v>0</v>
      </c>
      <c r="F48" s="20">
        <f>MIN(MAX(0,(SUMPRODUCT(Oxides_min!$C48:$BB48,Factors!$C$13:$BB$13)+SUMPRODUCT(Oxides_max!$C48:$BB48,Factors!$C$13:$BB$13))/2),ABS(SUMPRODUCT(Oxides_max!$C48:$BB48,Factors!$C$13:$BB$13)-SUMPRODUCT(Oxides_min!$C48:$BB48,Factors!$C$13:$BB$13))/2)</f>
        <v>0</v>
      </c>
      <c r="G48" s="20">
        <f>MIN(MAX(0,(SUMPRODUCT(Oxides_min!$C48:$BB48,Factors!$C$14:$BB$14)+SUMPRODUCT(Oxides_max!$C48:$BB48,Factors!$C$14:$BB$14))/2),ABS(SUMPRODUCT(Oxides_max!$C48:$BB48,Factors!$C$14:$BB$14)-SUMPRODUCT(Oxides_min!$C48:$BB48,Factors!$C$14:$BB$14))/2)</f>
        <v>0</v>
      </c>
      <c r="H48" s="20">
        <f>MIN(MAX(0,(SUMPRODUCT(Oxides_min!$C48:$BB48,Factors!$C$15:$BB$15)+SUMPRODUCT(Oxides_max!$C48:$BB48,Factors!$C$15:$BB$15))/2),ABS(SUMPRODUCT(Oxides_max!$C48:$BB48,Factors!$C$15:$BB$15)-SUMPRODUCT(Oxides_min!$C48:$BB48,Factors!$C$15:$BB$15))/2)</f>
        <v>0.80182424396364382</v>
      </c>
      <c r="I48" s="20">
        <f>MIN(MAX(0,(SUMPRODUCT(Oxides_min!$C48:$BB48,Factors!$C$16:$BB$16)+SUMPRODUCT(Oxides_max!$C48:$BB48,Factors!$C$16:$BB$16))/2),ABS(SUMPRODUCT(Oxides_max!$C48:$BB48,Factors!$C$16:$BB$16)-SUMPRODUCT(Oxides_min!$C48:$BB48,Factors!$C$16:$BB$16))/2)</f>
        <v>4.2752004342742608E-2</v>
      </c>
      <c r="J48" s="20">
        <f>MIN(MAX(0,(SUMPRODUCT(Oxides_min!$C48:$BB48,Factors!$C$17:$BB$17)+SUMPRODUCT(Oxides_max!$C48:$BB48,Factors!$C$17:$BB$17))/2),ABS(SUMPRODUCT(Oxides_max!$C48:$BB48,Factors!$C$17:$BB$17)-SUMPRODUCT(Oxides_min!$C48:$BB48,Factors!$C$17:$BB$17))/2)</f>
        <v>4.2595409247670371E-2</v>
      </c>
      <c r="K48" s="20">
        <f>MIN(MAX(0,(SUMPRODUCT(Oxides_min!$C48:$BB48,Factors!$C$18:$BB$18)+SUMPRODUCT(Oxides_max!$C48:$BB48,Factors!$C$18:$BB$18))/2),ABS(SUMPRODUCT(Oxides_max!$C48:$BB48,Factors!$C$18:$BB$18)-SUMPRODUCT(Oxides_min!$C48:$BB48,Factors!$C$18:$BB$18))/2)</f>
        <v>0</v>
      </c>
      <c r="L48" s="20">
        <f>MIN(MAX(0,(SUMPRODUCT(Oxides_min!$C48:$BB48,Factors!$C$19:$BB$19)+SUMPRODUCT(Oxides_max!$C48:$BB48,Factors!$C$19:$BB$19))/2),ABS(SUMPRODUCT(Oxides_max!$C48:$BB48,Factors!$C$19:$BB$19)-SUMPRODUCT(Oxides_min!$C48:$BB48,Factors!$C$19:$BB$19))/2)</f>
        <v>0</v>
      </c>
      <c r="M48" s="20">
        <f>MIN(MAX(0,(SUMPRODUCT(Oxides_min!$C48:$BB48,Factors!$C$20:$BB$20)+SUMPRODUCT(Oxides_max!$C48:$BB48,Factors!$C$20:$BB$20))/2),ABS(SUMPRODUCT(Oxides_max!$C48:$BB48,Factors!$C$20:$BB$20)-SUMPRODUCT(Oxides_min!$C48:$BB48,Factors!$C$20:$BB$20))/2)</f>
        <v>0</v>
      </c>
      <c r="N48" s="20">
        <f>MIN(MAX(0,(SUMPRODUCT(Oxides_min!$C48:$BB48,Factors!$C$21:$BB$21)+SUMPRODUCT(Oxides_max!$C48:$BB48,Factors!$C$21:$BB$21))/2),ABS(SUMPRODUCT(Oxides_max!$C48:$BB48,Factors!$C$21:$BB$21)-SUMPRODUCT(Oxides_min!$C48:$BB48,Factors!$C$21:$BB$21))/2)</f>
        <v>2.5014355261515415E-2</v>
      </c>
      <c r="O48" s="20">
        <f>MIN(MAX(0,(SUMPRODUCT(Oxides_min!$C48:$BB48,Factors!$C$22:$BB$22)+SUMPRODUCT(Oxides_max!$C48:$BB48,Factors!$C$22:$BB$22))/2),ABS(SUMPRODUCT(Oxides_max!$C48:$BB48,Factors!$C$22:$BB$22)-SUMPRODUCT(Oxides_min!$C48:$BB48,Factors!$C$22:$BB$22))/2)</f>
        <v>0</v>
      </c>
      <c r="P48" s="20">
        <f>MIN(MAX(0,(SUMPRODUCT(Oxides_min!$C48:$BB48,Factors!$C$23:$BB$23)+SUMPRODUCT(Oxides_max!$C48:$BB48,Factors!$C$23:$BB$23))/2),ABS(SUMPRODUCT(Oxides_max!$C48:$BB48,Factors!$C$23:$BB$23)-SUMPRODUCT(Oxides_min!$C48:$BB48,Factors!$C$23:$BB$23))/2)</f>
        <v>0</v>
      </c>
      <c r="Q48" s="20">
        <f>MIN(MAX(0,(SUMPRODUCT(Oxides_min!$C48:$BB48,Factors!$C$24:$BB$24)+SUMPRODUCT(Oxides_max!$C48:$BB48,Factors!$C$24:$BB$24))/2),ABS(SUMPRODUCT(Oxides_max!$C48:$BB48,Factors!$C$24:$BB$24)-SUMPRODUCT(Oxides_min!$C48:$BB48,Factors!$C$24:$BB$24))/2)</f>
        <v>0</v>
      </c>
      <c r="R48" s="20">
        <f>MIN(MAX(0,(SUMPRODUCT(Oxides_min!$C48:$BB48,Factors!$C$25:$BB$25)+SUMPRODUCT(Oxides_max!$C48:$BB48,Factors!$C$25:$BB$25))/2),ABS(SUMPRODUCT(Oxides_max!$C48:$BB48,Factors!$C$25:$BB$25)-SUMPRODUCT(Oxides_min!$C48:$BB48,Factors!$C$25:$BB$25))/2)</f>
        <v>0.32641939349400495</v>
      </c>
      <c r="S48" s="20">
        <f>MIN(MAX(0,(SUMPRODUCT(Oxides_min!$C48:$BB48,Factors!$C$26:$BB$26)+SUMPRODUCT(Oxides_max!$C48:$BB48,Factors!$C$26:$BB$26))/2),ABS(SUMPRODUCT(Oxides_max!$C48:$BB48,Factors!$C$26:$BB$26)-SUMPRODUCT(Oxides_min!$C48:$BB48,Factors!$C$26:$BB$26))/2)</f>
        <v>0</v>
      </c>
      <c r="T48" s="20">
        <f>MIN(MAX(0,(SUMPRODUCT(Oxides_min!$C48:$BB48,Factors!$C$27:$BB$27)+SUMPRODUCT(Oxides_max!$C48:$BB48,Factors!$C$27:$BB$27))/2),ABS(SUMPRODUCT(Oxides_max!$C48:$BB48,Factors!$C$27:$BB$27)-SUMPRODUCT(Oxides_min!$C48:$BB48,Factors!$C$27:$BB$27))/2)</f>
        <v>0.16955721409685742</v>
      </c>
      <c r="U48" s="20">
        <f>MIN(MAX(0,(SUMPRODUCT(Oxides_min!$C48:$BB48,Factors!$C$28:$BB$28)+SUMPRODUCT(Oxides_max!$C48:$BB48,Factors!$C$28:$BB$28))/2),ABS(SUMPRODUCT(Oxides_max!$C48:$BB48,Factors!$C$28:$BB$28)-SUMPRODUCT(Oxides_min!$C48:$BB48,Factors!$C$28:$BB$28))/2)</f>
        <v>0.13509200338997673</v>
      </c>
      <c r="V48" s="20">
        <f>MIN(MAX(0,(SUMPRODUCT(Oxides_min!$C48:$BB48,Factors!$C$29:$BB$29)+SUMPRODUCT(Oxides_max!$C48:$BB48,Factors!$C$29:$BB$29))/2),ABS(SUMPRODUCT(Oxides_max!$C48:$BB48,Factors!$C$29:$BB$29)-SUMPRODUCT(Oxides_min!$C48:$BB48,Factors!$C$29:$BB$29))/2)</f>
        <v>0</v>
      </c>
      <c r="W48" s="20">
        <f>MIN(MAX(0,(SUMPRODUCT(Oxides_min!$C48:$BB48,Factors!$C$30:$BB$30)+SUMPRODUCT(Oxides_max!$C48:$BB48,Factors!$C$30:$BB$30))/2),ABS(SUMPRODUCT(Oxides_max!$C48:$BB48,Factors!$C$30:$BB$30)-SUMPRODUCT(Oxides_min!$C48:$BB48,Factors!$C$30:$BB$30))/2)</f>
        <v>0</v>
      </c>
      <c r="X48" s="20">
        <f>MIN(MAX(0,(SUMPRODUCT(Oxides_min!$C48:$BB48,Factors!$C$31:$BB$31)+SUMPRODUCT(Oxides_max!$C48:$BB48,Factors!$C$31:$BB$31))/2),ABS(SUMPRODUCT(Oxides_max!$C48:$BB48,Factors!$C$31:$BB$31)-SUMPRODUCT(Oxides_min!$C48:$BB48,Factors!$C$31:$BB$31))/2)</f>
        <v>0</v>
      </c>
      <c r="Y48" s="20">
        <f>MIN(MAX(0,(SUMPRODUCT(Oxides_min!$C48:$BB48,Factors!$C$32:$BB$32)+SUMPRODUCT(Oxides_max!$C48:$BB48,Factors!$C$32:$BB$32))/2),ABS(SUMPRODUCT(Oxides_max!$C48:$BB48,Factors!$C$32:$BB$32)-SUMPRODUCT(Oxides_min!$C48:$BB48,Factors!$C$32:$BB$32))/2)</f>
        <v>0</v>
      </c>
      <c r="Z48" s="20">
        <f>MIN(MAX(0,(SUMPRODUCT(Oxides_min!$C48:$BB48,Factors!$C$33:$BB$33)+SUMPRODUCT(Oxides_max!$C48:$BB48,Factors!$C$33:$BB$33))/2),ABS(SUMPRODUCT(Oxides_max!$C48:$BB48,Factors!$C$33:$BB$33)-SUMPRODUCT(Oxides_min!$C48:$BB48,Factors!$C$33:$BB$33))/2)</f>
        <v>0</v>
      </c>
      <c r="AA48" s="20">
        <f>MIN(MAX(0,(SUMPRODUCT(Oxides_min!$C48:$BB48,Factors!$C$34:$BB$34)+SUMPRODUCT(Oxides_max!$C48:$BB48,Factors!$C$34:$BB$34))/2),ABS(SUMPRODUCT(Oxides_max!$C48:$BB48,Factors!$C$34:$BB$34)-SUMPRODUCT(Oxides_min!$C48:$BB48,Factors!$C$34:$BB$34))/2)</f>
        <v>0</v>
      </c>
      <c r="AB48" s="20">
        <f>MIN(MAX(0,(SUMPRODUCT(Oxides_min!$C48:$BB48,Factors!$C$35:$BB$35)+SUMPRODUCT(Oxides_max!$C48:$BB48,Factors!$C$35:$BB$35))/2),ABS(SUMPRODUCT(Oxides_max!$C48:$BB48,Factors!$C$35:$BB$35)-SUMPRODUCT(Oxides_min!$C48:$BB48,Factors!$C$35:$BB$35))/2)</f>
        <v>0</v>
      </c>
      <c r="AC48" s="20">
        <f>MIN(MAX(0,(SUMPRODUCT(Oxides_min!$C48:$BB48,Factors!$C$36:$BB$36)+SUMPRODUCT(Oxides_max!$C48:$BB48,Factors!$C$36:$BB$36))/2),ABS(SUMPRODUCT(Oxides_max!$C48:$BB48,Factors!$C$36:$BB$36)-SUMPRODUCT(Oxides_min!$C48:$BB48,Factors!$C$36:$BB$36))/2)</f>
        <v>0</v>
      </c>
      <c r="AD48" s="20">
        <f>MIN(MAX(0,(SUMPRODUCT(Oxides_min!$C48:$BB48,Factors!$C$37:$BB$37)+SUMPRODUCT(Oxides_max!$C48:$BB48,Factors!$C$37:$BB$37))/2),ABS(SUMPRODUCT(Oxides_max!$C48:$BB48,Factors!$C$37:$BB$37)-SUMPRODUCT(Oxides_min!$C48:$BB48,Factors!$C$37:$BB$37))/2)</f>
        <v>2.1262281432139873E-2</v>
      </c>
      <c r="AE48" s="20">
        <f>MIN(MAX(0,(SUMPRODUCT(Oxides_min!$C48:$BB48,Factors!$C$38:$BB$38)+SUMPRODUCT(Oxides_max!$C48:$BB48,Factors!$C$38:$BB$38))/2),ABS(SUMPRODUCT(Oxides_max!$C48:$BB48,Factors!$C$38:$BB$38)-SUMPRODUCT(Oxides_min!$C48:$BB48,Factors!$C$38:$BB$38))/2)</f>
        <v>0.05</v>
      </c>
      <c r="AF48" s="20">
        <f>MIN(MAX(0,(SUMPRODUCT(Oxides_min!$C48:$BB48,Factors!$C$39:$BB$39)+SUMPRODUCT(Oxides_max!$C48:$BB48,Factors!$C$39:$BB$39))/2),ABS(SUMPRODUCT(Oxides_max!$C48:$BB48,Factors!$C$39:$BB$39)-SUMPRODUCT(Oxides_min!$C48:$BB48,Factors!$C$39:$BB$39))/2)</f>
        <v>0</v>
      </c>
      <c r="AG48" s="20">
        <f>MIN(MAX(0,(SUMPRODUCT(Oxides_min!$C48:$BB48,Factors!$C$40:$BB$40)+SUMPRODUCT(Oxides_max!$C48:$BB48,Factors!$C$40:$BB$40))/2),ABS(SUMPRODUCT(Oxides_max!$C48:$BB48,Factors!$C$40:$BB$40)-SUMPRODUCT(Oxides_min!$C48:$BB48,Factors!$C$40:$BB$40))/2)</f>
        <v>0</v>
      </c>
      <c r="AH48" s="20">
        <f>MIN(MAX(0,(SUMPRODUCT(Oxides_min!$C48:$BB48,Factors!$C$41:$BB$41)+SUMPRODUCT(Oxides_max!$C48:$BB48,Factors!$C$41:$BB$41))/2),ABS(SUMPRODUCT(Oxides_max!$C48:$BB48,Factors!$C$41:$BB$41)-SUMPRODUCT(Oxides_min!$C48:$BB48,Factors!$C$41:$BB$41))/2)</f>
        <v>0</v>
      </c>
      <c r="AI48" s="20">
        <f>MIN(MAX(0,(SUMPRODUCT(Oxides_min!$C48:$BB48,Factors!$C$42:$BB$42)+SUMPRODUCT(Oxides_max!$C48:$BB48,Factors!$C$42:$BB$42))/2),ABS(SUMPRODUCT(Oxides_max!$C48:$BB48,Factors!$C$42:$BB$42)-SUMPRODUCT(Oxides_min!$C48:$BB48,Factors!$C$42:$BB$42))/2)</f>
        <v>0</v>
      </c>
      <c r="AJ48" s="20">
        <f>MIN(MAX(0,(SUMPRODUCT(Oxides_min!$C48:$BB48,Factors!$C$43:$BB$43)+SUMPRODUCT(Oxides_max!$C48:$BB48,Factors!$C$43:$BB$43))/2),ABS(SUMPRODUCT(Oxides_max!$C48:$BB48,Factors!$C$43:$BB$43)-SUMPRODUCT(Oxides_min!$C48:$BB48,Factors!$C$43:$BB$43))/2)</f>
        <v>0</v>
      </c>
      <c r="AK48" s="20">
        <f>MIN(MAX(0,(SUMPRODUCT(Oxides_min!$C48:$BB48,Factors!$C$44:$BB$44)+SUMPRODUCT(Oxides_max!$C48:$BB48,Factors!$C$44:$BB$44))/2),ABS(SUMPRODUCT(Oxides_max!$C48:$BB48,Factors!$C$44:$BB$44)-SUMPRODUCT(Oxides_min!$C48:$BB48,Factors!$C$44:$BB$44))/2)</f>
        <v>0</v>
      </c>
      <c r="AL48" s="20">
        <f>MIN(MAX(0,(SUMPRODUCT(Oxides_min!$C48:$BB48,Factors!$C$45:$BB$45)+SUMPRODUCT(Oxides_max!$C48:$BB48,Factors!$C$45:$BB$45))/2),ABS(SUMPRODUCT(Oxides_max!$C48:$BB48,Factors!$C$45:$BB$45)-SUMPRODUCT(Oxides_min!$C48:$BB48,Factors!$C$45:$BB$45))/2)</f>
        <v>0</v>
      </c>
      <c r="AM48" s="20">
        <f>MIN(MAX(0,(SUMPRODUCT(Oxides_min!$C48:$BB48,Factors!$C$46:$BB$46)+SUMPRODUCT(Oxides_max!$C48:$BB48,Factors!$C$46:$BB$46))/2),ABS(SUMPRODUCT(Oxides_max!$C48:$BB48,Factors!$C$46:$BB$46)-SUMPRODUCT(Oxides_min!$C48:$BB48,Factors!$C$46:$BB$46))/2)</f>
        <v>0</v>
      </c>
      <c r="AN48" s="20">
        <f>MIN(MAX(0,(SUMPRODUCT(Oxides_min!$C48:$BB48,Factors!$C$47:$BB$47)+SUMPRODUCT(Oxides_max!$C48:$BB48,Factors!$C$47:$BB$47))/2),ABS(SUMPRODUCT(Oxides_max!$C48:$BB48,Factors!$C$47:$BB$47)-SUMPRODUCT(Oxides_min!$C48:$BB48,Factors!$C$47:$BB$47))/2)</f>
        <v>0</v>
      </c>
      <c r="AO48" s="20">
        <f>MIN(MAX(0,(SUMPRODUCT(Oxides_min!$C48:$BB48,Factors!$C$48:$BB$48)+SUMPRODUCT(Oxides_max!$C48:$BB48,Factors!$C$48:$BB$48))/2),ABS(SUMPRODUCT(Oxides_max!$C48:$BB48,Factors!$C$48:$BB$48)-SUMPRODUCT(Oxides_min!$C48:$BB48,Factors!$C$48:$BB$48))/2)</f>
        <v>0</v>
      </c>
      <c r="AP48" s="20">
        <f>MIN(MAX(0,(SUMPRODUCT(Oxides_min!$C48:$BB48,Factors!$C$49:$BB$49)+SUMPRODUCT(Oxides_max!$C48:$BB48,Factors!$C$49:$BB$49))/2),ABS(SUMPRODUCT(Oxides_max!$C48:$BB48,Factors!$C$49:$BB$49)-SUMPRODUCT(Oxides_min!$C48:$BB48,Factors!$C$49:$BB$49))/2)</f>
        <v>0</v>
      </c>
      <c r="AQ48" s="20">
        <f>MIN(MAX(0,(SUMPRODUCT(Oxides_min!$C48:$BB48,Factors!$C$50:$BB$50)+SUMPRODUCT(Oxides_max!$C48:$BB48,Factors!$C$50:$BB$50))/2),ABS(SUMPRODUCT(Oxides_max!$C48:$BB48,Factors!$C$50:$BB$50)-SUMPRODUCT(Oxides_min!$C48:$BB48,Factors!$C$50:$BB$50))/2)</f>
        <v>0</v>
      </c>
      <c r="AR48" s="20">
        <f>MIN(MAX(0,(SUMPRODUCT(Oxides_min!$C48:$BB48,Factors!$C$51:$BB$51)+SUMPRODUCT(Oxides_max!$C48:$BB48,Factors!$C$51:$BB$51))/2),ABS(SUMPRODUCT(Oxides_max!$C48:$BB48,Factors!$C$51:$BB$51)-SUMPRODUCT(Oxides_min!$C48:$BB48,Factors!$C$51:$BB$51))/2)</f>
        <v>0</v>
      </c>
      <c r="AS48" s="20">
        <f>MIN(MAX(0,(SUMPRODUCT(Oxides_min!$C48:$BB48,Factors!$C$52:$BB$52)+SUMPRODUCT(Oxides_max!$C48:$BB48,Factors!$C$52:$BB$52))/2),ABS(SUMPRODUCT(Oxides_max!$C48:$BB48,Factors!$C$52:$BB$52)-SUMPRODUCT(Oxides_min!$C48:$BB48,Factors!$C$52:$BB$52))/2)</f>
        <v>0</v>
      </c>
      <c r="AT48" s="20">
        <f>MIN(MAX(0,(SUMPRODUCT(Oxides_min!$C48:$BB48,Factors!$C$53:$BB$53)+SUMPRODUCT(Oxides_max!$C48:$BB48,Factors!$C$53:$BB$53))/2),ABS(SUMPRODUCT(Oxides_max!$C48:$BB48,Factors!$C$53:$BB$53)-SUMPRODUCT(Oxides_min!$C48:$BB48,Factors!$C$53:$BB$53))/2)</f>
        <v>0</v>
      </c>
      <c r="AU48" s="20">
        <f>MIN(MAX(0,(SUMPRODUCT(Oxides_min!$C48:$BB48,Factors!$C$54:$BB$54)+SUMPRODUCT(Oxides_max!$C48:$BB48,Factors!$C$54:$BB$54))/2),ABS(SUMPRODUCT(Oxides_max!$C48:$BB48,Factors!$C$54:$BB$54)-SUMPRODUCT(Oxides_min!$C48:$BB48,Factors!$C$54:$BB$54))/2)</f>
        <v>0</v>
      </c>
      <c r="AV48" s="20">
        <f>MIN(MAX(0,(SUMPRODUCT(Oxides_min!$C48:$BB48,Factors!$C$55:$BB$55)+SUMPRODUCT(Oxides_max!$C48:$BB48,Factors!$C$55:$BB$55))/2),ABS(SUMPRODUCT(Oxides_max!$C48:$BB48,Factors!$C$55:$BB$55)-SUMPRODUCT(Oxides_min!$C48:$BB48,Factors!$C$55:$BB$55))/2)</f>
        <v>0</v>
      </c>
      <c r="AW48" s="20">
        <f>MIN(MAX(0,(SUMPRODUCT(Oxides_min!$C48:$BB48,Factors!$C$56:$BB$56)+SUMPRODUCT(Oxides_max!$C48:$BB48,Factors!$C$56:$BB$56))/2),ABS(SUMPRODUCT(Oxides_max!$C48:$BB48,Factors!$C$56:$BB$56)-SUMPRODUCT(Oxides_min!$C48:$BB48,Factors!$C$56:$BB$56))/2)</f>
        <v>0</v>
      </c>
      <c r="AX48" s="20">
        <f>MIN(MAX(0,(SUMPRODUCT(Oxides_min!$C48:$BB48,Factors!$C$57:$BB$57)+SUMPRODUCT(Oxides_max!$C48:$BB48,Factors!$C$57:$BB$57))/2),ABS(SUMPRODUCT(Oxides_max!$C48:$BB48,Factors!$C$57:$BB$57)-SUMPRODUCT(Oxides_min!$C48:$BB48,Factors!$C$57:$BB$57))/2)</f>
        <v>0</v>
      </c>
      <c r="AY48" s="20">
        <f>MIN(MAX(0,(SUMPRODUCT(Oxides_min!$C48:$BB48,Factors!$C$58:$BB$58)+SUMPRODUCT(Oxides_max!$C48:$BB48,Factors!$C$58:$BB$58))/2),ABS(SUMPRODUCT(Oxides_max!$C48:$BB48,Factors!$C$58:$BB$58)-SUMPRODUCT(Oxides_min!$C48:$BB48,Factors!$C$58:$BB$58))/2)</f>
        <v>0</v>
      </c>
      <c r="AZ48" s="18">
        <f t="shared" si="3"/>
        <v>3.4389469148239282</v>
      </c>
    </row>
    <row r="49" spans="1:52" x14ac:dyDescent="0.35">
      <c r="A49" s="13" t="s">
        <v>440</v>
      </c>
      <c r="B49" s="20">
        <f>MIN(MAX(0,(SUMPRODUCT(Oxides_min!$C49:$BB49,Factors!$C$9:$BB$9)+SUMPRODUCT(Oxides_max!$C49:$BB49,Factors!$C$9:$BB$9))/2),ABS(SUMPRODUCT(Oxides_max!$C49:$BB49,Factors!$C$9:$BB$9)-SUMPRODUCT(Oxides_min!$C49:$BB49,Factors!$C$9:$BB$9))/2)</f>
        <v>2.3456810408488877</v>
      </c>
      <c r="C49" s="20">
        <f>MIN(MAX(0,(SUMPRODUCT(Oxides_min!$C49:$BB49,Factors!$C$10:$BB$10)+SUMPRODUCT(Oxides_max!$C49:$BB49,Factors!$C$10:$BB$10))/2),ABS(SUMPRODUCT(Oxides_max!$C49:$BB49,Factors!$C$10:$BB$10)-SUMPRODUCT(Oxides_min!$C49:$BB49,Factors!$C$10:$BB$10))/2)</f>
        <v>0.39965838922823504</v>
      </c>
      <c r="D49" s="20">
        <f>MIN(MAX(0,(SUMPRODUCT(Oxides_min!$C49:$BB49,Factors!$C$11:$BB$11)+SUMPRODUCT(Oxides_max!$C49:$BB49,Factors!$C$11:$BB$11))/2),ABS(SUMPRODUCT(Oxides_max!$C49:$BB49,Factors!$C$11:$BB$11)-SUMPRODUCT(Oxides_min!$C49:$BB49,Factors!$C$11:$BB$11))/2)</f>
        <v>0</v>
      </c>
      <c r="E49" s="20">
        <f>MIN(MAX(0,(SUMPRODUCT(Oxides_min!$C49:$BB49,Factors!$C$12:$BB$12)+SUMPRODUCT(Oxides_max!$C49:$BB49,Factors!$C$12:$BB$12))/2),ABS(SUMPRODUCT(Oxides_max!$C49:$BB49,Factors!$C$12:$BB$12)-SUMPRODUCT(Oxides_min!$C49:$BB49,Factors!$C$12:$BB$12))/2)</f>
        <v>0</v>
      </c>
      <c r="F49" s="20">
        <f>MIN(MAX(0,(SUMPRODUCT(Oxides_min!$C49:$BB49,Factors!$C$13:$BB$13)+SUMPRODUCT(Oxides_max!$C49:$BB49,Factors!$C$13:$BB$13))/2),ABS(SUMPRODUCT(Oxides_max!$C49:$BB49,Factors!$C$13:$BB$13)-SUMPRODUCT(Oxides_min!$C49:$BB49,Factors!$C$13:$BB$13))/2)</f>
        <v>0</v>
      </c>
      <c r="G49" s="20">
        <f>MIN(MAX(0,(SUMPRODUCT(Oxides_min!$C49:$BB49,Factors!$C$14:$BB$14)+SUMPRODUCT(Oxides_max!$C49:$BB49,Factors!$C$14:$BB$14))/2),ABS(SUMPRODUCT(Oxides_max!$C49:$BB49,Factors!$C$14:$BB$14)-SUMPRODUCT(Oxides_min!$C49:$BB49,Factors!$C$14:$BB$14))/2)</f>
        <v>0</v>
      </c>
      <c r="H49" s="20">
        <f>MIN(MAX(0,(SUMPRODUCT(Oxides_min!$C49:$BB49,Factors!$C$15:$BB$15)+SUMPRODUCT(Oxides_max!$C49:$BB49,Factors!$C$15:$BB$15))/2),ABS(SUMPRODUCT(Oxides_max!$C49:$BB49,Factors!$C$15:$BB$15)-SUMPRODUCT(Oxides_min!$C49:$BB49,Factors!$C$15:$BB$15))/2)</f>
        <v>0.91296819857246669</v>
      </c>
      <c r="I49" s="20">
        <f>MIN(MAX(0,(SUMPRODUCT(Oxides_min!$C49:$BB49,Factors!$C$16:$BB$16)+SUMPRODUCT(Oxides_max!$C49:$BB49,Factors!$C$16:$BB$16))/2),ABS(SUMPRODUCT(Oxides_max!$C49:$BB49,Factors!$C$16:$BB$16)-SUMPRODUCT(Oxides_min!$C49:$BB49,Factors!$C$16:$BB$16))/2)</f>
        <v>1.1910603749368065</v>
      </c>
      <c r="J49" s="20">
        <f>MIN(MAX(0,(SUMPRODUCT(Oxides_min!$C49:$BB49,Factors!$C$17:$BB$17)+SUMPRODUCT(Oxides_max!$C49:$BB49,Factors!$C$17:$BB$17))/2),ABS(SUMPRODUCT(Oxides_max!$C49:$BB49,Factors!$C$17:$BB$17)-SUMPRODUCT(Oxides_min!$C49:$BB49,Factors!$C$17:$BB$17))/2)</f>
        <v>0</v>
      </c>
      <c r="K49" s="20">
        <f>MIN(MAX(0,(SUMPRODUCT(Oxides_min!$C49:$BB49,Factors!$C$18:$BB$18)+SUMPRODUCT(Oxides_max!$C49:$BB49,Factors!$C$18:$BB$18))/2),ABS(SUMPRODUCT(Oxides_max!$C49:$BB49,Factors!$C$18:$BB$18)-SUMPRODUCT(Oxides_min!$C49:$BB49,Factors!$C$18:$BB$18))/2)</f>
        <v>0</v>
      </c>
      <c r="L49" s="20">
        <f>MIN(MAX(0,(SUMPRODUCT(Oxides_min!$C49:$BB49,Factors!$C$19:$BB$19)+SUMPRODUCT(Oxides_max!$C49:$BB49,Factors!$C$19:$BB$19))/2),ABS(SUMPRODUCT(Oxides_max!$C49:$BB49,Factors!$C$19:$BB$19)-SUMPRODUCT(Oxides_min!$C49:$BB49,Factors!$C$19:$BB$19))/2)</f>
        <v>0</v>
      </c>
      <c r="M49" s="20">
        <f>MIN(MAX(0,(SUMPRODUCT(Oxides_min!$C49:$BB49,Factors!$C$20:$BB$20)+SUMPRODUCT(Oxides_max!$C49:$BB49,Factors!$C$20:$BB$20))/2),ABS(SUMPRODUCT(Oxides_max!$C49:$BB49,Factors!$C$20:$BB$20)-SUMPRODUCT(Oxides_min!$C49:$BB49,Factors!$C$20:$BB$20))/2)</f>
        <v>0.12663879515680776</v>
      </c>
      <c r="N49" s="20">
        <f>MIN(MAX(0,(SUMPRODUCT(Oxides_min!$C49:$BB49,Factors!$C$21:$BB$21)+SUMPRODUCT(Oxides_max!$C49:$BB49,Factors!$C$21:$BB$21))/2),ABS(SUMPRODUCT(Oxides_max!$C49:$BB49,Factors!$C$21:$BB$21)-SUMPRODUCT(Oxides_min!$C49:$BB49,Factors!$C$21:$BB$21))/2)</f>
        <v>0.44311143606113018</v>
      </c>
      <c r="O49" s="20">
        <f>MIN(MAX(0,(SUMPRODUCT(Oxides_min!$C49:$BB49,Factors!$C$22:$BB$22)+SUMPRODUCT(Oxides_max!$C49:$BB49,Factors!$C$22:$BB$22))/2),ABS(SUMPRODUCT(Oxides_max!$C49:$BB49,Factors!$C$22:$BB$22)-SUMPRODUCT(Oxides_min!$C49:$BB49,Factors!$C$22:$BB$22))/2)</f>
        <v>0</v>
      </c>
      <c r="P49" s="20">
        <f>MIN(MAX(0,(SUMPRODUCT(Oxides_min!$C49:$BB49,Factors!$C$23:$BB$23)+SUMPRODUCT(Oxides_max!$C49:$BB49,Factors!$C$23:$BB$23))/2),ABS(SUMPRODUCT(Oxides_max!$C49:$BB49,Factors!$C$23:$BB$23)-SUMPRODUCT(Oxides_min!$C49:$BB49,Factors!$C$23:$BB$23))/2)</f>
        <v>0</v>
      </c>
      <c r="Q49" s="20">
        <f>MIN(MAX(0,(SUMPRODUCT(Oxides_min!$C49:$BB49,Factors!$C$24:$BB$24)+SUMPRODUCT(Oxides_max!$C49:$BB49,Factors!$C$24:$BB$24))/2),ABS(SUMPRODUCT(Oxides_max!$C49:$BB49,Factors!$C$24:$BB$24)-SUMPRODUCT(Oxides_min!$C49:$BB49,Factors!$C$24:$BB$24))/2)</f>
        <v>0</v>
      </c>
      <c r="R49" s="20">
        <f>MIN(MAX(0,(SUMPRODUCT(Oxides_min!$C49:$BB49,Factors!$C$25:$BB$25)+SUMPRODUCT(Oxides_max!$C49:$BB49,Factors!$C$25:$BB$25))/2),ABS(SUMPRODUCT(Oxides_max!$C49:$BB49,Factors!$C$25:$BB$25)-SUMPRODUCT(Oxides_min!$C49:$BB49,Factors!$C$25:$BB$25))/2)</f>
        <v>0</v>
      </c>
      <c r="S49" s="20">
        <f>MIN(MAX(0,(SUMPRODUCT(Oxides_min!$C49:$BB49,Factors!$C$26:$BB$26)+SUMPRODUCT(Oxides_max!$C49:$BB49,Factors!$C$26:$BB$26))/2),ABS(SUMPRODUCT(Oxides_max!$C49:$BB49,Factors!$C$26:$BB$26)-SUMPRODUCT(Oxides_min!$C49:$BB49,Factors!$C$26:$BB$26))/2)</f>
        <v>0</v>
      </c>
      <c r="T49" s="20">
        <f>MIN(MAX(0,(SUMPRODUCT(Oxides_min!$C49:$BB49,Factors!$C$27:$BB$27)+SUMPRODUCT(Oxides_max!$C49:$BB49,Factors!$C$27:$BB$27))/2),ABS(SUMPRODUCT(Oxides_max!$C49:$BB49,Factors!$C$27:$BB$27)-SUMPRODUCT(Oxides_min!$C49:$BB49,Factors!$C$27:$BB$27))/2)</f>
        <v>0</v>
      </c>
      <c r="U49" s="20">
        <f>MIN(MAX(0,(SUMPRODUCT(Oxides_min!$C49:$BB49,Factors!$C$28:$BB$28)+SUMPRODUCT(Oxides_max!$C49:$BB49,Factors!$C$28:$BB$28))/2),ABS(SUMPRODUCT(Oxides_max!$C49:$BB49,Factors!$C$28:$BB$28)-SUMPRODUCT(Oxides_min!$C49:$BB49,Factors!$C$28:$BB$28))/2)</f>
        <v>0</v>
      </c>
      <c r="V49" s="20">
        <f>MIN(MAX(0,(SUMPRODUCT(Oxides_min!$C49:$BB49,Factors!$C$29:$BB$29)+SUMPRODUCT(Oxides_max!$C49:$BB49,Factors!$C$29:$BB$29))/2),ABS(SUMPRODUCT(Oxides_max!$C49:$BB49,Factors!$C$29:$BB$29)-SUMPRODUCT(Oxides_min!$C49:$BB49,Factors!$C$29:$BB$29))/2)</f>
        <v>0</v>
      </c>
      <c r="W49" s="20">
        <f>MIN(MAX(0,(SUMPRODUCT(Oxides_min!$C49:$BB49,Factors!$C$30:$BB$30)+SUMPRODUCT(Oxides_max!$C49:$BB49,Factors!$C$30:$BB$30))/2),ABS(SUMPRODUCT(Oxides_max!$C49:$BB49,Factors!$C$30:$BB$30)-SUMPRODUCT(Oxides_min!$C49:$BB49,Factors!$C$30:$BB$30))/2)</f>
        <v>0</v>
      </c>
      <c r="X49" s="20">
        <f>MIN(MAX(0,(SUMPRODUCT(Oxides_min!$C49:$BB49,Factors!$C$31:$BB$31)+SUMPRODUCT(Oxides_max!$C49:$BB49,Factors!$C$31:$BB$31))/2),ABS(SUMPRODUCT(Oxides_max!$C49:$BB49,Factors!$C$31:$BB$31)-SUMPRODUCT(Oxides_min!$C49:$BB49,Factors!$C$31:$BB$31))/2)</f>
        <v>0</v>
      </c>
      <c r="Y49" s="20">
        <f>MIN(MAX(0,(SUMPRODUCT(Oxides_min!$C49:$BB49,Factors!$C$32:$BB$32)+SUMPRODUCT(Oxides_max!$C49:$BB49,Factors!$C$32:$BB$32))/2),ABS(SUMPRODUCT(Oxides_max!$C49:$BB49,Factors!$C$32:$BB$32)-SUMPRODUCT(Oxides_min!$C49:$BB49,Factors!$C$32:$BB$32))/2)</f>
        <v>0</v>
      </c>
      <c r="Z49" s="20">
        <f>MIN(MAX(0,(SUMPRODUCT(Oxides_min!$C49:$BB49,Factors!$C$33:$BB$33)+SUMPRODUCT(Oxides_max!$C49:$BB49,Factors!$C$33:$BB$33))/2),ABS(SUMPRODUCT(Oxides_max!$C49:$BB49,Factors!$C$33:$BB$33)-SUMPRODUCT(Oxides_min!$C49:$BB49,Factors!$C$33:$BB$33))/2)</f>
        <v>0</v>
      </c>
      <c r="AA49" s="20">
        <f>MIN(MAX(0,(SUMPRODUCT(Oxides_min!$C49:$BB49,Factors!$C$34:$BB$34)+SUMPRODUCT(Oxides_max!$C49:$BB49,Factors!$C$34:$BB$34))/2),ABS(SUMPRODUCT(Oxides_max!$C49:$BB49,Factors!$C$34:$BB$34)-SUMPRODUCT(Oxides_min!$C49:$BB49,Factors!$C$34:$BB$34))/2)</f>
        <v>0</v>
      </c>
      <c r="AB49" s="20">
        <f>MIN(MAX(0,(SUMPRODUCT(Oxides_min!$C49:$BB49,Factors!$C$35:$BB$35)+SUMPRODUCT(Oxides_max!$C49:$BB49,Factors!$C$35:$BB$35))/2),ABS(SUMPRODUCT(Oxides_max!$C49:$BB49,Factors!$C$35:$BB$35)-SUMPRODUCT(Oxides_min!$C49:$BB49,Factors!$C$35:$BB$35))/2)</f>
        <v>0</v>
      </c>
      <c r="AC49" s="20">
        <f>MIN(MAX(0,(SUMPRODUCT(Oxides_min!$C49:$BB49,Factors!$C$36:$BB$36)+SUMPRODUCT(Oxides_max!$C49:$BB49,Factors!$C$36:$BB$36))/2),ABS(SUMPRODUCT(Oxides_max!$C49:$BB49,Factors!$C$36:$BB$36)-SUMPRODUCT(Oxides_min!$C49:$BB49,Factors!$C$36:$BB$36))/2)</f>
        <v>0</v>
      </c>
      <c r="AD49" s="20">
        <f>MIN(MAX(0,(SUMPRODUCT(Oxides_min!$C49:$BB49,Factors!$C$37:$BB$37)+SUMPRODUCT(Oxides_max!$C49:$BB49,Factors!$C$37:$BB$37))/2),ABS(SUMPRODUCT(Oxides_max!$C49:$BB49,Factors!$C$37:$BB$37)-SUMPRODUCT(Oxides_min!$C49:$BB49,Factors!$C$37:$BB$37))/2)</f>
        <v>4.5881765195670221E-2</v>
      </c>
      <c r="AE49" s="20">
        <f>MIN(MAX(0,(SUMPRODUCT(Oxides_min!$C49:$BB49,Factors!$C$38:$BB$38)+SUMPRODUCT(Oxides_max!$C49:$BB49,Factors!$C$38:$BB$38))/2),ABS(SUMPRODUCT(Oxides_max!$C49:$BB49,Factors!$C$38:$BB$38)-SUMPRODUCT(Oxides_min!$C49:$BB49,Factors!$C$38:$BB$38))/2)</f>
        <v>0</v>
      </c>
      <c r="AF49" s="20">
        <f>MIN(MAX(0,(SUMPRODUCT(Oxides_min!$C49:$BB49,Factors!$C$39:$BB$39)+SUMPRODUCT(Oxides_max!$C49:$BB49,Factors!$C$39:$BB$39))/2),ABS(SUMPRODUCT(Oxides_max!$C49:$BB49,Factors!$C$39:$BB$39)-SUMPRODUCT(Oxides_min!$C49:$BB49,Factors!$C$39:$BB$39))/2)</f>
        <v>0</v>
      </c>
      <c r="AG49" s="20">
        <f>MIN(MAX(0,(SUMPRODUCT(Oxides_min!$C49:$BB49,Factors!$C$40:$BB$40)+SUMPRODUCT(Oxides_max!$C49:$BB49,Factors!$C$40:$BB$40))/2),ABS(SUMPRODUCT(Oxides_max!$C49:$BB49,Factors!$C$40:$BB$40)-SUMPRODUCT(Oxides_min!$C49:$BB49,Factors!$C$40:$BB$40))/2)</f>
        <v>0</v>
      </c>
      <c r="AH49" s="20">
        <f>MIN(MAX(0,(SUMPRODUCT(Oxides_min!$C49:$BB49,Factors!$C$41:$BB$41)+SUMPRODUCT(Oxides_max!$C49:$BB49,Factors!$C$41:$BB$41))/2),ABS(SUMPRODUCT(Oxides_max!$C49:$BB49,Factors!$C$41:$BB$41)-SUMPRODUCT(Oxides_min!$C49:$BB49,Factors!$C$41:$BB$41))/2)</f>
        <v>0</v>
      </c>
      <c r="AI49" s="20">
        <f>MIN(MAX(0,(SUMPRODUCT(Oxides_min!$C49:$BB49,Factors!$C$42:$BB$42)+SUMPRODUCT(Oxides_max!$C49:$BB49,Factors!$C$42:$BB$42))/2),ABS(SUMPRODUCT(Oxides_max!$C49:$BB49,Factors!$C$42:$BB$42)-SUMPRODUCT(Oxides_min!$C49:$BB49,Factors!$C$42:$BB$42))/2)</f>
        <v>0</v>
      </c>
      <c r="AJ49" s="20">
        <f>MIN(MAX(0,(SUMPRODUCT(Oxides_min!$C49:$BB49,Factors!$C$43:$BB$43)+SUMPRODUCT(Oxides_max!$C49:$BB49,Factors!$C$43:$BB$43))/2),ABS(SUMPRODUCT(Oxides_max!$C49:$BB49,Factors!$C$43:$BB$43)-SUMPRODUCT(Oxides_min!$C49:$BB49,Factors!$C$43:$BB$43))/2)</f>
        <v>0</v>
      </c>
      <c r="AK49" s="20">
        <f>MIN(MAX(0,(SUMPRODUCT(Oxides_min!$C49:$BB49,Factors!$C$44:$BB$44)+SUMPRODUCT(Oxides_max!$C49:$BB49,Factors!$C$44:$BB$44))/2),ABS(SUMPRODUCT(Oxides_max!$C49:$BB49,Factors!$C$44:$BB$44)-SUMPRODUCT(Oxides_min!$C49:$BB49,Factors!$C$44:$BB$44))/2)</f>
        <v>0</v>
      </c>
      <c r="AL49" s="20">
        <f>MIN(MAX(0,(SUMPRODUCT(Oxides_min!$C49:$BB49,Factors!$C$45:$BB$45)+SUMPRODUCT(Oxides_max!$C49:$BB49,Factors!$C$45:$BB$45))/2),ABS(SUMPRODUCT(Oxides_max!$C49:$BB49,Factors!$C$45:$BB$45)-SUMPRODUCT(Oxides_min!$C49:$BB49,Factors!$C$45:$BB$45))/2)</f>
        <v>0</v>
      </c>
      <c r="AM49" s="20">
        <f>MIN(MAX(0,(SUMPRODUCT(Oxides_min!$C49:$BB49,Factors!$C$46:$BB$46)+SUMPRODUCT(Oxides_max!$C49:$BB49,Factors!$C$46:$BB$46))/2),ABS(SUMPRODUCT(Oxides_max!$C49:$BB49,Factors!$C$46:$BB$46)-SUMPRODUCT(Oxides_min!$C49:$BB49,Factors!$C$46:$BB$46))/2)</f>
        <v>0</v>
      </c>
      <c r="AN49" s="20">
        <f>MIN(MAX(0,(SUMPRODUCT(Oxides_min!$C49:$BB49,Factors!$C$47:$BB$47)+SUMPRODUCT(Oxides_max!$C49:$BB49,Factors!$C$47:$BB$47))/2),ABS(SUMPRODUCT(Oxides_max!$C49:$BB49,Factors!$C$47:$BB$47)-SUMPRODUCT(Oxides_min!$C49:$BB49,Factors!$C$47:$BB$47))/2)</f>
        <v>0</v>
      </c>
      <c r="AO49" s="20">
        <f>MIN(MAX(0,(SUMPRODUCT(Oxides_min!$C49:$BB49,Factors!$C$48:$BB$48)+SUMPRODUCT(Oxides_max!$C49:$BB49,Factors!$C$48:$BB$48))/2),ABS(SUMPRODUCT(Oxides_max!$C49:$BB49,Factors!$C$48:$BB$48)-SUMPRODUCT(Oxides_min!$C49:$BB49,Factors!$C$48:$BB$48))/2)</f>
        <v>0</v>
      </c>
      <c r="AP49" s="20">
        <f>MIN(MAX(0,(SUMPRODUCT(Oxides_min!$C49:$BB49,Factors!$C$49:$BB$49)+SUMPRODUCT(Oxides_max!$C49:$BB49,Factors!$C$49:$BB$49))/2),ABS(SUMPRODUCT(Oxides_max!$C49:$BB49,Factors!$C$49:$BB$49)-SUMPRODUCT(Oxides_min!$C49:$BB49,Factors!$C$49:$BB$49))/2)</f>
        <v>0</v>
      </c>
      <c r="AQ49" s="20">
        <f>MIN(MAX(0,(SUMPRODUCT(Oxides_min!$C49:$BB49,Factors!$C$50:$BB$50)+SUMPRODUCT(Oxides_max!$C49:$BB49,Factors!$C$50:$BB$50))/2),ABS(SUMPRODUCT(Oxides_max!$C49:$BB49,Factors!$C$50:$BB$50)-SUMPRODUCT(Oxides_min!$C49:$BB49,Factors!$C$50:$BB$50))/2)</f>
        <v>0</v>
      </c>
      <c r="AR49" s="20">
        <f>MIN(MAX(0,(SUMPRODUCT(Oxides_min!$C49:$BB49,Factors!$C$51:$BB$51)+SUMPRODUCT(Oxides_max!$C49:$BB49,Factors!$C$51:$BB$51))/2),ABS(SUMPRODUCT(Oxides_max!$C49:$BB49,Factors!$C$51:$BB$51)-SUMPRODUCT(Oxides_min!$C49:$BB49,Factors!$C$51:$BB$51))/2)</f>
        <v>0</v>
      </c>
      <c r="AS49" s="20">
        <f>MIN(MAX(0,(SUMPRODUCT(Oxides_min!$C49:$BB49,Factors!$C$52:$BB$52)+SUMPRODUCT(Oxides_max!$C49:$BB49,Factors!$C$52:$BB$52))/2),ABS(SUMPRODUCT(Oxides_max!$C49:$BB49,Factors!$C$52:$BB$52)-SUMPRODUCT(Oxides_min!$C49:$BB49,Factors!$C$52:$BB$52))/2)</f>
        <v>0</v>
      </c>
      <c r="AT49" s="20">
        <f>MIN(MAX(0,(SUMPRODUCT(Oxides_min!$C49:$BB49,Factors!$C$53:$BB$53)+SUMPRODUCT(Oxides_max!$C49:$BB49,Factors!$C$53:$BB$53))/2),ABS(SUMPRODUCT(Oxides_max!$C49:$BB49,Factors!$C$53:$BB$53)-SUMPRODUCT(Oxides_min!$C49:$BB49,Factors!$C$53:$BB$53))/2)</f>
        <v>0</v>
      </c>
      <c r="AU49" s="20">
        <f>MIN(MAX(0,(SUMPRODUCT(Oxides_min!$C49:$BB49,Factors!$C$54:$BB$54)+SUMPRODUCT(Oxides_max!$C49:$BB49,Factors!$C$54:$BB$54))/2),ABS(SUMPRODUCT(Oxides_max!$C49:$BB49,Factors!$C$54:$BB$54)-SUMPRODUCT(Oxides_min!$C49:$BB49,Factors!$C$54:$BB$54))/2)</f>
        <v>0</v>
      </c>
      <c r="AV49" s="20">
        <f>MIN(MAX(0,(SUMPRODUCT(Oxides_min!$C49:$BB49,Factors!$C$55:$BB$55)+SUMPRODUCT(Oxides_max!$C49:$BB49,Factors!$C$55:$BB$55))/2),ABS(SUMPRODUCT(Oxides_max!$C49:$BB49,Factors!$C$55:$BB$55)-SUMPRODUCT(Oxides_min!$C49:$BB49,Factors!$C$55:$BB$55))/2)</f>
        <v>0</v>
      </c>
      <c r="AW49" s="20">
        <f>MIN(MAX(0,(SUMPRODUCT(Oxides_min!$C49:$BB49,Factors!$C$56:$BB$56)+SUMPRODUCT(Oxides_max!$C49:$BB49,Factors!$C$56:$BB$56))/2),ABS(SUMPRODUCT(Oxides_max!$C49:$BB49,Factors!$C$56:$BB$56)-SUMPRODUCT(Oxides_min!$C49:$BB49,Factors!$C$56:$BB$56))/2)</f>
        <v>0</v>
      </c>
      <c r="AX49" s="20">
        <f>MIN(MAX(0,(SUMPRODUCT(Oxides_min!$C49:$BB49,Factors!$C$57:$BB$57)+SUMPRODUCT(Oxides_max!$C49:$BB49,Factors!$C$57:$BB$57))/2),ABS(SUMPRODUCT(Oxides_max!$C49:$BB49,Factors!$C$57:$BB$57)-SUMPRODUCT(Oxides_min!$C49:$BB49,Factors!$C$57:$BB$57))/2)</f>
        <v>0</v>
      </c>
      <c r="AY49" s="20">
        <f>MIN(MAX(0,(SUMPRODUCT(Oxides_min!$C49:$BB49,Factors!$C$58:$BB$58)+SUMPRODUCT(Oxides_max!$C49:$BB49,Factors!$C$58:$BB$58))/2),ABS(SUMPRODUCT(Oxides_max!$C49:$BB49,Factors!$C$58:$BB$58)-SUMPRODUCT(Oxides_min!$C49:$BB49,Factors!$C$58:$BB$58))/2)</f>
        <v>0</v>
      </c>
      <c r="AZ49" s="18">
        <f t="shared" si="3"/>
        <v>5.4650000000000043</v>
      </c>
    </row>
    <row r="50" spans="1:52" x14ac:dyDescent="0.35">
      <c r="A50" s="13" t="s">
        <v>442</v>
      </c>
      <c r="B50" s="20">
        <f>MIN(MAX(0,(SUMPRODUCT(Oxides_min!$C50:$BB50,Factors!$C$9:$BB$9)+SUMPRODUCT(Oxides_max!$C50:$BB50,Factors!$C$9:$BB$9))/2),ABS(SUMPRODUCT(Oxides_max!$C50:$BB50,Factors!$C$9:$BB$9)-SUMPRODUCT(Oxides_min!$C50:$BB50,Factors!$C$9:$BB$9))/2)</f>
        <v>3.1933418457998819</v>
      </c>
      <c r="C50" s="20">
        <f>MIN(MAX(0,(SUMPRODUCT(Oxides_min!$C50:$BB50,Factors!$C$10:$BB$10)+SUMPRODUCT(Oxides_max!$C50:$BB50,Factors!$C$10:$BB$10))/2),ABS(SUMPRODUCT(Oxides_max!$C50:$BB50,Factors!$C$10:$BB$10)-SUMPRODUCT(Oxides_min!$C50:$BB50,Factors!$C$10:$BB$10))/2)</f>
        <v>5.8429589068455634E-2</v>
      </c>
      <c r="D50" s="20">
        <f>MIN(MAX(0,(SUMPRODUCT(Oxides_min!$C50:$BB50,Factors!$C$11:$BB$11)+SUMPRODUCT(Oxides_max!$C50:$BB50,Factors!$C$11:$BB$11))/2),ABS(SUMPRODUCT(Oxides_max!$C50:$BB50,Factors!$C$11:$BB$11)-SUMPRODUCT(Oxides_min!$C50:$BB50,Factors!$C$11:$BB$11))/2)</f>
        <v>0</v>
      </c>
      <c r="E50" s="20">
        <f>MIN(MAX(0,(SUMPRODUCT(Oxides_min!$C50:$BB50,Factors!$C$12:$BB$12)+SUMPRODUCT(Oxides_max!$C50:$BB50,Factors!$C$12:$BB$12))/2),ABS(SUMPRODUCT(Oxides_max!$C50:$BB50,Factors!$C$12:$BB$12)-SUMPRODUCT(Oxides_min!$C50:$BB50,Factors!$C$12:$BB$12))/2)</f>
        <v>0</v>
      </c>
      <c r="F50" s="20">
        <f>MIN(MAX(0,(SUMPRODUCT(Oxides_min!$C50:$BB50,Factors!$C$13:$BB$13)+SUMPRODUCT(Oxides_max!$C50:$BB50,Factors!$C$13:$BB$13))/2),ABS(SUMPRODUCT(Oxides_max!$C50:$BB50,Factors!$C$13:$BB$13)-SUMPRODUCT(Oxides_min!$C50:$BB50,Factors!$C$13:$BB$13))/2)</f>
        <v>0</v>
      </c>
      <c r="G50" s="20">
        <f>MIN(MAX(0,(SUMPRODUCT(Oxides_min!$C50:$BB50,Factors!$C$14:$BB$14)+SUMPRODUCT(Oxides_max!$C50:$BB50,Factors!$C$14:$BB$14))/2),ABS(SUMPRODUCT(Oxides_max!$C50:$BB50,Factors!$C$14:$BB$14)-SUMPRODUCT(Oxides_min!$C50:$BB50,Factors!$C$14:$BB$14))/2)</f>
        <v>0</v>
      </c>
      <c r="H50" s="20">
        <f>MIN(MAX(0,(SUMPRODUCT(Oxides_min!$C50:$BB50,Factors!$C$15:$BB$15)+SUMPRODUCT(Oxides_max!$C50:$BB50,Factors!$C$15:$BB$15))/2),ABS(SUMPRODUCT(Oxides_max!$C50:$BB50,Factors!$C$15:$BB$15)-SUMPRODUCT(Oxides_min!$C50:$BB50,Factors!$C$15:$BB$15))/2)</f>
        <v>0.55307348841056658</v>
      </c>
      <c r="I50" s="20">
        <f>MIN(MAX(0,(SUMPRODUCT(Oxides_min!$C50:$BB50,Factors!$C$16:$BB$16)+SUMPRODUCT(Oxides_max!$C50:$BB50,Factors!$C$16:$BB$16))/2),ABS(SUMPRODUCT(Oxides_max!$C50:$BB50,Factors!$C$16:$BB$16)-SUMPRODUCT(Oxides_min!$C50:$BB50,Factors!$C$16:$BB$16))/2)</f>
        <v>3.6731014739416281</v>
      </c>
      <c r="J50" s="20">
        <f>MIN(MAX(0,(SUMPRODUCT(Oxides_min!$C50:$BB50,Factors!$C$17:$BB$17)+SUMPRODUCT(Oxides_max!$C50:$BB50,Factors!$C$17:$BB$17))/2),ABS(SUMPRODUCT(Oxides_max!$C50:$BB50,Factors!$C$17:$BB$17)-SUMPRODUCT(Oxides_min!$C50:$BB50,Factors!$C$17:$BB$17))/2)</f>
        <v>1.548923972642559E-2</v>
      </c>
      <c r="K50" s="20">
        <f>MIN(MAX(0,(SUMPRODUCT(Oxides_min!$C50:$BB50,Factors!$C$18:$BB$18)+SUMPRODUCT(Oxides_max!$C50:$BB50,Factors!$C$18:$BB$18))/2),ABS(SUMPRODUCT(Oxides_max!$C50:$BB50,Factors!$C$18:$BB$18)-SUMPRODUCT(Oxides_min!$C50:$BB50,Factors!$C$18:$BB$18))/2)</f>
        <v>0</v>
      </c>
      <c r="L50" s="20">
        <f>MIN(MAX(0,(SUMPRODUCT(Oxides_min!$C50:$BB50,Factors!$C$19:$BB$19)+SUMPRODUCT(Oxides_max!$C50:$BB50,Factors!$C$19:$BB$19))/2),ABS(SUMPRODUCT(Oxides_max!$C50:$BB50,Factors!$C$19:$BB$19)-SUMPRODUCT(Oxides_min!$C50:$BB50,Factors!$C$19:$BB$19))/2)</f>
        <v>0</v>
      </c>
      <c r="M50" s="20">
        <f>MIN(MAX(0,(SUMPRODUCT(Oxides_min!$C50:$BB50,Factors!$C$20:$BB$20)+SUMPRODUCT(Oxides_max!$C50:$BB50,Factors!$C$20:$BB$20))/2),ABS(SUMPRODUCT(Oxides_max!$C50:$BB50,Factors!$C$20:$BB$20)-SUMPRODUCT(Oxides_min!$C50:$BB50,Factors!$C$20:$BB$20))/2)</f>
        <v>2.0744640730448589</v>
      </c>
      <c r="N50" s="20">
        <f>MIN(MAX(0,(SUMPRODUCT(Oxides_min!$C50:$BB50,Factors!$C$21:$BB$21)+SUMPRODUCT(Oxides_max!$C50:$BB50,Factors!$C$21:$BB$21))/2),ABS(SUMPRODUCT(Oxides_max!$C50:$BB50,Factors!$C$21:$BB$21)-SUMPRODUCT(Oxides_min!$C50:$BB50,Factors!$C$21:$BB$21))/2)</f>
        <v>0.15008613156909248</v>
      </c>
      <c r="O50" s="20">
        <f>MIN(MAX(0,(SUMPRODUCT(Oxides_min!$C50:$BB50,Factors!$C$22:$BB$22)+SUMPRODUCT(Oxides_max!$C50:$BB50,Factors!$C$22:$BB$22))/2),ABS(SUMPRODUCT(Oxides_max!$C50:$BB50,Factors!$C$22:$BB$22)-SUMPRODUCT(Oxides_min!$C50:$BB50,Factors!$C$22:$BB$22))/2)</f>
        <v>0</v>
      </c>
      <c r="P50" s="20">
        <f>MIN(MAX(0,(SUMPRODUCT(Oxides_min!$C50:$BB50,Factors!$C$23:$BB$23)+SUMPRODUCT(Oxides_max!$C50:$BB50,Factors!$C$23:$BB$23))/2),ABS(SUMPRODUCT(Oxides_max!$C50:$BB50,Factors!$C$23:$BB$23)-SUMPRODUCT(Oxides_min!$C50:$BB50,Factors!$C$23:$BB$23))/2)</f>
        <v>0</v>
      </c>
      <c r="Q50" s="20">
        <f>MIN(MAX(0,(SUMPRODUCT(Oxides_min!$C50:$BB50,Factors!$C$24:$BB$24)+SUMPRODUCT(Oxides_max!$C50:$BB50,Factors!$C$24:$BB$24))/2),ABS(SUMPRODUCT(Oxides_max!$C50:$BB50,Factors!$C$24:$BB$24)-SUMPRODUCT(Oxides_min!$C50:$BB50,Factors!$C$24:$BB$24))/2)</f>
        <v>0</v>
      </c>
      <c r="R50" s="20">
        <f>MIN(MAX(0,(SUMPRODUCT(Oxides_min!$C50:$BB50,Factors!$C$25:$BB$25)+SUMPRODUCT(Oxides_max!$C50:$BB50,Factors!$C$25:$BB$25))/2),ABS(SUMPRODUCT(Oxides_max!$C50:$BB50,Factors!$C$25:$BB$25)-SUMPRODUCT(Oxides_min!$C50:$BB50,Factors!$C$25:$BB$25))/2)</f>
        <v>6.3058291924978235E-2</v>
      </c>
      <c r="S50" s="20">
        <f>MIN(MAX(0,(SUMPRODUCT(Oxides_min!$C50:$BB50,Factors!$C$26:$BB$26)+SUMPRODUCT(Oxides_max!$C50:$BB50,Factors!$C$26:$BB$26))/2),ABS(SUMPRODUCT(Oxides_max!$C50:$BB50,Factors!$C$26:$BB$26)-SUMPRODUCT(Oxides_min!$C50:$BB50,Factors!$C$26:$BB$26))/2)</f>
        <v>7.0562860685637122E-2</v>
      </c>
      <c r="T50" s="20">
        <f>MIN(MAX(0,(SUMPRODUCT(Oxides_min!$C50:$BB50,Factors!$C$27:$BB$27)+SUMPRODUCT(Oxides_max!$C50:$BB50,Factors!$C$27:$BB$27))/2),ABS(SUMPRODUCT(Oxides_max!$C50:$BB50,Factors!$C$27:$BB$27)-SUMPRODUCT(Oxides_min!$C50:$BB50,Factors!$C$27:$BB$27))/2)</f>
        <v>0</v>
      </c>
      <c r="U50" s="20">
        <f>MIN(MAX(0,(SUMPRODUCT(Oxides_min!$C50:$BB50,Factors!$C$28:$BB$28)+SUMPRODUCT(Oxides_max!$C50:$BB50,Factors!$C$28:$BB$28))/2),ABS(SUMPRODUCT(Oxides_max!$C50:$BB50,Factors!$C$28:$BB$28)-SUMPRODUCT(Oxides_min!$C50:$BB50,Factors!$C$28:$BB$28))/2)</f>
        <v>0</v>
      </c>
      <c r="V50" s="20">
        <f>MIN(MAX(0,(SUMPRODUCT(Oxides_min!$C50:$BB50,Factors!$C$29:$BB$29)+SUMPRODUCT(Oxides_max!$C50:$BB50,Factors!$C$29:$BB$29))/2),ABS(SUMPRODUCT(Oxides_max!$C50:$BB50,Factors!$C$29:$BB$29)-SUMPRODUCT(Oxides_min!$C50:$BB50,Factors!$C$29:$BB$29))/2)</f>
        <v>0</v>
      </c>
      <c r="W50" s="20">
        <f>MIN(MAX(0,(SUMPRODUCT(Oxides_min!$C50:$BB50,Factors!$C$30:$BB$30)+SUMPRODUCT(Oxides_max!$C50:$BB50,Factors!$C$30:$BB$30))/2),ABS(SUMPRODUCT(Oxides_max!$C50:$BB50,Factors!$C$30:$BB$30)-SUMPRODUCT(Oxides_min!$C50:$BB50,Factors!$C$30:$BB$30))/2)</f>
        <v>0</v>
      </c>
      <c r="X50" s="20">
        <f>MIN(MAX(0,(SUMPRODUCT(Oxides_min!$C50:$BB50,Factors!$C$31:$BB$31)+SUMPRODUCT(Oxides_max!$C50:$BB50,Factors!$C$31:$BB$31))/2),ABS(SUMPRODUCT(Oxides_max!$C50:$BB50,Factors!$C$31:$BB$31)-SUMPRODUCT(Oxides_min!$C50:$BB50,Factors!$C$31:$BB$31))/2)</f>
        <v>0</v>
      </c>
      <c r="Y50" s="20">
        <f>MIN(MAX(0,(SUMPRODUCT(Oxides_min!$C50:$BB50,Factors!$C$32:$BB$32)+SUMPRODUCT(Oxides_max!$C50:$BB50,Factors!$C$32:$BB$32))/2),ABS(SUMPRODUCT(Oxides_max!$C50:$BB50,Factors!$C$32:$BB$32)-SUMPRODUCT(Oxides_min!$C50:$BB50,Factors!$C$32:$BB$32))/2)</f>
        <v>0</v>
      </c>
      <c r="Z50" s="20">
        <f>MIN(MAX(0,(SUMPRODUCT(Oxides_min!$C50:$BB50,Factors!$C$33:$BB$33)+SUMPRODUCT(Oxides_max!$C50:$BB50,Factors!$C$33:$BB$33))/2),ABS(SUMPRODUCT(Oxides_max!$C50:$BB50,Factors!$C$33:$BB$33)-SUMPRODUCT(Oxides_min!$C50:$BB50,Factors!$C$33:$BB$33))/2)</f>
        <v>0</v>
      </c>
      <c r="AA50" s="20">
        <f>MIN(MAX(0,(SUMPRODUCT(Oxides_min!$C50:$BB50,Factors!$C$34:$BB$34)+SUMPRODUCT(Oxides_max!$C50:$BB50,Factors!$C$34:$BB$34))/2),ABS(SUMPRODUCT(Oxides_max!$C50:$BB50,Factors!$C$34:$BB$34)-SUMPRODUCT(Oxides_min!$C50:$BB50,Factors!$C$34:$BB$34))/2)</f>
        <v>0</v>
      </c>
      <c r="AB50" s="20">
        <f>MIN(MAX(0,(SUMPRODUCT(Oxides_min!$C50:$BB50,Factors!$C$35:$BB$35)+SUMPRODUCT(Oxides_max!$C50:$BB50,Factors!$C$35:$BB$35))/2),ABS(SUMPRODUCT(Oxides_max!$C50:$BB50,Factors!$C$35:$BB$35)-SUMPRODUCT(Oxides_min!$C50:$BB50,Factors!$C$35:$BB$35))/2)</f>
        <v>0</v>
      </c>
      <c r="AC50" s="20">
        <f>MIN(MAX(0,(SUMPRODUCT(Oxides_min!$C50:$BB50,Factors!$C$36:$BB$36)+SUMPRODUCT(Oxides_max!$C50:$BB50,Factors!$C$36:$BB$36))/2),ABS(SUMPRODUCT(Oxides_max!$C50:$BB50,Factors!$C$36:$BB$36)-SUMPRODUCT(Oxides_min!$C50:$BB50,Factors!$C$36:$BB$36))/2)</f>
        <v>0</v>
      </c>
      <c r="AD50" s="20">
        <f>MIN(MAX(0,(SUMPRODUCT(Oxides_min!$C50:$BB50,Factors!$C$37:$BB$37)+SUMPRODUCT(Oxides_max!$C50:$BB50,Factors!$C$37:$BB$37))/2),ABS(SUMPRODUCT(Oxides_max!$C50:$BB50,Factors!$C$37:$BB$37)-SUMPRODUCT(Oxides_min!$C50:$BB50,Factors!$C$37:$BB$37))/2)</f>
        <v>8.393005828476352E-3</v>
      </c>
      <c r="AE50" s="20">
        <f>MIN(MAX(0,(SUMPRODUCT(Oxides_min!$C50:$BB50,Factors!$C$38:$BB$38)+SUMPRODUCT(Oxides_max!$C50:$BB50,Factors!$C$38:$BB$38))/2),ABS(SUMPRODUCT(Oxides_max!$C50:$BB50,Factors!$C$38:$BB$38)-SUMPRODUCT(Oxides_min!$C50:$BB50,Factors!$C$38:$BB$38))/2)</f>
        <v>0</v>
      </c>
      <c r="AF50" s="20">
        <f>MIN(MAX(0,(SUMPRODUCT(Oxides_min!$C50:$BB50,Factors!$C$39:$BB$39)+SUMPRODUCT(Oxides_max!$C50:$BB50,Factors!$C$39:$BB$39))/2),ABS(SUMPRODUCT(Oxides_max!$C50:$BB50,Factors!$C$39:$BB$39)-SUMPRODUCT(Oxides_min!$C50:$BB50,Factors!$C$39:$BB$39))/2)</f>
        <v>0</v>
      </c>
      <c r="AG50" s="20">
        <f>MIN(MAX(0,(SUMPRODUCT(Oxides_min!$C50:$BB50,Factors!$C$40:$BB$40)+SUMPRODUCT(Oxides_max!$C50:$BB50,Factors!$C$40:$BB$40))/2),ABS(SUMPRODUCT(Oxides_max!$C50:$BB50,Factors!$C$40:$BB$40)-SUMPRODUCT(Oxides_min!$C50:$BB50,Factors!$C$40:$BB$40))/2)</f>
        <v>0</v>
      </c>
      <c r="AH50" s="20">
        <f>MIN(MAX(0,(SUMPRODUCT(Oxides_min!$C50:$BB50,Factors!$C$41:$BB$41)+SUMPRODUCT(Oxides_max!$C50:$BB50,Factors!$C$41:$BB$41))/2),ABS(SUMPRODUCT(Oxides_max!$C50:$BB50,Factors!$C$41:$BB$41)-SUMPRODUCT(Oxides_min!$C50:$BB50,Factors!$C$41:$BB$41))/2)</f>
        <v>0</v>
      </c>
      <c r="AI50" s="20">
        <f>MIN(MAX(0,(SUMPRODUCT(Oxides_min!$C50:$BB50,Factors!$C$42:$BB$42)+SUMPRODUCT(Oxides_max!$C50:$BB50,Factors!$C$42:$BB$42))/2),ABS(SUMPRODUCT(Oxides_max!$C50:$BB50,Factors!$C$42:$BB$42)-SUMPRODUCT(Oxides_min!$C50:$BB50,Factors!$C$42:$BB$42))/2)</f>
        <v>0</v>
      </c>
      <c r="AJ50" s="20">
        <f>MIN(MAX(0,(SUMPRODUCT(Oxides_min!$C50:$BB50,Factors!$C$43:$BB$43)+SUMPRODUCT(Oxides_max!$C50:$BB50,Factors!$C$43:$BB$43))/2),ABS(SUMPRODUCT(Oxides_max!$C50:$BB50,Factors!$C$43:$BB$43)-SUMPRODUCT(Oxides_min!$C50:$BB50,Factors!$C$43:$BB$43))/2)</f>
        <v>0</v>
      </c>
      <c r="AK50" s="20">
        <f>MIN(MAX(0,(SUMPRODUCT(Oxides_min!$C50:$BB50,Factors!$C$44:$BB$44)+SUMPRODUCT(Oxides_max!$C50:$BB50,Factors!$C$44:$BB$44))/2),ABS(SUMPRODUCT(Oxides_max!$C50:$BB50,Factors!$C$44:$BB$44)-SUMPRODUCT(Oxides_min!$C50:$BB50,Factors!$C$44:$BB$44))/2)</f>
        <v>0</v>
      </c>
      <c r="AL50" s="20">
        <f>MIN(MAX(0,(SUMPRODUCT(Oxides_min!$C50:$BB50,Factors!$C$45:$BB$45)+SUMPRODUCT(Oxides_max!$C50:$BB50,Factors!$C$45:$BB$45))/2),ABS(SUMPRODUCT(Oxides_max!$C50:$BB50,Factors!$C$45:$BB$45)-SUMPRODUCT(Oxides_min!$C50:$BB50,Factors!$C$45:$BB$45))/2)</f>
        <v>0</v>
      </c>
      <c r="AM50" s="20">
        <f>MIN(MAX(0,(SUMPRODUCT(Oxides_min!$C50:$BB50,Factors!$C$46:$BB$46)+SUMPRODUCT(Oxides_max!$C50:$BB50,Factors!$C$46:$BB$46))/2),ABS(SUMPRODUCT(Oxides_max!$C50:$BB50,Factors!$C$46:$BB$46)-SUMPRODUCT(Oxides_min!$C50:$BB50,Factors!$C$46:$BB$46))/2)</f>
        <v>0</v>
      </c>
      <c r="AN50" s="20">
        <f>MIN(MAX(0,(SUMPRODUCT(Oxides_min!$C50:$BB50,Factors!$C$47:$BB$47)+SUMPRODUCT(Oxides_max!$C50:$BB50,Factors!$C$47:$BB$47))/2),ABS(SUMPRODUCT(Oxides_max!$C50:$BB50,Factors!$C$47:$BB$47)-SUMPRODUCT(Oxides_min!$C50:$BB50,Factors!$C$47:$BB$47))/2)</f>
        <v>0</v>
      </c>
      <c r="AO50" s="20">
        <f>MIN(MAX(0,(SUMPRODUCT(Oxides_min!$C50:$BB50,Factors!$C$48:$BB$48)+SUMPRODUCT(Oxides_max!$C50:$BB50,Factors!$C$48:$BB$48))/2),ABS(SUMPRODUCT(Oxides_max!$C50:$BB50,Factors!$C$48:$BB$48)-SUMPRODUCT(Oxides_min!$C50:$BB50,Factors!$C$48:$BB$48))/2)</f>
        <v>0</v>
      </c>
      <c r="AP50" s="20">
        <f>MIN(MAX(0,(SUMPRODUCT(Oxides_min!$C50:$BB50,Factors!$C$49:$BB$49)+SUMPRODUCT(Oxides_max!$C50:$BB50,Factors!$C$49:$BB$49))/2),ABS(SUMPRODUCT(Oxides_max!$C50:$BB50,Factors!$C$49:$BB$49)-SUMPRODUCT(Oxides_min!$C50:$BB50,Factors!$C$49:$BB$49))/2)</f>
        <v>0</v>
      </c>
      <c r="AQ50" s="20">
        <f>MIN(MAX(0,(SUMPRODUCT(Oxides_min!$C50:$BB50,Factors!$C$50:$BB$50)+SUMPRODUCT(Oxides_max!$C50:$BB50,Factors!$C$50:$BB$50))/2),ABS(SUMPRODUCT(Oxides_max!$C50:$BB50,Factors!$C$50:$BB$50)-SUMPRODUCT(Oxides_min!$C50:$BB50,Factors!$C$50:$BB$50))/2)</f>
        <v>0</v>
      </c>
      <c r="AR50" s="20">
        <f>MIN(MAX(0,(SUMPRODUCT(Oxides_min!$C50:$BB50,Factors!$C$51:$BB$51)+SUMPRODUCT(Oxides_max!$C50:$BB50,Factors!$C$51:$BB$51))/2),ABS(SUMPRODUCT(Oxides_max!$C50:$BB50,Factors!$C$51:$BB$51)-SUMPRODUCT(Oxides_min!$C50:$BB50,Factors!$C$51:$BB$51))/2)</f>
        <v>0</v>
      </c>
      <c r="AS50" s="20">
        <f>MIN(MAX(0,(SUMPRODUCT(Oxides_min!$C50:$BB50,Factors!$C$52:$BB$52)+SUMPRODUCT(Oxides_max!$C50:$BB50,Factors!$C$52:$BB$52))/2),ABS(SUMPRODUCT(Oxides_max!$C50:$BB50,Factors!$C$52:$BB$52)-SUMPRODUCT(Oxides_min!$C50:$BB50,Factors!$C$52:$BB$52))/2)</f>
        <v>0</v>
      </c>
      <c r="AT50" s="20">
        <f>MIN(MAX(0,(SUMPRODUCT(Oxides_min!$C50:$BB50,Factors!$C$53:$BB$53)+SUMPRODUCT(Oxides_max!$C50:$BB50,Factors!$C$53:$BB$53))/2),ABS(SUMPRODUCT(Oxides_max!$C50:$BB50,Factors!$C$53:$BB$53)-SUMPRODUCT(Oxides_min!$C50:$BB50,Factors!$C$53:$BB$53))/2)</f>
        <v>0</v>
      </c>
      <c r="AU50" s="20">
        <f>MIN(MAX(0,(SUMPRODUCT(Oxides_min!$C50:$BB50,Factors!$C$54:$BB$54)+SUMPRODUCT(Oxides_max!$C50:$BB50,Factors!$C$54:$BB$54))/2),ABS(SUMPRODUCT(Oxides_max!$C50:$BB50,Factors!$C$54:$BB$54)-SUMPRODUCT(Oxides_min!$C50:$BB50,Factors!$C$54:$BB$54))/2)</f>
        <v>0</v>
      </c>
      <c r="AV50" s="20">
        <f>MIN(MAX(0,(SUMPRODUCT(Oxides_min!$C50:$BB50,Factors!$C$55:$BB$55)+SUMPRODUCT(Oxides_max!$C50:$BB50,Factors!$C$55:$BB$55))/2),ABS(SUMPRODUCT(Oxides_max!$C50:$BB50,Factors!$C$55:$BB$55)-SUMPRODUCT(Oxides_min!$C50:$BB50,Factors!$C$55:$BB$55))/2)</f>
        <v>0</v>
      </c>
      <c r="AW50" s="20">
        <f>MIN(MAX(0,(SUMPRODUCT(Oxides_min!$C50:$BB50,Factors!$C$56:$BB$56)+SUMPRODUCT(Oxides_max!$C50:$BB50,Factors!$C$56:$BB$56))/2),ABS(SUMPRODUCT(Oxides_max!$C50:$BB50,Factors!$C$56:$BB$56)-SUMPRODUCT(Oxides_min!$C50:$BB50,Factors!$C$56:$BB$56))/2)</f>
        <v>0</v>
      </c>
      <c r="AX50" s="20">
        <f>MIN(MAX(0,(SUMPRODUCT(Oxides_min!$C50:$BB50,Factors!$C$57:$BB$57)+SUMPRODUCT(Oxides_max!$C50:$BB50,Factors!$C$57:$BB$57))/2),ABS(SUMPRODUCT(Oxides_max!$C50:$BB50,Factors!$C$57:$BB$57)-SUMPRODUCT(Oxides_min!$C50:$BB50,Factors!$C$57:$BB$57))/2)</f>
        <v>0</v>
      </c>
      <c r="AY50" s="20">
        <f>MIN(MAX(0,(SUMPRODUCT(Oxides_min!$C50:$BB50,Factors!$C$58:$BB$58)+SUMPRODUCT(Oxides_max!$C50:$BB50,Factors!$C$58:$BB$58))/2),ABS(SUMPRODUCT(Oxides_max!$C50:$BB50,Factors!$C$58:$BB$58)-SUMPRODUCT(Oxides_min!$C50:$BB50,Factors!$C$58:$BB$58))/2)</f>
        <v>0</v>
      </c>
      <c r="AZ50" s="18">
        <f t="shared" si="3"/>
        <v>9.860000000000003</v>
      </c>
    </row>
    <row r="51" spans="1:52" x14ac:dyDescent="0.35">
      <c r="A51" s="13" t="s">
        <v>444</v>
      </c>
      <c r="B51" s="20">
        <f>MIN(MAX(0,(SUMPRODUCT(Oxides_min!$C51:$BB51,Factors!$C$9:$BB$9)+SUMPRODUCT(Oxides_max!$C51:$BB51,Factors!$C$9:$BB$9))/2),ABS(SUMPRODUCT(Oxides_max!$C51:$BB51,Factors!$C$9:$BB$9)-SUMPRODUCT(Oxides_min!$C51:$BB51,Factors!$C$9:$BB$9))/2)</f>
        <v>2.5960283064200524</v>
      </c>
      <c r="C51" s="20">
        <f>MIN(MAX(0,(SUMPRODUCT(Oxides_min!$C51:$BB51,Factors!$C$10:$BB$10)+SUMPRODUCT(Oxides_max!$C51:$BB51,Factors!$C$10:$BB$10))/2),ABS(SUMPRODUCT(Oxides_max!$C51:$BB51,Factors!$C$10:$BB$10)-SUMPRODUCT(Oxides_min!$C51:$BB51,Factors!$C$10:$BB$10))/2)</f>
        <v>0.67077168250586894</v>
      </c>
      <c r="D51" s="20">
        <f>MIN(MAX(0,(SUMPRODUCT(Oxides_min!$C51:$BB51,Factors!$C$11:$BB$11)+SUMPRODUCT(Oxides_max!$C51:$BB51,Factors!$C$11:$BB$11))/2),ABS(SUMPRODUCT(Oxides_max!$C51:$BB51,Factors!$C$11:$BB$11)-SUMPRODUCT(Oxides_min!$C51:$BB51,Factors!$C$11:$BB$11))/2)</f>
        <v>0</v>
      </c>
      <c r="E51" s="20">
        <f>MIN(MAX(0,(SUMPRODUCT(Oxides_min!$C51:$BB51,Factors!$C$12:$BB$12)+SUMPRODUCT(Oxides_max!$C51:$BB51,Factors!$C$12:$BB$12))/2),ABS(SUMPRODUCT(Oxides_max!$C51:$BB51,Factors!$C$12:$BB$12)-SUMPRODUCT(Oxides_min!$C51:$BB51,Factors!$C$12:$BB$12))/2)</f>
        <v>0</v>
      </c>
      <c r="F51" s="20">
        <f>MIN(MAX(0,(SUMPRODUCT(Oxides_min!$C51:$BB51,Factors!$C$13:$BB$13)+SUMPRODUCT(Oxides_max!$C51:$BB51,Factors!$C$13:$BB$13))/2),ABS(SUMPRODUCT(Oxides_max!$C51:$BB51,Factors!$C$13:$BB$13)-SUMPRODUCT(Oxides_min!$C51:$BB51,Factors!$C$13:$BB$13))/2)</f>
        <v>0</v>
      </c>
      <c r="G51" s="20">
        <f>MIN(MAX(0,(SUMPRODUCT(Oxides_min!$C51:$BB51,Factors!$C$14:$BB$14)+SUMPRODUCT(Oxides_max!$C51:$BB51,Factors!$C$14:$BB$14))/2),ABS(SUMPRODUCT(Oxides_max!$C51:$BB51,Factors!$C$14:$BB$14)-SUMPRODUCT(Oxides_min!$C51:$BB51,Factors!$C$14:$BB$14))/2)</f>
        <v>0</v>
      </c>
      <c r="H51" s="20">
        <f>MIN(MAX(0,(SUMPRODUCT(Oxides_min!$C51:$BB51,Factors!$C$15:$BB$15)+SUMPRODUCT(Oxides_max!$C51:$BB51,Factors!$C$15:$BB$15))/2),ABS(SUMPRODUCT(Oxides_max!$C51:$BB51,Factors!$C$15:$BB$15)-SUMPRODUCT(Oxides_min!$C51:$BB51,Factors!$C$15:$BB$15))/2)</f>
        <v>1.6698056037658739</v>
      </c>
      <c r="I51" s="20">
        <f>MIN(MAX(0,(SUMPRODUCT(Oxides_min!$C51:$BB51,Factors!$C$16:$BB$16)+SUMPRODUCT(Oxides_max!$C51:$BB51,Factors!$C$16:$BB$16))/2),ABS(SUMPRODUCT(Oxides_max!$C51:$BB51,Factors!$C$16:$BB$16)-SUMPRODUCT(Oxides_min!$C51:$BB51,Factors!$C$16:$BB$16))/2)</f>
        <v>5.5954460914163333E-2</v>
      </c>
      <c r="J51" s="20">
        <f>MIN(MAX(0,(SUMPRODUCT(Oxides_min!$C51:$BB51,Factors!$C$17:$BB$17)+SUMPRODUCT(Oxides_max!$C51:$BB51,Factors!$C$17:$BB$17))/2),ABS(SUMPRODUCT(Oxides_max!$C51:$BB51,Factors!$C$17:$BB$17)-SUMPRODUCT(Oxides_min!$C51:$BB51,Factors!$C$17:$BB$17))/2)</f>
        <v>0.15876470719586233</v>
      </c>
      <c r="K51" s="20">
        <f>MIN(MAX(0,(SUMPRODUCT(Oxides_min!$C51:$BB51,Factors!$C$18:$BB$18)+SUMPRODUCT(Oxides_max!$C51:$BB51,Factors!$C$18:$BB$18))/2),ABS(SUMPRODUCT(Oxides_max!$C51:$BB51,Factors!$C$18:$BB$18)-SUMPRODUCT(Oxides_min!$C51:$BB51,Factors!$C$18:$BB$18))/2)</f>
        <v>0</v>
      </c>
      <c r="L51" s="20">
        <f>MIN(MAX(0,(SUMPRODUCT(Oxides_min!$C51:$BB51,Factors!$C$19:$BB$19)+SUMPRODUCT(Oxides_max!$C51:$BB51,Factors!$C$19:$BB$19))/2),ABS(SUMPRODUCT(Oxides_max!$C51:$BB51,Factors!$C$19:$BB$19)-SUMPRODUCT(Oxides_min!$C51:$BB51,Factors!$C$19:$BB$19))/2)</f>
        <v>0</v>
      </c>
      <c r="M51" s="20">
        <f>MIN(MAX(0,(SUMPRODUCT(Oxides_min!$C51:$BB51,Factors!$C$20:$BB$20)+SUMPRODUCT(Oxides_max!$C51:$BB51,Factors!$C$20:$BB$20))/2),ABS(SUMPRODUCT(Oxides_max!$C51:$BB51,Factors!$C$20:$BB$20)-SUMPRODUCT(Oxides_min!$C51:$BB51,Factors!$C$20:$BB$20))/2)</f>
        <v>0.15980609865025805</v>
      </c>
      <c r="N51" s="20">
        <f>MIN(MAX(0,(SUMPRODUCT(Oxides_min!$C51:$BB51,Factors!$C$21:$BB$21)+SUMPRODUCT(Oxides_max!$C51:$BB51,Factors!$C$21:$BB$21))/2),ABS(SUMPRODUCT(Oxides_max!$C51:$BB51,Factors!$C$21:$BB$21)-SUMPRODUCT(Oxides_min!$C51:$BB51,Factors!$C$21:$BB$21))/2)</f>
        <v>7.1469586461472612E-2</v>
      </c>
      <c r="O51" s="20">
        <f>MIN(MAX(0,(SUMPRODUCT(Oxides_min!$C51:$BB51,Factors!$C$22:$BB$22)+SUMPRODUCT(Oxides_max!$C51:$BB51,Factors!$C$22:$BB$22))/2),ABS(SUMPRODUCT(Oxides_max!$C51:$BB51,Factors!$C$22:$BB$22)-SUMPRODUCT(Oxides_min!$C51:$BB51,Factors!$C$22:$BB$22))/2)</f>
        <v>0</v>
      </c>
      <c r="P51" s="20">
        <f>MIN(MAX(0,(SUMPRODUCT(Oxides_min!$C51:$BB51,Factors!$C$23:$BB$23)+SUMPRODUCT(Oxides_max!$C51:$BB51,Factors!$C$23:$BB$23))/2),ABS(SUMPRODUCT(Oxides_max!$C51:$BB51,Factors!$C$23:$BB$23)-SUMPRODUCT(Oxides_min!$C51:$BB51,Factors!$C$23:$BB$23))/2)</f>
        <v>0</v>
      </c>
      <c r="Q51" s="20">
        <f>MIN(MAX(0,(SUMPRODUCT(Oxides_min!$C51:$BB51,Factors!$C$24:$BB$24)+SUMPRODUCT(Oxides_max!$C51:$BB51,Factors!$C$24:$BB$24))/2),ABS(SUMPRODUCT(Oxides_max!$C51:$BB51,Factors!$C$24:$BB$24)-SUMPRODUCT(Oxides_min!$C51:$BB51,Factors!$C$24:$BB$24))/2)</f>
        <v>0</v>
      </c>
      <c r="R51" s="20">
        <f>MIN(MAX(0,(SUMPRODUCT(Oxides_min!$C51:$BB51,Factors!$C$25:$BB$25)+SUMPRODUCT(Oxides_max!$C51:$BB51,Factors!$C$25:$BB$25))/2),ABS(SUMPRODUCT(Oxides_max!$C51:$BB51,Factors!$C$25:$BB$25)-SUMPRODUCT(Oxides_min!$C51:$BB51,Factors!$C$25:$BB$25))/2)</f>
        <v>0.22626798867198067</v>
      </c>
      <c r="S51" s="20">
        <f>MIN(MAX(0,(SUMPRODUCT(Oxides_min!$C51:$BB51,Factors!$C$26:$BB$26)+SUMPRODUCT(Oxides_max!$C51:$BB51,Factors!$C$26:$BB$26))/2),ABS(SUMPRODUCT(Oxides_max!$C51:$BB51,Factors!$C$26:$BB$26)-SUMPRODUCT(Oxides_min!$C51:$BB51,Factors!$C$26:$BB$26))/2)</f>
        <v>0.38602035551554392</v>
      </c>
      <c r="T51" s="20">
        <f>MIN(MAX(0,(SUMPRODUCT(Oxides_min!$C51:$BB51,Factors!$C$27:$BB$27)+SUMPRODUCT(Oxides_max!$C51:$BB51,Factors!$C$27:$BB$27))/2),ABS(SUMPRODUCT(Oxides_max!$C51:$BB51,Factors!$C$27:$BB$27)-SUMPRODUCT(Oxides_min!$C51:$BB51,Factors!$C$27:$BB$27))/2)</f>
        <v>0.39950466883095137</v>
      </c>
      <c r="U51" s="20">
        <f>MIN(MAX(0,(SUMPRODUCT(Oxides_min!$C51:$BB51,Factors!$C$28:$BB$28)+SUMPRODUCT(Oxides_max!$C51:$BB51,Factors!$C$28:$BB$28))/2),ABS(SUMPRODUCT(Oxides_max!$C51:$BB51,Factors!$C$28:$BB$28)-SUMPRODUCT(Oxides_min!$C51:$BB51,Factors!$C$28:$BB$28))/2)</f>
        <v>0</v>
      </c>
      <c r="V51" s="20">
        <f>MIN(MAX(0,(SUMPRODUCT(Oxides_min!$C51:$BB51,Factors!$C$29:$BB$29)+SUMPRODUCT(Oxides_max!$C51:$BB51,Factors!$C$29:$BB$29))/2),ABS(SUMPRODUCT(Oxides_max!$C51:$BB51,Factors!$C$29:$BB$29)-SUMPRODUCT(Oxides_min!$C51:$BB51,Factors!$C$29:$BB$29))/2)</f>
        <v>0</v>
      </c>
      <c r="W51" s="20">
        <f>MIN(MAX(0,(SUMPRODUCT(Oxides_min!$C51:$BB51,Factors!$C$30:$BB$30)+SUMPRODUCT(Oxides_max!$C51:$BB51,Factors!$C$30:$BB$30))/2),ABS(SUMPRODUCT(Oxides_max!$C51:$BB51,Factors!$C$30:$BB$30)-SUMPRODUCT(Oxides_min!$C51:$BB51,Factors!$C$30:$BB$30))/2)</f>
        <v>0</v>
      </c>
      <c r="X51" s="20">
        <f>MIN(MAX(0,(SUMPRODUCT(Oxides_min!$C51:$BB51,Factors!$C$31:$BB$31)+SUMPRODUCT(Oxides_max!$C51:$BB51,Factors!$C$31:$BB$31))/2),ABS(SUMPRODUCT(Oxides_max!$C51:$BB51,Factors!$C$31:$BB$31)-SUMPRODUCT(Oxides_min!$C51:$BB51,Factors!$C$31:$BB$31))/2)</f>
        <v>0</v>
      </c>
      <c r="Y51" s="20">
        <f>MIN(MAX(0,(SUMPRODUCT(Oxides_min!$C51:$BB51,Factors!$C$32:$BB$32)+SUMPRODUCT(Oxides_max!$C51:$BB51,Factors!$C$32:$BB$32))/2),ABS(SUMPRODUCT(Oxides_max!$C51:$BB51,Factors!$C$32:$BB$32)-SUMPRODUCT(Oxides_min!$C51:$BB51,Factors!$C$32:$BB$32))/2)</f>
        <v>0</v>
      </c>
      <c r="Z51" s="20">
        <f>MIN(MAX(0,(SUMPRODUCT(Oxides_min!$C51:$BB51,Factors!$C$33:$BB$33)+SUMPRODUCT(Oxides_max!$C51:$BB51,Factors!$C$33:$BB$33))/2),ABS(SUMPRODUCT(Oxides_max!$C51:$BB51,Factors!$C$33:$BB$33)-SUMPRODUCT(Oxides_min!$C51:$BB51,Factors!$C$33:$BB$33))/2)</f>
        <v>0</v>
      </c>
      <c r="AA51" s="20">
        <f>MIN(MAX(0,(SUMPRODUCT(Oxides_min!$C51:$BB51,Factors!$C$34:$BB$34)+SUMPRODUCT(Oxides_max!$C51:$BB51,Factors!$C$34:$BB$34))/2),ABS(SUMPRODUCT(Oxides_max!$C51:$BB51,Factors!$C$34:$BB$34)-SUMPRODUCT(Oxides_min!$C51:$BB51,Factors!$C$34:$BB$34))/2)</f>
        <v>0</v>
      </c>
      <c r="AB51" s="20">
        <f>MIN(MAX(0,(SUMPRODUCT(Oxides_min!$C51:$BB51,Factors!$C$35:$BB$35)+SUMPRODUCT(Oxides_max!$C51:$BB51,Factors!$C$35:$BB$35))/2),ABS(SUMPRODUCT(Oxides_max!$C51:$BB51,Factors!$C$35:$BB$35)-SUMPRODUCT(Oxides_min!$C51:$BB51,Factors!$C$35:$BB$35))/2)</f>
        <v>0</v>
      </c>
      <c r="AC51" s="20">
        <f>MIN(MAX(0,(SUMPRODUCT(Oxides_min!$C51:$BB51,Factors!$C$36:$BB$36)+SUMPRODUCT(Oxides_max!$C51:$BB51,Factors!$C$36:$BB$36))/2),ABS(SUMPRODUCT(Oxides_max!$C51:$BB51,Factors!$C$36:$BB$36)-SUMPRODUCT(Oxides_min!$C51:$BB51,Factors!$C$36:$BB$36))/2)</f>
        <v>0</v>
      </c>
      <c r="AD51" s="20">
        <f>MIN(MAX(0,(SUMPRODUCT(Oxides_min!$C51:$BB51,Factors!$C$37:$BB$37)+SUMPRODUCT(Oxides_max!$C51:$BB51,Factors!$C$37:$BB$37))/2),ABS(SUMPRODUCT(Oxides_max!$C51:$BB51,Factors!$C$37:$BB$37)-SUMPRODUCT(Oxides_min!$C51:$BB51,Factors!$C$37:$BB$37))/2)</f>
        <v>5.5953372189841977E-3</v>
      </c>
      <c r="AE51" s="20">
        <f>MIN(MAX(0,(SUMPRODUCT(Oxides_min!$C51:$BB51,Factors!$C$38:$BB$38)+SUMPRODUCT(Oxides_max!$C51:$BB51,Factors!$C$38:$BB$38))/2),ABS(SUMPRODUCT(Oxides_max!$C51:$BB51,Factors!$C$38:$BB$38)-SUMPRODUCT(Oxides_min!$C51:$BB51,Factors!$C$38:$BB$38))/2)</f>
        <v>1.2350000000000003</v>
      </c>
      <c r="AF51" s="20">
        <f>MIN(MAX(0,(SUMPRODUCT(Oxides_min!$C51:$BB51,Factors!$C$39:$BB$39)+SUMPRODUCT(Oxides_max!$C51:$BB51,Factors!$C$39:$BB$39))/2),ABS(SUMPRODUCT(Oxides_max!$C51:$BB51,Factors!$C$39:$BB$39)-SUMPRODUCT(Oxides_min!$C51:$BB51,Factors!$C$39:$BB$39))/2)</f>
        <v>0</v>
      </c>
      <c r="AG51" s="20">
        <f>MIN(MAX(0,(SUMPRODUCT(Oxides_min!$C51:$BB51,Factors!$C$40:$BB$40)+SUMPRODUCT(Oxides_max!$C51:$BB51,Factors!$C$40:$BB$40))/2),ABS(SUMPRODUCT(Oxides_max!$C51:$BB51,Factors!$C$40:$BB$40)-SUMPRODUCT(Oxides_min!$C51:$BB51,Factors!$C$40:$BB$40))/2)</f>
        <v>0</v>
      </c>
      <c r="AH51" s="20">
        <f>MIN(MAX(0,(SUMPRODUCT(Oxides_min!$C51:$BB51,Factors!$C$41:$BB$41)+SUMPRODUCT(Oxides_max!$C51:$BB51,Factors!$C$41:$BB$41))/2),ABS(SUMPRODUCT(Oxides_max!$C51:$BB51,Factors!$C$41:$BB$41)-SUMPRODUCT(Oxides_min!$C51:$BB51,Factors!$C$41:$BB$41))/2)</f>
        <v>0</v>
      </c>
      <c r="AI51" s="20">
        <f>MIN(MAX(0,(SUMPRODUCT(Oxides_min!$C51:$BB51,Factors!$C$42:$BB$42)+SUMPRODUCT(Oxides_max!$C51:$BB51,Factors!$C$42:$BB$42))/2),ABS(SUMPRODUCT(Oxides_max!$C51:$BB51,Factors!$C$42:$BB$42)-SUMPRODUCT(Oxides_min!$C51:$BB51,Factors!$C$42:$BB$42))/2)</f>
        <v>0</v>
      </c>
      <c r="AJ51" s="20">
        <f>MIN(MAX(0,(SUMPRODUCT(Oxides_min!$C51:$BB51,Factors!$C$43:$BB$43)+SUMPRODUCT(Oxides_max!$C51:$BB51,Factors!$C$43:$BB$43))/2),ABS(SUMPRODUCT(Oxides_max!$C51:$BB51,Factors!$C$43:$BB$43)-SUMPRODUCT(Oxides_min!$C51:$BB51,Factors!$C$43:$BB$43))/2)</f>
        <v>0</v>
      </c>
      <c r="AK51" s="20">
        <f>MIN(MAX(0,(SUMPRODUCT(Oxides_min!$C51:$BB51,Factors!$C$44:$BB$44)+SUMPRODUCT(Oxides_max!$C51:$BB51,Factors!$C$44:$BB$44))/2),ABS(SUMPRODUCT(Oxides_max!$C51:$BB51,Factors!$C$44:$BB$44)-SUMPRODUCT(Oxides_min!$C51:$BB51,Factors!$C$44:$BB$44))/2)</f>
        <v>0</v>
      </c>
      <c r="AL51" s="20">
        <f>MIN(MAX(0,(SUMPRODUCT(Oxides_min!$C51:$BB51,Factors!$C$45:$BB$45)+SUMPRODUCT(Oxides_max!$C51:$BB51,Factors!$C$45:$BB$45))/2),ABS(SUMPRODUCT(Oxides_max!$C51:$BB51,Factors!$C$45:$BB$45)-SUMPRODUCT(Oxides_min!$C51:$BB51,Factors!$C$45:$BB$45))/2)</f>
        <v>0</v>
      </c>
      <c r="AM51" s="20">
        <f>MIN(MAX(0,(SUMPRODUCT(Oxides_min!$C51:$BB51,Factors!$C$46:$BB$46)+SUMPRODUCT(Oxides_max!$C51:$BB51,Factors!$C$46:$BB$46))/2),ABS(SUMPRODUCT(Oxides_max!$C51:$BB51,Factors!$C$46:$BB$46)-SUMPRODUCT(Oxides_min!$C51:$BB51,Factors!$C$46:$BB$46))/2)</f>
        <v>0</v>
      </c>
      <c r="AN51" s="20">
        <f>MIN(MAX(0,(SUMPRODUCT(Oxides_min!$C51:$BB51,Factors!$C$47:$BB$47)+SUMPRODUCT(Oxides_max!$C51:$BB51,Factors!$C$47:$BB$47))/2),ABS(SUMPRODUCT(Oxides_max!$C51:$BB51,Factors!$C$47:$BB$47)-SUMPRODUCT(Oxides_min!$C51:$BB51,Factors!$C$47:$BB$47))/2)</f>
        <v>0</v>
      </c>
      <c r="AO51" s="20">
        <f>MIN(MAX(0,(SUMPRODUCT(Oxides_min!$C51:$BB51,Factors!$C$48:$BB$48)+SUMPRODUCT(Oxides_max!$C51:$BB51,Factors!$C$48:$BB$48))/2),ABS(SUMPRODUCT(Oxides_max!$C51:$BB51,Factors!$C$48:$BB$48)-SUMPRODUCT(Oxides_min!$C51:$BB51,Factors!$C$48:$BB$48))/2)</f>
        <v>0</v>
      </c>
      <c r="AP51" s="20">
        <f>MIN(MAX(0,(SUMPRODUCT(Oxides_min!$C51:$BB51,Factors!$C$49:$BB$49)+SUMPRODUCT(Oxides_max!$C51:$BB51,Factors!$C$49:$BB$49))/2),ABS(SUMPRODUCT(Oxides_max!$C51:$BB51,Factors!$C$49:$BB$49)-SUMPRODUCT(Oxides_min!$C51:$BB51,Factors!$C$49:$BB$49))/2)</f>
        <v>0</v>
      </c>
      <c r="AQ51" s="20">
        <f>MIN(MAX(0,(SUMPRODUCT(Oxides_min!$C51:$BB51,Factors!$C$50:$BB$50)+SUMPRODUCT(Oxides_max!$C51:$BB51,Factors!$C$50:$BB$50))/2),ABS(SUMPRODUCT(Oxides_max!$C51:$BB51,Factors!$C$50:$BB$50)-SUMPRODUCT(Oxides_min!$C51:$BB51,Factors!$C$50:$BB$50))/2)</f>
        <v>0</v>
      </c>
      <c r="AR51" s="20">
        <f>MIN(MAX(0,(SUMPRODUCT(Oxides_min!$C51:$BB51,Factors!$C$51:$BB$51)+SUMPRODUCT(Oxides_max!$C51:$BB51,Factors!$C$51:$BB$51))/2),ABS(SUMPRODUCT(Oxides_max!$C51:$BB51,Factors!$C$51:$BB$51)-SUMPRODUCT(Oxides_min!$C51:$BB51,Factors!$C$51:$BB$51))/2)</f>
        <v>0</v>
      </c>
      <c r="AS51" s="20">
        <f>MIN(MAX(0,(SUMPRODUCT(Oxides_min!$C51:$BB51,Factors!$C$52:$BB$52)+SUMPRODUCT(Oxides_max!$C51:$BB51,Factors!$C$52:$BB$52))/2),ABS(SUMPRODUCT(Oxides_max!$C51:$BB51,Factors!$C$52:$BB$52)-SUMPRODUCT(Oxides_min!$C51:$BB51,Factors!$C$52:$BB$52))/2)</f>
        <v>0</v>
      </c>
      <c r="AT51" s="20">
        <f>MIN(MAX(0,(SUMPRODUCT(Oxides_min!$C51:$BB51,Factors!$C$53:$BB$53)+SUMPRODUCT(Oxides_max!$C51:$BB51,Factors!$C$53:$BB$53))/2),ABS(SUMPRODUCT(Oxides_max!$C51:$BB51,Factors!$C$53:$BB$53)-SUMPRODUCT(Oxides_min!$C51:$BB51,Factors!$C$53:$BB$53))/2)</f>
        <v>0</v>
      </c>
      <c r="AU51" s="20">
        <f>MIN(MAX(0,(SUMPRODUCT(Oxides_min!$C51:$BB51,Factors!$C$54:$BB$54)+SUMPRODUCT(Oxides_max!$C51:$BB51,Factors!$C$54:$BB$54))/2),ABS(SUMPRODUCT(Oxides_max!$C51:$BB51,Factors!$C$54:$BB$54)-SUMPRODUCT(Oxides_min!$C51:$BB51,Factors!$C$54:$BB$54))/2)</f>
        <v>0</v>
      </c>
      <c r="AV51" s="20">
        <f>MIN(MAX(0,(SUMPRODUCT(Oxides_min!$C51:$BB51,Factors!$C$55:$BB$55)+SUMPRODUCT(Oxides_max!$C51:$BB51,Factors!$C$55:$BB$55))/2),ABS(SUMPRODUCT(Oxides_max!$C51:$BB51,Factors!$C$55:$BB$55)-SUMPRODUCT(Oxides_min!$C51:$BB51,Factors!$C$55:$BB$55))/2)</f>
        <v>0</v>
      </c>
      <c r="AW51" s="20">
        <f>MIN(MAX(0,(SUMPRODUCT(Oxides_min!$C51:$BB51,Factors!$C$56:$BB$56)+SUMPRODUCT(Oxides_max!$C51:$BB51,Factors!$C$56:$BB$56))/2),ABS(SUMPRODUCT(Oxides_max!$C51:$BB51,Factors!$C$56:$BB$56)-SUMPRODUCT(Oxides_min!$C51:$BB51,Factors!$C$56:$BB$56))/2)</f>
        <v>0</v>
      </c>
      <c r="AX51" s="20">
        <f>MIN(MAX(0,(SUMPRODUCT(Oxides_min!$C51:$BB51,Factors!$C$57:$BB$57)+SUMPRODUCT(Oxides_max!$C51:$BB51,Factors!$C$57:$BB$57))/2),ABS(SUMPRODUCT(Oxides_max!$C51:$BB51,Factors!$C$57:$BB$57)-SUMPRODUCT(Oxides_min!$C51:$BB51,Factors!$C$57:$BB$57))/2)</f>
        <v>0</v>
      </c>
      <c r="AY51" s="20">
        <f>MIN(MAX(0,(SUMPRODUCT(Oxides_min!$C51:$BB51,Factors!$C$58:$BB$58)+SUMPRODUCT(Oxides_max!$C51:$BB51,Factors!$C$58:$BB$58))/2),ABS(SUMPRODUCT(Oxides_max!$C51:$BB51,Factors!$C$58:$BB$58)-SUMPRODUCT(Oxides_min!$C51:$BB51,Factors!$C$58:$BB$58))/2)</f>
        <v>0</v>
      </c>
      <c r="AZ51" s="18">
        <f t="shared" si="3"/>
        <v>7.6349887961510134</v>
      </c>
    </row>
    <row r="52" spans="1:52" x14ac:dyDescent="0.35">
      <c r="A52" s="13" t="s">
        <v>446</v>
      </c>
      <c r="B52" s="20">
        <f>MIN(MAX(0,(SUMPRODUCT(Oxides_min!$C52:$BB52,Factors!$C$9:$BB$9)+SUMPRODUCT(Oxides_max!$C52:$BB52,Factors!$C$9:$BB$9))/2),ABS(SUMPRODUCT(Oxides_max!$C52:$BB52,Factors!$C$9:$BB$9)-SUMPRODUCT(Oxides_min!$C52:$BB52,Factors!$C$9:$BB$9))/2)</f>
        <v>4.6803670342804082E-2</v>
      </c>
      <c r="C52" s="20">
        <f>MIN(MAX(0,(SUMPRODUCT(Oxides_min!$C52:$BB52,Factors!$C$10:$BB$10)+SUMPRODUCT(Oxides_max!$C52:$BB52,Factors!$C$10:$BB$10))/2),ABS(SUMPRODUCT(Oxides_max!$C52:$BB52,Factors!$C$10:$BB$10)-SUMPRODUCT(Oxides_min!$C52:$BB52,Factors!$C$10:$BB$10))/2)</f>
        <v>0</v>
      </c>
      <c r="D52" s="20">
        <f>MIN(MAX(0,(SUMPRODUCT(Oxides_min!$C52:$BB52,Factors!$C$11:$BB$11)+SUMPRODUCT(Oxides_max!$C52:$BB52,Factors!$C$11:$BB$11))/2),ABS(SUMPRODUCT(Oxides_max!$C52:$BB52,Factors!$C$11:$BB$11)-SUMPRODUCT(Oxides_min!$C52:$BB52,Factors!$C$11:$BB$11))/2)</f>
        <v>0</v>
      </c>
      <c r="E52" s="20">
        <f>MIN(MAX(0,(SUMPRODUCT(Oxides_min!$C52:$BB52,Factors!$C$12:$BB$12)+SUMPRODUCT(Oxides_max!$C52:$BB52,Factors!$C$12:$BB$12))/2),ABS(SUMPRODUCT(Oxides_max!$C52:$BB52,Factors!$C$12:$BB$12)-SUMPRODUCT(Oxides_min!$C52:$BB52,Factors!$C$12:$BB$12))/2)</f>
        <v>0</v>
      </c>
      <c r="F52" s="20">
        <f>MIN(MAX(0,(SUMPRODUCT(Oxides_min!$C52:$BB52,Factors!$C$13:$BB$13)+SUMPRODUCT(Oxides_max!$C52:$BB52,Factors!$C$13:$BB$13))/2),ABS(SUMPRODUCT(Oxides_max!$C52:$BB52,Factors!$C$13:$BB$13)-SUMPRODUCT(Oxides_min!$C52:$BB52,Factors!$C$13:$BB$13))/2)</f>
        <v>0</v>
      </c>
      <c r="G52" s="20">
        <f>MIN(MAX(0,(SUMPRODUCT(Oxides_min!$C52:$BB52,Factors!$C$14:$BB$14)+SUMPRODUCT(Oxides_max!$C52:$BB52,Factors!$C$14:$BB$14))/2),ABS(SUMPRODUCT(Oxides_max!$C52:$BB52,Factors!$C$14:$BB$14)-SUMPRODUCT(Oxides_min!$C52:$BB52,Factors!$C$14:$BB$14))/2)</f>
        <v>0</v>
      </c>
      <c r="H52" s="20">
        <f>MIN(MAX(0,(SUMPRODUCT(Oxides_min!$C52:$BB52,Factors!$C$15:$BB$15)+SUMPRODUCT(Oxides_max!$C52:$BB52,Factors!$C$15:$BB$15))/2),ABS(SUMPRODUCT(Oxides_max!$C52:$BB52,Factors!$C$15:$BB$15)-SUMPRODUCT(Oxides_min!$C52:$BB52,Factors!$C$15:$BB$15))/2)</f>
        <v>0</v>
      </c>
      <c r="I52" s="20">
        <f>MIN(MAX(0,(SUMPRODUCT(Oxides_min!$C52:$BB52,Factors!$C$16:$BB$16)+SUMPRODUCT(Oxides_max!$C52:$BB52,Factors!$C$16:$BB$16))/2),ABS(SUMPRODUCT(Oxides_max!$C52:$BB52,Factors!$C$16:$BB$16)-SUMPRODUCT(Oxides_min!$C52:$BB52,Factors!$C$16:$BB$16))/2)</f>
        <v>0</v>
      </c>
      <c r="J52" s="20">
        <f>MIN(MAX(0,(SUMPRODUCT(Oxides_min!$C52:$BB52,Factors!$C$17:$BB$17)+SUMPRODUCT(Oxides_max!$C52:$BB52,Factors!$C$17:$BB$17))/2),ABS(SUMPRODUCT(Oxides_max!$C52:$BB52,Factors!$C$17:$BB$17)-SUMPRODUCT(Oxides_min!$C52:$BB52,Factors!$C$17:$BB$17))/2)</f>
        <v>0</v>
      </c>
      <c r="K52" s="20">
        <f>MIN(MAX(0,(SUMPRODUCT(Oxides_min!$C52:$BB52,Factors!$C$18:$BB$18)+SUMPRODUCT(Oxides_max!$C52:$BB52,Factors!$C$18:$BB$18))/2),ABS(SUMPRODUCT(Oxides_max!$C52:$BB52,Factors!$C$18:$BB$18)-SUMPRODUCT(Oxides_min!$C52:$BB52,Factors!$C$18:$BB$18))/2)</f>
        <v>0</v>
      </c>
      <c r="L52" s="20">
        <f>MIN(MAX(0,(SUMPRODUCT(Oxides_min!$C52:$BB52,Factors!$C$19:$BB$19)+SUMPRODUCT(Oxides_max!$C52:$BB52,Factors!$C$19:$BB$19))/2),ABS(SUMPRODUCT(Oxides_max!$C52:$BB52,Factors!$C$19:$BB$19)-SUMPRODUCT(Oxides_min!$C52:$BB52,Factors!$C$19:$BB$19))/2)</f>
        <v>0</v>
      </c>
      <c r="M52" s="20">
        <f>MIN(MAX(0,(SUMPRODUCT(Oxides_min!$C52:$BB52,Factors!$C$20:$BB$20)+SUMPRODUCT(Oxides_max!$C52:$BB52,Factors!$C$20:$BB$20))/2),ABS(SUMPRODUCT(Oxides_max!$C52:$BB52,Factors!$C$20:$BB$20)-SUMPRODUCT(Oxides_min!$C52:$BB52,Factors!$C$20:$BB$20))/2)</f>
        <v>0</v>
      </c>
      <c r="N52" s="20">
        <f>MIN(MAX(0,(SUMPRODUCT(Oxides_min!$C52:$BB52,Factors!$C$21:$BB$21)+SUMPRODUCT(Oxides_max!$C52:$BB52,Factors!$C$21:$BB$21))/2),ABS(SUMPRODUCT(Oxides_max!$C52:$BB52,Factors!$C$21:$BB$21)-SUMPRODUCT(Oxides_min!$C52:$BB52,Factors!$C$21:$BB$21))/2)</f>
        <v>2.8587834584588023E-2</v>
      </c>
      <c r="O52" s="20">
        <f>MIN(MAX(0,(SUMPRODUCT(Oxides_min!$C52:$BB52,Factors!$C$22:$BB$22)+SUMPRODUCT(Oxides_max!$C52:$BB52,Factors!$C$22:$BB$22))/2),ABS(SUMPRODUCT(Oxides_max!$C52:$BB52,Factors!$C$22:$BB$22)-SUMPRODUCT(Oxides_min!$C52:$BB52,Factors!$C$22:$BB$22))/2)</f>
        <v>0</v>
      </c>
      <c r="P52" s="20">
        <f>MIN(MAX(0,(SUMPRODUCT(Oxides_min!$C52:$BB52,Factors!$C$23:$BB$23)+SUMPRODUCT(Oxides_max!$C52:$BB52,Factors!$C$23:$BB$23))/2),ABS(SUMPRODUCT(Oxides_max!$C52:$BB52,Factors!$C$23:$BB$23)-SUMPRODUCT(Oxides_min!$C52:$BB52,Factors!$C$23:$BB$23))/2)</f>
        <v>0</v>
      </c>
      <c r="Q52" s="20">
        <f>MIN(MAX(0,(SUMPRODUCT(Oxides_min!$C52:$BB52,Factors!$C$24:$BB$24)+SUMPRODUCT(Oxides_max!$C52:$BB52,Factors!$C$24:$BB$24))/2),ABS(SUMPRODUCT(Oxides_max!$C52:$BB52,Factors!$C$24:$BB$24)-SUMPRODUCT(Oxides_min!$C52:$BB52,Factors!$C$24:$BB$24))/2)</f>
        <v>0</v>
      </c>
      <c r="R52" s="20">
        <f>MIN(MAX(0,(SUMPRODUCT(Oxides_min!$C52:$BB52,Factors!$C$25:$BB$25)+SUMPRODUCT(Oxides_max!$C52:$BB52,Factors!$C$25:$BB$25))/2),ABS(SUMPRODUCT(Oxides_max!$C52:$BB52,Factors!$C$25:$BB$25)-SUMPRODUCT(Oxides_min!$C52:$BB52,Factors!$C$25:$BB$25))/2)</f>
        <v>0</v>
      </c>
      <c r="S52" s="20">
        <f>MIN(MAX(0,(SUMPRODUCT(Oxides_min!$C52:$BB52,Factors!$C$26:$BB$26)+SUMPRODUCT(Oxides_max!$C52:$BB52,Factors!$C$26:$BB$26))/2),ABS(SUMPRODUCT(Oxides_max!$C52:$BB52,Factors!$C$26:$BB$26)-SUMPRODUCT(Oxides_min!$C52:$BB52,Factors!$C$26:$BB$26))/2)</f>
        <v>0</v>
      </c>
      <c r="T52" s="20">
        <f>MIN(MAX(0,(SUMPRODUCT(Oxides_min!$C52:$BB52,Factors!$C$27:$BB$27)+SUMPRODUCT(Oxides_max!$C52:$BB52,Factors!$C$27:$BB$27))/2),ABS(SUMPRODUCT(Oxides_max!$C52:$BB52,Factors!$C$27:$BB$27)-SUMPRODUCT(Oxides_min!$C52:$BB52,Factors!$C$27:$BB$27))/2)</f>
        <v>0</v>
      </c>
      <c r="U52" s="20">
        <f>MIN(MAX(0,(SUMPRODUCT(Oxides_min!$C52:$BB52,Factors!$C$28:$BB$28)+SUMPRODUCT(Oxides_max!$C52:$BB52,Factors!$C$28:$BB$28))/2),ABS(SUMPRODUCT(Oxides_max!$C52:$BB52,Factors!$C$28:$BB$28)-SUMPRODUCT(Oxides_min!$C52:$BB52,Factors!$C$28:$BB$28))/2)</f>
        <v>0</v>
      </c>
      <c r="V52" s="20">
        <f>MIN(MAX(0,(SUMPRODUCT(Oxides_min!$C52:$BB52,Factors!$C$29:$BB$29)+SUMPRODUCT(Oxides_max!$C52:$BB52,Factors!$C$29:$BB$29))/2),ABS(SUMPRODUCT(Oxides_max!$C52:$BB52,Factors!$C$29:$BB$29)-SUMPRODUCT(Oxides_min!$C52:$BB52,Factors!$C$29:$BB$29))/2)</f>
        <v>0</v>
      </c>
      <c r="W52" s="20">
        <f>MIN(MAX(0,(SUMPRODUCT(Oxides_min!$C52:$BB52,Factors!$C$30:$BB$30)+SUMPRODUCT(Oxides_max!$C52:$BB52,Factors!$C$30:$BB$30))/2),ABS(SUMPRODUCT(Oxides_max!$C52:$BB52,Factors!$C$30:$BB$30)-SUMPRODUCT(Oxides_min!$C52:$BB52,Factors!$C$30:$BB$30))/2)</f>
        <v>0</v>
      </c>
      <c r="X52" s="20">
        <f>MIN(MAX(0,(SUMPRODUCT(Oxides_min!$C52:$BB52,Factors!$C$31:$BB$31)+SUMPRODUCT(Oxides_max!$C52:$BB52,Factors!$C$31:$BB$31))/2),ABS(SUMPRODUCT(Oxides_max!$C52:$BB52,Factors!$C$31:$BB$31)-SUMPRODUCT(Oxides_min!$C52:$BB52,Factors!$C$31:$BB$31))/2)</f>
        <v>0</v>
      </c>
      <c r="Y52" s="20">
        <f>MIN(MAX(0,(SUMPRODUCT(Oxides_min!$C52:$BB52,Factors!$C$32:$BB$32)+SUMPRODUCT(Oxides_max!$C52:$BB52,Factors!$C$32:$BB$32))/2),ABS(SUMPRODUCT(Oxides_max!$C52:$BB52,Factors!$C$32:$BB$32)-SUMPRODUCT(Oxides_min!$C52:$BB52,Factors!$C$32:$BB$32))/2)</f>
        <v>0</v>
      </c>
      <c r="Z52" s="20">
        <f>MIN(MAX(0,(SUMPRODUCT(Oxides_min!$C52:$BB52,Factors!$C$33:$BB$33)+SUMPRODUCT(Oxides_max!$C52:$BB52,Factors!$C$33:$BB$33))/2),ABS(SUMPRODUCT(Oxides_max!$C52:$BB52,Factors!$C$33:$BB$33)-SUMPRODUCT(Oxides_min!$C52:$BB52,Factors!$C$33:$BB$33))/2)</f>
        <v>4.5824815823081622E-2</v>
      </c>
      <c r="AA52" s="20">
        <f>MIN(MAX(0,(SUMPRODUCT(Oxides_min!$C52:$BB52,Factors!$C$34:$BB$34)+SUMPRODUCT(Oxides_max!$C52:$BB52,Factors!$C$34:$BB$34))/2),ABS(SUMPRODUCT(Oxides_max!$C52:$BB52,Factors!$C$34:$BB$34)-SUMPRODUCT(Oxides_min!$C52:$BB52,Factors!$C$34:$BB$34))/2)</f>
        <v>0</v>
      </c>
      <c r="AB52" s="20">
        <f>MIN(MAX(0,(SUMPRODUCT(Oxides_min!$C52:$BB52,Factors!$C$35:$BB$35)+SUMPRODUCT(Oxides_max!$C52:$BB52,Factors!$C$35:$BB$35))/2),ABS(SUMPRODUCT(Oxides_max!$C52:$BB52,Factors!$C$35:$BB$35)-SUMPRODUCT(Oxides_min!$C52:$BB52,Factors!$C$35:$BB$35))/2)</f>
        <v>0</v>
      </c>
      <c r="AC52" s="20">
        <f>MIN(MAX(0,(SUMPRODUCT(Oxides_min!$C52:$BB52,Factors!$C$36:$BB$36)+SUMPRODUCT(Oxides_max!$C52:$BB52,Factors!$C$36:$BB$36))/2),ABS(SUMPRODUCT(Oxides_max!$C52:$BB52,Factors!$C$36:$BB$36)-SUMPRODUCT(Oxides_min!$C52:$BB52,Factors!$C$36:$BB$36))/2)</f>
        <v>0</v>
      </c>
      <c r="AD52" s="20">
        <f>MIN(MAX(0,(SUMPRODUCT(Oxides_min!$C52:$BB52,Factors!$C$37:$BB$37)+SUMPRODUCT(Oxides_max!$C52:$BB52,Factors!$C$37:$BB$37))/2),ABS(SUMPRODUCT(Oxides_max!$C52:$BB52,Factors!$C$37:$BB$37)-SUMPRODUCT(Oxides_min!$C52:$BB52,Factors!$C$37:$BB$37))/2)</f>
        <v>0</v>
      </c>
      <c r="AE52" s="20">
        <f>MIN(MAX(0,(SUMPRODUCT(Oxides_min!$C52:$BB52,Factors!$C$38:$BB$38)+SUMPRODUCT(Oxides_max!$C52:$BB52,Factors!$C$38:$BB$38))/2),ABS(SUMPRODUCT(Oxides_max!$C52:$BB52,Factors!$C$38:$BB$38)-SUMPRODUCT(Oxides_min!$C52:$BB52,Factors!$C$38:$BB$38))/2)</f>
        <v>0.1100000000000001</v>
      </c>
      <c r="AF52" s="20">
        <f>MIN(MAX(0,(SUMPRODUCT(Oxides_min!$C52:$BB52,Factors!$C$39:$BB$39)+SUMPRODUCT(Oxides_max!$C52:$BB52,Factors!$C$39:$BB$39))/2),ABS(SUMPRODUCT(Oxides_max!$C52:$BB52,Factors!$C$39:$BB$39)-SUMPRODUCT(Oxides_min!$C52:$BB52,Factors!$C$39:$BB$39))/2)</f>
        <v>0</v>
      </c>
      <c r="AG52" s="20">
        <f>MIN(MAX(0,(SUMPRODUCT(Oxides_min!$C52:$BB52,Factors!$C$40:$BB$40)+SUMPRODUCT(Oxides_max!$C52:$BB52,Factors!$C$40:$BB$40))/2),ABS(SUMPRODUCT(Oxides_max!$C52:$BB52,Factors!$C$40:$BB$40)-SUMPRODUCT(Oxides_min!$C52:$BB52,Factors!$C$40:$BB$40))/2)</f>
        <v>0</v>
      </c>
      <c r="AH52" s="20">
        <f>MIN(MAX(0,(SUMPRODUCT(Oxides_min!$C52:$BB52,Factors!$C$41:$BB$41)+SUMPRODUCT(Oxides_max!$C52:$BB52,Factors!$C$41:$BB$41))/2),ABS(SUMPRODUCT(Oxides_max!$C52:$BB52,Factors!$C$41:$BB$41)-SUMPRODUCT(Oxides_min!$C52:$BB52,Factors!$C$41:$BB$41))/2)</f>
        <v>0</v>
      </c>
      <c r="AI52" s="20">
        <f>MIN(MAX(0,(SUMPRODUCT(Oxides_min!$C52:$BB52,Factors!$C$42:$BB$42)+SUMPRODUCT(Oxides_max!$C52:$BB52,Factors!$C$42:$BB$42))/2),ABS(SUMPRODUCT(Oxides_max!$C52:$BB52,Factors!$C$42:$BB$42)-SUMPRODUCT(Oxides_min!$C52:$BB52,Factors!$C$42:$BB$42))/2)</f>
        <v>0</v>
      </c>
      <c r="AJ52" s="20">
        <f>MIN(MAX(0,(SUMPRODUCT(Oxides_min!$C52:$BB52,Factors!$C$43:$BB$43)+SUMPRODUCT(Oxides_max!$C52:$BB52,Factors!$C$43:$BB$43))/2),ABS(SUMPRODUCT(Oxides_max!$C52:$BB52,Factors!$C$43:$BB$43)-SUMPRODUCT(Oxides_min!$C52:$BB52,Factors!$C$43:$BB$43))/2)</f>
        <v>3.9372197738368614E-2</v>
      </c>
      <c r="AK52" s="20">
        <f>MIN(MAX(0,(SUMPRODUCT(Oxides_min!$C52:$BB52,Factors!$C$44:$BB$44)+SUMPRODUCT(Oxides_max!$C52:$BB52,Factors!$C$44:$BB$44))/2),ABS(SUMPRODUCT(Oxides_max!$C52:$BB52,Factors!$C$44:$BB$44)-SUMPRODUCT(Oxides_min!$C52:$BB52,Factors!$C$44:$BB$44))/2)</f>
        <v>0</v>
      </c>
      <c r="AL52" s="20">
        <f>MIN(MAX(0,(SUMPRODUCT(Oxides_min!$C52:$BB52,Factors!$C$45:$BB$45)+SUMPRODUCT(Oxides_max!$C52:$BB52,Factors!$C$45:$BB$45))/2),ABS(SUMPRODUCT(Oxides_max!$C52:$BB52,Factors!$C$45:$BB$45)-SUMPRODUCT(Oxides_min!$C52:$BB52,Factors!$C$45:$BB$45))/2)</f>
        <v>0</v>
      </c>
      <c r="AM52" s="20">
        <f>MIN(MAX(0,(SUMPRODUCT(Oxides_min!$C52:$BB52,Factors!$C$46:$BB$46)+SUMPRODUCT(Oxides_max!$C52:$BB52,Factors!$C$46:$BB$46))/2),ABS(SUMPRODUCT(Oxides_max!$C52:$BB52,Factors!$C$46:$BB$46)-SUMPRODUCT(Oxides_min!$C52:$BB52,Factors!$C$46:$BB$46))/2)</f>
        <v>0</v>
      </c>
      <c r="AN52" s="20">
        <f>MIN(MAX(0,(SUMPRODUCT(Oxides_min!$C52:$BB52,Factors!$C$47:$BB$47)+SUMPRODUCT(Oxides_max!$C52:$BB52,Factors!$C$47:$BB$47))/2),ABS(SUMPRODUCT(Oxides_max!$C52:$BB52,Factors!$C$47:$BB$47)-SUMPRODUCT(Oxides_min!$C52:$BB52,Factors!$C$47:$BB$47))/2)</f>
        <v>2.5720679622326371E-2</v>
      </c>
      <c r="AO52" s="20">
        <f>MIN(MAX(0,(SUMPRODUCT(Oxides_min!$C52:$BB52,Factors!$C$48:$BB$48)+SUMPRODUCT(Oxides_max!$C52:$BB52,Factors!$C$48:$BB$48))/2),ABS(SUMPRODUCT(Oxides_max!$C52:$BB52,Factors!$C$48:$BB$48)-SUMPRODUCT(Oxides_min!$C52:$BB52,Factors!$C$48:$BB$48))/2)</f>
        <v>0</v>
      </c>
      <c r="AP52" s="20">
        <f>MIN(MAX(0,(SUMPRODUCT(Oxides_min!$C52:$BB52,Factors!$C$49:$BB$49)+SUMPRODUCT(Oxides_max!$C52:$BB52,Factors!$C$49:$BB$49))/2),ABS(SUMPRODUCT(Oxides_max!$C52:$BB52,Factors!$C$49:$BB$49)-SUMPRODUCT(Oxides_min!$C52:$BB52,Factors!$C$49:$BB$49))/2)</f>
        <v>0</v>
      </c>
      <c r="AQ52" s="20">
        <f>MIN(MAX(0,(SUMPRODUCT(Oxides_min!$C52:$BB52,Factors!$C$50:$BB$50)+SUMPRODUCT(Oxides_max!$C52:$BB52,Factors!$C$50:$BB$50))/2),ABS(SUMPRODUCT(Oxides_max!$C52:$BB52,Factors!$C$50:$BB$50)-SUMPRODUCT(Oxides_min!$C52:$BB52,Factors!$C$50:$BB$50))/2)</f>
        <v>2.6027801609392626E-2</v>
      </c>
      <c r="AR52" s="20">
        <f>MIN(MAX(0,(SUMPRODUCT(Oxides_min!$C52:$BB52,Factors!$C$51:$BB$51)+SUMPRODUCT(Oxides_max!$C52:$BB52,Factors!$C$51:$BB$51))/2),ABS(SUMPRODUCT(Oxides_max!$C52:$BB52,Factors!$C$51:$BB$51)-SUMPRODUCT(Oxides_min!$C52:$BB52,Factors!$C$51:$BB$51))/2)</f>
        <v>0</v>
      </c>
      <c r="AS52" s="20">
        <f>MIN(MAX(0,(SUMPRODUCT(Oxides_min!$C52:$BB52,Factors!$C$52:$BB$52)+SUMPRODUCT(Oxides_max!$C52:$BB52,Factors!$C$52:$BB$52))/2),ABS(SUMPRODUCT(Oxides_max!$C52:$BB52,Factors!$C$52:$BB$52)-SUMPRODUCT(Oxides_min!$C52:$BB52,Factors!$C$52:$BB$52))/2)</f>
        <v>0</v>
      </c>
      <c r="AT52" s="20">
        <f>MIN(MAX(0,(SUMPRODUCT(Oxides_min!$C52:$BB52,Factors!$C$53:$BB$53)+SUMPRODUCT(Oxides_max!$C52:$BB52,Factors!$C$53:$BB$53))/2),ABS(SUMPRODUCT(Oxides_max!$C52:$BB52,Factors!$C$53:$BB$53)-SUMPRODUCT(Oxides_min!$C52:$BB52,Factors!$C$53:$BB$53))/2)</f>
        <v>0</v>
      </c>
      <c r="AU52" s="20">
        <f>MIN(MAX(0,(SUMPRODUCT(Oxides_min!$C52:$BB52,Factors!$C$54:$BB$54)+SUMPRODUCT(Oxides_max!$C52:$BB52,Factors!$C$54:$BB$54))/2),ABS(SUMPRODUCT(Oxides_max!$C52:$BB52,Factors!$C$54:$BB$54)-SUMPRODUCT(Oxides_min!$C52:$BB52,Factors!$C$54:$BB$54))/2)</f>
        <v>0</v>
      </c>
      <c r="AV52" s="20">
        <f>MIN(MAX(0,(SUMPRODUCT(Oxides_min!$C52:$BB52,Factors!$C$55:$BB$55)+SUMPRODUCT(Oxides_max!$C52:$BB52,Factors!$C$55:$BB$55))/2),ABS(SUMPRODUCT(Oxides_max!$C52:$BB52,Factors!$C$55:$BB$55)-SUMPRODUCT(Oxides_min!$C52:$BB52,Factors!$C$55:$BB$55))/2)</f>
        <v>0</v>
      </c>
      <c r="AW52" s="20">
        <f>MIN(MAX(0,(SUMPRODUCT(Oxides_min!$C52:$BB52,Factors!$C$56:$BB$56)+SUMPRODUCT(Oxides_max!$C52:$BB52,Factors!$C$56:$BB$56))/2),ABS(SUMPRODUCT(Oxides_max!$C52:$BB52,Factors!$C$56:$BB$56)-SUMPRODUCT(Oxides_min!$C52:$BB52,Factors!$C$56:$BB$56))/2)</f>
        <v>2.6346212892077128E-2</v>
      </c>
      <c r="AX52" s="20">
        <f>MIN(MAX(0,(SUMPRODUCT(Oxides_min!$C52:$BB52,Factors!$C$57:$BB$57)+SUMPRODUCT(Oxides_max!$C52:$BB52,Factors!$C$57:$BB$57))/2),ABS(SUMPRODUCT(Oxides_max!$C52:$BB52,Factors!$C$57:$BB$57)-SUMPRODUCT(Oxides_min!$C52:$BB52,Factors!$C$57:$BB$57))/2)</f>
        <v>0</v>
      </c>
      <c r="AY52" s="20">
        <f>MIN(MAX(0,(SUMPRODUCT(Oxides_min!$C52:$BB52,Factors!$C$58:$BB$58)+SUMPRODUCT(Oxides_max!$C52:$BB52,Factors!$C$58:$BB$58))/2),ABS(SUMPRODUCT(Oxides_max!$C52:$BB52,Factors!$C$58:$BB$58)-SUMPRODUCT(Oxides_min!$C52:$BB52,Factors!$C$58:$BB$58))/2)</f>
        <v>0</v>
      </c>
      <c r="AZ52" s="18">
        <f t="shared" si="3"/>
        <v>0.34868321261263857</v>
      </c>
    </row>
    <row r="53" spans="1:52" x14ac:dyDescent="0.35">
      <c r="A53" s="13" t="s">
        <v>447</v>
      </c>
      <c r="B53" s="20">
        <f>MIN(MAX(0,(SUMPRODUCT(Oxides_min!$C53:$BB53,Factors!$C$9:$BB$9)+SUMPRODUCT(Oxides_max!$C53:$BB53,Factors!$C$9:$BB$9))/2),ABS(SUMPRODUCT(Oxides_max!$C53:$BB53,Factors!$C$9:$BB$9)-SUMPRODUCT(Oxides_min!$C53:$BB53,Factors!$C$9:$BB$9))/2)</f>
        <v>3.4296427186455531</v>
      </c>
      <c r="C53" s="20">
        <f>MIN(MAX(0,(SUMPRODUCT(Oxides_min!$C53:$BB53,Factors!$C$10:$BB$10)+SUMPRODUCT(Oxides_max!$C53:$BB53,Factors!$C$10:$BB$10))/2),ABS(SUMPRODUCT(Oxides_max!$C53:$BB53,Factors!$C$10:$BB$10)-SUMPRODUCT(Oxides_min!$C53:$BB53,Factors!$C$10:$BB$10))/2)</f>
        <v>0.88345538671504364</v>
      </c>
      <c r="D53" s="20">
        <f>MIN(MAX(0,(SUMPRODUCT(Oxides_min!$C53:$BB53,Factors!$C$11:$BB$11)+SUMPRODUCT(Oxides_max!$C53:$BB53,Factors!$C$11:$BB$11))/2),ABS(SUMPRODUCT(Oxides_max!$C53:$BB53,Factors!$C$11:$BB$11)-SUMPRODUCT(Oxides_min!$C53:$BB53,Factors!$C$11:$BB$11))/2)</f>
        <v>0</v>
      </c>
      <c r="E53" s="20">
        <f>MIN(MAX(0,(SUMPRODUCT(Oxides_min!$C53:$BB53,Factors!$C$12:$BB$12)+SUMPRODUCT(Oxides_max!$C53:$BB53,Factors!$C$12:$BB$12))/2),ABS(SUMPRODUCT(Oxides_max!$C53:$BB53,Factors!$C$12:$BB$12)-SUMPRODUCT(Oxides_min!$C53:$BB53,Factors!$C$12:$BB$12))/2)</f>
        <v>0</v>
      </c>
      <c r="F53" s="20">
        <f>MIN(MAX(0,(SUMPRODUCT(Oxides_min!$C53:$BB53,Factors!$C$13:$BB$13)+SUMPRODUCT(Oxides_max!$C53:$BB53,Factors!$C$13:$BB$13))/2),ABS(SUMPRODUCT(Oxides_max!$C53:$BB53,Factors!$C$13:$BB$13)-SUMPRODUCT(Oxides_min!$C53:$BB53,Factors!$C$13:$BB$13))/2)</f>
        <v>0</v>
      </c>
      <c r="G53" s="20">
        <f>MIN(MAX(0,(SUMPRODUCT(Oxides_min!$C53:$BB53,Factors!$C$14:$BB$14)+SUMPRODUCT(Oxides_max!$C53:$BB53,Factors!$C$14:$BB$14))/2),ABS(SUMPRODUCT(Oxides_max!$C53:$BB53,Factors!$C$14:$BB$14)-SUMPRODUCT(Oxides_min!$C53:$BB53,Factors!$C$14:$BB$14))/2)</f>
        <v>0</v>
      </c>
      <c r="H53" s="20">
        <f>MIN(MAX(0,(SUMPRODUCT(Oxides_min!$C53:$BB53,Factors!$C$15:$BB$15)+SUMPRODUCT(Oxides_max!$C53:$BB53,Factors!$C$15:$BB$15))/2),ABS(SUMPRODUCT(Oxides_max!$C53:$BB53,Factors!$C$15:$BB$15)-SUMPRODUCT(Oxides_min!$C53:$BB53,Factors!$C$15:$BB$15))/2)</f>
        <v>0.32020044065874842</v>
      </c>
      <c r="I53" s="20">
        <f>MIN(MAX(0,(SUMPRODUCT(Oxides_min!$C53:$BB53,Factors!$C$16:$BB$16)+SUMPRODUCT(Oxides_max!$C53:$BB53,Factors!$C$16:$BB$16))/2),ABS(SUMPRODUCT(Oxides_max!$C53:$BB53,Factors!$C$16:$BB$16)-SUMPRODUCT(Oxides_min!$C53:$BB53,Factors!$C$16:$BB$16))/2)</f>
        <v>0.45083931852346748</v>
      </c>
      <c r="J53" s="20">
        <f>MIN(MAX(0,(SUMPRODUCT(Oxides_min!$C53:$BB53,Factors!$C$17:$BB$17)+SUMPRODUCT(Oxides_max!$C53:$BB53,Factors!$C$17:$BB$17))/2),ABS(SUMPRODUCT(Oxides_max!$C53:$BB53,Factors!$C$17:$BB$17)-SUMPRODUCT(Oxides_min!$C53:$BB53,Factors!$C$17:$BB$17))/2)</f>
        <v>0</v>
      </c>
      <c r="K53" s="20">
        <f>MIN(MAX(0,(SUMPRODUCT(Oxides_min!$C53:$BB53,Factors!$C$18:$BB$18)+SUMPRODUCT(Oxides_max!$C53:$BB53,Factors!$C$18:$BB$18))/2),ABS(SUMPRODUCT(Oxides_max!$C53:$BB53,Factors!$C$18:$BB$18)-SUMPRODUCT(Oxides_min!$C53:$BB53,Factors!$C$18:$BB$18))/2)</f>
        <v>0</v>
      </c>
      <c r="L53" s="20">
        <f>MIN(MAX(0,(SUMPRODUCT(Oxides_min!$C53:$BB53,Factors!$C$19:$BB$19)+SUMPRODUCT(Oxides_max!$C53:$BB53,Factors!$C$19:$BB$19))/2),ABS(SUMPRODUCT(Oxides_max!$C53:$BB53,Factors!$C$19:$BB$19)-SUMPRODUCT(Oxides_min!$C53:$BB53,Factors!$C$19:$BB$19))/2)</f>
        <v>0</v>
      </c>
      <c r="M53" s="20">
        <f>MIN(MAX(0,(SUMPRODUCT(Oxides_min!$C53:$BB53,Factors!$C$20:$BB$20)+SUMPRODUCT(Oxides_max!$C53:$BB53,Factors!$C$20:$BB$20))/2),ABS(SUMPRODUCT(Oxides_max!$C53:$BB53,Factors!$C$20:$BB$20)-SUMPRODUCT(Oxides_min!$C53:$BB53,Factors!$C$20:$BB$20))/2)</f>
        <v>0</v>
      </c>
      <c r="N53" s="20">
        <f>MIN(MAX(0,(SUMPRODUCT(Oxides_min!$C53:$BB53,Factors!$C$21:$BB$21)+SUMPRODUCT(Oxides_max!$C53:$BB53,Factors!$C$21:$BB$21))/2),ABS(SUMPRODUCT(Oxides_max!$C53:$BB53,Factors!$C$21:$BB$21)-SUMPRODUCT(Oxides_min!$C53:$BB53,Factors!$C$21:$BB$21))/2)</f>
        <v>0</v>
      </c>
      <c r="O53" s="20">
        <f>MIN(MAX(0,(SUMPRODUCT(Oxides_min!$C53:$BB53,Factors!$C$22:$BB$22)+SUMPRODUCT(Oxides_max!$C53:$BB53,Factors!$C$22:$BB$22))/2),ABS(SUMPRODUCT(Oxides_max!$C53:$BB53,Factors!$C$22:$BB$22)-SUMPRODUCT(Oxides_min!$C53:$BB53,Factors!$C$22:$BB$22))/2)</f>
        <v>0</v>
      </c>
      <c r="P53" s="20">
        <f>MIN(MAX(0,(SUMPRODUCT(Oxides_min!$C53:$BB53,Factors!$C$23:$BB$23)+SUMPRODUCT(Oxides_max!$C53:$BB53,Factors!$C$23:$BB$23))/2),ABS(SUMPRODUCT(Oxides_max!$C53:$BB53,Factors!$C$23:$BB$23)-SUMPRODUCT(Oxides_min!$C53:$BB53,Factors!$C$23:$BB$23))/2)</f>
        <v>0</v>
      </c>
      <c r="Q53" s="20">
        <f>MIN(MAX(0,(SUMPRODUCT(Oxides_min!$C53:$BB53,Factors!$C$24:$BB$24)+SUMPRODUCT(Oxides_max!$C53:$BB53,Factors!$C$24:$BB$24))/2),ABS(SUMPRODUCT(Oxides_max!$C53:$BB53,Factors!$C$24:$BB$24)-SUMPRODUCT(Oxides_min!$C53:$BB53,Factors!$C$24:$BB$24))/2)</f>
        <v>0</v>
      </c>
      <c r="R53" s="20">
        <f>MIN(MAX(0,(SUMPRODUCT(Oxides_min!$C53:$BB53,Factors!$C$25:$BB$25)+SUMPRODUCT(Oxides_max!$C53:$BB53,Factors!$C$25:$BB$25))/2),ABS(SUMPRODUCT(Oxides_max!$C53:$BB53,Factors!$C$25:$BB$25)-SUMPRODUCT(Oxides_min!$C53:$BB53,Factors!$C$25:$BB$25))/2)</f>
        <v>0.45624528863366598</v>
      </c>
      <c r="S53" s="20">
        <f>MIN(MAX(0,(SUMPRODUCT(Oxides_min!$C53:$BB53,Factors!$C$26:$BB$26)+SUMPRODUCT(Oxides_max!$C53:$BB53,Factors!$C$26:$BB$26))/2),ABS(SUMPRODUCT(Oxides_max!$C53:$BB53,Factors!$C$26:$BB$26)-SUMPRODUCT(Oxides_min!$C53:$BB53,Factors!$C$26:$BB$26))/2)</f>
        <v>0</v>
      </c>
      <c r="T53" s="20">
        <f>MIN(MAX(0,(SUMPRODUCT(Oxides_min!$C53:$BB53,Factors!$C$27:$BB$27)+SUMPRODUCT(Oxides_max!$C53:$BB53,Factors!$C$27:$BB$27))/2),ABS(SUMPRODUCT(Oxides_max!$C53:$BB53,Factors!$C$27:$BB$27)-SUMPRODUCT(Oxides_min!$C53:$BB53,Factors!$C$27:$BB$27))/2)</f>
        <v>0.30195120318618429</v>
      </c>
      <c r="U53" s="20">
        <f>MIN(MAX(0,(SUMPRODUCT(Oxides_min!$C53:$BB53,Factors!$C$28:$BB$28)+SUMPRODUCT(Oxides_max!$C53:$BB53,Factors!$C$28:$BB$28))/2),ABS(SUMPRODUCT(Oxides_max!$C53:$BB53,Factors!$C$28:$BB$28)-SUMPRODUCT(Oxides_min!$C53:$BB53,Factors!$C$28:$BB$28))/2)</f>
        <v>0</v>
      </c>
      <c r="V53" s="20">
        <f>MIN(MAX(0,(SUMPRODUCT(Oxides_min!$C53:$BB53,Factors!$C$29:$BB$29)+SUMPRODUCT(Oxides_max!$C53:$BB53,Factors!$C$29:$BB$29))/2),ABS(SUMPRODUCT(Oxides_max!$C53:$BB53,Factors!$C$29:$BB$29)-SUMPRODUCT(Oxides_min!$C53:$BB53,Factors!$C$29:$BB$29))/2)</f>
        <v>0.57111693422851362</v>
      </c>
      <c r="W53" s="20">
        <f>MIN(MAX(0,(SUMPRODUCT(Oxides_min!$C53:$BB53,Factors!$C$30:$BB$30)+SUMPRODUCT(Oxides_max!$C53:$BB53,Factors!$C$30:$BB$30))/2),ABS(SUMPRODUCT(Oxides_max!$C53:$BB53,Factors!$C$30:$BB$30)-SUMPRODUCT(Oxides_min!$C53:$BB53,Factors!$C$30:$BB$30))/2)</f>
        <v>0</v>
      </c>
      <c r="X53" s="20">
        <f>MIN(MAX(0,(SUMPRODUCT(Oxides_min!$C53:$BB53,Factors!$C$31:$BB$31)+SUMPRODUCT(Oxides_max!$C53:$BB53,Factors!$C$31:$BB$31))/2),ABS(SUMPRODUCT(Oxides_max!$C53:$BB53,Factors!$C$31:$BB$31)-SUMPRODUCT(Oxides_min!$C53:$BB53,Factors!$C$31:$BB$31))/2)</f>
        <v>0</v>
      </c>
      <c r="Y53" s="20">
        <f>MIN(MAX(0,(SUMPRODUCT(Oxides_min!$C53:$BB53,Factors!$C$32:$BB$32)+SUMPRODUCT(Oxides_max!$C53:$BB53,Factors!$C$32:$BB$32))/2),ABS(SUMPRODUCT(Oxides_max!$C53:$BB53,Factors!$C$32:$BB$32)-SUMPRODUCT(Oxides_min!$C53:$BB53,Factors!$C$32:$BB$32))/2)</f>
        <v>0</v>
      </c>
      <c r="Z53" s="20">
        <f>MIN(MAX(0,(SUMPRODUCT(Oxides_min!$C53:$BB53,Factors!$C$33:$BB$33)+SUMPRODUCT(Oxides_max!$C53:$BB53,Factors!$C$33:$BB$33))/2),ABS(SUMPRODUCT(Oxides_max!$C53:$BB53,Factors!$C$33:$BB$33)-SUMPRODUCT(Oxides_min!$C53:$BB53,Factors!$C$33:$BB$33))/2)</f>
        <v>0</v>
      </c>
      <c r="AA53" s="20">
        <f>MIN(MAX(0,(SUMPRODUCT(Oxides_min!$C53:$BB53,Factors!$C$34:$BB$34)+SUMPRODUCT(Oxides_max!$C53:$BB53,Factors!$C$34:$BB$34))/2),ABS(SUMPRODUCT(Oxides_max!$C53:$BB53,Factors!$C$34:$BB$34)-SUMPRODUCT(Oxides_min!$C53:$BB53,Factors!$C$34:$BB$34))/2)</f>
        <v>0</v>
      </c>
      <c r="AB53" s="20">
        <f>MIN(MAX(0,(SUMPRODUCT(Oxides_min!$C53:$BB53,Factors!$C$35:$BB$35)+SUMPRODUCT(Oxides_max!$C53:$BB53,Factors!$C$35:$BB$35))/2),ABS(SUMPRODUCT(Oxides_max!$C53:$BB53,Factors!$C$35:$BB$35)-SUMPRODUCT(Oxides_min!$C53:$BB53,Factors!$C$35:$BB$35))/2)</f>
        <v>0</v>
      </c>
      <c r="AC53" s="20">
        <f>MIN(MAX(0,(SUMPRODUCT(Oxides_min!$C53:$BB53,Factors!$C$36:$BB$36)+SUMPRODUCT(Oxides_max!$C53:$BB53,Factors!$C$36:$BB$36))/2),ABS(SUMPRODUCT(Oxides_max!$C53:$BB53,Factors!$C$36:$BB$36)-SUMPRODUCT(Oxides_min!$C53:$BB53,Factors!$C$36:$BB$36))/2)</f>
        <v>0</v>
      </c>
      <c r="AD53" s="20">
        <f>MIN(MAX(0,(SUMPRODUCT(Oxides_min!$C53:$BB53,Factors!$C$37:$BB$37)+SUMPRODUCT(Oxides_max!$C53:$BB53,Factors!$C$37:$BB$37))/2),ABS(SUMPRODUCT(Oxides_max!$C53:$BB53,Factors!$C$37:$BB$37)-SUMPRODUCT(Oxides_min!$C53:$BB53,Factors!$C$37:$BB$37))/2)</f>
        <v>6.154870940882598E-2</v>
      </c>
      <c r="AE53" s="20">
        <f>MIN(MAX(0,(SUMPRODUCT(Oxides_min!$C53:$BB53,Factors!$C$38:$BB$38)+SUMPRODUCT(Oxides_max!$C53:$BB53,Factors!$C$38:$BB$38))/2),ABS(SUMPRODUCT(Oxides_max!$C53:$BB53,Factors!$C$38:$BB$38)-SUMPRODUCT(Oxides_min!$C53:$BB53,Factors!$C$38:$BB$38))/2)</f>
        <v>0</v>
      </c>
      <c r="AF53" s="20">
        <f>MIN(MAX(0,(SUMPRODUCT(Oxides_min!$C53:$BB53,Factors!$C$39:$BB$39)+SUMPRODUCT(Oxides_max!$C53:$BB53,Factors!$C$39:$BB$39))/2),ABS(SUMPRODUCT(Oxides_max!$C53:$BB53,Factors!$C$39:$BB$39)-SUMPRODUCT(Oxides_min!$C53:$BB53,Factors!$C$39:$BB$39))/2)</f>
        <v>0</v>
      </c>
      <c r="AG53" s="20">
        <f>MIN(MAX(0,(SUMPRODUCT(Oxides_min!$C53:$BB53,Factors!$C$40:$BB$40)+SUMPRODUCT(Oxides_max!$C53:$BB53,Factors!$C$40:$BB$40))/2),ABS(SUMPRODUCT(Oxides_max!$C53:$BB53,Factors!$C$40:$BB$40)-SUMPRODUCT(Oxides_min!$C53:$BB53,Factors!$C$40:$BB$40))/2)</f>
        <v>0</v>
      </c>
      <c r="AH53" s="20">
        <f>MIN(MAX(0,(SUMPRODUCT(Oxides_min!$C53:$BB53,Factors!$C$41:$BB$41)+SUMPRODUCT(Oxides_max!$C53:$BB53,Factors!$C$41:$BB$41))/2),ABS(SUMPRODUCT(Oxides_max!$C53:$BB53,Factors!$C$41:$BB$41)-SUMPRODUCT(Oxides_min!$C53:$BB53,Factors!$C$41:$BB$41))/2)</f>
        <v>0</v>
      </c>
      <c r="AI53" s="20">
        <f>MIN(MAX(0,(SUMPRODUCT(Oxides_min!$C53:$BB53,Factors!$C$42:$BB$42)+SUMPRODUCT(Oxides_max!$C53:$BB53,Factors!$C$42:$BB$42))/2),ABS(SUMPRODUCT(Oxides_max!$C53:$BB53,Factors!$C$42:$BB$42)-SUMPRODUCT(Oxides_min!$C53:$BB53,Factors!$C$42:$BB$42))/2)</f>
        <v>0</v>
      </c>
      <c r="AJ53" s="20">
        <f>MIN(MAX(0,(SUMPRODUCT(Oxides_min!$C53:$BB53,Factors!$C$43:$BB$43)+SUMPRODUCT(Oxides_max!$C53:$BB53,Factors!$C$43:$BB$43))/2),ABS(SUMPRODUCT(Oxides_max!$C53:$BB53,Factors!$C$43:$BB$43)-SUMPRODUCT(Oxides_min!$C53:$BB53,Factors!$C$43:$BB$43))/2)</f>
        <v>0</v>
      </c>
      <c r="AK53" s="20">
        <f>MIN(MAX(0,(SUMPRODUCT(Oxides_min!$C53:$BB53,Factors!$C$44:$BB$44)+SUMPRODUCT(Oxides_max!$C53:$BB53,Factors!$C$44:$BB$44))/2),ABS(SUMPRODUCT(Oxides_max!$C53:$BB53,Factors!$C$44:$BB$44)-SUMPRODUCT(Oxides_min!$C53:$BB53,Factors!$C$44:$BB$44))/2)</f>
        <v>0</v>
      </c>
      <c r="AL53" s="20">
        <f>MIN(MAX(0,(SUMPRODUCT(Oxides_min!$C53:$BB53,Factors!$C$45:$BB$45)+SUMPRODUCT(Oxides_max!$C53:$BB53,Factors!$C$45:$BB$45))/2),ABS(SUMPRODUCT(Oxides_max!$C53:$BB53,Factors!$C$45:$BB$45)-SUMPRODUCT(Oxides_min!$C53:$BB53,Factors!$C$45:$BB$45))/2)</f>
        <v>0</v>
      </c>
      <c r="AM53" s="20">
        <f>MIN(MAX(0,(SUMPRODUCT(Oxides_min!$C53:$BB53,Factors!$C$46:$BB$46)+SUMPRODUCT(Oxides_max!$C53:$BB53,Factors!$C$46:$BB$46))/2),ABS(SUMPRODUCT(Oxides_max!$C53:$BB53,Factors!$C$46:$BB$46)-SUMPRODUCT(Oxides_min!$C53:$BB53,Factors!$C$46:$BB$46))/2)</f>
        <v>0</v>
      </c>
      <c r="AN53" s="20">
        <f>MIN(MAX(0,(SUMPRODUCT(Oxides_min!$C53:$BB53,Factors!$C$47:$BB$47)+SUMPRODUCT(Oxides_max!$C53:$BB53,Factors!$C$47:$BB$47))/2),ABS(SUMPRODUCT(Oxides_max!$C53:$BB53,Factors!$C$47:$BB$47)-SUMPRODUCT(Oxides_min!$C53:$BB53,Factors!$C$47:$BB$47))/2)</f>
        <v>0</v>
      </c>
      <c r="AO53" s="20">
        <f>MIN(MAX(0,(SUMPRODUCT(Oxides_min!$C53:$BB53,Factors!$C$48:$BB$48)+SUMPRODUCT(Oxides_max!$C53:$BB53,Factors!$C$48:$BB$48))/2),ABS(SUMPRODUCT(Oxides_max!$C53:$BB53,Factors!$C$48:$BB$48)-SUMPRODUCT(Oxides_min!$C53:$BB53,Factors!$C$48:$BB$48))/2)</f>
        <v>0</v>
      </c>
      <c r="AP53" s="20">
        <f>MIN(MAX(0,(SUMPRODUCT(Oxides_min!$C53:$BB53,Factors!$C$49:$BB$49)+SUMPRODUCT(Oxides_max!$C53:$BB53,Factors!$C$49:$BB$49))/2),ABS(SUMPRODUCT(Oxides_max!$C53:$BB53,Factors!$C$49:$BB$49)-SUMPRODUCT(Oxides_min!$C53:$BB53,Factors!$C$49:$BB$49))/2)</f>
        <v>0</v>
      </c>
      <c r="AQ53" s="20">
        <f>MIN(MAX(0,(SUMPRODUCT(Oxides_min!$C53:$BB53,Factors!$C$50:$BB$50)+SUMPRODUCT(Oxides_max!$C53:$BB53,Factors!$C$50:$BB$50))/2),ABS(SUMPRODUCT(Oxides_max!$C53:$BB53,Factors!$C$50:$BB$50)-SUMPRODUCT(Oxides_min!$C53:$BB53,Factors!$C$50:$BB$50))/2)</f>
        <v>0</v>
      </c>
      <c r="AR53" s="20">
        <f>MIN(MAX(0,(SUMPRODUCT(Oxides_min!$C53:$BB53,Factors!$C$51:$BB$51)+SUMPRODUCT(Oxides_max!$C53:$BB53,Factors!$C$51:$BB$51))/2),ABS(SUMPRODUCT(Oxides_max!$C53:$BB53,Factors!$C$51:$BB$51)-SUMPRODUCT(Oxides_min!$C53:$BB53,Factors!$C$51:$BB$51))/2)</f>
        <v>0</v>
      </c>
      <c r="AS53" s="20">
        <f>MIN(MAX(0,(SUMPRODUCT(Oxides_min!$C53:$BB53,Factors!$C$52:$BB$52)+SUMPRODUCT(Oxides_max!$C53:$BB53,Factors!$C$52:$BB$52))/2),ABS(SUMPRODUCT(Oxides_max!$C53:$BB53,Factors!$C$52:$BB$52)-SUMPRODUCT(Oxides_min!$C53:$BB53,Factors!$C$52:$BB$52))/2)</f>
        <v>0</v>
      </c>
      <c r="AT53" s="20">
        <f>MIN(MAX(0,(SUMPRODUCT(Oxides_min!$C53:$BB53,Factors!$C$53:$BB$53)+SUMPRODUCT(Oxides_max!$C53:$BB53,Factors!$C$53:$BB$53))/2),ABS(SUMPRODUCT(Oxides_max!$C53:$BB53,Factors!$C$53:$BB$53)-SUMPRODUCT(Oxides_min!$C53:$BB53,Factors!$C$53:$BB$53))/2)</f>
        <v>0</v>
      </c>
      <c r="AU53" s="20">
        <f>MIN(MAX(0,(SUMPRODUCT(Oxides_min!$C53:$BB53,Factors!$C$54:$BB$54)+SUMPRODUCT(Oxides_max!$C53:$BB53,Factors!$C$54:$BB$54))/2),ABS(SUMPRODUCT(Oxides_max!$C53:$BB53,Factors!$C$54:$BB$54)-SUMPRODUCT(Oxides_min!$C53:$BB53,Factors!$C$54:$BB$54))/2)</f>
        <v>0</v>
      </c>
      <c r="AV53" s="20">
        <f>MIN(MAX(0,(SUMPRODUCT(Oxides_min!$C53:$BB53,Factors!$C$55:$BB$55)+SUMPRODUCT(Oxides_max!$C53:$BB53,Factors!$C$55:$BB$55))/2),ABS(SUMPRODUCT(Oxides_max!$C53:$BB53,Factors!$C$55:$BB$55)-SUMPRODUCT(Oxides_min!$C53:$BB53,Factors!$C$55:$BB$55))/2)</f>
        <v>0</v>
      </c>
      <c r="AW53" s="20">
        <f>MIN(MAX(0,(SUMPRODUCT(Oxides_min!$C53:$BB53,Factors!$C$56:$BB$56)+SUMPRODUCT(Oxides_max!$C53:$BB53,Factors!$C$56:$BB$56))/2),ABS(SUMPRODUCT(Oxides_max!$C53:$BB53,Factors!$C$56:$BB$56)-SUMPRODUCT(Oxides_min!$C53:$BB53,Factors!$C$56:$BB$56))/2)</f>
        <v>0</v>
      </c>
      <c r="AX53" s="20">
        <f>MIN(MAX(0,(SUMPRODUCT(Oxides_min!$C53:$BB53,Factors!$C$57:$BB$57)+SUMPRODUCT(Oxides_max!$C53:$BB53,Factors!$C$57:$BB$57))/2),ABS(SUMPRODUCT(Oxides_max!$C53:$BB53,Factors!$C$57:$BB$57)-SUMPRODUCT(Oxides_min!$C53:$BB53,Factors!$C$57:$BB$57))/2)</f>
        <v>0</v>
      </c>
      <c r="AY53" s="20">
        <f>MIN(MAX(0,(SUMPRODUCT(Oxides_min!$C53:$BB53,Factors!$C$58:$BB$58)+SUMPRODUCT(Oxides_max!$C53:$BB53,Factors!$C$58:$BB$58))/2),ABS(SUMPRODUCT(Oxides_max!$C53:$BB53,Factors!$C$58:$BB$58)-SUMPRODUCT(Oxides_min!$C53:$BB53,Factors!$C$58:$BB$58))/2)</f>
        <v>0</v>
      </c>
      <c r="AZ53" s="18">
        <f t="shared" si="3"/>
        <v>6.4750000000000023</v>
      </c>
    </row>
    <row r="54" spans="1:52" x14ac:dyDescent="0.35">
      <c r="A54" s="13" t="s">
        <v>449</v>
      </c>
      <c r="B54" s="20">
        <f>MIN(MAX(0,(SUMPRODUCT(Oxides_min!$C54:$BB54,Factors!$C$9:$BB$9)+SUMPRODUCT(Oxides_max!$C54:$BB54,Factors!$C$9:$BB$9))/2),ABS(SUMPRODUCT(Oxides_max!$C54:$BB54,Factors!$C$9:$BB$9)-SUMPRODUCT(Oxides_min!$C54:$BB54,Factors!$C$9:$BB$9))/2)</f>
        <v>0.45564683111471993</v>
      </c>
      <c r="C54" s="20">
        <f>MIN(MAX(0,(SUMPRODUCT(Oxides_min!$C54:$BB54,Factors!$C$10:$BB$10)+SUMPRODUCT(Oxides_max!$C54:$BB54,Factors!$C$10:$BB$10))/2),ABS(SUMPRODUCT(Oxides_max!$C54:$BB54,Factors!$C$10:$BB$10)-SUMPRODUCT(Oxides_min!$C54:$BB54,Factors!$C$10:$BB$10))/2)</f>
        <v>0</v>
      </c>
      <c r="D54" s="20">
        <f>MIN(MAX(0,(SUMPRODUCT(Oxides_min!$C54:$BB54,Factors!$C$11:$BB$11)+SUMPRODUCT(Oxides_max!$C54:$BB54,Factors!$C$11:$BB$11))/2),ABS(SUMPRODUCT(Oxides_max!$C54:$BB54,Factors!$C$11:$BB$11)-SUMPRODUCT(Oxides_min!$C54:$BB54,Factors!$C$11:$BB$11))/2)</f>
        <v>0</v>
      </c>
      <c r="E54" s="20">
        <f>MIN(MAX(0,(SUMPRODUCT(Oxides_min!$C54:$BB54,Factors!$C$12:$BB$12)+SUMPRODUCT(Oxides_max!$C54:$BB54,Factors!$C$12:$BB$12))/2),ABS(SUMPRODUCT(Oxides_max!$C54:$BB54,Factors!$C$12:$BB$12)-SUMPRODUCT(Oxides_min!$C54:$BB54,Factors!$C$12:$BB$12))/2)</f>
        <v>0</v>
      </c>
      <c r="F54" s="20">
        <f>MIN(MAX(0,(SUMPRODUCT(Oxides_min!$C54:$BB54,Factors!$C$13:$BB$13)+SUMPRODUCT(Oxides_max!$C54:$BB54,Factors!$C$13:$BB$13))/2),ABS(SUMPRODUCT(Oxides_max!$C54:$BB54,Factors!$C$13:$BB$13)-SUMPRODUCT(Oxides_min!$C54:$BB54,Factors!$C$13:$BB$13))/2)</f>
        <v>0</v>
      </c>
      <c r="G54" s="20">
        <f>MIN(MAX(0,(SUMPRODUCT(Oxides_min!$C54:$BB54,Factors!$C$14:$BB$14)+SUMPRODUCT(Oxides_max!$C54:$BB54,Factors!$C$14:$BB$14))/2),ABS(SUMPRODUCT(Oxides_max!$C54:$BB54,Factors!$C$14:$BB$14)-SUMPRODUCT(Oxides_min!$C54:$BB54,Factors!$C$14:$BB$14))/2)</f>
        <v>0</v>
      </c>
      <c r="H54" s="20">
        <f>MIN(MAX(0,(SUMPRODUCT(Oxides_min!$C54:$BB54,Factors!$C$15:$BB$15)+SUMPRODUCT(Oxides_max!$C54:$BB54,Factors!$C$15:$BB$15))/2),ABS(SUMPRODUCT(Oxides_max!$C54:$BB54,Factors!$C$15:$BB$15)-SUMPRODUCT(Oxides_min!$C54:$BB54,Factors!$C$15:$BB$15))/2)</f>
        <v>0.10585138534173488</v>
      </c>
      <c r="I54" s="20">
        <f>MIN(MAX(0,(SUMPRODUCT(Oxides_min!$C54:$BB54,Factors!$C$16:$BB$16)+SUMPRODUCT(Oxides_max!$C54:$BB54,Factors!$C$16:$BB$16))/2),ABS(SUMPRODUCT(Oxides_max!$C54:$BB54,Factors!$C$16:$BB$16)-SUMPRODUCT(Oxides_min!$C54:$BB54,Factors!$C$16:$BB$16))/2)</f>
        <v>0</v>
      </c>
      <c r="J54" s="20">
        <f>MIN(MAX(0,(SUMPRODUCT(Oxides_min!$C54:$BB54,Factors!$C$17:$BB$17)+SUMPRODUCT(Oxides_max!$C54:$BB54,Factors!$C$17:$BB$17))/2),ABS(SUMPRODUCT(Oxides_max!$C54:$BB54,Factors!$C$17:$BB$17)-SUMPRODUCT(Oxides_min!$C54:$BB54,Factors!$C$17:$BB$17))/2)</f>
        <v>0</v>
      </c>
      <c r="K54" s="20">
        <f>MIN(MAX(0,(SUMPRODUCT(Oxides_min!$C54:$BB54,Factors!$C$18:$BB$18)+SUMPRODUCT(Oxides_max!$C54:$BB54,Factors!$C$18:$BB$18))/2),ABS(SUMPRODUCT(Oxides_max!$C54:$BB54,Factors!$C$18:$BB$18)-SUMPRODUCT(Oxides_min!$C54:$BB54,Factors!$C$18:$BB$18))/2)</f>
        <v>0</v>
      </c>
      <c r="L54" s="20">
        <f>MIN(MAX(0,(SUMPRODUCT(Oxides_min!$C54:$BB54,Factors!$C$19:$BB$19)+SUMPRODUCT(Oxides_max!$C54:$BB54,Factors!$C$19:$BB$19))/2),ABS(SUMPRODUCT(Oxides_max!$C54:$BB54,Factors!$C$19:$BB$19)-SUMPRODUCT(Oxides_min!$C54:$BB54,Factors!$C$19:$BB$19))/2)</f>
        <v>0</v>
      </c>
      <c r="M54" s="20">
        <f>MIN(MAX(0,(SUMPRODUCT(Oxides_min!$C54:$BB54,Factors!$C$20:$BB$20)+SUMPRODUCT(Oxides_max!$C54:$BB54,Factors!$C$20:$BB$20))/2),ABS(SUMPRODUCT(Oxides_max!$C54:$BB54,Factors!$C$20:$BB$20)-SUMPRODUCT(Oxides_min!$C54:$BB54,Factors!$C$20:$BB$20))/2)</f>
        <v>0</v>
      </c>
      <c r="N54" s="20">
        <f>MIN(MAX(0,(SUMPRODUCT(Oxides_min!$C54:$BB54,Factors!$C$21:$BB$21)+SUMPRODUCT(Oxides_max!$C54:$BB54,Factors!$C$21:$BB$21))/2),ABS(SUMPRODUCT(Oxides_max!$C54:$BB54,Factors!$C$21:$BB$21)-SUMPRODUCT(Oxides_min!$C54:$BB54,Factors!$C$21:$BB$21))/2)</f>
        <v>2.8587834584589047E-2</v>
      </c>
      <c r="O54" s="20">
        <f>MIN(MAX(0,(SUMPRODUCT(Oxides_min!$C54:$BB54,Factors!$C$22:$BB$22)+SUMPRODUCT(Oxides_max!$C54:$BB54,Factors!$C$22:$BB$22))/2),ABS(SUMPRODUCT(Oxides_max!$C54:$BB54,Factors!$C$22:$BB$22)-SUMPRODUCT(Oxides_min!$C54:$BB54,Factors!$C$22:$BB$22))/2)</f>
        <v>0</v>
      </c>
      <c r="P54" s="20">
        <f>MIN(MAX(0,(SUMPRODUCT(Oxides_min!$C54:$BB54,Factors!$C$23:$BB$23)+SUMPRODUCT(Oxides_max!$C54:$BB54,Factors!$C$23:$BB$23))/2),ABS(SUMPRODUCT(Oxides_max!$C54:$BB54,Factors!$C$23:$BB$23)-SUMPRODUCT(Oxides_min!$C54:$BB54,Factors!$C$23:$BB$23))/2)</f>
        <v>0</v>
      </c>
      <c r="Q54" s="20">
        <f>MIN(MAX(0,(SUMPRODUCT(Oxides_min!$C54:$BB54,Factors!$C$24:$BB$24)+SUMPRODUCT(Oxides_max!$C54:$BB54,Factors!$C$24:$BB$24))/2),ABS(SUMPRODUCT(Oxides_max!$C54:$BB54,Factors!$C$24:$BB$24)-SUMPRODUCT(Oxides_min!$C54:$BB54,Factors!$C$24:$BB$24))/2)</f>
        <v>0</v>
      </c>
      <c r="R54" s="20">
        <f>MIN(MAX(0,(SUMPRODUCT(Oxides_min!$C54:$BB54,Factors!$C$25:$BB$25)+SUMPRODUCT(Oxides_max!$C54:$BB54,Factors!$C$25:$BB$25))/2),ABS(SUMPRODUCT(Oxides_max!$C54:$BB54,Factors!$C$25:$BB$25)-SUMPRODUCT(Oxides_min!$C54:$BB54,Factors!$C$25:$BB$25))/2)</f>
        <v>5.1930358055864427E-2</v>
      </c>
      <c r="S54" s="20">
        <f>MIN(MAX(0,(SUMPRODUCT(Oxides_min!$C54:$BB54,Factors!$C$26:$BB$26)+SUMPRODUCT(Oxides_max!$C54:$BB54,Factors!$C$26:$BB$26))/2),ABS(SUMPRODUCT(Oxides_max!$C54:$BB54,Factors!$C$26:$BB$26)-SUMPRODUCT(Oxides_min!$C54:$BB54,Factors!$C$26:$BB$26))/2)</f>
        <v>4.150756510919831E-3</v>
      </c>
      <c r="T54" s="20">
        <f>MIN(MAX(0,(SUMPRODUCT(Oxides_min!$C54:$BB54,Factors!$C$27:$BB$27)+SUMPRODUCT(Oxides_max!$C54:$BB54,Factors!$C$27:$BB$27))/2),ABS(SUMPRODUCT(Oxides_max!$C54:$BB54,Factors!$C$27:$BB$27)-SUMPRODUCT(Oxides_min!$C54:$BB54,Factors!$C$27:$BB$27))/2)</f>
        <v>0.15097560159309253</v>
      </c>
      <c r="U54" s="20">
        <f>MIN(MAX(0,(SUMPRODUCT(Oxides_min!$C54:$BB54,Factors!$C$28:$BB$28)+SUMPRODUCT(Oxides_max!$C54:$BB54,Factors!$C$28:$BB$28))/2),ABS(SUMPRODUCT(Oxides_max!$C54:$BB54,Factors!$C$28:$BB$28)-SUMPRODUCT(Oxides_min!$C54:$BB54,Factors!$C$28:$BB$28))/2)</f>
        <v>0</v>
      </c>
      <c r="V54" s="20">
        <f>MIN(MAX(0,(SUMPRODUCT(Oxides_min!$C54:$BB54,Factors!$C$29:$BB$29)+SUMPRODUCT(Oxides_max!$C54:$BB54,Factors!$C$29:$BB$29))/2),ABS(SUMPRODUCT(Oxides_max!$C54:$BB54,Factors!$C$29:$BB$29)-SUMPRODUCT(Oxides_min!$C54:$BB54,Factors!$C$29:$BB$29))/2)</f>
        <v>0</v>
      </c>
      <c r="W54" s="20">
        <f>MIN(MAX(0,(SUMPRODUCT(Oxides_min!$C54:$BB54,Factors!$C$30:$BB$30)+SUMPRODUCT(Oxides_max!$C54:$BB54,Factors!$C$30:$BB$30))/2),ABS(SUMPRODUCT(Oxides_max!$C54:$BB54,Factors!$C$30:$BB$30)-SUMPRODUCT(Oxides_min!$C54:$BB54,Factors!$C$30:$BB$30))/2)</f>
        <v>0</v>
      </c>
      <c r="X54" s="20">
        <f>MIN(MAX(0,(SUMPRODUCT(Oxides_min!$C54:$BB54,Factors!$C$31:$BB$31)+SUMPRODUCT(Oxides_max!$C54:$BB54,Factors!$C$31:$BB$31))/2),ABS(SUMPRODUCT(Oxides_max!$C54:$BB54,Factors!$C$31:$BB$31)-SUMPRODUCT(Oxides_min!$C54:$BB54,Factors!$C$31:$BB$31))/2)</f>
        <v>0</v>
      </c>
      <c r="Y54" s="20">
        <f>MIN(MAX(0,(SUMPRODUCT(Oxides_min!$C54:$BB54,Factors!$C$32:$BB$32)+SUMPRODUCT(Oxides_max!$C54:$BB54,Factors!$C$32:$BB$32))/2),ABS(SUMPRODUCT(Oxides_max!$C54:$BB54,Factors!$C$32:$BB$32)-SUMPRODUCT(Oxides_min!$C54:$BB54,Factors!$C$32:$BB$32))/2)</f>
        <v>0</v>
      </c>
      <c r="Z54" s="20">
        <f>MIN(MAX(0,(SUMPRODUCT(Oxides_min!$C54:$BB54,Factors!$C$33:$BB$33)+SUMPRODUCT(Oxides_max!$C54:$BB54,Factors!$C$33:$BB$33))/2),ABS(SUMPRODUCT(Oxides_max!$C54:$BB54,Factors!$C$33:$BB$33)-SUMPRODUCT(Oxides_min!$C54:$BB54,Factors!$C$33:$BB$33))/2)</f>
        <v>0.17457072694507225</v>
      </c>
      <c r="AA54" s="20">
        <f>MIN(MAX(0,(SUMPRODUCT(Oxides_min!$C54:$BB54,Factors!$C$34:$BB$34)+SUMPRODUCT(Oxides_max!$C54:$BB54,Factors!$C$34:$BB$34))/2),ABS(SUMPRODUCT(Oxides_max!$C54:$BB54,Factors!$C$34:$BB$34)-SUMPRODUCT(Oxides_min!$C54:$BB54,Factors!$C$34:$BB$34))/2)</f>
        <v>0</v>
      </c>
      <c r="AB54" s="20">
        <f>MIN(MAX(0,(SUMPRODUCT(Oxides_min!$C54:$BB54,Factors!$C$35:$BB$35)+SUMPRODUCT(Oxides_max!$C54:$BB54,Factors!$C$35:$BB$35))/2),ABS(SUMPRODUCT(Oxides_max!$C54:$BB54,Factors!$C$35:$BB$35)-SUMPRODUCT(Oxides_min!$C54:$BB54,Factors!$C$35:$BB$35))/2)</f>
        <v>0</v>
      </c>
      <c r="AC54" s="20">
        <f>MIN(MAX(0,(SUMPRODUCT(Oxides_min!$C54:$BB54,Factors!$C$36:$BB$36)+SUMPRODUCT(Oxides_max!$C54:$BB54,Factors!$C$36:$BB$36))/2),ABS(SUMPRODUCT(Oxides_max!$C54:$BB54,Factors!$C$36:$BB$36)-SUMPRODUCT(Oxides_min!$C54:$BB54,Factors!$C$36:$BB$36))/2)</f>
        <v>0</v>
      </c>
      <c r="AD54" s="20">
        <f>MIN(MAX(0,(SUMPRODUCT(Oxides_min!$C54:$BB54,Factors!$C$37:$BB$37)+SUMPRODUCT(Oxides_max!$C54:$BB54,Factors!$C$37:$BB$37))/2),ABS(SUMPRODUCT(Oxides_max!$C54:$BB54,Factors!$C$37:$BB$37)-SUMPRODUCT(Oxides_min!$C54:$BB54,Factors!$C$37:$BB$37))/2)</f>
        <v>0.12589508742714409</v>
      </c>
      <c r="AE54" s="20">
        <f>MIN(MAX(0,(SUMPRODUCT(Oxides_min!$C54:$BB54,Factors!$C$38:$BB$38)+SUMPRODUCT(Oxides_max!$C54:$BB54,Factors!$C$38:$BB$38))/2),ABS(SUMPRODUCT(Oxides_max!$C54:$BB54,Factors!$C$38:$BB$38)-SUMPRODUCT(Oxides_min!$C54:$BB54,Factors!$C$38:$BB$38))/2)</f>
        <v>2.5350000000000001</v>
      </c>
      <c r="AF54" s="20">
        <f>MIN(MAX(0,(SUMPRODUCT(Oxides_min!$C54:$BB54,Factors!$C$39:$BB$39)+SUMPRODUCT(Oxides_max!$C54:$BB54,Factors!$C$39:$BB$39))/2),ABS(SUMPRODUCT(Oxides_max!$C54:$BB54,Factors!$C$39:$BB$39)-SUMPRODUCT(Oxides_min!$C54:$BB54,Factors!$C$39:$BB$39))/2)</f>
        <v>0</v>
      </c>
      <c r="AG54" s="20">
        <f>MIN(MAX(0,(SUMPRODUCT(Oxides_min!$C54:$BB54,Factors!$C$40:$BB$40)+SUMPRODUCT(Oxides_max!$C54:$BB54,Factors!$C$40:$BB$40))/2),ABS(SUMPRODUCT(Oxides_max!$C54:$BB54,Factors!$C$40:$BB$40)-SUMPRODUCT(Oxides_min!$C54:$BB54,Factors!$C$40:$BB$40))/2)</f>
        <v>0</v>
      </c>
      <c r="AH54" s="20">
        <f>MIN(MAX(0,(SUMPRODUCT(Oxides_min!$C54:$BB54,Factors!$C$41:$BB$41)+SUMPRODUCT(Oxides_max!$C54:$BB54,Factors!$C$41:$BB$41))/2),ABS(SUMPRODUCT(Oxides_max!$C54:$BB54,Factors!$C$41:$BB$41)-SUMPRODUCT(Oxides_min!$C54:$BB54,Factors!$C$41:$BB$41))/2)</f>
        <v>0</v>
      </c>
      <c r="AI54" s="20">
        <f>MIN(MAX(0,(SUMPRODUCT(Oxides_min!$C54:$BB54,Factors!$C$42:$BB$42)+SUMPRODUCT(Oxides_max!$C54:$BB54,Factors!$C$42:$BB$42))/2),ABS(SUMPRODUCT(Oxides_max!$C54:$BB54,Factors!$C$42:$BB$42)-SUMPRODUCT(Oxides_min!$C54:$BB54,Factors!$C$42:$BB$42))/2)</f>
        <v>0</v>
      </c>
      <c r="AJ54" s="20">
        <f>MIN(MAX(0,(SUMPRODUCT(Oxides_min!$C54:$BB54,Factors!$C$43:$BB$43)+SUMPRODUCT(Oxides_max!$C54:$BB54,Factors!$C$43:$BB$43))/2),ABS(SUMPRODUCT(Oxides_max!$C54:$BB54,Factors!$C$43:$BB$43)-SUMPRODUCT(Oxides_min!$C54:$BB54,Factors!$C$43:$BB$43))/2)</f>
        <v>0</v>
      </c>
      <c r="AK54" s="20">
        <f>MIN(MAX(0,(SUMPRODUCT(Oxides_min!$C54:$BB54,Factors!$C$44:$BB$44)+SUMPRODUCT(Oxides_max!$C54:$BB54,Factors!$C$44:$BB$44))/2),ABS(SUMPRODUCT(Oxides_max!$C54:$BB54,Factors!$C$44:$BB$44)-SUMPRODUCT(Oxides_min!$C54:$BB54,Factors!$C$44:$BB$44))/2)</f>
        <v>0</v>
      </c>
      <c r="AL54" s="20">
        <f>MIN(MAX(0,(SUMPRODUCT(Oxides_min!$C54:$BB54,Factors!$C$45:$BB$45)+SUMPRODUCT(Oxides_max!$C54:$BB54,Factors!$C$45:$BB$45))/2),ABS(SUMPRODUCT(Oxides_max!$C54:$BB54,Factors!$C$45:$BB$45)-SUMPRODUCT(Oxides_min!$C54:$BB54,Factors!$C$45:$BB$45))/2)</f>
        <v>0</v>
      </c>
      <c r="AM54" s="20">
        <f>MIN(MAX(0,(SUMPRODUCT(Oxides_min!$C54:$BB54,Factors!$C$46:$BB$46)+SUMPRODUCT(Oxides_max!$C54:$BB54,Factors!$C$46:$BB$46))/2),ABS(SUMPRODUCT(Oxides_max!$C54:$BB54,Factors!$C$46:$BB$46)-SUMPRODUCT(Oxides_min!$C54:$BB54,Factors!$C$46:$BB$46))/2)</f>
        <v>0</v>
      </c>
      <c r="AN54" s="20">
        <f>MIN(MAX(0,(SUMPRODUCT(Oxides_min!$C54:$BB54,Factors!$C$47:$BB$47)+SUMPRODUCT(Oxides_max!$C54:$BB54,Factors!$C$47:$BB$47))/2),ABS(SUMPRODUCT(Oxides_max!$C54:$BB54,Factors!$C$47:$BB$47)-SUMPRODUCT(Oxides_min!$C54:$BB54,Factors!$C$47:$BB$47))/2)</f>
        <v>0</v>
      </c>
      <c r="AO54" s="20">
        <f>MIN(MAX(0,(SUMPRODUCT(Oxides_min!$C54:$BB54,Factors!$C$48:$BB$48)+SUMPRODUCT(Oxides_max!$C54:$BB54,Factors!$C$48:$BB$48))/2),ABS(SUMPRODUCT(Oxides_max!$C54:$BB54,Factors!$C$48:$BB$48)-SUMPRODUCT(Oxides_min!$C54:$BB54,Factors!$C$48:$BB$48))/2)</f>
        <v>0</v>
      </c>
      <c r="AP54" s="20">
        <f>MIN(MAX(0,(SUMPRODUCT(Oxides_min!$C54:$BB54,Factors!$C$49:$BB$49)+SUMPRODUCT(Oxides_max!$C54:$BB54,Factors!$C$49:$BB$49))/2),ABS(SUMPRODUCT(Oxides_max!$C54:$BB54,Factors!$C$49:$BB$49)-SUMPRODUCT(Oxides_min!$C54:$BB54,Factors!$C$49:$BB$49))/2)</f>
        <v>0</v>
      </c>
      <c r="AQ54" s="20">
        <f>MIN(MAX(0,(SUMPRODUCT(Oxides_min!$C54:$BB54,Factors!$C$50:$BB$50)+SUMPRODUCT(Oxides_max!$C54:$BB54,Factors!$C$50:$BB$50))/2),ABS(SUMPRODUCT(Oxides_max!$C54:$BB54,Factors!$C$50:$BB$50)-SUMPRODUCT(Oxides_min!$C54:$BB54,Factors!$C$50:$BB$50))/2)</f>
        <v>0</v>
      </c>
      <c r="AR54" s="20">
        <f>MIN(MAX(0,(SUMPRODUCT(Oxides_min!$C54:$BB54,Factors!$C$51:$BB$51)+SUMPRODUCT(Oxides_max!$C54:$BB54,Factors!$C$51:$BB$51))/2),ABS(SUMPRODUCT(Oxides_max!$C54:$BB54,Factors!$C$51:$BB$51)-SUMPRODUCT(Oxides_min!$C54:$BB54,Factors!$C$51:$BB$51))/2)</f>
        <v>0</v>
      </c>
      <c r="AS54" s="20">
        <f>MIN(MAX(0,(SUMPRODUCT(Oxides_min!$C54:$BB54,Factors!$C$52:$BB$52)+SUMPRODUCT(Oxides_max!$C54:$BB54,Factors!$C$52:$BB$52))/2),ABS(SUMPRODUCT(Oxides_max!$C54:$BB54,Factors!$C$52:$BB$52)-SUMPRODUCT(Oxides_min!$C54:$BB54,Factors!$C$52:$BB$52))/2)</f>
        <v>0</v>
      </c>
      <c r="AT54" s="20">
        <f>MIN(MAX(0,(SUMPRODUCT(Oxides_min!$C54:$BB54,Factors!$C$53:$BB$53)+SUMPRODUCT(Oxides_max!$C54:$BB54,Factors!$C$53:$BB$53))/2),ABS(SUMPRODUCT(Oxides_max!$C54:$BB54,Factors!$C$53:$BB$53)-SUMPRODUCT(Oxides_min!$C54:$BB54,Factors!$C$53:$BB$53))/2)</f>
        <v>0</v>
      </c>
      <c r="AU54" s="20">
        <f>MIN(MAX(0,(SUMPRODUCT(Oxides_min!$C54:$BB54,Factors!$C$54:$BB$54)+SUMPRODUCT(Oxides_max!$C54:$BB54,Factors!$C$54:$BB$54))/2),ABS(SUMPRODUCT(Oxides_max!$C54:$BB54,Factors!$C$54:$BB$54)-SUMPRODUCT(Oxides_min!$C54:$BB54,Factors!$C$54:$BB$54))/2)</f>
        <v>0</v>
      </c>
      <c r="AV54" s="20">
        <f>MIN(MAX(0,(SUMPRODUCT(Oxides_min!$C54:$BB54,Factors!$C$55:$BB$55)+SUMPRODUCT(Oxides_max!$C54:$BB54,Factors!$C$55:$BB$55))/2),ABS(SUMPRODUCT(Oxides_max!$C54:$BB54,Factors!$C$55:$BB$55)-SUMPRODUCT(Oxides_min!$C54:$BB54,Factors!$C$55:$BB$55))/2)</f>
        <v>0</v>
      </c>
      <c r="AW54" s="20">
        <f>MIN(MAX(0,(SUMPRODUCT(Oxides_min!$C54:$BB54,Factors!$C$56:$BB$56)+SUMPRODUCT(Oxides_max!$C54:$BB54,Factors!$C$56:$BB$56))/2),ABS(SUMPRODUCT(Oxides_max!$C54:$BB54,Factors!$C$56:$BB$56)-SUMPRODUCT(Oxides_min!$C54:$BB54,Factors!$C$56:$BB$56))/2)</f>
        <v>0</v>
      </c>
      <c r="AX54" s="20">
        <f>MIN(MAX(0,(SUMPRODUCT(Oxides_min!$C54:$BB54,Factors!$C$57:$BB$57)+SUMPRODUCT(Oxides_max!$C54:$BB54,Factors!$C$57:$BB$57))/2),ABS(SUMPRODUCT(Oxides_max!$C54:$BB54,Factors!$C$57:$BB$57)-SUMPRODUCT(Oxides_min!$C54:$BB54,Factors!$C$57:$BB$57))/2)</f>
        <v>0</v>
      </c>
      <c r="AY54" s="20">
        <f>MIN(MAX(0,(SUMPRODUCT(Oxides_min!$C54:$BB54,Factors!$C$58:$BB$58)+SUMPRODUCT(Oxides_max!$C54:$BB54,Factors!$C$58:$BB$58))/2),ABS(SUMPRODUCT(Oxides_max!$C54:$BB54,Factors!$C$58:$BB$58)-SUMPRODUCT(Oxides_min!$C54:$BB54,Factors!$C$58:$BB$58))/2)</f>
        <v>0</v>
      </c>
      <c r="AZ54" s="18">
        <f t="shared" si="3"/>
        <v>3.632608581573137</v>
      </c>
    </row>
    <row r="55" spans="1:52" x14ac:dyDescent="0.35">
      <c r="A55" s="13" t="s">
        <v>451</v>
      </c>
      <c r="B55" s="20">
        <f>MIN(MAX(0,(SUMPRODUCT(Oxides_min!$C55:$BB55,Factors!$C$9:$BB$9)+SUMPRODUCT(Oxides_max!$C55:$BB55,Factors!$C$9:$BB$9))/2),ABS(SUMPRODUCT(Oxides_max!$C55:$BB55,Factors!$C$9:$BB$9)-SUMPRODUCT(Oxides_min!$C55:$BB55,Factors!$C$9:$BB$9))/2)</f>
        <v>3.2526803593938212</v>
      </c>
      <c r="C55" s="20">
        <f>MIN(MAX(0,(SUMPRODUCT(Oxides_min!$C55:$BB55,Factors!$C$10:$BB$10)+SUMPRODUCT(Oxides_max!$C55:$BB55,Factors!$C$10:$BB$10))/2),ABS(SUMPRODUCT(Oxides_max!$C55:$BB55,Factors!$C$10:$BB$10)-SUMPRODUCT(Oxides_min!$C55:$BB55,Factors!$C$10:$BB$10))/2)</f>
        <v>1.2340329211257774</v>
      </c>
      <c r="D55" s="20">
        <f>MIN(MAX(0,(SUMPRODUCT(Oxides_min!$C55:$BB55,Factors!$C$11:$BB$11)+SUMPRODUCT(Oxides_max!$C55:$BB55,Factors!$C$11:$BB$11))/2),ABS(SUMPRODUCT(Oxides_max!$C55:$BB55,Factors!$C$11:$BB$11)-SUMPRODUCT(Oxides_min!$C55:$BB55,Factors!$C$11:$BB$11))/2)</f>
        <v>0</v>
      </c>
      <c r="E55" s="20">
        <f>MIN(MAX(0,(SUMPRODUCT(Oxides_min!$C55:$BB55,Factors!$C$12:$BB$12)+SUMPRODUCT(Oxides_max!$C55:$BB55,Factors!$C$12:$BB$12))/2),ABS(SUMPRODUCT(Oxides_max!$C55:$BB55,Factors!$C$12:$BB$12)-SUMPRODUCT(Oxides_min!$C55:$BB55,Factors!$C$12:$BB$12))/2)</f>
        <v>0</v>
      </c>
      <c r="F55" s="20">
        <f>MIN(MAX(0,(SUMPRODUCT(Oxides_min!$C55:$BB55,Factors!$C$13:$BB$13)+SUMPRODUCT(Oxides_max!$C55:$BB55,Factors!$C$13:$BB$13))/2),ABS(SUMPRODUCT(Oxides_max!$C55:$BB55,Factors!$C$13:$BB$13)-SUMPRODUCT(Oxides_min!$C55:$BB55,Factors!$C$13:$BB$13))/2)</f>
        <v>0</v>
      </c>
      <c r="G55" s="20">
        <f>MIN(MAX(0,(SUMPRODUCT(Oxides_min!$C55:$BB55,Factors!$C$14:$BB$14)+SUMPRODUCT(Oxides_max!$C55:$BB55,Factors!$C$14:$BB$14))/2),ABS(SUMPRODUCT(Oxides_max!$C55:$BB55,Factors!$C$14:$BB$14)-SUMPRODUCT(Oxides_min!$C55:$BB55,Factors!$C$14:$BB$14))/2)</f>
        <v>0</v>
      </c>
      <c r="H55" s="20">
        <f>MIN(MAX(0,(SUMPRODUCT(Oxides_min!$C55:$BB55,Factors!$C$15:$BB$15)+SUMPRODUCT(Oxides_max!$C55:$BB55,Factors!$C$15:$BB$15))/2),ABS(SUMPRODUCT(Oxides_max!$C55:$BB55,Factors!$C$15:$BB$15)-SUMPRODUCT(Oxides_min!$C55:$BB55,Factors!$C$15:$BB$15))/2)</f>
        <v>0.9420773295414433</v>
      </c>
      <c r="I55" s="20">
        <f>MIN(MAX(0,(SUMPRODUCT(Oxides_min!$C55:$BB55,Factors!$C$16:$BB$16)+SUMPRODUCT(Oxides_max!$C55:$BB55,Factors!$C$16:$BB$16))/2),ABS(SUMPRODUCT(Oxides_max!$C55:$BB55,Factors!$C$16:$BB$16)-SUMPRODUCT(Oxides_min!$C55:$BB55,Factors!$C$16:$BB$16))/2)</f>
        <v>0</v>
      </c>
      <c r="J55" s="20">
        <f>MIN(MAX(0,(SUMPRODUCT(Oxides_min!$C55:$BB55,Factors!$C$17:$BB$17)+SUMPRODUCT(Oxides_max!$C55:$BB55,Factors!$C$17:$BB$17))/2),ABS(SUMPRODUCT(Oxides_max!$C55:$BB55,Factors!$C$17:$BB$17)-SUMPRODUCT(Oxides_min!$C55:$BB55,Factors!$C$17:$BB$17))/2)</f>
        <v>0</v>
      </c>
      <c r="K55" s="20">
        <f>MIN(MAX(0,(SUMPRODUCT(Oxides_min!$C55:$BB55,Factors!$C$18:$BB$18)+SUMPRODUCT(Oxides_max!$C55:$BB55,Factors!$C$18:$BB$18))/2),ABS(SUMPRODUCT(Oxides_max!$C55:$BB55,Factors!$C$18:$BB$18)-SUMPRODUCT(Oxides_min!$C55:$BB55,Factors!$C$18:$BB$18))/2)</f>
        <v>0</v>
      </c>
      <c r="L55" s="20">
        <f>MIN(MAX(0,(SUMPRODUCT(Oxides_min!$C55:$BB55,Factors!$C$19:$BB$19)+SUMPRODUCT(Oxides_max!$C55:$BB55,Factors!$C$19:$BB$19))/2),ABS(SUMPRODUCT(Oxides_max!$C55:$BB55,Factors!$C$19:$BB$19)-SUMPRODUCT(Oxides_min!$C55:$BB55,Factors!$C$19:$BB$19))/2)</f>
        <v>0</v>
      </c>
      <c r="M55" s="20">
        <f>MIN(MAX(0,(SUMPRODUCT(Oxides_min!$C55:$BB55,Factors!$C$20:$BB$20)+SUMPRODUCT(Oxides_max!$C55:$BB55,Factors!$C$20:$BB$20))/2),ABS(SUMPRODUCT(Oxides_max!$C55:$BB55,Factors!$C$20:$BB$20)-SUMPRODUCT(Oxides_min!$C55:$BB55,Factors!$C$20:$BB$20))/2)</f>
        <v>0</v>
      </c>
      <c r="N55" s="20">
        <f>MIN(MAX(0,(SUMPRODUCT(Oxides_min!$C55:$BB55,Factors!$C$21:$BB$21)+SUMPRODUCT(Oxides_max!$C55:$BB55,Factors!$C$21:$BB$21))/2),ABS(SUMPRODUCT(Oxides_max!$C55:$BB55,Factors!$C$21:$BB$21)-SUMPRODUCT(Oxides_min!$C55:$BB55,Factors!$C$21:$BB$21))/2)</f>
        <v>1.490140877721704</v>
      </c>
      <c r="O55" s="20">
        <f>MIN(MAX(0,(SUMPRODUCT(Oxides_min!$C55:$BB55,Factors!$C$22:$BB$22)+SUMPRODUCT(Oxides_max!$C55:$BB55,Factors!$C$22:$BB$22))/2),ABS(SUMPRODUCT(Oxides_max!$C55:$BB55,Factors!$C$22:$BB$22)-SUMPRODUCT(Oxides_min!$C55:$BB55,Factors!$C$22:$BB$22))/2)</f>
        <v>0</v>
      </c>
      <c r="P55" s="20">
        <f>MIN(MAX(0,(SUMPRODUCT(Oxides_min!$C55:$BB55,Factors!$C$23:$BB$23)+SUMPRODUCT(Oxides_max!$C55:$BB55,Factors!$C$23:$BB$23))/2),ABS(SUMPRODUCT(Oxides_max!$C55:$BB55,Factors!$C$23:$BB$23)-SUMPRODUCT(Oxides_min!$C55:$BB55,Factors!$C$23:$BB$23))/2)</f>
        <v>0</v>
      </c>
      <c r="Q55" s="20">
        <f>MIN(MAX(0,(SUMPRODUCT(Oxides_min!$C55:$BB55,Factors!$C$24:$BB$24)+SUMPRODUCT(Oxides_max!$C55:$BB55,Factors!$C$24:$BB$24))/2),ABS(SUMPRODUCT(Oxides_max!$C55:$BB55,Factors!$C$24:$BB$24)-SUMPRODUCT(Oxides_min!$C55:$BB55,Factors!$C$24:$BB$24))/2)</f>
        <v>0</v>
      </c>
      <c r="R55" s="20">
        <f>MIN(MAX(0,(SUMPRODUCT(Oxides_min!$C55:$BB55,Factors!$C$25:$BB$25)+SUMPRODUCT(Oxides_max!$C55:$BB55,Factors!$C$25:$BB$25))/2),ABS(SUMPRODUCT(Oxides_max!$C55:$BB55,Factors!$C$25:$BB$25)-SUMPRODUCT(Oxides_min!$C55:$BB55,Factors!$C$25:$BB$25))/2)</f>
        <v>0.90878126597762776</v>
      </c>
      <c r="S55" s="20">
        <f>MIN(MAX(0,(SUMPRODUCT(Oxides_min!$C55:$BB55,Factors!$C$26:$BB$26)+SUMPRODUCT(Oxides_max!$C55:$BB55,Factors!$C$26:$BB$26))/2),ABS(SUMPRODUCT(Oxides_max!$C55:$BB55,Factors!$C$26:$BB$26)-SUMPRODUCT(Oxides_min!$C55:$BB55,Factors!$C$26:$BB$26))/2)</f>
        <v>0.28225144274254849</v>
      </c>
      <c r="T55" s="20">
        <f>MIN(MAX(0,(SUMPRODUCT(Oxides_min!$C55:$BB55,Factors!$C$27:$BB$27)+SUMPRODUCT(Oxides_max!$C55:$BB55,Factors!$C$27:$BB$27))/2),ABS(SUMPRODUCT(Oxides_max!$C55:$BB55,Factors!$C$27:$BB$27)-SUMPRODUCT(Oxides_min!$C55:$BB55,Factors!$C$27:$BB$27))/2)</f>
        <v>0</v>
      </c>
      <c r="U55" s="20">
        <f>MIN(MAX(0,(SUMPRODUCT(Oxides_min!$C55:$BB55,Factors!$C$28:$BB$28)+SUMPRODUCT(Oxides_max!$C55:$BB55,Factors!$C$28:$BB$28))/2),ABS(SUMPRODUCT(Oxides_max!$C55:$BB55,Factors!$C$28:$BB$28)-SUMPRODUCT(Oxides_min!$C55:$BB55,Factors!$C$28:$BB$28))/2)</f>
        <v>0</v>
      </c>
      <c r="V55" s="20">
        <f>MIN(MAX(0,(SUMPRODUCT(Oxides_min!$C55:$BB55,Factors!$C$29:$BB$29)+SUMPRODUCT(Oxides_max!$C55:$BB55,Factors!$C$29:$BB$29))/2),ABS(SUMPRODUCT(Oxides_max!$C55:$BB55,Factors!$C$29:$BB$29)-SUMPRODUCT(Oxides_min!$C55:$BB55,Factors!$C$29:$BB$29))/2)</f>
        <v>0</v>
      </c>
      <c r="W55" s="20">
        <f>MIN(MAX(0,(SUMPRODUCT(Oxides_min!$C55:$BB55,Factors!$C$30:$BB$30)+SUMPRODUCT(Oxides_max!$C55:$BB55,Factors!$C$30:$BB$30))/2),ABS(SUMPRODUCT(Oxides_max!$C55:$BB55,Factors!$C$30:$BB$30)-SUMPRODUCT(Oxides_min!$C55:$BB55,Factors!$C$30:$BB$30))/2)</f>
        <v>0</v>
      </c>
      <c r="X55" s="20">
        <f>MIN(MAX(0,(SUMPRODUCT(Oxides_min!$C55:$BB55,Factors!$C$31:$BB$31)+SUMPRODUCT(Oxides_max!$C55:$BB55,Factors!$C$31:$BB$31))/2),ABS(SUMPRODUCT(Oxides_max!$C55:$BB55,Factors!$C$31:$BB$31)-SUMPRODUCT(Oxides_min!$C55:$BB55,Factors!$C$31:$BB$31))/2)</f>
        <v>0</v>
      </c>
      <c r="Y55" s="20">
        <f>MIN(MAX(0,(SUMPRODUCT(Oxides_min!$C55:$BB55,Factors!$C$32:$BB$32)+SUMPRODUCT(Oxides_max!$C55:$BB55,Factors!$C$32:$BB$32))/2),ABS(SUMPRODUCT(Oxides_max!$C55:$BB55,Factors!$C$32:$BB$32)-SUMPRODUCT(Oxides_min!$C55:$BB55,Factors!$C$32:$BB$32))/2)</f>
        <v>0</v>
      </c>
      <c r="Z55" s="20">
        <f>MIN(MAX(0,(SUMPRODUCT(Oxides_min!$C55:$BB55,Factors!$C$33:$BB$33)+SUMPRODUCT(Oxides_max!$C55:$BB55,Factors!$C$33:$BB$33))/2),ABS(SUMPRODUCT(Oxides_max!$C55:$BB55,Factors!$C$33:$BB$33)-SUMPRODUCT(Oxides_min!$C55:$BB55,Factors!$C$33:$BB$33))/2)</f>
        <v>0</v>
      </c>
      <c r="AA55" s="20">
        <f>MIN(MAX(0,(SUMPRODUCT(Oxides_min!$C55:$BB55,Factors!$C$34:$BB$34)+SUMPRODUCT(Oxides_max!$C55:$BB55,Factors!$C$34:$BB$34))/2),ABS(SUMPRODUCT(Oxides_max!$C55:$BB55,Factors!$C$34:$BB$34)-SUMPRODUCT(Oxides_min!$C55:$BB55,Factors!$C$34:$BB$34))/2)</f>
        <v>0</v>
      </c>
      <c r="AB55" s="20">
        <f>MIN(MAX(0,(SUMPRODUCT(Oxides_min!$C55:$BB55,Factors!$C$35:$BB$35)+SUMPRODUCT(Oxides_max!$C55:$BB55,Factors!$C$35:$BB$35))/2),ABS(SUMPRODUCT(Oxides_max!$C55:$BB55,Factors!$C$35:$BB$35)-SUMPRODUCT(Oxides_min!$C55:$BB55,Factors!$C$35:$BB$35))/2)</f>
        <v>0</v>
      </c>
      <c r="AC55" s="20">
        <f>MIN(MAX(0,(SUMPRODUCT(Oxides_min!$C55:$BB55,Factors!$C$36:$BB$36)+SUMPRODUCT(Oxides_max!$C55:$BB55,Factors!$C$36:$BB$36))/2),ABS(SUMPRODUCT(Oxides_max!$C55:$BB55,Factors!$C$36:$BB$36)-SUMPRODUCT(Oxides_min!$C55:$BB55,Factors!$C$36:$BB$36))/2)</f>
        <v>0</v>
      </c>
      <c r="AD55" s="20">
        <f>MIN(MAX(0,(SUMPRODUCT(Oxides_min!$C55:$BB55,Factors!$C$37:$BB$37)+SUMPRODUCT(Oxides_max!$C55:$BB55,Factors!$C$37:$BB$37))/2),ABS(SUMPRODUCT(Oxides_max!$C55:$BB55,Factors!$C$37:$BB$37)-SUMPRODUCT(Oxides_min!$C55:$BB55,Factors!$C$37:$BB$37))/2)</f>
        <v>5.0358034970857616E-3</v>
      </c>
      <c r="AE55" s="20">
        <f>MIN(MAX(0,(SUMPRODUCT(Oxides_min!$C55:$BB55,Factors!$C$38:$BB$38)+SUMPRODUCT(Oxides_max!$C55:$BB55,Factors!$C$38:$BB$38))/2),ABS(SUMPRODUCT(Oxides_max!$C55:$BB55,Factors!$C$38:$BB$38)-SUMPRODUCT(Oxides_min!$C55:$BB55,Factors!$C$38:$BB$38))/2)</f>
        <v>0</v>
      </c>
      <c r="AF55" s="20">
        <f>MIN(MAX(0,(SUMPRODUCT(Oxides_min!$C55:$BB55,Factors!$C$39:$BB$39)+SUMPRODUCT(Oxides_max!$C55:$BB55,Factors!$C$39:$BB$39))/2),ABS(SUMPRODUCT(Oxides_max!$C55:$BB55,Factors!$C$39:$BB$39)-SUMPRODUCT(Oxides_min!$C55:$BB55,Factors!$C$39:$BB$39))/2)</f>
        <v>0</v>
      </c>
      <c r="AG55" s="20">
        <f>MIN(MAX(0,(SUMPRODUCT(Oxides_min!$C55:$BB55,Factors!$C$40:$BB$40)+SUMPRODUCT(Oxides_max!$C55:$BB55,Factors!$C$40:$BB$40))/2),ABS(SUMPRODUCT(Oxides_max!$C55:$BB55,Factors!$C$40:$BB$40)-SUMPRODUCT(Oxides_min!$C55:$BB55,Factors!$C$40:$BB$40))/2)</f>
        <v>0</v>
      </c>
      <c r="AH55" s="20">
        <f>MIN(MAX(0,(SUMPRODUCT(Oxides_min!$C55:$BB55,Factors!$C$41:$BB$41)+SUMPRODUCT(Oxides_max!$C55:$BB55,Factors!$C$41:$BB$41))/2),ABS(SUMPRODUCT(Oxides_max!$C55:$BB55,Factors!$C$41:$BB$41)-SUMPRODUCT(Oxides_min!$C55:$BB55,Factors!$C$41:$BB$41))/2)</f>
        <v>0</v>
      </c>
      <c r="AI55" s="20">
        <f>MIN(MAX(0,(SUMPRODUCT(Oxides_min!$C55:$BB55,Factors!$C$42:$BB$42)+SUMPRODUCT(Oxides_max!$C55:$BB55,Factors!$C$42:$BB$42))/2),ABS(SUMPRODUCT(Oxides_max!$C55:$BB55,Factors!$C$42:$BB$42)-SUMPRODUCT(Oxides_min!$C55:$BB55,Factors!$C$42:$BB$42))/2)</f>
        <v>0</v>
      </c>
      <c r="AJ55" s="20">
        <f>MIN(MAX(0,(SUMPRODUCT(Oxides_min!$C55:$BB55,Factors!$C$43:$BB$43)+SUMPRODUCT(Oxides_max!$C55:$BB55,Factors!$C$43:$BB$43))/2),ABS(SUMPRODUCT(Oxides_max!$C55:$BB55,Factors!$C$43:$BB$43)-SUMPRODUCT(Oxides_min!$C55:$BB55,Factors!$C$43:$BB$43))/2)</f>
        <v>0</v>
      </c>
      <c r="AK55" s="20">
        <f>MIN(MAX(0,(SUMPRODUCT(Oxides_min!$C55:$BB55,Factors!$C$44:$BB$44)+SUMPRODUCT(Oxides_max!$C55:$BB55,Factors!$C$44:$BB$44))/2),ABS(SUMPRODUCT(Oxides_max!$C55:$BB55,Factors!$C$44:$BB$44)-SUMPRODUCT(Oxides_min!$C55:$BB55,Factors!$C$44:$BB$44))/2)</f>
        <v>0</v>
      </c>
      <c r="AL55" s="20">
        <f>MIN(MAX(0,(SUMPRODUCT(Oxides_min!$C55:$BB55,Factors!$C$45:$BB$45)+SUMPRODUCT(Oxides_max!$C55:$BB55,Factors!$C$45:$BB$45))/2),ABS(SUMPRODUCT(Oxides_max!$C55:$BB55,Factors!$C$45:$BB$45)-SUMPRODUCT(Oxides_min!$C55:$BB55,Factors!$C$45:$BB$45))/2)</f>
        <v>0</v>
      </c>
      <c r="AM55" s="20">
        <f>MIN(MAX(0,(SUMPRODUCT(Oxides_min!$C55:$BB55,Factors!$C$46:$BB$46)+SUMPRODUCT(Oxides_max!$C55:$BB55,Factors!$C$46:$BB$46))/2),ABS(SUMPRODUCT(Oxides_max!$C55:$BB55,Factors!$C$46:$BB$46)-SUMPRODUCT(Oxides_min!$C55:$BB55,Factors!$C$46:$BB$46))/2)</f>
        <v>0</v>
      </c>
      <c r="AN55" s="20">
        <f>MIN(MAX(0,(SUMPRODUCT(Oxides_min!$C55:$BB55,Factors!$C$47:$BB$47)+SUMPRODUCT(Oxides_max!$C55:$BB55,Factors!$C$47:$BB$47))/2),ABS(SUMPRODUCT(Oxides_max!$C55:$BB55,Factors!$C$47:$BB$47)-SUMPRODUCT(Oxides_min!$C55:$BB55,Factors!$C$47:$BB$47))/2)</f>
        <v>0</v>
      </c>
      <c r="AO55" s="20">
        <f>MIN(MAX(0,(SUMPRODUCT(Oxides_min!$C55:$BB55,Factors!$C$48:$BB$48)+SUMPRODUCT(Oxides_max!$C55:$BB55,Factors!$C$48:$BB$48))/2),ABS(SUMPRODUCT(Oxides_max!$C55:$BB55,Factors!$C$48:$BB$48)-SUMPRODUCT(Oxides_min!$C55:$BB55,Factors!$C$48:$BB$48))/2)</f>
        <v>0</v>
      </c>
      <c r="AP55" s="20">
        <f>MIN(MAX(0,(SUMPRODUCT(Oxides_min!$C55:$BB55,Factors!$C$49:$BB$49)+SUMPRODUCT(Oxides_max!$C55:$BB55,Factors!$C$49:$BB$49))/2),ABS(SUMPRODUCT(Oxides_max!$C55:$BB55,Factors!$C$49:$BB$49)-SUMPRODUCT(Oxides_min!$C55:$BB55,Factors!$C$49:$BB$49))/2)</f>
        <v>0</v>
      </c>
      <c r="AQ55" s="20">
        <f>MIN(MAX(0,(SUMPRODUCT(Oxides_min!$C55:$BB55,Factors!$C$50:$BB$50)+SUMPRODUCT(Oxides_max!$C55:$BB55,Factors!$C$50:$BB$50))/2),ABS(SUMPRODUCT(Oxides_max!$C55:$BB55,Factors!$C$50:$BB$50)-SUMPRODUCT(Oxides_min!$C55:$BB55,Factors!$C$50:$BB$50))/2)</f>
        <v>0</v>
      </c>
      <c r="AR55" s="20">
        <f>MIN(MAX(0,(SUMPRODUCT(Oxides_min!$C55:$BB55,Factors!$C$51:$BB$51)+SUMPRODUCT(Oxides_max!$C55:$BB55,Factors!$C$51:$BB$51))/2),ABS(SUMPRODUCT(Oxides_max!$C55:$BB55,Factors!$C$51:$BB$51)-SUMPRODUCT(Oxides_min!$C55:$BB55,Factors!$C$51:$BB$51))/2)</f>
        <v>0</v>
      </c>
      <c r="AS55" s="20">
        <f>MIN(MAX(0,(SUMPRODUCT(Oxides_min!$C55:$BB55,Factors!$C$52:$BB$52)+SUMPRODUCT(Oxides_max!$C55:$BB55,Factors!$C$52:$BB$52))/2),ABS(SUMPRODUCT(Oxides_max!$C55:$BB55,Factors!$C$52:$BB$52)-SUMPRODUCT(Oxides_min!$C55:$BB55,Factors!$C$52:$BB$52))/2)</f>
        <v>0</v>
      </c>
      <c r="AT55" s="20">
        <f>MIN(MAX(0,(SUMPRODUCT(Oxides_min!$C55:$BB55,Factors!$C$53:$BB$53)+SUMPRODUCT(Oxides_max!$C55:$BB55,Factors!$C$53:$BB$53))/2),ABS(SUMPRODUCT(Oxides_max!$C55:$BB55,Factors!$C$53:$BB$53)-SUMPRODUCT(Oxides_min!$C55:$BB55,Factors!$C$53:$BB$53))/2)</f>
        <v>0</v>
      </c>
      <c r="AU55" s="20">
        <f>MIN(MAX(0,(SUMPRODUCT(Oxides_min!$C55:$BB55,Factors!$C$54:$BB$54)+SUMPRODUCT(Oxides_max!$C55:$BB55,Factors!$C$54:$BB$54))/2),ABS(SUMPRODUCT(Oxides_max!$C55:$BB55,Factors!$C$54:$BB$54)-SUMPRODUCT(Oxides_min!$C55:$BB55,Factors!$C$54:$BB$54))/2)</f>
        <v>0</v>
      </c>
      <c r="AV55" s="20">
        <f>MIN(MAX(0,(SUMPRODUCT(Oxides_min!$C55:$BB55,Factors!$C$55:$BB$55)+SUMPRODUCT(Oxides_max!$C55:$BB55,Factors!$C$55:$BB$55))/2),ABS(SUMPRODUCT(Oxides_max!$C55:$BB55,Factors!$C$55:$BB$55)-SUMPRODUCT(Oxides_min!$C55:$BB55,Factors!$C$55:$BB$55))/2)</f>
        <v>0</v>
      </c>
      <c r="AW55" s="20">
        <f>MIN(MAX(0,(SUMPRODUCT(Oxides_min!$C55:$BB55,Factors!$C$56:$BB$56)+SUMPRODUCT(Oxides_max!$C55:$BB55,Factors!$C$56:$BB$56))/2),ABS(SUMPRODUCT(Oxides_max!$C55:$BB55,Factors!$C$56:$BB$56)-SUMPRODUCT(Oxides_min!$C55:$BB55,Factors!$C$56:$BB$56))/2)</f>
        <v>0</v>
      </c>
      <c r="AX55" s="20">
        <f>MIN(MAX(0,(SUMPRODUCT(Oxides_min!$C55:$BB55,Factors!$C$57:$BB$57)+SUMPRODUCT(Oxides_max!$C55:$BB55,Factors!$C$57:$BB$57))/2),ABS(SUMPRODUCT(Oxides_max!$C55:$BB55,Factors!$C$57:$BB$57)-SUMPRODUCT(Oxides_min!$C55:$BB55,Factors!$C$57:$BB$57))/2)</f>
        <v>0</v>
      </c>
      <c r="AY55" s="20">
        <f>MIN(MAX(0,(SUMPRODUCT(Oxides_min!$C55:$BB55,Factors!$C$58:$BB$58)+SUMPRODUCT(Oxides_max!$C55:$BB55,Factors!$C$58:$BB$58))/2),ABS(SUMPRODUCT(Oxides_max!$C55:$BB55,Factors!$C$58:$BB$58)-SUMPRODUCT(Oxides_min!$C55:$BB55,Factors!$C$58:$BB$58))/2)</f>
        <v>0</v>
      </c>
      <c r="AZ55" s="18">
        <f t="shared" si="3"/>
        <v>8.1150000000000073</v>
      </c>
    </row>
    <row r="56" spans="1:52" x14ac:dyDescent="0.35">
      <c r="A56" s="13" t="s">
        <v>495</v>
      </c>
      <c r="B56" s="20">
        <f>MIN(MAX(0,(SUMPRODUCT(Oxides_min!$C56:$BB56,Factors!$C$9:$BB$9)+SUMPRODUCT(Oxides_max!$C56:$BB56,Factors!$C$9:$BB$9))/2),ABS(SUMPRODUCT(Oxides_max!$C56:$BB56,Factors!$C$9:$BB$9)-SUMPRODUCT(Oxides_min!$C56:$BB56,Factors!$C$9:$BB$9))/2)</f>
        <v>0</v>
      </c>
      <c r="C56" s="20">
        <f>MIN(MAX(0,(SUMPRODUCT(Oxides_min!$C56:$BB56,Factors!$C$10:$BB$10)+SUMPRODUCT(Oxides_max!$C56:$BB56,Factors!$C$10:$BB$10))/2),ABS(SUMPRODUCT(Oxides_max!$C56:$BB56,Factors!$C$10:$BB$10)-SUMPRODUCT(Oxides_min!$C56:$BB56,Factors!$C$10:$BB$10))/2)</f>
        <v>0</v>
      </c>
      <c r="D56" s="20">
        <f>MIN(MAX(0,(SUMPRODUCT(Oxides_min!$C56:$BB56,Factors!$C$11:$BB$11)+SUMPRODUCT(Oxides_max!$C56:$BB56,Factors!$C$11:$BB$11))/2),ABS(SUMPRODUCT(Oxides_max!$C56:$BB56,Factors!$C$11:$BB$11)-SUMPRODUCT(Oxides_min!$C56:$BB56,Factors!$C$11:$BB$11))/2)</f>
        <v>0</v>
      </c>
      <c r="E56" s="20">
        <f>MIN(MAX(0,(SUMPRODUCT(Oxides_min!$C56:$BB56,Factors!$C$12:$BB$12)+SUMPRODUCT(Oxides_max!$C56:$BB56,Factors!$C$12:$BB$12))/2),ABS(SUMPRODUCT(Oxides_max!$C56:$BB56,Factors!$C$12:$BB$12)-SUMPRODUCT(Oxides_min!$C56:$BB56,Factors!$C$12:$BB$12))/2)</f>
        <v>0</v>
      </c>
      <c r="F56" s="20">
        <f>MIN(MAX(0,(SUMPRODUCT(Oxides_min!$C56:$BB56,Factors!$C$13:$BB$13)+SUMPRODUCT(Oxides_max!$C56:$BB56,Factors!$C$13:$BB$13))/2),ABS(SUMPRODUCT(Oxides_max!$C56:$BB56,Factors!$C$13:$BB$13)-SUMPRODUCT(Oxides_min!$C56:$BB56,Factors!$C$13:$BB$13))/2)</f>
        <v>0</v>
      </c>
      <c r="G56" s="20">
        <f>MIN(MAX(0,(SUMPRODUCT(Oxides_min!$C56:$BB56,Factors!$C$14:$BB$14)+SUMPRODUCT(Oxides_max!$C56:$BB56,Factors!$C$14:$BB$14))/2),ABS(SUMPRODUCT(Oxides_max!$C56:$BB56,Factors!$C$14:$BB$14)-SUMPRODUCT(Oxides_min!$C56:$BB56,Factors!$C$14:$BB$14))/2)</f>
        <v>0</v>
      </c>
      <c r="H56" s="20">
        <f>MIN(MAX(0,(SUMPRODUCT(Oxides_min!$C56:$BB56,Factors!$C$15:$BB$15)+SUMPRODUCT(Oxides_max!$C56:$BB56,Factors!$C$15:$BB$15))/2),ABS(SUMPRODUCT(Oxides_max!$C56:$BB56,Factors!$C$15:$BB$15)-SUMPRODUCT(Oxides_min!$C56:$BB56,Factors!$C$15:$BB$15))/2)</f>
        <v>0</v>
      </c>
      <c r="I56" s="20">
        <f>MIN(MAX(0,(SUMPRODUCT(Oxides_min!$C56:$BB56,Factors!$C$16:$BB$16)+SUMPRODUCT(Oxides_max!$C56:$BB56,Factors!$C$16:$BB$16))/2),ABS(SUMPRODUCT(Oxides_max!$C56:$BB56,Factors!$C$16:$BB$16)-SUMPRODUCT(Oxides_min!$C56:$BB56,Factors!$C$16:$BB$16))/2)</f>
        <v>0</v>
      </c>
      <c r="J56" s="20">
        <f>MIN(MAX(0,(SUMPRODUCT(Oxides_min!$C56:$BB56,Factors!$C$17:$BB$17)+SUMPRODUCT(Oxides_max!$C56:$BB56,Factors!$C$17:$BB$17))/2),ABS(SUMPRODUCT(Oxides_max!$C56:$BB56,Factors!$C$17:$BB$17)-SUMPRODUCT(Oxides_min!$C56:$BB56,Factors!$C$17:$BB$17))/2)</f>
        <v>0</v>
      </c>
      <c r="K56" s="20">
        <f>MIN(MAX(0,(SUMPRODUCT(Oxides_min!$C56:$BB56,Factors!$C$18:$BB$18)+SUMPRODUCT(Oxides_max!$C56:$BB56,Factors!$C$18:$BB$18))/2),ABS(SUMPRODUCT(Oxides_max!$C56:$BB56,Factors!$C$18:$BB$18)-SUMPRODUCT(Oxides_min!$C56:$BB56,Factors!$C$18:$BB$18))/2)</f>
        <v>0</v>
      </c>
      <c r="L56" s="20">
        <f>MIN(MAX(0,(SUMPRODUCT(Oxides_min!$C56:$BB56,Factors!$C$19:$BB$19)+SUMPRODUCT(Oxides_max!$C56:$BB56,Factors!$C$19:$BB$19))/2),ABS(SUMPRODUCT(Oxides_max!$C56:$BB56,Factors!$C$19:$BB$19)-SUMPRODUCT(Oxides_min!$C56:$BB56,Factors!$C$19:$BB$19))/2)</f>
        <v>0</v>
      </c>
      <c r="M56" s="20">
        <f>MIN(MAX(0,(SUMPRODUCT(Oxides_min!$C56:$BB56,Factors!$C$20:$BB$20)+SUMPRODUCT(Oxides_max!$C56:$BB56,Factors!$C$20:$BB$20))/2),ABS(SUMPRODUCT(Oxides_max!$C56:$BB56,Factors!$C$20:$BB$20)-SUMPRODUCT(Oxides_min!$C56:$BB56,Factors!$C$20:$BB$20))/2)</f>
        <v>0</v>
      </c>
      <c r="N56" s="20">
        <f>MIN(MAX(0,(SUMPRODUCT(Oxides_min!$C56:$BB56,Factors!$C$21:$BB$21)+SUMPRODUCT(Oxides_max!$C56:$BB56,Factors!$C$21:$BB$21))/2),ABS(SUMPRODUCT(Oxides_max!$C56:$BB56,Factors!$C$21:$BB$21)-SUMPRODUCT(Oxides_min!$C56:$BB56,Factors!$C$21:$BB$21))/2)</f>
        <v>0</v>
      </c>
      <c r="O56" s="20">
        <f>MIN(MAX(0,(SUMPRODUCT(Oxides_min!$C56:$BB56,Factors!$C$22:$BB$22)+SUMPRODUCT(Oxides_max!$C56:$BB56,Factors!$C$22:$BB$22))/2),ABS(SUMPRODUCT(Oxides_max!$C56:$BB56,Factors!$C$22:$BB$22)-SUMPRODUCT(Oxides_min!$C56:$BB56,Factors!$C$22:$BB$22))/2)</f>
        <v>0</v>
      </c>
      <c r="P56" s="20">
        <f>MIN(MAX(0,(SUMPRODUCT(Oxides_min!$C56:$BB56,Factors!$C$23:$BB$23)+SUMPRODUCT(Oxides_max!$C56:$BB56,Factors!$C$23:$BB$23))/2),ABS(SUMPRODUCT(Oxides_max!$C56:$BB56,Factors!$C$23:$BB$23)-SUMPRODUCT(Oxides_min!$C56:$BB56,Factors!$C$23:$BB$23))/2)</f>
        <v>0</v>
      </c>
      <c r="Q56" s="20">
        <f>MIN(MAX(0,(SUMPRODUCT(Oxides_min!$C56:$BB56,Factors!$C$24:$BB$24)+SUMPRODUCT(Oxides_max!$C56:$BB56,Factors!$C$24:$BB$24))/2),ABS(SUMPRODUCT(Oxides_max!$C56:$BB56,Factors!$C$24:$BB$24)-SUMPRODUCT(Oxides_min!$C56:$BB56,Factors!$C$24:$BB$24))/2)</f>
        <v>0</v>
      </c>
      <c r="R56" s="20">
        <f>MIN(MAX(0,(SUMPRODUCT(Oxides_min!$C56:$BB56,Factors!$C$25:$BB$25)+SUMPRODUCT(Oxides_max!$C56:$BB56,Factors!$C$25:$BB$25))/2),ABS(SUMPRODUCT(Oxides_max!$C56:$BB56,Factors!$C$25:$BB$25)-SUMPRODUCT(Oxides_min!$C56:$BB56,Factors!$C$25:$BB$25))/2)</f>
        <v>0</v>
      </c>
      <c r="S56" s="20">
        <f>MIN(MAX(0,(SUMPRODUCT(Oxides_min!$C56:$BB56,Factors!$C$26:$BB$26)+SUMPRODUCT(Oxides_max!$C56:$BB56,Factors!$C$26:$BB$26))/2),ABS(SUMPRODUCT(Oxides_max!$C56:$BB56,Factors!$C$26:$BB$26)-SUMPRODUCT(Oxides_min!$C56:$BB56,Factors!$C$26:$BB$26))/2)</f>
        <v>0</v>
      </c>
      <c r="T56" s="20">
        <f>MIN(MAX(0,(SUMPRODUCT(Oxides_min!$C56:$BB56,Factors!$C$27:$BB$27)+SUMPRODUCT(Oxides_max!$C56:$BB56,Factors!$C$27:$BB$27))/2),ABS(SUMPRODUCT(Oxides_max!$C56:$BB56,Factors!$C$27:$BB$27)-SUMPRODUCT(Oxides_min!$C56:$BB56,Factors!$C$27:$BB$27))/2)</f>
        <v>0</v>
      </c>
      <c r="U56" s="20">
        <f>MIN(MAX(0,(SUMPRODUCT(Oxides_min!$C56:$BB56,Factors!$C$28:$BB$28)+SUMPRODUCT(Oxides_max!$C56:$BB56,Factors!$C$28:$BB$28))/2),ABS(SUMPRODUCT(Oxides_max!$C56:$BB56,Factors!$C$28:$BB$28)-SUMPRODUCT(Oxides_min!$C56:$BB56,Factors!$C$28:$BB$28))/2)</f>
        <v>0</v>
      </c>
      <c r="V56" s="20">
        <f>MIN(MAX(0,(SUMPRODUCT(Oxides_min!$C56:$BB56,Factors!$C$29:$BB$29)+SUMPRODUCT(Oxides_max!$C56:$BB56,Factors!$C$29:$BB$29))/2),ABS(SUMPRODUCT(Oxides_max!$C56:$BB56,Factors!$C$29:$BB$29)-SUMPRODUCT(Oxides_min!$C56:$BB56,Factors!$C$29:$BB$29))/2)</f>
        <v>0</v>
      </c>
      <c r="W56" s="20">
        <f>MIN(MAX(0,(SUMPRODUCT(Oxides_min!$C56:$BB56,Factors!$C$30:$BB$30)+SUMPRODUCT(Oxides_max!$C56:$BB56,Factors!$C$30:$BB$30))/2),ABS(SUMPRODUCT(Oxides_max!$C56:$BB56,Factors!$C$30:$BB$30)-SUMPRODUCT(Oxides_min!$C56:$BB56,Factors!$C$30:$BB$30))/2)</f>
        <v>0</v>
      </c>
      <c r="X56" s="20">
        <f>MIN(MAX(0,(SUMPRODUCT(Oxides_min!$C56:$BB56,Factors!$C$31:$BB$31)+SUMPRODUCT(Oxides_max!$C56:$BB56,Factors!$C$31:$BB$31))/2),ABS(SUMPRODUCT(Oxides_max!$C56:$BB56,Factors!$C$31:$BB$31)-SUMPRODUCT(Oxides_min!$C56:$BB56,Factors!$C$31:$BB$31))/2)</f>
        <v>0</v>
      </c>
      <c r="Y56" s="20">
        <f>MIN(MAX(0,(SUMPRODUCT(Oxides_min!$C56:$BB56,Factors!$C$32:$BB$32)+SUMPRODUCT(Oxides_max!$C56:$BB56,Factors!$C$32:$BB$32))/2),ABS(SUMPRODUCT(Oxides_max!$C56:$BB56,Factors!$C$32:$BB$32)-SUMPRODUCT(Oxides_min!$C56:$BB56,Factors!$C$32:$BB$32))/2)</f>
        <v>0</v>
      </c>
      <c r="Z56" s="20">
        <f>MIN(MAX(0,(SUMPRODUCT(Oxides_min!$C56:$BB56,Factors!$C$33:$BB$33)+SUMPRODUCT(Oxides_max!$C56:$BB56,Factors!$C$33:$BB$33))/2),ABS(SUMPRODUCT(Oxides_max!$C56:$BB56,Factors!$C$33:$BB$33)-SUMPRODUCT(Oxides_min!$C56:$BB56,Factors!$C$33:$BB$33))/2)</f>
        <v>0</v>
      </c>
      <c r="AA56" s="20">
        <f>MIN(MAX(0,(SUMPRODUCT(Oxides_min!$C56:$BB56,Factors!$C$34:$BB$34)+SUMPRODUCT(Oxides_max!$C56:$BB56,Factors!$C$34:$BB$34))/2),ABS(SUMPRODUCT(Oxides_max!$C56:$BB56,Factors!$C$34:$BB$34)-SUMPRODUCT(Oxides_min!$C56:$BB56,Factors!$C$34:$BB$34))/2)</f>
        <v>0</v>
      </c>
      <c r="AB56" s="20">
        <f>MIN(MAX(0,(SUMPRODUCT(Oxides_min!$C56:$BB56,Factors!$C$35:$BB$35)+SUMPRODUCT(Oxides_max!$C56:$BB56,Factors!$C$35:$BB$35))/2),ABS(SUMPRODUCT(Oxides_max!$C56:$BB56,Factors!$C$35:$BB$35)-SUMPRODUCT(Oxides_min!$C56:$BB56,Factors!$C$35:$BB$35))/2)</f>
        <v>0</v>
      </c>
      <c r="AC56" s="20">
        <f>MIN(MAX(0,(SUMPRODUCT(Oxides_min!$C56:$BB56,Factors!$C$36:$BB$36)+SUMPRODUCT(Oxides_max!$C56:$BB56,Factors!$C$36:$BB$36))/2),ABS(SUMPRODUCT(Oxides_max!$C56:$BB56,Factors!$C$36:$BB$36)-SUMPRODUCT(Oxides_min!$C56:$BB56,Factors!$C$36:$BB$36))/2)</f>
        <v>0</v>
      </c>
      <c r="AD56" s="20">
        <f>MIN(MAX(0,(SUMPRODUCT(Oxides_min!$C56:$BB56,Factors!$C$37:$BB$37)+SUMPRODUCT(Oxides_max!$C56:$BB56,Factors!$C$37:$BB$37))/2),ABS(SUMPRODUCT(Oxides_max!$C56:$BB56,Factors!$C$37:$BB$37)-SUMPRODUCT(Oxides_min!$C56:$BB56,Factors!$C$37:$BB$37))/2)</f>
        <v>0</v>
      </c>
      <c r="AE56" s="20">
        <f>MIN(MAX(0,(SUMPRODUCT(Oxides_min!$C56:$BB56,Factors!$C$38:$BB$38)+SUMPRODUCT(Oxides_max!$C56:$BB56,Factors!$C$38:$BB$38))/2),ABS(SUMPRODUCT(Oxides_max!$C56:$BB56,Factors!$C$38:$BB$38)-SUMPRODUCT(Oxides_min!$C56:$BB56,Factors!$C$38:$BB$38))/2)</f>
        <v>0</v>
      </c>
      <c r="AF56" s="20">
        <f>MIN(MAX(0,(SUMPRODUCT(Oxides_min!$C56:$BB56,Factors!$C$39:$BB$39)+SUMPRODUCT(Oxides_max!$C56:$BB56,Factors!$C$39:$BB$39))/2),ABS(SUMPRODUCT(Oxides_max!$C56:$BB56,Factors!$C$39:$BB$39)-SUMPRODUCT(Oxides_min!$C56:$BB56,Factors!$C$39:$BB$39))/2)</f>
        <v>0</v>
      </c>
      <c r="AG56" s="20">
        <f>MIN(MAX(0,(SUMPRODUCT(Oxides_min!$C56:$BB56,Factors!$C$40:$BB$40)+SUMPRODUCT(Oxides_max!$C56:$BB56,Factors!$C$40:$BB$40))/2),ABS(SUMPRODUCT(Oxides_max!$C56:$BB56,Factors!$C$40:$BB$40)-SUMPRODUCT(Oxides_min!$C56:$BB56,Factors!$C$40:$BB$40))/2)</f>
        <v>0</v>
      </c>
      <c r="AH56" s="20">
        <f>MIN(MAX(0,(SUMPRODUCT(Oxides_min!$C56:$BB56,Factors!$C$41:$BB$41)+SUMPRODUCT(Oxides_max!$C56:$BB56,Factors!$C$41:$BB$41))/2),ABS(SUMPRODUCT(Oxides_max!$C56:$BB56,Factors!$C$41:$BB$41)-SUMPRODUCT(Oxides_min!$C56:$BB56,Factors!$C$41:$BB$41))/2)</f>
        <v>0</v>
      </c>
      <c r="AI56" s="20">
        <f>MIN(MAX(0,(SUMPRODUCT(Oxides_min!$C56:$BB56,Factors!$C$42:$BB$42)+SUMPRODUCT(Oxides_max!$C56:$BB56,Factors!$C$42:$BB$42))/2),ABS(SUMPRODUCT(Oxides_max!$C56:$BB56,Factors!$C$42:$BB$42)-SUMPRODUCT(Oxides_min!$C56:$BB56,Factors!$C$42:$BB$42))/2)</f>
        <v>0</v>
      </c>
      <c r="AJ56" s="20">
        <f>MIN(MAX(0,(SUMPRODUCT(Oxides_min!$C56:$BB56,Factors!$C$43:$BB$43)+SUMPRODUCT(Oxides_max!$C56:$BB56,Factors!$C$43:$BB$43))/2),ABS(SUMPRODUCT(Oxides_max!$C56:$BB56,Factors!$C$43:$BB$43)-SUMPRODUCT(Oxides_min!$C56:$BB56,Factors!$C$43:$BB$43))/2)</f>
        <v>0</v>
      </c>
      <c r="AK56" s="20">
        <f>MIN(MAX(0,(SUMPRODUCT(Oxides_min!$C56:$BB56,Factors!$C$44:$BB$44)+SUMPRODUCT(Oxides_max!$C56:$BB56,Factors!$C$44:$BB$44))/2),ABS(SUMPRODUCT(Oxides_max!$C56:$BB56,Factors!$C$44:$BB$44)-SUMPRODUCT(Oxides_min!$C56:$BB56,Factors!$C$44:$BB$44))/2)</f>
        <v>0</v>
      </c>
      <c r="AL56" s="20">
        <f>MIN(MAX(0,(SUMPRODUCT(Oxides_min!$C56:$BB56,Factors!$C$45:$BB$45)+SUMPRODUCT(Oxides_max!$C56:$BB56,Factors!$C$45:$BB$45))/2),ABS(SUMPRODUCT(Oxides_max!$C56:$BB56,Factors!$C$45:$BB$45)-SUMPRODUCT(Oxides_min!$C56:$BB56,Factors!$C$45:$BB$45))/2)</f>
        <v>0</v>
      </c>
      <c r="AM56" s="20">
        <f>MIN(MAX(0,(SUMPRODUCT(Oxides_min!$C56:$BB56,Factors!$C$46:$BB$46)+SUMPRODUCT(Oxides_max!$C56:$BB56,Factors!$C$46:$BB$46))/2),ABS(SUMPRODUCT(Oxides_max!$C56:$BB56,Factors!$C$46:$BB$46)-SUMPRODUCT(Oxides_min!$C56:$BB56,Factors!$C$46:$BB$46))/2)</f>
        <v>0</v>
      </c>
      <c r="AN56" s="20">
        <f>MIN(MAX(0,(SUMPRODUCT(Oxides_min!$C56:$BB56,Factors!$C$47:$BB$47)+SUMPRODUCT(Oxides_max!$C56:$BB56,Factors!$C$47:$BB$47))/2),ABS(SUMPRODUCT(Oxides_max!$C56:$BB56,Factors!$C$47:$BB$47)-SUMPRODUCT(Oxides_min!$C56:$BB56,Factors!$C$47:$BB$47))/2)</f>
        <v>0</v>
      </c>
      <c r="AO56" s="20">
        <f>MIN(MAX(0,(SUMPRODUCT(Oxides_min!$C56:$BB56,Factors!$C$48:$BB$48)+SUMPRODUCT(Oxides_max!$C56:$BB56,Factors!$C$48:$BB$48))/2),ABS(SUMPRODUCT(Oxides_max!$C56:$BB56,Factors!$C$48:$BB$48)-SUMPRODUCT(Oxides_min!$C56:$BB56,Factors!$C$48:$BB$48))/2)</f>
        <v>0</v>
      </c>
      <c r="AP56" s="20">
        <f>MIN(MAX(0,(SUMPRODUCT(Oxides_min!$C56:$BB56,Factors!$C$49:$BB$49)+SUMPRODUCT(Oxides_max!$C56:$BB56,Factors!$C$49:$BB$49))/2),ABS(SUMPRODUCT(Oxides_max!$C56:$BB56,Factors!$C$49:$BB$49)-SUMPRODUCT(Oxides_min!$C56:$BB56,Factors!$C$49:$BB$49))/2)</f>
        <v>0</v>
      </c>
      <c r="AQ56" s="20">
        <f>MIN(MAX(0,(SUMPRODUCT(Oxides_min!$C56:$BB56,Factors!$C$50:$BB$50)+SUMPRODUCT(Oxides_max!$C56:$BB56,Factors!$C$50:$BB$50))/2),ABS(SUMPRODUCT(Oxides_max!$C56:$BB56,Factors!$C$50:$BB$50)-SUMPRODUCT(Oxides_min!$C56:$BB56,Factors!$C$50:$BB$50))/2)</f>
        <v>0</v>
      </c>
      <c r="AR56" s="20">
        <f>MIN(MAX(0,(SUMPRODUCT(Oxides_min!$C56:$BB56,Factors!$C$51:$BB$51)+SUMPRODUCT(Oxides_max!$C56:$BB56,Factors!$C$51:$BB$51))/2),ABS(SUMPRODUCT(Oxides_max!$C56:$BB56,Factors!$C$51:$BB$51)-SUMPRODUCT(Oxides_min!$C56:$BB56,Factors!$C$51:$BB$51))/2)</f>
        <v>0</v>
      </c>
      <c r="AS56" s="20">
        <f>MIN(MAX(0,(SUMPRODUCT(Oxides_min!$C56:$BB56,Factors!$C$52:$BB$52)+SUMPRODUCT(Oxides_max!$C56:$BB56,Factors!$C$52:$BB$52))/2),ABS(SUMPRODUCT(Oxides_max!$C56:$BB56,Factors!$C$52:$BB$52)-SUMPRODUCT(Oxides_min!$C56:$BB56,Factors!$C$52:$BB$52))/2)</f>
        <v>0</v>
      </c>
      <c r="AT56" s="20">
        <f>MIN(MAX(0,(SUMPRODUCT(Oxides_min!$C56:$BB56,Factors!$C$53:$BB$53)+SUMPRODUCT(Oxides_max!$C56:$BB56,Factors!$C$53:$BB$53))/2),ABS(SUMPRODUCT(Oxides_max!$C56:$BB56,Factors!$C$53:$BB$53)-SUMPRODUCT(Oxides_min!$C56:$BB56,Factors!$C$53:$BB$53))/2)</f>
        <v>0</v>
      </c>
      <c r="AU56" s="20">
        <f>MIN(MAX(0,(SUMPRODUCT(Oxides_min!$C56:$BB56,Factors!$C$54:$BB$54)+SUMPRODUCT(Oxides_max!$C56:$BB56,Factors!$C$54:$BB$54))/2),ABS(SUMPRODUCT(Oxides_max!$C56:$BB56,Factors!$C$54:$BB$54)-SUMPRODUCT(Oxides_min!$C56:$BB56,Factors!$C$54:$BB$54))/2)</f>
        <v>0</v>
      </c>
      <c r="AV56" s="20">
        <f>MIN(MAX(0,(SUMPRODUCT(Oxides_min!$C56:$BB56,Factors!$C$55:$BB$55)+SUMPRODUCT(Oxides_max!$C56:$BB56,Factors!$C$55:$BB$55))/2),ABS(SUMPRODUCT(Oxides_max!$C56:$BB56,Factors!$C$55:$BB$55)-SUMPRODUCT(Oxides_min!$C56:$BB56,Factors!$C$55:$BB$55))/2)</f>
        <v>0</v>
      </c>
      <c r="AW56" s="20">
        <f>MIN(MAX(0,(SUMPRODUCT(Oxides_min!$C56:$BB56,Factors!$C$56:$BB$56)+SUMPRODUCT(Oxides_max!$C56:$BB56,Factors!$C$56:$BB$56))/2),ABS(SUMPRODUCT(Oxides_max!$C56:$BB56,Factors!$C$56:$BB$56)-SUMPRODUCT(Oxides_min!$C56:$BB56,Factors!$C$56:$BB$56))/2)</f>
        <v>0</v>
      </c>
      <c r="AX56" s="20">
        <f>MIN(MAX(0,(SUMPRODUCT(Oxides_min!$C56:$BB56,Factors!$C$57:$BB$57)+SUMPRODUCT(Oxides_max!$C56:$BB56,Factors!$C$57:$BB$57))/2),ABS(SUMPRODUCT(Oxides_max!$C56:$BB56,Factors!$C$57:$BB$57)-SUMPRODUCT(Oxides_min!$C56:$BB56,Factors!$C$57:$BB$57))/2)</f>
        <v>0</v>
      </c>
      <c r="AY56" s="20">
        <f>MIN(MAX(0,(SUMPRODUCT(Oxides_min!$C56:$BB56,Factors!$C$58:$BB$58)+SUMPRODUCT(Oxides_max!$C56:$BB56,Factors!$C$58:$BB$58))/2),ABS(SUMPRODUCT(Oxides_max!$C56:$BB56,Factors!$C$58:$BB$58)-SUMPRODUCT(Oxides_min!$C56:$BB56,Factors!$C$58:$BB$58))/2)</f>
        <v>0</v>
      </c>
      <c r="AZ56" s="18">
        <f t="shared" ref="AZ56:AZ59" si="4">SUM(B56:AY56)</f>
        <v>0</v>
      </c>
    </row>
    <row r="57" spans="1:52" x14ac:dyDescent="0.35">
      <c r="A57" s="13" t="s">
        <v>496</v>
      </c>
      <c r="B57" s="20">
        <f>MIN(MAX(0,(SUMPRODUCT(Oxides_min!$C57:$BB57,Factors!$C$9:$BB$9)+SUMPRODUCT(Oxides_max!$C57:$BB57,Factors!$C$9:$BB$9))/2),ABS(SUMPRODUCT(Oxides_max!$C57:$BB57,Factors!$C$9:$BB$9)-SUMPRODUCT(Oxides_min!$C57:$BB57,Factors!$C$9:$BB$9))/2)</f>
        <v>0.46972302035520386</v>
      </c>
      <c r="C57" s="20">
        <f>MIN(MAX(0,(SUMPRODUCT(Oxides_min!$C57:$BB57,Factors!$C$10:$BB$10)+SUMPRODUCT(Oxides_max!$C57:$BB57,Factors!$C$10:$BB$10))/2),ABS(SUMPRODUCT(Oxides_max!$C57:$BB57,Factors!$C$10:$BB$10)-SUMPRODUCT(Oxides_min!$C57:$BB57,Factors!$C$10:$BB$10))/2)</f>
        <v>0.22904398914834445</v>
      </c>
      <c r="D57" s="20">
        <f>MIN(MAX(0,(SUMPRODUCT(Oxides_min!$C57:$BB57,Factors!$C$11:$BB$11)+SUMPRODUCT(Oxides_max!$C57:$BB57,Factors!$C$11:$BB$11))/2),ABS(SUMPRODUCT(Oxides_max!$C57:$BB57,Factors!$C$11:$BB$11)-SUMPRODUCT(Oxides_min!$C57:$BB57,Factors!$C$11:$BB$11))/2)</f>
        <v>0</v>
      </c>
      <c r="E57" s="20">
        <f>MIN(MAX(0,(SUMPRODUCT(Oxides_min!$C57:$BB57,Factors!$C$12:$BB$12)+SUMPRODUCT(Oxides_max!$C57:$BB57,Factors!$C$12:$BB$12))/2),ABS(SUMPRODUCT(Oxides_max!$C57:$BB57,Factors!$C$12:$BB$12)-SUMPRODUCT(Oxides_min!$C57:$BB57,Factors!$C$12:$BB$12))/2)</f>
        <v>0</v>
      </c>
      <c r="F57" s="20">
        <f>MIN(MAX(0,(SUMPRODUCT(Oxides_min!$C57:$BB57,Factors!$C$13:$BB$13)+SUMPRODUCT(Oxides_max!$C57:$BB57,Factors!$C$13:$BB$13))/2),ABS(SUMPRODUCT(Oxides_max!$C57:$BB57,Factors!$C$13:$BB$13)-SUMPRODUCT(Oxides_min!$C57:$BB57,Factors!$C$13:$BB$13))/2)</f>
        <v>0</v>
      </c>
      <c r="G57" s="20">
        <f>MIN(MAX(0,(SUMPRODUCT(Oxides_min!$C57:$BB57,Factors!$C$14:$BB$14)+SUMPRODUCT(Oxides_max!$C57:$BB57,Factors!$C$14:$BB$14))/2),ABS(SUMPRODUCT(Oxides_max!$C57:$BB57,Factors!$C$14:$BB$14)-SUMPRODUCT(Oxides_min!$C57:$BB57,Factors!$C$14:$BB$14))/2)</f>
        <v>0</v>
      </c>
      <c r="H57" s="20">
        <f>MIN(MAX(0,(SUMPRODUCT(Oxides_min!$C57:$BB57,Factors!$C$15:$BB$15)+SUMPRODUCT(Oxides_max!$C57:$BB57,Factors!$C$15:$BB$15))/2),ABS(SUMPRODUCT(Oxides_max!$C57:$BB57,Factors!$C$15:$BB$15)-SUMPRODUCT(Oxides_min!$C57:$BB57,Factors!$C$15:$BB$15))/2)</f>
        <v>2.1170277068347509E-2</v>
      </c>
      <c r="I57" s="20">
        <f>MIN(MAX(0,(SUMPRODUCT(Oxides_min!$C57:$BB57,Factors!$C$16:$BB$16)+SUMPRODUCT(Oxides_max!$C57:$BB57,Factors!$C$16:$BB$16))/2),ABS(SUMPRODUCT(Oxides_max!$C57:$BB57,Factors!$C$16:$BB$16)-SUMPRODUCT(Oxides_min!$C57:$BB57,Factors!$C$16:$BB$16))/2)</f>
        <v>1.3988615228540833E-2</v>
      </c>
      <c r="J57" s="20">
        <f>MIN(MAX(0,(SUMPRODUCT(Oxides_min!$C57:$BB57,Factors!$C$17:$BB$17)+SUMPRODUCT(Oxides_max!$C57:$BB57,Factors!$C$17:$BB$17))/2),ABS(SUMPRODUCT(Oxides_max!$C57:$BB57,Factors!$C$17:$BB$17)-SUMPRODUCT(Oxides_min!$C57:$BB57,Factors!$C$17:$BB$17))/2)</f>
        <v>5.4212339042489573E-2</v>
      </c>
      <c r="K57" s="20">
        <f>MIN(MAX(0,(SUMPRODUCT(Oxides_min!$C57:$BB57,Factors!$C$18:$BB$18)+SUMPRODUCT(Oxides_max!$C57:$BB57,Factors!$C$18:$BB$18))/2),ABS(SUMPRODUCT(Oxides_max!$C57:$BB57,Factors!$C$18:$BB$18)-SUMPRODUCT(Oxides_min!$C57:$BB57,Factors!$C$18:$BB$18))/2)</f>
        <v>0</v>
      </c>
      <c r="L57" s="20">
        <f>MIN(MAX(0,(SUMPRODUCT(Oxides_min!$C57:$BB57,Factors!$C$19:$BB$19)+SUMPRODUCT(Oxides_max!$C57:$BB57,Factors!$C$19:$BB$19))/2),ABS(SUMPRODUCT(Oxides_max!$C57:$BB57,Factors!$C$19:$BB$19)-SUMPRODUCT(Oxides_min!$C57:$BB57,Factors!$C$19:$BB$19))/2)</f>
        <v>0</v>
      </c>
      <c r="M57" s="20">
        <f>MIN(MAX(0,(SUMPRODUCT(Oxides_min!$C57:$BB57,Factors!$C$20:$BB$20)+SUMPRODUCT(Oxides_max!$C57:$BB57,Factors!$C$20:$BB$20))/2),ABS(SUMPRODUCT(Oxides_max!$C57:$BB57,Factors!$C$20:$BB$20)-SUMPRODUCT(Oxides_min!$C57:$BB57,Factors!$C$20:$BB$20))/2)</f>
        <v>0</v>
      </c>
      <c r="N57" s="20">
        <f>MIN(MAX(0,(SUMPRODUCT(Oxides_min!$C57:$BB57,Factors!$C$21:$BB$21)+SUMPRODUCT(Oxides_max!$C57:$BB57,Factors!$C$21:$BB$21))/2),ABS(SUMPRODUCT(Oxides_max!$C57:$BB57,Factors!$C$21:$BB$21)-SUMPRODUCT(Oxides_min!$C57:$BB57,Factors!$C$21:$BB$21))/2)</f>
        <v>0</v>
      </c>
      <c r="O57" s="20">
        <f>MIN(MAX(0,(SUMPRODUCT(Oxides_min!$C57:$BB57,Factors!$C$22:$BB$22)+SUMPRODUCT(Oxides_max!$C57:$BB57,Factors!$C$22:$BB$22))/2),ABS(SUMPRODUCT(Oxides_max!$C57:$BB57,Factors!$C$22:$BB$22)-SUMPRODUCT(Oxides_min!$C57:$BB57,Factors!$C$22:$BB$22))/2)</f>
        <v>0</v>
      </c>
      <c r="P57" s="20">
        <f>MIN(MAX(0,(SUMPRODUCT(Oxides_min!$C57:$BB57,Factors!$C$23:$BB$23)+SUMPRODUCT(Oxides_max!$C57:$BB57,Factors!$C$23:$BB$23))/2),ABS(SUMPRODUCT(Oxides_max!$C57:$BB57,Factors!$C$23:$BB$23)-SUMPRODUCT(Oxides_min!$C57:$BB57,Factors!$C$23:$BB$23))/2)</f>
        <v>0</v>
      </c>
      <c r="Q57" s="20">
        <f>MIN(MAX(0,(SUMPRODUCT(Oxides_min!$C57:$BB57,Factors!$C$24:$BB$24)+SUMPRODUCT(Oxides_max!$C57:$BB57,Factors!$C$24:$BB$24))/2),ABS(SUMPRODUCT(Oxides_max!$C57:$BB57,Factors!$C$24:$BB$24)-SUMPRODUCT(Oxides_min!$C57:$BB57,Factors!$C$24:$BB$24))/2)</f>
        <v>0</v>
      </c>
      <c r="R57" s="20">
        <f>MIN(MAX(0,(SUMPRODUCT(Oxides_min!$C57:$BB57,Factors!$C$25:$BB$25)+SUMPRODUCT(Oxides_max!$C57:$BB57,Factors!$C$25:$BB$25))/2),ABS(SUMPRODUCT(Oxides_max!$C57:$BB57,Factors!$C$25:$BB$25)-SUMPRODUCT(Oxides_min!$C57:$BB57,Factors!$C$25:$BB$25))/2)</f>
        <v>8.1604848373501238E-2</v>
      </c>
      <c r="S57" s="20">
        <f>MIN(MAX(0,(SUMPRODUCT(Oxides_min!$C57:$BB57,Factors!$C$26:$BB$26)+SUMPRODUCT(Oxides_max!$C57:$BB57,Factors!$C$26:$BB$26))/2),ABS(SUMPRODUCT(Oxides_max!$C57:$BB57,Factors!$C$26:$BB$26)-SUMPRODUCT(Oxides_min!$C57:$BB57,Factors!$C$26:$BB$26))/2)</f>
        <v>0</v>
      </c>
      <c r="T57" s="20">
        <f>MIN(MAX(0,(SUMPRODUCT(Oxides_min!$C57:$BB57,Factors!$C$27:$BB$27)+SUMPRODUCT(Oxides_max!$C57:$BB57,Factors!$C$27:$BB$27))/2),ABS(SUMPRODUCT(Oxides_max!$C57:$BB57,Factors!$C$27:$BB$27)-SUMPRODUCT(Oxides_min!$C57:$BB57,Factors!$C$27:$BB$27))/2)</f>
        <v>5.5744837511295442E-2</v>
      </c>
      <c r="U57" s="20">
        <f>MIN(MAX(0,(SUMPRODUCT(Oxides_min!$C57:$BB57,Factors!$C$28:$BB$28)+SUMPRODUCT(Oxides_max!$C57:$BB57,Factors!$C$28:$BB$28))/2),ABS(SUMPRODUCT(Oxides_max!$C57:$BB57,Factors!$C$28:$BB$28)-SUMPRODUCT(Oxides_min!$C57:$BB57,Factors!$C$28:$BB$28))/2)</f>
        <v>0</v>
      </c>
      <c r="V57" s="20">
        <f>MIN(MAX(0,(SUMPRODUCT(Oxides_min!$C57:$BB57,Factors!$C$29:$BB$29)+SUMPRODUCT(Oxides_max!$C57:$BB57,Factors!$C$29:$BB$29))/2),ABS(SUMPRODUCT(Oxides_max!$C57:$BB57,Factors!$C$29:$BB$29)-SUMPRODUCT(Oxides_min!$C57:$BB57,Factors!$C$29:$BB$29))/2)</f>
        <v>0</v>
      </c>
      <c r="W57" s="20">
        <f>MIN(MAX(0,(SUMPRODUCT(Oxides_min!$C57:$BB57,Factors!$C$30:$BB$30)+SUMPRODUCT(Oxides_max!$C57:$BB57,Factors!$C$30:$BB$30))/2),ABS(SUMPRODUCT(Oxides_max!$C57:$BB57,Factors!$C$30:$BB$30)-SUMPRODUCT(Oxides_min!$C57:$BB57,Factors!$C$30:$BB$30))/2)</f>
        <v>0</v>
      </c>
      <c r="X57" s="20">
        <f>MIN(MAX(0,(SUMPRODUCT(Oxides_min!$C57:$BB57,Factors!$C$31:$BB$31)+SUMPRODUCT(Oxides_max!$C57:$BB57,Factors!$C$31:$BB$31))/2),ABS(SUMPRODUCT(Oxides_max!$C57:$BB57,Factors!$C$31:$BB$31)-SUMPRODUCT(Oxides_min!$C57:$BB57,Factors!$C$31:$BB$31))/2)</f>
        <v>0</v>
      </c>
      <c r="Y57" s="20">
        <f>MIN(MAX(0,(SUMPRODUCT(Oxides_min!$C57:$BB57,Factors!$C$32:$BB$32)+SUMPRODUCT(Oxides_max!$C57:$BB57,Factors!$C$32:$BB$32))/2),ABS(SUMPRODUCT(Oxides_max!$C57:$BB57,Factors!$C$32:$BB$32)-SUMPRODUCT(Oxides_min!$C57:$BB57,Factors!$C$32:$BB$32))/2)</f>
        <v>0</v>
      </c>
      <c r="Z57" s="20">
        <f>MIN(MAX(0,(SUMPRODUCT(Oxides_min!$C57:$BB57,Factors!$C$33:$BB$33)+SUMPRODUCT(Oxides_max!$C57:$BB57,Factors!$C$33:$BB$33))/2),ABS(SUMPRODUCT(Oxides_max!$C57:$BB57,Factors!$C$33:$BB$33)-SUMPRODUCT(Oxides_min!$C57:$BB57,Factors!$C$33:$BB$33))/2)</f>
        <v>0</v>
      </c>
      <c r="AA57" s="20">
        <f>MIN(MAX(0,(SUMPRODUCT(Oxides_min!$C57:$BB57,Factors!$C$34:$BB$34)+SUMPRODUCT(Oxides_max!$C57:$BB57,Factors!$C$34:$BB$34))/2),ABS(SUMPRODUCT(Oxides_max!$C57:$BB57,Factors!$C$34:$BB$34)-SUMPRODUCT(Oxides_min!$C57:$BB57,Factors!$C$34:$BB$34))/2)</f>
        <v>0</v>
      </c>
      <c r="AB57" s="20">
        <f>MIN(MAX(0,(SUMPRODUCT(Oxides_min!$C57:$BB57,Factors!$C$35:$BB$35)+SUMPRODUCT(Oxides_max!$C57:$BB57,Factors!$C$35:$BB$35))/2),ABS(SUMPRODUCT(Oxides_max!$C57:$BB57,Factors!$C$35:$BB$35)-SUMPRODUCT(Oxides_min!$C57:$BB57,Factors!$C$35:$BB$35))/2)</f>
        <v>0</v>
      </c>
      <c r="AC57" s="20">
        <f>MIN(MAX(0,(SUMPRODUCT(Oxides_min!$C57:$BB57,Factors!$C$36:$BB$36)+SUMPRODUCT(Oxides_max!$C57:$BB57,Factors!$C$36:$BB$36))/2),ABS(SUMPRODUCT(Oxides_max!$C57:$BB57,Factors!$C$36:$BB$36)-SUMPRODUCT(Oxides_min!$C57:$BB57,Factors!$C$36:$BB$36))/2)</f>
        <v>0</v>
      </c>
      <c r="AD57" s="20">
        <f>MIN(MAX(0,(SUMPRODUCT(Oxides_min!$C57:$BB57,Factors!$C$37:$BB$37)+SUMPRODUCT(Oxides_max!$C57:$BB57,Factors!$C$37:$BB$37))/2),ABS(SUMPRODUCT(Oxides_max!$C57:$BB57,Factors!$C$37:$BB$37)-SUMPRODUCT(Oxides_min!$C57:$BB57,Factors!$C$37:$BB$37))/2)</f>
        <v>9.5120732722731062E-3</v>
      </c>
      <c r="AE57" s="20">
        <f>MIN(MAX(0,(SUMPRODUCT(Oxides_min!$C57:$BB57,Factors!$C$38:$BB$38)+SUMPRODUCT(Oxides_max!$C57:$BB57,Factors!$C$38:$BB$38))/2),ABS(SUMPRODUCT(Oxides_max!$C57:$BB57,Factors!$C$38:$BB$38)-SUMPRODUCT(Oxides_min!$C57:$BB57,Factors!$C$38:$BB$38))/2)</f>
        <v>0</v>
      </c>
      <c r="AF57" s="20">
        <f>MIN(MAX(0,(SUMPRODUCT(Oxides_min!$C57:$BB57,Factors!$C$39:$BB$39)+SUMPRODUCT(Oxides_max!$C57:$BB57,Factors!$C$39:$BB$39))/2),ABS(SUMPRODUCT(Oxides_max!$C57:$BB57,Factors!$C$39:$BB$39)-SUMPRODUCT(Oxides_min!$C57:$BB57,Factors!$C$39:$BB$39))/2)</f>
        <v>0</v>
      </c>
      <c r="AG57" s="20">
        <f>MIN(MAX(0,(SUMPRODUCT(Oxides_min!$C57:$BB57,Factors!$C$40:$BB$40)+SUMPRODUCT(Oxides_max!$C57:$BB57,Factors!$C$40:$BB$40))/2),ABS(SUMPRODUCT(Oxides_max!$C57:$BB57,Factors!$C$40:$BB$40)-SUMPRODUCT(Oxides_min!$C57:$BB57,Factors!$C$40:$BB$40))/2)</f>
        <v>0</v>
      </c>
      <c r="AH57" s="20">
        <f>MIN(MAX(0,(SUMPRODUCT(Oxides_min!$C57:$BB57,Factors!$C$41:$BB$41)+SUMPRODUCT(Oxides_max!$C57:$BB57,Factors!$C$41:$BB$41))/2),ABS(SUMPRODUCT(Oxides_max!$C57:$BB57,Factors!$C$41:$BB$41)-SUMPRODUCT(Oxides_min!$C57:$BB57,Factors!$C$41:$BB$41))/2)</f>
        <v>0</v>
      </c>
      <c r="AI57" s="20">
        <f>MIN(MAX(0,(SUMPRODUCT(Oxides_min!$C57:$BB57,Factors!$C$42:$BB$42)+SUMPRODUCT(Oxides_max!$C57:$BB57,Factors!$C$42:$BB$42))/2),ABS(SUMPRODUCT(Oxides_max!$C57:$BB57,Factors!$C$42:$BB$42)-SUMPRODUCT(Oxides_min!$C57:$BB57,Factors!$C$42:$BB$42))/2)</f>
        <v>0</v>
      </c>
      <c r="AJ57" s="20">
        <f>MIN(MAX(0,(SUMPRODUCT(Oxides_min!$C57:$BB57,Factors!$C$43:$BB$43)+SUMPRODUCT(Oxides_max!$C57:$BB57,Factors!$C$43:$BB$43))/2),ABS(SUMPRODUCT(Oxides_max!$C57:$BB57,Factors!$C$43:$BB$43)-SUMPRODUCT(Oxides_min!$C57:$BB57,Factors!$C$43:$BB$43))/2)</f>
        <v>0</v>
      </c>
      <c r="AK57" s="20">
        <f>MIN(MAX(0,(SUMPRODUCT(Oxides_min!$C57:$BB57,Factors!$C$44:$BB$44)+SUMPRODUCT(Oxides_max!$C57:$BB57,Factors!$C$44:$BB$44))/2),ABS(SUMPRODUCT(Oxides_max!$C57:$BB57,Factors!$C$44:$BB$44)-SUMPRODUCT(Oxides_min!$C57:$BB57,Factors!$C$44:$BB$44))/2)</f>
        <v>0</v>
      </c>
      <c r="AL57" s="20">
        <f>MIN(MAX(0,(SUMPRODUCT(Oxides_min!$C57:$BB57,Factors!$C$45:$BB$45)+SUMPRODUCT(Oxides_max!$C57:$BB57,Factors!$C$45:$BB$45))/2),ABS(SUMPRODUCT(Oxides_max!$C57:$BB57,Factors!$C$45:$BB$45)-SUMPRODUCT(Oxides_min!$C57:$BB57,Factors!$C$45:$BB$45))/2)</f>
        <v>0</v>
      </c>
      <c r="AM57" s="20">
        <f>MIN(MAX(0,(SUMPRODUCT(Oxides_min!$C57:$BB57,Factors!$C$46:$BB$46)+SUMPRODUCT(Oxides_max!$C57:$BB57,Factors!$C$46:$BB$46))/2),ABS(SUMPRODUCT(Oxides_max!$C57:$BB57,Factors!$C$46:$BB$46)-SUMPRODUCT(Oxides_min!$C57:$BB57,Factors!$C$46:$BB$46))/2)</f>
        <v>0</v>
      </c>
      <c r="AN57" s="20">
        <f>MIN(MAX(0,(SUMPRODUCT(Oxides_min!$C57:$BB57,Factors!$C$47:$BB$47)+SUMPRODUCT(Oxides_max!$C57:$BB57,Factors!$C$47:$BB$47))/2),ABS(SUMPRODUCT(Oxides_max!$C57:$BB57,Factors!$C$47:$BB$47)-SUMPRODUCT(Oxides_min!$C57:$BB57,Factors!$C$47:$BB$47))/2)</f>
        <v>0</v>
      </c>
      <c r="AO57" s="20">
        <f>MIN(MAX(0,(SUMPRODUCT(Oxides_min!$C57:$BB57,Factors!$C$48:$BB$48)+SUMPRODUCT(Oxides_max!$C57:$BB57,Factors!$C$48:$BB$48))/2),ABS(SUMPRODUCT(Oxides_max!$C57:$BB57,Factors!$C$48:$BB$48)-SUMPRODUCT(Oxides_min!$C57:$BB57,Factors!$C$48:$BB$48))/2)</f>
        <v>0</v>
      </c>
      <c r="AP57" s="20">
        <f>MIN(MAX(0,(SUMPRODUCT(Oxides_min!$C57:$BB57,Factors!$C$49:$BB$49)+SUMPRODUCT(Oxides_max!$C57:$BB57,Factors!$C$49:$BB$49))/2),ABS(SUMPRODUCT(Oxides_max!$C57:$BB57,Factors!$C$49:$BB$49)-SUMPRODUCT(Oxides_min!$C57:$BB57,Factors!$C$49:$BB$49))/2)</f>
        <v>0</v>
      </c>
      <c r="AQ57" s="20">
        <f>MIN(MAX(0,(SUMPRODUCT(Oxides_min!$C57:$BB57,Factors!$C$50:$BB$50)+SUMPRODUCT(Oxides_max!$C57:$BB57,Factors!$C$50:$BB$50))/2),ABS(SUMPRODUCT(Oxides_max!$C57:$BB57,Factors!$C$50:$BB$50)-SUMPRODUCT(Oxides_min!$C57:$BB57,Factors!$C$50:$BB$50))/2)</f>
        <v>0</v>
      </c>
      <c r="AR57" s="20">
        <f>MIN(MAX(0,(SUMPRODUCT(Oxides_min!$C57:$BB57,Factors!$C$51:$BB$51)+SUMPRODUCT(Oxides_max!$C57:$BB57,Factors!$C$51:$BB$51))/2),ABS(SUMPRODUCT(Oxides_max!$C57:$BB57,Factors!$C$51:$BB$51)-SUMPRODUCT(Oxides_min!$C57:$BB57,Factors!$C$51:$BB$51))/2)</f>
        <v>0</v>
      </c>
      <c r="AS57" s="20">
        <f>MIN(MAX(0,(SUMPRODUCT(Oxides_min!$C57:$BB57,Factors!$C$52:$BB$52)+SUMPRODUCT(Oxides_max!$C57:$BB57,Factors!$C$52:$BB$52))/2),ABS(SUMPRODUCT(Oxides_max!$C57:$BB57,Factors!$C$52:$BB$52)-SUMPRODUCT(Oxides_min!$C57:$BB57,Factors!$C$52:$BB$52))/2)</f>
        <v>0</v>
      </c>
      <c r="AT57" s="20">
        <f>MIN(MAX(0,(SUMPRODUCT(Oxides_min!$C57:$BB57,Factors!$C$53:$BB$53)+SUMPRODUCT(Oxides_max!$C57:$BB57,Factors!$C$53:$BB$53))/2),ABS(SUMPRODUCT(Oxides_max!$C57:$BB57,Factors!$C$53:$BB$53)-SUMPRODUCT(Oxides_min!$C57:$BB57,Factors!$C$53:$BB$53))/2)</f>
        <v>0</v>
      </c>
      <c r="AU57" s="20">
        <f>MIN(MAX(0,(SUMPRODUCT(Oxides_min!$C57:$BB57,Factors!$C$54:$BB$54)+SUMPRODUCT(Oxides_max!$C57:$BB57,Factors!$C$54:$BB$54))/2),ABS(SUMPRODUCT(Oxides_max!$C57:$BB57,Factors!$C$54:$BB$54)-SUMPRODUCT(Oxides_min!$C57:$BB57,Factors!$C$54:$BB$54))/2)</f>
        <v>0</v>
      </c>
      <c r="AV57" s="20">
        <f>MIN(MAX(0,(SUMPRODUCT(Oxides_min!$C57:$BB57,Factors!$C$55:$BB$55)+SUMPRODUCT(Oxides_max!$C57:$BB57,Factors!$C$55:$BB$55))/2),ABS(SUMPRODUCT(Oxides_max!$C57:$BB57,Factors!$C$55:$BB$55)-SUMPRODUCT(Oxides_min!$C57:$BB57,Factors!$C$55:$BB$55))/2)</f>
        <v>0</v>
      </c>
      <c r="AW57" s="20">
        <f>MIN(MAX(0,(SUMPRODUCT(Oxides_min!$C57:$BB57,Factors!$C$56:$BB$56)+SUMPRODUCT(Oxides_max!$C57:$BB57,Factors!$C$56:$BB$56))/2),ABS(SUMPRODUCT(Oxides_max!$C57:$BB57,Factors!$C$56:$BB$56)-SUMPRODUCT(Oxides_min!$C57:$BB57,Factors!$C$56:$BB$56))/2)</f>
        <v>0</v>
      </c>
      <c r="AX57" s="20">
        <f>MIN(MAX(0,(SUMPRODUCT(Oxides_min!$C57:$BB57,Factors!$C$57:$BB$57)+SUMPRODUCT(Oxides_max!$C57:$BB57,Factors!$C$57:$BB$57))/2),ABS(SUMPRODUCT(Oxides_max!$C57:$BB57,Factors!$C$57:$BB$57)-SUMPRODUCT(Oxides_min!$C57:$BB57,Factors!$C$57:$BB$57))/2)</f>
        <v>0</v>
      </c>
      <c r="AY57" s="20">
        <f>MIN(MAX(0,(SUMPRODUCT(Oxides_min!$C57:$BB57,Factors!$C$58:$BB$58)+SUMPRODUCT(Oxides_max!$C57:$BB57,Factors!$C$58:$BB$58))/2),ABS(SUMPRODUCT(Oxides_max!$C57:$BB57,Factors!$C$58:$BB$58)-SUMPRODUCT(Oxides_min!$C57:$BB57,Factors!$C$58:$BB$58))/2)</f>
        <v>0</v>
      </c>
      <c r="AZ57" s="18">
        <f t="shared" si="4"/>
        <v>0.93499999999999595</v>
      </c>
    </row>
    <row r="58" spans="1:52" x14ac:dyDescent="0.35">
      <c r="A58" s="13" t="s">
        <v>498</v>
      </c>
      <c r="B58" s="20">
        <f>MIN(MAX(0,(SUMPRODUCT(Oxides_min!$C58:$BB58,Factors!$C$9:$BB$9)+SUMPRODUCT(Oxides_max!$C58:$BB58,Factors!$C$9:$BB$9))/2),ABS(SUMPRODUCT(Oxides_max!$C58:$BB58,Factors!$C$9:$BB$9)-SUMPRODUCT(Oxides_min!$C58:$BB58,Factors!$C$9:$BB$9))/2)</f>
        <v>0.83076143490756138</v>
      </c>
      <c r="C58" s="20">
        <f>MIN(MAX(0,(SUMPRODUCT(Oxides_min!$C58:$BB58,Factors!$C$10:$BB$10)+SUMPRODUCT(Oxides_max!$C58:$BB58,Factors!$C$10:$BB$10))/2),ABS(SUMPRODUCT(Oxides_max!$C58:$BB58,Factors!$C$10:$BB$10)-SUMPRODUCT(Oxides_min!$C58:$BB58,Factors!$C$10:$BB$10))/2)</f>
        <v>0</v>
      </c>
      <c r="D58" s="20">
        <f>MIN(MAX(0,(SUMPRODUCT(Oxides_min!$C58:$BB58,Factors!$C$11:$BB$11)+SUMPRODUCT(Oxides_max!$C58:$BB58,Factors!$C$11:$BB$11))/2),ABS(SUMPRODUCT(Oxides_max!$C58:$BB58,Factors!$C$11:$BB$11)-SUMPRODUCT(Oxides_min!$C58:$BB58,Factors!$C$11:$BB$11))/2)</f>
        <v>0</v>
      </c>
      <c r="E58" s="20">
        <f>MIN(MAX(0,(SUMPRODUCT(Oxides_min!$C58:$BB58,Factors!$C$12:$BB$12)+SUMPRODUCT(Oxides_max!$C58:$BB58,Factors!$C$12:$BB$12))/2),ABS(SUMPRODUCT(Oxides_max!$C58:$BB58,Factors!$C$12:$BB$12)-SUMPRODUCT(Oxides_min!$C58:$BB58,Factors!$C$12:$BB$12))/2)</f>
        <v>0</v>
      </c>
      <c r="F58" s="20">
        <f>MIN(MAX(0,(SUMPRODUCT(Oxides_min!$C58:$BB58,Factors!$C$13:$BB$13)+SUMPRODUCT(Oxides_max!$C58:$BB58,Factors!$C$13:$BB$13))/2),ABS(SUMPRODUCT(Oxides_max!$C58:$BB58,Factors!$C$13:$BB$13)-SUMPRODUCT(Oxides_min!$C58:$BB58,Factors!$C$13:$BB$13))/2)</f>
        <v>0</v>
      </c>
      <c r="G58" s="20">
        <f>MIN(MAX(0,(SUMPRODUCT(Oxides_min!$C58:$BB58,Factors!$C$14:$BB$14)+SUMPRODUCT(Oxides_max!$C58:$BB58,Factors!$C$14:$BB$14))/2),ABS(SUMPRODUCT(Oxides_max!$C58:$BB58,Factors!$C$14:$BB$14)-SUMPRODUCT(Oxides_min!$C58:$BB58,Factors!$C$14:$BB$14))/2)</f>
        <v>0</v>
      </c>
      <c r="H58" s="20">
        <f>MIN(MAX(0,(SUMPRODUCT(Oxides_min!$C58:$BB58,Factors!$C$15:$BB$15)+SUMPRODUCT(Oxides_max!$C58:$BB58,Factors!$C$15:$BB$15))/2),ABS(SUMPRODUCT(Oxides_max!$C58:$BB58,Factors!$C$15:$BB$15)-SUMPRODUCT(Oxides_min!$C58:$BB58,Factors!$C$15:$BB$15))/2)</f>
        <v>0</v>
      </c>
      <c r="I58" s="20">
        <f>MIN(MAX(0,(SUMPRODUCT(Oxides_min!$C58:$BB58,Factors!$C$16:$BB$16)+SUMPRODUCT(Oxides_max!$C58:$BB58,Factors!$C$16:$BB$16))/2),ABS(SUMPRODUCT(Oxides_max!$C58:$BB58,Factors!$C$16:$BB$16)-SUMPRODUCT(Oxides_min!$C58:$BB58,Factors!$C$16:$BB$16))/2)</f>
        <v>0.1671214715216302</v>
      </c>
      <c r="J58" s="20">
        <f>MIN(MAX(0,(SUMPRODUCT(Oxides_min!$C58:$BB58,Factors!$C$17:$BB$17)+SUMPRODUCT(Oxides_max!$C58:$BB58,Factors!$C$17:$BB$17))/2),ABS(SUMPRODUCT(Oxides_max!$C58:$BB58,Factors!$C$17:$BB$17)-SUMPRODUCT(Oxides_min!$C58:$BB58,Factors!$C$17:$BB$17))/2)</f>
        <v>0</v>
      </c>
      <c r="K58" s="20">
        <f>MIN(MAX(0,(SUMPRODUCT(Oxides_min!$C58:$BB58,Factors!$C$18:$BB$18)+SUMPRODUCT(Oxides_max!$C58:$BB58,Factors!$C$18:$BB$18))/2),ABS(SUMPRODUCT(Oxides_max!$C58:$BB58,Factors!$C$18:$BB$18)-SUMPRODUCT(Oxides_min!$C58:$BB58,Factors!$C$18:$BB$18))/2)</f>
        <v>0</v>
      </c>
      <c r="L58" s="20">
        <f>MIN(MAX(0,(SUMPRODUCT(Oxides_min!$C58:$BB58,Factors!$C$19:$BB$19)+SUMPRODUCT(Oxides_max!$C58:$BB58,Factors!$C$19:$BB$19))/2),ABS(SUMPRODUCT(Oxides_max!$C58:$BB58,Factors!$C$19:$BB$19)-SUMPRODUCT(Oxides_min!$C58:$BB58,Factors!$C$19:$BB$19))/2)</f>
        <v>0</v>
      </c>
      <c r="M58" s="20">
        <f>MIN(MAX(0,(SUMPRODUCT(Oxides_min!$C58:$BB58,Factors!$C$20:$BB$20)+SUMPRODUCT(Oxides_max!$C58:$BB58,Factors!$C$20:$BB$20))/2),ABS(SUMPRODUCT(Oxides_max!$C58:$BB58,Factors!$C$20:$BB$20)-SUMPRODUCT(Oxides_min!$C58:$BB58,Factors!$C$20:$BB$20))/2)</f>
        <v>0.52464643707820557</v>
      </c>
      <c r="N58" s="20">
        <f>MIN(MAX(0,(SUMPRODUCT(Oxides_min!$C58:$BB58,Factors!$C$21:$BB$21)+SUMPRODUCT(Oxides_max!$C58:$BB58,Factors!$C$21:$BB$21))/2),ABS(SUMPRODUCT(Oxides_max!$C58:$BB58,Factors!$C$21:$BB$21)-SUMPRODUCT(Oxides_min!$C58:$BB58,Factors!$C$21:$BB$21))/2)</f>
        <v>0.86835547550689185</v>
      </c>
      <c r="O58" s="20">
        <f>MIN(MAX(0,(SUMPRODUCT(Oxides_min!$C58:$BB58,Factors!$C$22:$BB$22)+SUMPRODUCT(Oxides_max!$C58:$BB58,Factors!$C$22:$BB$22))/2),ABS(SUMPRODUCT(Oxides_max!$C58:$BB58,Factors!$C$22:$BB$22)-SUMPRODUCT(Oxides_min!$C58:$BB58,Factors!$C$22:$BB$22))/2)</f>
        <v>0</v>
      </c>
      <c r="P58" s="20">
        <f>MIN(MAX(0,(SUMPRODUCT(Oxides_min!$C58:$BB58,Factors!$C$23:$BB$23)+SUMPRODUCT(Oxides_max!$C58:$BB58,Factors!$C$23:$BB$23))/2),ABS(SUMPRODUCT(Oxides_max!$C58:$BB58,Factors!$C$23:$BB$23)-SUMPRODUCT(Oxides_min!$C58:$BB58,Factors!$C$23:$BB$23))/2)</f>
        <v>0</v>
      </c>
      <c r="Q58" s="20">
        <f>MIN(MAX(0,(SUMPRODUCT(Oxides_min!$C58:$BB58,Factors!$C$24:$BB$24)+SUMPRODUCT(Oxides_max!$C58:$BB58,Factors!$C$24:$BB$24))/2),ABS(SUMPRODUCT(Oxides_max!$C58:$BB58,Factors!$C$24:$BB$24)-SUMPRODUCT(Oxides_min!$C58:$BB58,Factors!$C$24:$BB$24))/2)</f>
        <v>0</v>
      </c>
      <c r="R58" s="20">
        <f>MIN(MAX(0,(SUMPRODUCT(Oxides_min!$C58:$BB58,Factors!$C$25:$BB$25)+SUMPRODUCT(Oxides_max!$C58:$BB58,Factors!$C$25:$BB$25))/2),ABS(SUMPRODUCT(Oxides_max!$C58:$BB58,Factors!$C$25:$BB$25)-SUMPRODUCT(Oxides_min!$C58:$BB58,Factors!$C$25:$BB$25))/2)</f>
        <v>0</v>
      </c>
      <c r="S58" s="20">
        <f>MIN(MAX(0,(SUMPRODUCT(Oxides_min!$C58:$BB58,Factors!$C$26:$BB$26)+SUMPRODUCT(Oxides_max!$C58:$BB58,Factors!$C$26:$BB$26))/2),ABS(SUMPRODUCT(Oxides_max!$C58:$BB58,Factors!$C$26:$BB$26)-SUMPRODUCT(Oxides_min!$C58:$BB58,Factors!$C$26:$BB$26))/2)</f>
        <v>0</v>
      </c>
      <c r="T58" s="20">
        <f>MIN(MAX(0,(SUMPRODUCT(Oxides_min!$C58:$BB58,Factors!$C$27:$BB$27)+SUMPRODUCT(Oxides_max!$C58:$BB58,Factors!$C$27:$BB$27))/2),ABS(SUMPRODUCT(Oxides_max!$C58:$BB58,Factors!$C$27:$BB$27)-SUMPRODUCT(Oxides_min!$C58:$BB58,Factors!$C$27:$BB$27))/2)</f>
        <v>0</v>
      </c>
      <c r="U58" s="20">
        <f>MIN(MAX(0,(SUMPRODUCT(Oxides_min!$C58:$BB58,Factors!$C$28:$BB$28)+SUMPRODUCT(Oxides_max!$C58:$BB58,Factors!$C$28:$BB$28))/2),ABS(SUMPRODUCT(Oxides_max!$C58:$BB58,Factors!$C$28:$BB$28)-SUMPRODUCT(Oxides_min!$C58:$BB58,Factors!$C$28:$BB$28))/2)</f>
        <v>0</v>
      </c>
      <c r="V58" s="20">
        <f>MIN(MAX(0,(SUMPRODUCT(Oxides_min!$C58:$BB58,Factors!$C$29:$BB$29)+SUMPRODUCT(Oxides_max!$C58:$BB58,Factors!$C$29:$BB$29))/2),ABS(SUMPRODUCT(Oxides_max!$C58:$BB58,Factors!$C$29:$BB$29)-SUMPRODUCT(Oxides_min!$C58:$BB58,Factors!$C$29:$BB$29))/2)</f>
        <v>0</v>
      </c>
      <c r="W58" s="20">
        <f>MIN(MAX(0,(SUMPRODUCT(Oxides_min!$C58:$BB58,Factors!$C$30:$BB$30)+SUMPRODUCT(Oxides_max!$C58:$BB58,Factors!$C$30:$BB$30))/2),ABS(SUMPRODUCT(Oxides_max!$C58:$BB58,Factors!$C$30:$BB$30)-SUMPRODUCT(Oxides_min!$C58:$BB58,Factors!$C$30:$BB$30))/2)</f>
        <v>0</v>
      </c>
      <c r="X58" s="20">
        <f>MIN(MAX(0,(SUMPRODUCT(Oxides_min!$C58:$BB58,Factors!$C$31:$BB$31)+SUMPRODUCT(Oxides_max!$C58:$BB58,Factors!$C$31:$BB$31))/2),ABS(SUMPRODUCT(Oxides_max!$C58:$BB58,Factors!$C$31:$BB$31)-SUMPRODUCT(Oxides_min!$C58:$BB58,Factors!$C$31:$BB$31))/2)</f>
        <v>0</v>
      </c>
      <c r="Y58" s="20">
        <f>MIN(MAX(0,(SUMPRODUCT(Oxides_min!$C58:$BB58,Factors!$C$32:$BB$32)+SUMPRODUCT(Oxides_max!$C58:$BB58,Factors!$C$32:$BB$32))/2),ABS(SUMPRODUCT(Oxides_max!$C58:$BB58,Factors!$C$32:$BB$32)-SUMPRODUCT(Oxides_min!$C58:$BB58,Factors!$C$32:$BB$32))/2)</f>
        <v>0</v>
      </c>
      <c r="Z58" s="20">
        <f>MIN(MAX(0,(SUMPRODUCT(Oxides_min!$C58:$BB58,Factors!$C$33:$BB$33)+SUMPRODUCT(Oxides_max!$C58:$BB58,Factors!$C$33:$BB$33))/2),ABS(SUMPRODUCT(Oxides_max!$C58:$BB58,Factors!$C$33:$BB$33)-SUMPRODUCT(Oxides_min!$C58:$BB58,Factors!$C$33:$BB$33))/2)</f>
        <v>0</v>
      </c>
      <c r="AA58" s="20">
        <f>MIN(MAX(0,(SUMPRODUCT(Oxides_min!$C58:$BB58,Factors!$C$34:$BB$34)+SUMPRODUCT(Oxides_max!$C58:$BB58,Factors!$C$34:$BB$34))/2),ABS(SUMPRODUCT(Oxides_max!$C58:$BB58,Factors!$C$34:$BB$34)-SUMPRODUCT(Oxides_min!$C58:$BB58,Factors!$C$34:$BB$34))/2)</f>
        <v>0</v>
      </c>
      <c r="AB58" s="20">
        <f>MIN(MAX(0,(SUMPRODUCT(Oxides_min!$C58:$BB58,Factors!$C$35:$BB$35)+SUMPRODUCT(Oxides_max!$C58:$BB58,Factors!$C$35:$BB$35))/2),ABS(SUMPRODUCT(Oxides_max!$C58:$BB58,Factors!$C$35:$BB$35)-SUMPRODUCT(Oxides_min!$C58:$BB58,Factors!$C$35:$BB$35))/2)</f>
        <v>0</v>
      </c>
      <c r="AC58" s="20">
        <f>MIN(MAX(0,(SUMPRODUCT(Oxides_min!$C58:$BB58,Factors!$C$36:$BB$36)+SUMPRODUCT(Oxides_max!$C58:$BB58,Factors!$C$36:$BB$36))/2),ABS(SUMPRODUCT(Oxides_max!$C58:$BB58,Factors!$C$36:$BB$36)-SUMPRODUCT(Oxides_min!$C58:$BB58,Factors!$C$36:$BB$36))/2)</f>
        <v>3.4115180985707205E-2</v>
      </c>
      <c r="AD58" s="20">
        <f>MIN(MAX(0,(SUMPRODUCT(Oxides_min!$C58:$BB58,Factors!$C$37:$BB$37)+SUMPRODUCT(Oxides_max!$C58:$BB58,Factors!$C$37:$BB$37))/2),ABS(SUMPRODUCT(Oxides_max!$C58:$BB58,Factors!$C$37:$BB$37)-SUMPRODUCT(Oxides_min!$C58:$BB58,Factors!$C$37:$BB$37))/2)</f>
        <v>0</v>
      </c>
      <c r="AE58" s="20">
        <f>MIN(MAX(0,(SUMPRODUCT(Oxides_min!$C58:$BB58,Factors!$C$38:$BB$38)+SUMPRODUCT(Oxides_max!$C58:$BB58,Factors!$C$38:$BB$38))/2),ABS(SUMPRODUCT(Oxides_max!$C58:$BB58,Factors!$C$38:$BB$38)-SUMPRODUCT(Oxides_min!$C58:$BB58,Factors!$C$38:$BB$38))/2)</f>
        <v>0</v>
      </c>
      <c r="AF58" s="20">
        <f>MIN(MAX(0,(SUMPRODUCT(Oxides_min!$C58:$BB58,Factors!$C$39:$BB$39)+SUMPRODUCT(Oxides_max!$C58:$BB58,Factors!$C$39:$BB$39))/2),ABS(SUMPRODUCT(Oxides_max!$C58:$BB58,Factors!$C$39:$BB$39)-SUMPRODUCT(Oxides_min!$C58:$BB58,Factors!$C$39:$BB$39))/2)</f>
        <v>0</v>
      </c>
      <c r="AG58" s="20">
        <f>MIN(MAX(0,(SUMPRODUCT(Oxides_min!$C58:$BB58,Factors!$C$40:$BB$40)+SUMPRODUCT(Oxides_max!$C58:$BB58,Factors!$C$40:$BB$40))/2),ABS(SUMPRODUCT(Oxides_max!$C58:$BB58,Factors!$C$40:$BB$40)-SUMPRODUCT(Oxides_min!$C58:$BB58,Factors!$C$40:$BB$40))/2)</f>
        <v>0</v>
      </c>
      <c r="AH58" s="20">
        <f>MIN(MAX(0,(SUMPRODUCT(Oxides_min!$C58:$BB58,Factors!$C$41:$BB$41)+SUMPRODUCT(Oxides_max!$C58:$BB58,Factors!$C$41:$BB$41))/2),ABS(SUMPRODUCT(Oxides_max!$C58:$BB58,Factors!$C$41:$BB$41)-SUMPRODUCT(Oxides_min!$C58:$BB58,Factors!$C$41:$BB$41))/2)</f>
        <v>0</v>
      </c>
      <c r="AI58" s="20">
        <f>MIN(MAX(0,(SUMPRODUCT(Oxides_min!$C58:$BB58,Factors!$C$42:$BB$42)+SUMPRODUCT(Oxides_max!$C58:$BB58,Factors!$C$42:$BB$42))/2),ABS(SUMPRODUCT(Oxides_max!$C58:$BB58,Factors!$C$42:$BB$42)-SUMPRODUCT(Oxides_min!$C58:$BB58,Factors!$C$42:$BB$42))/2)</f>
        <v>0</v>
      </c>
      <c r="AJ58" s="20">
        <f>MIN(MAX(0,(SUMPRODUCT(Oxides_min!$C58:$BB58,Factors!$C$43:$BB$43)+SUMPRODUCT(Oxides_max!$C58:$BB58,Factors!$C$43:$BB$43))/2),ABS(SUMPRODUCT(Oxides_max!$C58:$BB58,Factors!$C$43:$BB$43)-SUMPRODUCT(Oxides_min!$C58:$BB58,Factors!$C$43:$BB$43))/2)</f>
        <v>0</v>
      </c>
      <c r="AK58" s="20">
        <f>MIN(MAX(0,(SUMPRODUCT(Oxides_min!$C58:$BB58,Factors!$C$44:$BB$44)+SUMPRODUCT(Oxides_max!$C58:$BB58,Factors!$C$44:$BB$44))/2),ABS(SUMPRODUCT(Oxides_max!$C58:$BB58,Factors!$C$44:$BB$44)-SUMPRODUCT(Oxides_min!$C58:$BB58,Factors!$C$44:$BB$44))/2)</f>
        <v>0</v>
      </c>
      <c r="AL58" s="20">
        <f>MIN(MAX(0,(SUMPRODUCT(Oxides_min!$C58:$BB58,Factors!$C$45:$BB$45)+SUMPRODUCT(Oxides_max!$C58:$BB58,Factors!$C$45:$BB$45))/2),ABS(SUMPRODUCT(Oxides_max!$C58:$BB58,Factors!$C$45:$BB$45)-SUMPRODUCT(Oxides_min!$C58:$BB58,Factors!$C$45:$BB$45))/2)</f>
        <v>0</v>
      </c>
      <c r="AM58" s="20">
        <f>MIN(MAX(0,(SUMPRODUCT(Oxides_min!$C58:$BB58,Factors!$C$46:$BB$46)+SUMPRODUCT(Oxides_max!$C58:$BB58,Factors!$C$46:$BB$46))/2),ABS(SUMPRODUCT(Oxides_max!$C58:$BB58,Factors!$C$46:$BB$46)-SUMPRODUCT(Oxides_min!$C58:$BB58,Factors!$C$46:$BB$46))/2)</f>
        <v>0</v>
      </c>
      <c r="AN58" s="20">
        <f>MIN(MAX(0,(SUMPRODUCT(Oxides_min!$C58:$BB58,Factors!$C$47:$BB$47)+SUMPRODUCT(Oxides_max!$C58:$BB58,Factors!$C$47:$BB$47))/2),ABS(SUMPRODUCT(Oxides_max!$C58:$BB58,Factors!$C$47:$BB$47)-SUMPRODUCT(Oxides_min!$C58:$BB58,Factors!$C$47:$BB$47))/2)</f>
        <v>0</v>
      </c>
      <c r="AO58" s="20">
        <f>MIN(MAX(0,(SUMPRODUCT(Oxides_min!$C58:$BB58,Factors!$C$48:$BB$48)+SUMPRODUCT(Oxides_max!$C58:$BB58,Factors!$C$48:$BB$48))/2),ABS(SUMPRODUCT(Oxides_max!$C58:$BB58,Factors!$C$48:$BB$48)-SUMPRODUCT(Oxides_min!$C58:$BB58,Factors!$C$48:$BB$48))/2)</f>
        <v>0</v>
      </c>
      <c r="AP58" s="20">
        <f>MIN(MAX(0,(SUMPRODUCT(Oxides_min!$C58:$BB58,Factors!$C$49:$BB$49)+SUMPRODUCT(Oxides_max!$C58:$BB58,Factors!$C$49:$BB$49))/2),ABS(SUMPRODUCT(Oxides_max!$C58:$BB58,Factors!$C$49:$BB$49)-SUMPRODUCT(Oxides_min!$C58:$BB58,Factors!$C$49:$BB$49))/2)</f>
        <v>0</v>
      </c>
      <c r="AQ58" s="20">
        <f>MIN(MAX(0,(SUMPRODUCT(Oxides_min!$C58:$BB58,Factors!$C$50:$BB$50)+SUMPRODUCT(Oxides_max!$C58:$BB58,Factors!$C$50:$BB$50))/2),ABS(SUMPRODUCT(Oxides_max!$C58:$BB58,Factors!$C$50:$BB$50)-SUMPRODUCT(Oxides_min!$C58:$BB58,Factors!$C$50:$BB$50))/2)</f>
        <v>0</v>
      </c>
      <c r="AR58" s="20">
        <f>MIN(MAX(0,(SUMPRODUCT(Oxides_min!$C58:$BB58,Factors!$C$51:$BB$51)+SUMPRODUCT(Oxides_max!$C58:$BB58,Factors!$C$51:$BB$51))/2),ABS(SUMPRODUCT(Oxides_max!$C58:$BB58,Factors!$C$51:$BB$51)-SUMPRODUCT(Oxides_min!$C58:$BB58,Factors!$C$51:$BB$51))/2)</f>
        <v>0</v>
      </c>
      <c r="AS58" s="20">
        <f>MIN(MAX(0,(SUMPRODUCT(Oxides_min!$C58:$BB58,Factors!$C$52:$BB$52)+SUMPRODUCT(Oxides_max!$C58:$BB58,Factors!$C$52:$BB$52))/2),ABS(SUMPRODUCT(Oxides_max!$C58:$BB58,Factors!$C$52:$BB$52)-SUMPRODUCT(Oxides_min!$C58:$BB58,Factors!$C$52:$BB$52))/2)</f>
        <v>0</v>
      </c>
      <c r="AT58" s="20">
        <f>MIN(MAX(0,(SUMPRODUCT(Oxides_min!$C58:$BB58,Factors!$C$53:$BB$53)+SUMPRODUCT(Oxides_max!$C58:$BB58,Factors!$C$53:$BB$53))/2),ABS(SUMPRODUCT(Oxides_max!$C58:$BB58,Factors!$C$53:$BB$53)-SUMPRODUCT(Oxides_min!$C58:$BB58,Factors!$C$53:$BB$53))/2)</f>
        <v>0</v>
      </c>
      <c r="AU58" s="20">
        <f>MIN(MAX(0,(SUMPRODUCT(Oxides_min!$C58:$BB58,Factors!$C$54:$BB$54)+SUMPRODUCT(Oxides_max!$C58:$BB58,Factors!$C$54:$BB$54))/2),ABS(SUMPRODUCT(Oxides_max!$C58:$BB58,Factors!$C$54:$BB$54)-SUMPRODUCT(Oxides_min!$C58:$BB58,Factors!$C$54:$BB$54))/2)</f>
        <v>0</v>
      </c>
      <c r="AV58" s="20">
        <f>MIN(MAX(0,(SUMPRODUCT(Oxides_min!$C58:$BB58,Factors!$C$55:$BB$55)+SUMPRODUCT(Oxides_max!$C58:$BB58,Factors!$C$55:$BB$55))/2),ABS(SUMPRODUCT(Oxides_max!$C58:$BB58,Factors!$C$55:$BB$55)-SUMPRODUCT(Oxides_min!$C58:$BB58,Factors!$C$55:$BB$55))/2)</f>
        <v>0</v>
      </c>
      <c r="AW58" s="20">
        <f>MIN(MAX(0,(SUMPRODUCT(Oxides_min!$C58:$BB58,Factors!$C$56:$BB$56)+SUMPRODUCT(Oxides_max!$C58:$BB58,Factors!$C$56:$BB$56))/2),ABS(SUMPRODUCT(Oxides_max!$C58:$BB58,Factors!$C$56:$BB$56)-SUMPRODUCT(Oxides_min!$C58:$BB58,Factors!$C$56:$BB$56))/2)</f>
        <v>0</v>
      </c>
      <c r="AX58" s="20">
        <f>MIN(MAX(0,(SUMPRODUCT(Oxides_min!$C58:$BB58,Factors!$C$57:$BB$57)+SUMPRODUCT(Oxides_max!$C58:$BB58,Factors!$C$57:$BB$57))/2),ABS(SUMPRODUCT(Oxides_max!$C58:$BB58,Factors!$C$57:$BB$57)-SUMPRODUCT(Oxides_min!$C58:$BB58,Factors!$C$57:$BB$57))/2)</f>
        <v>0</v>
      </c>
      <c r="AY58" s="20">
        <f>MIN(MAX(0,(SUMPRODUCT(Oxides_min!$C58:$BB58,Factors!$C$58:$BB$58)+SUMPRODUCT(Oxides_max!$C58:$BB58,Factors!$C$58:$BB$58))/2),ABS(SUMPRODUCT(Oxides_max!$C58:$BB58,Factors!$C$58:$BB$58)-SUMPRODUCT(Oxides_min!$C58:$BB58,Factors!$C$58:$BB$58))/2)</f>
        <v>0</v>
      </c>
      <c r="AZ58" s="18">
        <f t="shared" si="4"/>
        <v>2.4249999999999963</v>
      </c>
    </row>
    <row r="59" spans="1:52" x14ac:dyDescent="0.35">
      <c r="A59" s="13" t="s">
        <v>500</v>
      </c>
      <c r="B59" s="20">
        <f>MIN(MAX(0,(SUMPRODUCT(Oxides_min!$C59:$BB59,Factors!$C$9:$BB$9)+SUMPRODUCT(Oxides_max!$C59:$BB59,Factors!$C$9:$BB$9))/2),ABS(SUMPRODUCT(Oxides_max!$C59:$BB59,Factors!$C$9:$BB$9)-SUMPRODUCT(Oxides_min!$C59:$BB59,Factors!$C$9:$BB$9))/2)</f>
        <v>0.1211669530262478</v>
      </c>
      <c r="C59" s="20">
        <f>MIN(MAX(0,(SUMPRODUCT(Oxides_min!$C59:$BB59,Factors!$C$10:$BB$10)+SUMPRODUCT(Oxides_max!$C59:$BB59,Factors!$C$10:$BB$10))/2),ABS(SUMPRODUCT(Oxides_max!$C59:$BB59,Factors!$C$10:$BB$10)-SUMPRODUCT(Oxides_min!$C59:$BB59,Factors!$C$10:$BB$10))/2)</f>
        <v>0</v>
      </c>
      <c r="D59" s="20">
        <f>MIN(MAX(0,(SUMPRODUCT(Oxides_min!$C59:$BB59,Factors!$C$11:$BB$11)+SUMPRODUCT(Oxides_max!$C59:$BB59,Factors!$C$11:$BB$11))/2),ABS(SUMPRODUCT(Oxides_max!$C59:$BB59,Factors!$C$11:$BB$11)-SUMPRODUCT(Oxides_min!$C59:$BB59,Factors!$C$11:$BB$11))/2)</f>
        <v>0</v>
      </c>
      <c r="E59" s="20">
        <f>MIN(MAX(0,(SUMPRODUCT(Oxides_min!$C59:$BB59,Factors!$C$12:$BB$12)+SUMPRODUCT(Oxides_max!$C59:$BB59,Factors!$C$12:$BB$12))/2),ABS(SUMPRODUCT(Oxides_max!$C59:$BB59,Factors!$C$12:$BB$12)-SUMPRODUCT(Oxides_min!$C59:$BB59,Factors!$C$12:$BB$12))/2)</f>
        <v>0</v>
      </c>
      <c r="F59" s="20">
        <f>MIN(MAX(0,(SUMPRODUCT(Oxides_min!$C59:$BB59,Factors!$C$13:$BB$13)+SUMPRODUCT(Oxides_max!$C59:$BB59,Factors!$C$13:$BB$13))/2),ABS(SUMPRODUCT(Oxides_max!$C59:$BB59,Factors!$C$13:$BB$13)-SUMPRODUCT(Oxides_min!$C59:$BB59,Factors!$C$13:$BB$13))/2)</f>
        <v>0</v>
      </c>
      <c r="G59" s="20">
        <f>MIN(MAX(0,(SUMPRODUCT(Oxides_min!$C59:$BB59,Factors!$C$14:$BB$14)+SUMPRODUCT(Oxides_max!$C59:$BB59,Factors!$C$14:$BB$14))/2),ABS(SUMPRODUCT(Oxides_max!$C59:$BB59,Factors!$C$14:$BB$14)-SUMPRODUCT(Oxides_min!$C59:$BB59,Factors!$C$14:$BB$14))/2)</f>
        <v>0</v>
      </c>
      <c r="H59" s="20">
        <f>MIN(MAX(0,(SUMPRODUCT(Oxides_min!$C59:$BB59,Factors!$C$15:$BB$15)+SUMPRODUCT(Oxides_max!$C59:$BB59,Factors!$C$15:$BB$15))/2),ABS(SUMPRODUCT(Oxides_max!$C59:$BB59,Factors!$C$15:$BB$15)-SUMPRODUCT(Oxides_min!$C59:$BB59,Factors!$C$15:$BB$15))/2)</f>
        <v>0</v>
      </c>
      <c r="I59" s="20">
        <f>MIN(MAX(0,(SUMPRODUCT(Oxides_min!$C59:$BB59,Factors!$C$16:$BB$16)+SUMPRODUCT(Oxides_max!$C59:$BB59,Factors!$C$16:$BB$16))/2),ABS(SUMPRODUCT(Oxides_max!$C59:$BB59,Factors!$C$16:$BB$16)-SUMPRODUCT(Oxides_min!$C59:$BB59,Factors!$C$16:$BB$16))/2)</f>
        <v>9.1256096542508764</v>
      </c>
      <c r="J59" s="20">
        <f>MIN(MAX(0,(SUMPRODUCT(Oxides_min!$C59:$BB59,Factors!$C$17:$BB$17)+SUMPRODUCT(Oxides_max!$C59:$BB59,Factors!$C$17:$BB$17))/2),ABS(SUMPRODUCT(Oxides_max!$C59:$BB59,Factors!$C$17:$BB$17)-SUMPRODUCT(Oxides_min!$C59:$BB59,Factors!$C$17:$BB$17))/2)</f>
        <v>1.3282023065409945</v>
      </c>
      <c r="K59" s="20">
        <f>MIN(MAX(0,(SUMPRODUCT(Oxides_min!$C59:$BB59,Factors!$C$18:$BB$18)+SUMPRODUCT(Oxides_max!$C59:$BB59,Factors!$C$18:$BB$18))/2),ABS(SUMPRODUCT(Oxides_max!$C59:$BB59,Factors!$C$18:$BB$18)-SUMPRODUCT(Oxides_min!$C59:$BB59,Factors!$C$18:$BB$18))/2)</f>
        <v>11.215483109893214</v>
      </c>
      <c r="L59" s="20">
        <f>MIN(MAX(0,(SUMPRODUCT(Oxides_min!$C59:$BB59,Factors!$C$19:$BB$19)+SUMPRODUCT(Oxides_max!$C59:$BB59,Factors!$C$19:$BB$19))/2),ABS(SUMPRODUCT(Oxides_max!$C59:$BB59,Factors!$C$19:$BB$19)-SUMPRODUCT(Oxides_min!$C59:$BB59,Factors!$C$19:$BB$19))/2)</f>
        <v>0</v>
      </c>
      <c r="M59" s="20">
        <f>MIN(MAX(0,(SUMPRODUCT(Oxides_min!$C59:$BB59,Factors!$C$20:$BB$20)+SUMPRODUCT(Oxides_max!$C59:$BB59,Factors!$C$20:$BB$20))/2),ABS(SUMPRODUCT(Oxides_max!$C59:$BB59,Factors!$C$20:$BB$20)-SUMPRODUCT(Oxides_min!$C59:$BB59,Factors!$C$20:$BB$20))/2)</f>
        <v>0</v>
      </c>
      <c r="N59" s="20">
        <f>MIN(MAX(0,(SUMPRODUCT(Oxides_min!$C59:$BB59,Factors!$C$21:$BB$21)+SUMPRODUCT(Oxides_max!$C59:$BB59,Factors!$C$21:$BB$21))/2),ABS(SUMPRODUCT(Oxides_max!$C59:$BB59,Factors!$C$21:$BB$21)-SUMPRODUCT(Oxides_min!$C59:$BB59,Factors!$C$21:$BB$21))/2)</f>
        <v>0</v>
      </c>
      <c r="O59" s="20">
        <f>MIN(MAX(0,(SUMPRODUCT(Oxides_min!$C59:$BB59,Factors!$C$22:$BB$22)+SUMPRODUCT(Oxides_max!$C59:$BB59,Factors!$C$22:$BB$22))/2),ABS(SUMPRODUCT(Oxides_max!$C59:$BB59,Factors!$C$22:$BB$22)-SUMPRODUCT(Oxides_min!$C59:$BB59,Factors!$C$22:$BB$22))/2)</f>
        <v>0</v>
      </c>
      <c r="P59" s="20">
        <f>MIN(MAX(0,(SUMPRODUCT(Oxides_min!$C59:$BB59,Factors!$C$23:$BB$23)+SUMPRODUCT(Oxides_max!$C59:$BB59,Factors!$C$23:$BB$23))/2),ABS(SUMPRODUCT(Oxides_max!$C59:$BB59,Factors!$C$23:$BB$23)-SUMPRODUCT(Oxides_min!$C59:$BB59,Factors!$C$23:$BB$23))/2)</f>
        <v>0</v>
      </c>
      <c r="Q59" s="20">
        <f>MIN(MAX(0,(SUMPRODUCT(Oxides_min!$C59:$BB59,Factors!$C$24:$BB$24)+SUMPRODUCT(Oxides_max!$C59:$BB59,Factors!$C$24:$BB$24))/2),ABS(SUMPRODUCT(Oxides_max!$C59:$BB59,Factors!$C$24:$BB$24)-SUMPRODUCT(Oxides_min!$C59:$BB59,Factors!$C$24:$BB$24))/2)</f>
        <v>0</v>
      </c>
      <c r="R59" s="20">
        <f>MIN(MAX(0,(SUMPRODUCT(Oxides_min!$C59:$BB59,Factors!$C$25:$BB$25)+SUMPRODUCT(Oxides_max!$C59:$BB59,Factors!$C$25:$BB$25))/2),ABS(SUMPRODUCT(Oxides_max!$C59:$BB59,Factors!$C$25:$BB$25)-SUMPRODUCT(Oxides_min!$C59:$BB59,Factors!$C$25:$BB$25))/2)</f>
        <v>0</v>
      </c>
      <c r="S59" s="20">
        <f>MIN(MAX(0,(SUMPRODUCT(Oxides_min!$C59:$BB59,Factors!$C$26:$BB$26)+SUMPRODUCT(Oxides_max!$C59:$BB59,Factors!$C$26:$BB$26))/2),ABS(SUMPRODUCT(Oxides_max!$C59:$BB59,Factors!$C$26:$BB$26)-SUMPRODUCT(Oxides_min!$C59:$BB59,Factors!$C$26:$BB$26))/2)</f>
        <v>0</v>
      </c>
      <c r="T59" s="20">
        <f>MIN(MAX(0,(SUMPRODUCT(Oxides_min!$C59:$BB59,Factors!$C$27:$BB$27)+SUMPRODUCT(Oxides_max!$C59:$BB59,Factors!$C$27:$BB$27))/2),ABS(SUMPRODUCT(Oxides_max!$C59:$BB59,Factors!$C$27:$BB$27)-SUMPRODUCT(Oxides_min!$C59:$BB59,Factors!$C$27:$BB$27))/2)</f>
        <v>0</v>
      </c>
      <c r="U59" s="20">
        <f>MIN(MAX(0,(SUMPRODUCT(Oxides_min!$C59:$BB59,Factors!$C$28:$BB$28)+SUMPRODUCT(Oxides_max!$C59:$BB59,Factors!$C$28:$BB$28))/2),ABS(SUMPRODUCT(Oxides_max!$C59:$BB59,Factors!$C$28:$BB$28)-SUMPRODUCT(Oxides_min!$C59:$BB59,Factors!$C$28:$BB$28))/2)</f>
        <v>0</v>
      </c>
      <c r="V59" s="20">
        <f>MIN(MAX(0,(SUMPRODUCT(Oxides_min!$C59:$BB59,Factors!$C$29:$BB$29)+SUMPRODUCT(Oxides_max!$C59:$BB59,Factors!$C$29:$BB$29))/2),ABS(SUMPRODUCT(Oxides_max!$C59:$BB59,Factors!$C$29:$BB$29)-SUMPRODUCT(Oxides_min!$C59:$BB59,Factors!$C$29:$BB$29))/2)</f>
        <v>0</v>
      </c>
      <c r="W59" s="20">
        <f>MIN(MAX(0,(SUMPRODUCT(Oxides_min!$C59:$BB59,Factors!$C$30:$BB$30)+SUMPRODUCT(Oxides_max!$C59:$BB59,Factors!$C$30:$BB$30))/2),ABS(SUMPRODUCT(Oxides_max!$C59:$BB59,Factors!$C$30:$BB$30)-SUMPRODUCT(Oxides_min!$C59:$BB59,Factors!$C$30:$BB$30))/2)</f>
        <v>0</v>
      </c>
      <c r="X59" s="20">
        <f>MIN(MAX(0,(SUMPRODUCT(Oxides_min!$C59:$BB59,Factors!$C$31:$BB$31)+SUMPRODUCT(Oxides_max!$C59:$BB59,Factors!$C$31:$BB$31))/2),ABS(SUMPRODUCT(Oxides_max!$C59:$BB59,Factors!$C$31:$BB$31)-SUMPRODUCT(Oxides_min!$C59:$BB59,Factors!$C$31:$BB$31))/2)</f>
        <v>0</v>
      </c>
      <c r="Y59" s="20">
        <f>MIN(MAX(0,(SUMPRODUCT(Oxides_min!$C59:$BB59,Factors!$C$32:$BB$32)+SUMPRODUCT(Oxides_max!$C59:$BB59,Factors!$C$32:$BB$32))/2),ABS(SUMPRODUCT(Oxides_max!$C59:$BB59,Factors!$C$32:$BB$32)-SUMPRODUCT(Oxides_min!$C59:$BB59,Factors!$C$32:$BB$32))/2)</f>
        <v>0</v>
      </c>
      <c r="Z59" s="20">
        <f>MIN(MAX(0,(SUMPRODUCT(Oxides_min!$C59:$BB59,Factors!$C$33:$BB$33)+SUMPRODUCT(Oxides_max!$C59:$BB59,Factors!$C$33:$BB$33))/2),ABS(SUMPRODUCT(Oxides_max!$C59:$BB59,Factors!$C$33:$BB$33)-SUMPRODUCT(Oxides_min!$C59:$BB59,Factors!$C$33:$BB$33))/2)</f>
        <v>0</v>
      </c>
      <c r="AA59" s="20">
        <f>MIN(MAX(0,(SUMPRODUCT(Oxides_min!$C59:$BB59,Factors!$C$34:$BB$34)+SUMPRODUCT(Oxides_max!$C59:$BB59,Factors!$C$34:$BB$34))/2),ABS(SUMPRODUCT(Oxides_max!$C59:$BB59,Factors!$C$34:$BB$34)-SUMPRODUCT(Oxides_min!$C59:$BB59,Factors!$C$34:$BB$34))/2)</f>
        <v>0</v>
      </c>
      <c r="AB59" s="20">
        <f>MIN(MAX(0,(SUMPRODUCT(Oxides_min!$C59:$BB59,Factors!$C$35:$BB$35)+SUMPRODUCT(Oxides_max!$C59:$BB59,Factors!$C$35:$BB$35))/2),ABS(SUMPRODUCT(Oxides_max!$C59:$BB59,Factors!$C$35:$BB$35)-SUMPRODUCT(Oxides_min!$C59:$BB59,Factors!$C$35:$BB$35))/2)</f>
        <v>0.39499999999999957</v>
      </c>
      <c r="AC59" s="20">
        <f>MIN(MAX(0,(SUMPRODUCT(Oxides_min!$C59:$BB59,Factors!$C$36:$BB$36)+SUMPRODUCT(Oxides_max!$C59:$BB59,Factors!$C$36:$BB$36))/2),ABS(SUMPRODUCT(Oxides_max!$C59:$BB59,Factors!$C$36:$BB$36)-SUMPRODUCT(Oxides_min!$C59:$BB59,Factors!$C$36:$BB$36))/2)</f>
        <v>0</v>
      </c>
      <c r="AD59" s="20">
        <f>MIN(MAX(0,(SUMPRODUCT(Oxides_min!$C59:$BB59,Factors!$C$37:$BB$37)+SUMPRODUCT(Oxides_max!$C59:$BB59,Factors!$C$37:$BB$37))/2),ABS(SUMPRODUCT(Oxides_max!$C59:$BB59,Factors!$C$37:$BB$37)-SUMPRODUCT(Oxides_min!$C59:$BB59,Factors!$C$37:$BB$37))/2)</f>
        <v>0</v>
      </c>
      <c r="AE59" s="20">
        <f>MIN(MAX(0,(SUMPRODUCT(Oxides_min!$C59:$BB59,Factors!$C$38:$BB$38)+SUMPRODUCT(Oxides_max!$C59:$BB59,Factors!$C$38:$BB$38))/2),ABS(SUMPRODUCT(Oxides_max!$C59:$BB59,Factors!$C$38:$BB$38)-SUMPRODUCT(Oxides_min!$C59:$BB59,Factors!$C$38:$BB$38))/2)</f>
        <v>0</v>
      </c>
      <c r="AF59" s="20">
        <f>MIN(MAX(0,(SUMPRODUCT(Oxides_min!$C59:$BB59,Factors!$C$39:$BB$39)+SUMPRODUCT(Oxides_max!$C59:$BB59,Factors!$C$39:$BB$39))/2),ABS(SUMPRODUCT(Oxides_max!$C59:$BB59,Factors!$C$39:$BB$39)-SUMPRODUCT(Oxides_min!$C59:$BB59,Factors!$C$39:$BB$39))/2)</f>
        <v>0</v>
      </c>
      <c r="AG59" s="20">
        <f>MIN(MAX(0,(SUMPRODUCT(Oxides_min!$C59:$BB59,Factors!$C$40:$BB$40)+SUMPRODUCT(Oxides_max!$C59:$BB59,Factors!$C$40:$BB$40))/2),ABS(SUMPRODUCT(Oxides_max!$C59:$BB59,Factors!$C$40:$BB$40)-SUMPRODUCT(Oxides_min!$C59:$BB59,Factors!$C$40:$BB$40))/2)</f>
        <v>0</v>
      </c>
      <c r="AH59" s="20">
        <f>MIN(MAX(0,(SUMPRODUCT(Oxides_min!$C59:$BB59,Factors!$C$41:$BB$41)+SUMPRODUCT(Oxides_max!$C59:$BB59,Factors!$C$41:$BB$41))/2),ABS(SUMPRODUCT(Oxides_max!$C59:$BB59,Factors!$C$41:$BB$41)-SUMPRODUCT(Oxides_min!$C59:$BB59,Factors!$C$41:$BB$41))/2)</f>
        <v>0</v>
      </c>
      <c r="AI59" s="20">
        <f>MIN(MAX(0,(SUMPRODUCT(Oxides_min!$C59:$BB59,Factors!$C$42:$BB$42)+SUMPRODUCT(Oxides_max!$C59:$BB59,Factors!$C$42:$BB$42))/2),ABS(SUMPRODUCT(Oxides_max!$C59:$BB59,Factors!$C$42:$BB$42)-SUMPRODUCT(Oxides_min!$C59:$BB59,Factors!$C$42:$BB$42))/2)</f>
        <v>0</v>
      </c>
      <c r="AJ59" s="20">
        <f>MIN(MAX(0,(SUMPRODUCT(Oxides_min!$C59:$BB59,Factors!$C$43:$BB$43)+SUMPRODUCT(Oxides_max!$C59:$BB59,Factors!$C$43:$BB$43))/2),ABS(SUMPRODUCT(Oxides_max!$C59:$BB59,Factors!$C$43:$BB$43)-SUMPRODUCT(Oxides_min!$C59:$BB59,Factors!$C$43:$BB$43))/2)</f>
        <v>0</v>
      </c>
      <c r="AK59" s="20">
        <f>MIN(MAX(0,(SUMPRODUCT(Oxides_min!$C59:$BB59,Factors!$C$44:$BB$44)+SUMPRODUCT(Oxides_max!$C59:$BB59,Factors!$C$44:$BB$44))/2),ABS(SUMPRODUCT(Oxides_max!$C59:$BB59,Factors!$C$44:$BB$44)-SUMPRODUCT(Oxides_min!$C59:$BB59,Factors!$C$44:$BB$44))/2)</f>
        <v>0</v>
      </c>
      <c r="AL59" s="20">
        <f>MIN(MAX(0,(SUMPRODUCT(Oxides_min!$C59:$BB59,Factors!$C$45:$BB$45)+SUMPRODUCT(Oxides_max!$C59:$BB59,Factors!$C$45:$BB$45))/2),ABS(SUMPRODUCT(Oxides_max!$C59:$BB59,Factors!$C$45:$BB$45)-SUMPRODUCT(Oxides_min!$C59:$BB59,Factors!$C$45:$BB$45))/2)</f>
        <v>0</v>
      </c>
      <c r="AM59" s="20">
        <f>MIN(MAX(0,(SUMPRODUCT(Oxides_min!$C59:$BB59,Factors!$C$46:$BB$46)+SUMPRODUCT(Oxides_max!$C59:$BB59,Factors!$C$46:$BB$46))/2),ABS(SUMPRODUCT(Oxides_max!$C59:$BB59,Factors!$C$46:$BB$46)-SUMPRODUCT(Oxides_min!$C59:$BB59,Factors!$C$46:$BB$46))/2)</f>
        <v>0</v>
      </c>
      <c r="AN59" s="20">
        <f>MIN(MAX(0,(SUMPRODUCT(Oxides_min!$C59:$BB59,Factors!$C$47:$BB$47)+SUMPRODUCT(Oxides_max!$C59:$BB59,Factors!$C$47:$BB$47))/2),ABS(SUMPRODUCT(Oxides_max!$C59:$BB59,Factors!$C$47:$BB$47)-SUMPRODUCT(Oxides_min!$C59:$BB59,Factors!$C$47:$BB$47))/2)</f>
        <v>0</v>
      </c>
      <c r="AO59" s="20">
        <f>MIN(MAX(0,(SUMPRODUCT(Oxides_min!$C59:$BB59,Factors!$C$48:$BB$48)+SUMPRODUCT(Oxides_max!$C59:$BB59,Factors!$C$48:$BB$48))/2),ABS(SUMPRODUCT(Oxides_max!$C59:$BB59,Factors!$C$48:$BB$48)-SUMPRODUCT(Oxides_min!$C59:$BB59,Factors!$C$48:$BB$48))/2)</f>
        <v>0</v>
      </c>
      <c r="AP59" s="20">
        <f>MIN(MAX(0,(SUMPRODUCT(Oxides_min!$C59:$BB59,Factors!$C$49:$BB$49)+SUMPRODUCT(Oxides_max!$C59:$BB59,Factors!$C$49:$BB$49))/2),ABS(SUMPRODUCT(Oxides_max!$C59:$BB59,Factors!$C$49:$BB$49)-SUMPRODUCT(Oxides_min!$C59:$BB59,Factors!$C$49:$BB$49))/2)</f>
        <v>0</v>
      </c>
      <c r="AQ59" s="20">
        <f>MIN(MAX(0,(SUMPRODUCT(Oxides_min!$C59:$BB59,Factors!$C$50:$BB$50)+SUMPRODUCT(Oxides_max!$C59:$BB59,Factors!$C$50:$BB$50))/2),ABS(SUMPRODUCT(Oxides_max!$C59:$BB59,Factors!$C$50:$BB$50)-SUMPRODUCT(Oxides_min!$C59:$BB59,Factors!$C$50:$BB$50))/2)</f>
        <v>0</v>
      </c>
      <c r="AR59" s="20">
        <f>MIN(MAX(0,(SUMPRODUCT(Oxides_min!$C59:$BB59,Factors!$C$51:$BB$51)+SUMPRODUCT(Oxides_max!$C59:$BB59,Factors!$C$51:$BB$51))/2),ABS(SUMPRODUCT(Oxides_max!$C59:$BB59,Factors!$C$51:$BB$51)-SUMPRODUCT(Oxides_min!$C59:$BB59,Factors!$C$51:$BB$51))/2)</f>
        <v>0</v>
      </c>
      <c r="AS59" s="20">
        <f>MIN(MAX(0,(SUMPRODUCT(Oxides_min!$C59:$BB59,Factors!$C$52:$BB$52)+SUMPRODUCT(Oxides_max!$C59:$BB59,Factors!$C$52:$BB$52))/2),ABS(SUMPRODUCT(Oxides_max!$C59:$BB59,Factors!$C$52:$BB$52)-SUMPRODUCT(Oxides_min!$C59:$BB59,Factors!$C$52:$BB$52))/2)</f>
        <v>0</v>
      </c>
      <c r="AT59" s="20">
        <f>MIN(MAX(0,(SUMPRODUCT(Oxides_min!$C59:$BB59,Factors!$C$53:$BB$53)+SUMPRODUCT(Oxides_max!$C59:$BB59,Factors!$C$53:$BB$53))/2),ABS(SUMPRODUCT(Oxides_max!$C59:$BB59,Factors!$C$53:$BB$53)-SUMPRODUCT(Oxides_min!$C59:$BB59,Factors!$C$53:$BB$53))/2)</f>
        <v>0</v>
      </c>
      <c r="AU59" s="20">
        <f>MIN(MAX(0,(SUMPRODUCT(Oxides_min!$C59:$BB59,Factors!$C$54:$BB$54)+SUMPRODUCT(Oxides_max!$C59:$BB59,Factors!$C$54:$BB$54))/2),ABS(SUMPRODUCT(Oxides_max!$C59:$BB59,Factors!$C$54:$BB$54)-SUMPRODUCT(Oxides_min!$C59:$BB59,Factors!$C$54:$BB$54))/2)</f>
        <v>0</v>
      </c>
      <c r="AV59" s="20">
        <f>MIN(MAX(0,(SUMPRODUCT(Oxides_min!$C59:$BB59,Factors!$C$55:$BB$55)+SUMPRODUCT(Oxides_max!$C59:$BB59,Factors!$C$55:$BB$55))/2),ABS(SUMPRODUCT(Oxides_max!$C59:$BB59,Factors!$C$55:$BB$55)-SUMPRODUCT(Oxides_min!$C59:$BB59,Factors!$C$55:$BB$55))/2)</f>
        <v>0</v>
      </c>
      <c r="AW59" s="20">
        <f>MIN(MAX(0,(SUMPRODUCT(Oxides_min!$C59:$BB59,Factors!$C$56:$BB$56)+SUMPRODUCT(Oxides_max!$C59:$BB59,Factors!$C$56:$BB$56))/2),ABS(SUMPRODUCT(Oxides_max!$C59:$BB59,Factors!$C$56:$BB$56)-SUMPRODUCT(Oxides_min!$C59:$BB59,Factors!$C$56:$BB$56))/2)</f>
        <v>0</v>
      </c>
      <c r="AX59" s="20">
        <f>MIN(MAX(0,(SUMPRODUCT(Oxides_min!$C59:$BB59,Factors!$C$57:$BB$57)+SUMPRODUCT(Oxides_max!$C59:$BB59,Factors!$C$57:$BB$57))/2),ABS(SUMPRODUCT(Oxides_max!$C59:$BB59,Factors!$C$57:$BB$57)-SUMPRODUCT(Oxides_min!$C59:$BB59,Factors!$C$57:$BB$57))/2)</f>
        <v>0</v>
      </c>
      <c r="AY59" s="20">
        <f>MIN(MAX(0,(SUMPRODUCT(Oxides_min!$C59:$BB59,Factors!$C$58:$BB$58)+SUMPRODUCT(Oxides_max!$C59:$BB59,Factors!$C$58:$BB$58))/2),ABS(SUMPRODUCT(Oxides_max!$C59:$BB59,Factors!$C$58:$BB$58)-SUMPRODUCT(Oxides_min!$C59:$BB59,Factors!$C$58:$BB$58))/2)</f>
        <v>0</v>
      </c>
      <c r="AZ59" s="18">
        <f t="shared" si="4"/>
        <v>22.185462023711331</v>
      </c>
    </row>
    <row r="60" spans="1:52" x14ac:dyDescent="0.35">
      <c r="A60" s="13" t="s">
        <v>519</v>
      </c>
      <c r="B60" s="20">
        <f>MIN(MAX(0,(SUMPRODUCT(Oxides_min!$C60:$BB60,Factors!$C$9:$BB$9)+SUMPRODUCT(Oxides_max!$C60:$BB60,Factors!$C$9:$BB$9))/2),ABS(SUMPRODUCT(Oxides_max!$C60:$BB60,Factors!$C$9:$BB$9)-SUMPRODUCT(Oxides_min!$C60:$BB60,Factors!$C$9:$BB$9))/2)</f>
        <v>8.4275947405386304</v>
      </c>
      <c r="C60" s="20">
        <f>MIN(MAX(0,(SUMPRODUCT(Oxides_min!$C60:$BB60,Factors!$C$10:$BB$10)+SUMPRODUCT(Oxides_max!$C60:$BB60,Factors!$C$10:$BB$10))/2),ABS(SUMPRODUCT(Oxides_max!$C60:$BB60,Factors!$C$10:$BB$10)-SUMPRODUCT(Oxides_min!$C60:$BB60,Factors!$C$10:$BB$10))/2)</f>
        <v>0</v>
      </c>
      <c r="D60" s="20">
        <f>MIN(MAX(0,(SUMPRODUCT(Oxides_min!$C60:$BB60,Factors!$C$11:$BB$11)+SUMPRODUCT(Oxides_max!$C60:$BB60,Factors!$C$11:$BB$11))/2),ABS(SUMPRODUCT(Oxides_max!$C60:$BB60,Factors!$C$11:$BB$11)-SUMPRODUCT(Oxides_min!$C60:$BB60,Factors!$C$11:$BB$11))/2)</f>
        <v>0</v>
      </c>
      <c r="E60" s="20">
        <f>MIN(MAX(0,(SUMPRODUCT(Oxides_min!$C60:$BB60,Factors!$C$12:$BB$12)+SUMPRODUCT(Oxides_max!$C60:$BB60,Factors!$C$12:$BB$12))/2),ABS(SUMPRODUCT(Oxides_max!$C60:$BB60,Factors!$C$12:$BB$12)-SUMPRODUCT(Oxides_min!$C60:$BB60,Factors!$C$12:$BB$12))/2)</f>
        <v>0</v>
      </c>
      <c r="F60" s="20">
        <f>MIN(MAX(0,(SUMPRODUCT(Oxides_min!$C60:$BB60,Factors!$C$13:$BB$13)+SUMPRODUCT(Oxides_max!$C60:$BB60,Factors!$C$13:$BB$13))/2),ABS(SUMPRODUCT(Oxides_max!$C60:$BB60,Factors!$C$13:$BB$13)-SUMPRODUCT(Oxides_min!$C60:$BB60,Factors!$C$13:$BB$13))/2)</f>
        <v>0</v>
      </c>
      <c r="G60" s="20">
        <f>MIN(MAX(0,(SUMPRODUCT(Oxides_min!$C60:$BB60,Factors!$C$14:$BB$14)+SUMPRODUCT(Oxides_max!$C60:$BB60,Factors!$C$14:$BB$14))/2),ABS(SUMPRODUCT(Oxides_max!$C60:$BB60,Factors!$C$14:$BB$14)-SUMPRODUCT(Oxides_min!$C60:$BB60,Factors!$C$14:$BB$14))/2)</f>
        <v>0</v>
      </c>
      <c r="H60" s="20">
        <f>MIN(MAX(0,(SUMPRODUCT(Oxides_min!$C60:$BB60,Factors!$C$15:$BB$15)+SUMPRODUCT(Oxides_max!$C60:$BB60,Factors!$C$15:$BB$15))/2),ABS(SUMPRODUCT(Oxides_max!$C60:$BB60,Factors!$C$15:$BB$15)-SUMPRODUCT(Oxides_min!$C60:$BB60,Factors!$C$15:$BB$15))/2)</f>
        <v>0.94207732954144419</v>
      </c>
      <c r="I60" s="20">
        <f>MIN(MAX(0,(SUMPRODUCT(Oxides_min!$C60:$BB60,Factors!$C$16:$BB$16)+SUMPRODUCT(Oxides_max!$C60:$BB60,Factors!$C$16:$BB$16))/2),ABS(SUMPRODUCT(Oxides_max!$C60:$BB60,Factors!$C$16:$BB$16)-SUMPRODUCT(Oxides_min!$C60:$BB60,Factors!$C$16:$BB$16))/2)</f>
        <v>0</v>
      </c>
      <c r="J60" s="20">
        <f>MIN(MAX(0,(SUMPRODUCT(Oxides_min!$C60:$BB60,Factors!$C$17:$BB$17)+SUMPRODUCT(Oxides_max!$C60:$BB60,Factors!$C$17:$BB$17))/2),ABS(SUMPRODUCT(Oxides_max!$C60:$BB60,Factors!$C$17:$BB$17)-SUMPRODUCT(Oxides_min!$C60:$BB60,Factors!$C$17:$BB$17))/2)</f>
        <v>0</v>
      </c>
      <c r="K60" s="20">
        <f>MIN(MAX(0,(SUMPRODUCT(Oxides_min!$C60:$BB60,Factors!$C$18:$BB$18)+SUMPRODUCT(Oxides_max!$C60:$BB60,Factors!$C$18:$BB$18))/2),ABS(SUMPRODUCT(Oxides_max!$C60:$BB60,Factors!$C$18:$BB$18)-SUMPRODUCT(Oxides_min!$C60:$BB60,Factors!$C$18:$BB$18))/2)</f>
        <v>0</v>
      </c>
      <c r="L60" s="20">
        <f>MIN(MAX(0,(SUMPRODUCT(Oxides_min!$C60:$BB60,Factors!$C$19:$BB$19)+SUMPRODUCT(Oxides_max!$C60:$BB60,Factors!$C$19:$BB$19))/2),ABS(SUMPRODUCT(Oxides_max!$C60:$BB60,Factors!$C$19:$BB$19)-SUMPRODUCT(Oxides_min!$C60:$BB60,Factors!$C$19:$BB$19))/2)</f>
        <v>0</v>
      </c>
      <c r="M60" s="20">
        <f>MIN(MAX(0,(SUMPRODUCT(Oxides_min!$C60:$BB60,Factors!$C$20:$BB$20)+SUMPRODUCT(Oxides_max!$C60:$BB60,Factors!$C$20:$BB$20))/2),ABS(SUMPRODUCT(Oxides_max!$C60:$BB60,Factors!$C$20:$BB$20)-SUMPRODUCT(Oxides_min!$C60:$BB60,Factors!$C$20:$BB$20))/2)</f>
        <v>0.2834296843985708</v>
      </c>
      <c r="N60" s="20">
        <f>MIN(MAX(0,(SUMPRODUCT(Oxides_min!$C60:$BB60,Factors!$C$21:$BB$21)+SUMPRODUCT(Oxides_max!$C60:$BB60,Factors!$C$21:$BB$21))/2),ABS(SUMPRODUCT(Oxides_max!$C60:$BB60,Factors!$C$21:$BB$21)-SUMPRODUCT(Oxides_min!$C60:$BB60,Factors!$C$21:$BB$21))/2)</f>
        <v>2.2727328494748296</v>
      </c>
      <c r="O60" s="20">
        <f>MIN(MAX(0,(SUMPRODUCT(Oxides_min!$C60:$BB60,Factors!$C$22:$BB$22)+SUMPRODUCT(Oxides_max!$C60:$BB60,Factors!$C$22:$BB$22))/2),ABS(SUMPRODUCT(Oxides_max!$C60:$BB60,Factors!$C$22:$BB$22)-SUMPRODUCT(Oxides_min!$C60:$BB60,Factors!$C$22:$BB$22))/2)</f>
        <v>4.4520724963568457</v>
      </c>
      <c r="P60" s="20">
        <f>MIN(MAX(0,(SUMPRODUCT(Oxides_min!$C60:$BB60,Factors!$C$23:$BB$23)+SUMPRODUCT(Oxides_max!$C60:$BB60,Factors!$C$23:$BB$23))/2),ABS(SUMPRODUCT(Oxides_max!$C60:$BB60,Factors!$C$23:$BB$23)-SUMPRODUCT(Oxides_min!$C60:$BB60,Factors!$C$23:$BB$23))/2)</f>
        <v>0</v>
      </c>
      <c r="Q60" s="20">
        <f>MIN(MAX(0,(SUMPRODUCT(Oxides_min!$C60:$BB60,Factors!$C$24:$BB$24)+SUMPRODUCT(Oxides_max!$C60:$BB60,Factors!$C$24:$BB$24))/2),ABS(SUMPRODUCT(Oxides_max!$C60:$BB60,Factors!$C$24:$BB$24)-SUMPRODUCT(Oxides_min!$C60:$BB60,Factors!$C$24:$BB$24))/2)</f>
        <v>0</v>
      </c>
      <c r="R60" s="20">
        <f>MIN(MAX(0,(SUMPRODUCT(Oxides_min!$C60:$BB60,Factors!$C$25:$BB$25)+SUMPRODUCT(Oxides_max!$C60:$BB60,Factors!$C$25:$BB$25))/2),ABS(SUMPRODUCT(Oxides_max!$C60:$BB60,Factors!$C$25:$BB$25)-SUMPRODUCT(Oxides_min!$C60:$BB60,Factors!$C$25:$BB$25))/2)</f>
        <v>0</v>
      </c>
      <c r="S60" s="20">
        <f>MIN(MAX(0,(SUMPRODUCT(Oxides_min!$C60:$BB60,Factors!$C$26:$BB$26)+SUMPRODUCT(Oxides_max!$C60:$BB60,Factors!$C$26:$BB$26))/2),ABS(SUMPRODUCT(Oxides_max!$C60:$BB60,Factors!$C$26:$BB$26)-SUMPRODUCT(Oxides_min!$C60:$BB60,Factors!$C$26:$BB$26))/2)</f>
        <v>0</v>
      </c>
      <c r="T60" s="20">
        <f>MIN(MAX(0,(SUMPRODUCT(Oxides_min!$C60:$BB60,Factors!$C$27:$BB$27)+SUMPRODUCT(Oxides_max!$C60:$BB60,Factors!$C$27:$BB$27))/2),ABS(SUMPRODUCT(Oxides_max!$C60:$BB60,Factors!$C$27:$BB$27)-SUMPRODUCT(Oxides_min!$C60:$BB60,Factors!$C$27:$BB$27))/2)</f>
        <v>0</v>
      </c>
      <c r="U60" s="20">
        <f>MIN(MAX(0,(SUMPRODUCT(Oxides_min!$C60:$BB60,Factors!$C$28:$BB$28)+SUMPRODUCT(Oxides_max!$C60:$BB60,Factors!$C$28:$BB$28))/2),ABS(SUMPRODUCT(Oxides_max!$C60:$BB60,Factors!$C$28:$BB$28)-SUMPRODUCT(Oxides_min!$C60:$BB60,Factors!$C$28:$BB$28))/2)</f>
        <v>0</v>
      </c>
      <c r="V60" s="20">
        <f>MIN(MAX(0,(SUMPRODUCT(Oxides_min!$C60:$BB60,Factors!$C$29:$BB$29)+SUMPRODUCT(Oxides_max!$C60:$BB60,Factors!$C$29:$BB$29))/2),ABS(SUMPRODUCT(Oxides_max!$C60:$BB60,Factors!$C$29:$BB$29)-SUMPRODUCT(Oxides_min!$C60:$BB60,Factors!$C$29:$BB$29))/2)</f>
        <v>0</v>
      </c>
      <c r="W60" s="20">
        <f>MIN(MAX(0,(SUMPRODUCT(Oxides_min!$C60:$BB60,Factors!$C$30:$BB$30)+SUMPRODUCT(Oxides_max!$C60:$BB60,Factors!$C$30:$BB$30))/2),ABS(SUMPRODUCT(Oxides_max!$C60:$BB60,Factors!$C$30:$BB$30)-SUMPRODUCT(Oxides_min!$C60:$BB60,Factors!$C$30:$BB$30))/2)</f>
        <v>0</v>
      </c>
      <c r="X60" s="20">
        <f>MIN(MAX(0,(SUMPRODUCT(Oxides_min!$C60:$BB60,Factors!$C$31:$BB$31)+SUMPRODUCT(Oxides_max!$C60:$BB60,Factors!$C$31:$BB$31))/2),ABS(SUMPRODUCT(Oxides_max!$C60:$BB60,Factors!$C$31:$BB$31)-SUMPRODUCT(Oxides_min!$C60:$BB60,Factors!$C$31:$BB$31))/2)</f>
        <v>0</v>
      </c>
      <c r="Y60" s="20">
        <f>MIN(MAX(0,(SUMPRODUCT(Oxides_min!$C60:$BB60,Factors!$C$32:$BB$32)+SUMPRODUCT(Oxides_max!$C60:$BB60,Factors!$C$32:$BB$32))/2),ABS(SUMPRODUCT(Oxides_max!$C60:$BB60,Factors!$C$32:$BB$32)-SUMPRODUCT(Oxides_min!$C60:$BB60,Factors!$C$32:$BB$32))/2)</f>
        <v>0</v>
      </c>
      <c r="Z60" s="20">
        <f>MIN(MAX(0,(SUMPRODUCT(Oxides_min!$C60:$BB60,Factors!$C$33:$BB$33)+SUMPRODUCT(Oxides_max!$C60:$BB60,Factors!$C$33:$BB$33))/2),ABS(SUMPRODUCT(Oxides_max!$C60:$BB60,Factors!$C$33:$BB$33)-SUMPRODUCT(Oxides_min!$C60:$BB60,Factors!$C$33:$BB$33))/2)</f>
        <v>1.5689544084188327</v>
      </c>
      <c r="AA60" s="20">
        <f>MIN(MAX(0,(SUMPRODUCT(Oxides_min!$C60:$BB60,Factors!$C$34:$BB$34)+SUMPRODUCT(Oxides_max!$C60:$BB60,Factors!$C$34:$BB$34))/2),ABS(SUMPRODUCT(Oxides_max!$C60:$BB60,Factors!$C$34:$BB$34)-SUMPRODUCT(Oxides_min!$C60:$BB60,Factors!$C$34:$BB$34))/2)</f>
        <v>0</v>
      </c>
      <c r="AB60" s="20">
        <f>MIN(MAX(0,(SUMPRODUCT(Oxides_min!$C60:$BB60,Factors!$C$35:$BB$35)+SUMPRODUCT(Oxides_max!$C60:$BB60,Factors!$C$35:$BB$35))/2),ABS(SUMPRODUCT(Oxides_max!$C60:$BB60,Factors!$C$35:$BB$35)-SUMPRODUCT(Oxides_min!$C60:$BB60,Factors!$C$35:$BB$35))/2)</f>
        <v>0.76088287095444496</v>
      </c>
      <c r="AC60" s="20">
        <f>MIN(MAX(0,(SUMPRODUCT(Oxides_min!$C60:$BB60,Factors!$C$36:$BB$36)+SUMPRODUCT(Oxides_max!$C60:$BB60,Factors!$C$36:$BB$36))/2),ABS(SUMPRODUCT(Oxides_max!$C60:$BB60,Factors!$C$36:$BB$36)-SUMPRODUCT(Oxides_min!$C60:$BB60,Factors!$C$36:$BB$36))/2)</f>
        <v>0</v>
      </c>
      <c r="AD60" s="20">
        <f>MIN(MAX(0,(SUMPRODUCT(Oxides_min!$C60:$BB60,Factors!$C$37:$BB$37)+SUMPRODUCT(Oxides_max!$C60:$BB60,Factors!$C$37:$BB$37))/2),ABS(SUMPRODUCT(Oxides_max!$C60:$BB60,Factors!$C$37:$BB$37)-SUMPRODUCT(Oxides_min!$C60:$BB60,Factors!$C$37:$BB$37))/2)</f>
        <v>0.31725562031640298</v>
      </c>
      <c r="AE60" s="20">
        <f>MIN(MAX(0,(SUMPRODUCT(Oxides_min!$C60:$BB60,Factors!$C$38:$BB$38)+SUMPRODUCT(Oxides_max!$C60:$BB60,Factors!$C$38:$BB$38))/2),ABS(SUMPRODUCT(Oxides_max!$C60:$BB60,Factors!$C$38:$BB$38)-SUMPRODUCT(Oxides_min!$C60:$BB60,Factors!$C$38:$BB$38))/2)</f>
        <v>0</v>
      </c>
      <c r="AF60" s="20">
        <f>MIN(MAX(0,(SUMPRODUCT(Oxides_min!$C60:$BB60,Factors!$C$39:$BB$39)+SUMPRODUCT(Oxides_max!$C60:$BB60,Factors!$C$39:$BB$39))/2),ABS(SUMPRODUCT(Oxides_max!$C60:$BB60,Factors!$C$39:$BB$39)-SUMPRODUCT(Oxides_min!$C60:$BB60,Factors!$C$39:$BB$39))/2)</f>
        <v>0</v>
      </c>
      <c r="AG60" s="20">
        <f>MIN(MAX(0,(SUMPRODUCT(Oxides_min!$C60:$BB60,Factors!$C$40:$BB$40)+SUMPRODUCT(Oxides_max!$C60:$BB60,Factors!$C$40:$BB$40))/2),ABS(SUMPRODUCT(Oxides_max!$C60:$BB60,Factors!$C$40:$BB$40)-SUMPRODUCT(Oxides_min!$C60:$BB60,Factors!$C$40:$BB$40))/2)</f>
        <v>0</v>
      </c>
      <c r="AH60" s="20">
        <f>MIN(MAX(0,(SUMPRODUCT(Oxides_min!$C60:$BB60,Factors!$C$41:$BB$41)+SUMPRODUCT(Oxides_max!$C60:$BB60,Factors!$C$41:$BB$41))/2),ABS(SUMPRODUCT(Oxides_max!$C60:$BB60,Factors!$C$41:$BB$41)-SUMPRODUCT(Oxides_min!$C60:$BB60,Factors!$C$41:$BB$41))/2)</f>
        <v>0</v>
      </c>
      <c r="AI60" s="20">
        <f>MIN(MAX(0,(SUMPRODUCT(Oxides_min!$C60:$BB60,Factors!$C$42:$BB$42)+SUMPRODUCT(Oxides_max!$C60:$BB60,Factors!$C$42:$BB$42))/2),ABS(SUMPRODUCT(Oxides_max!$C60:$BB60,Factors!$C$42:$BB$42)-SUMPRODUCT(Oxides_min!$C60:$BB60,Factors!$C$42:$BB$42))/2)</f>
        <v>0</v>
      </c>
      <c r="AJ60" s="20">
        <f>MIN(MAX(0,(SUMPRODUCT(Oxides_min!$C60:$BB60,Factors!$C$43:$BB$43)+SUMPRODUCT(Oxides_max!$C60:$BB60,Factors!$C$43:$BB$43))/2),ABS(SUMPRODUCT(Oxides_max!$C60:$BB60,Factors!$C$43:$BB$43)-SUMPRODUCT(Oxides_min!$C60:$BB60,Factors!$C$43:$BB$43))/2)</f>
        <v>0</v>
      </c>
      <c r="AK60" s="20">
        <f>MIN(MAX(0,(SUMPRODUCT(Oxides_min!$C60:$BB60,Factors!$C$44:$BB$44)+SUMPRODUCT(Oxides_max!$C60:$BB60,Factors!$C$44:$BB$44))/2),ABS(SUMPRODUCT(Oxides_max!$C60:$BB60,Factors!$C$44:$BB$44)-SUMPRODUCT(Oxides_min!$C60:$BB60,Factors!$C$44:$BB$44))/2)</f>
        <v>0</v>
      </c>
      <c r="AL60" s="20">
        <f>MIN(MAX(0,(SUMPRODUCT(Oxides_min!$C60:$BB60,Factors!$C$45:$BB$45)+SUMPRODUCT(Oxides_max!$C60:$BB60,Factors!$C$45:$BB$45))/2),ABS(SUMPRODUCT(Oxides_max!$C60:$BB60,Factors!$C$45:$BB$45)-SUMPRODUCT(Oxides_min!$C60:$BB60,Factors!$C$45:$BB$45))/2)</f>
        <v>0</v>
      </c>
      <c r="AM60" s="20">
        <f>MIN(MAX(0,(SUMPRODUCT(Oxides_min!$C60:$BB60,Factors!$C$46:$BB$46)+SUMPRODUCT(Oxides_max!$C60:$BB60,Factors!$C$46:$BB$46))/2),ABS(SUMPRODUCT(Oxides_max!$C60:$BB60,Factors!$C$46:$BB$46)-SUMPRODUCT(Oxides_min!$C60:$BB60,Factors!$C$46:$BB$46))/2)</f>
        <v>0</v>
      </c>
      <c r="AN60" s="20">
        <f>MIN(MAX(0,(SUMPRODUCT(Oxides_min!$C60:$BB60,Factors!$C$47:$BB$47)+SUMPRODUCT(Oxides_max!$C60:$BB60,Factors!$C$47:$BB$47))/2),ABS(SUMPRODUCT(Oxides_max!$C60:$BB60,Factors!$C$47:$BB$47)-SUMPRODUCT(Oxides_min!$C60:$BB60,Factors!$C$47:$BB$47))/2)</f>
        <v>0</v>
      </c>
      <c r="AO60" s="20">
        <f>MIN(MAX(0,(SUMPRODUCT(Oxides_min!$C60:$BB60,Factors!$C$48:$BB$48)+SUMPRODUCT(Oxides_max!$C60:$BB60,Factors!$C$48:$BB$48))/2),ABS(SUMPRODUCT(Oxides_max!$C60:$BB60,Factors!$C$48:$BB$48)-SUMPRODUCT(Oxides_min!$C60:$BB60,Factors!$C$48:$BB$48))/2)</f>
        <v>0</v>
      </c>
      <c r="AP60" s="20">
        <f>MIN(MAX(0,(SUMPRODUCT(Oxides_min!$C60:$BB60,Factors!$C$49:$BB$49)+SUMPRODUCT(Oxides_max!$C60:$BB60,Factors!$C$49:$BB$49))/2),ABS(SUMPRODUCT(Oxides_max!$C60:$BB60,Factors!$C$49:$BB$49)-SUMPRODUCT(Oxides_min!$C60:$BB60,Factors!$C$49:$BB$49))/2)</f>
        <v>0</v>
      </c>
      <c r="AQ60" s="20">
        <f>MIN(MAX(0,(SUMPRODUCT(Oxides_min!$C60:$BB60,Factors!$C$50:$BB$50)+SUMPRODUCT(Oxides_max!$C60:$BB60,Factors!$C$50:$BB$50))/2),ABS(SUMPRODUCT(Oxides_max!$C60:$BB60,Factors!$C$50:$BB$50)-SUMPRODUCT(Oxides_min!$C60:$BB60,Factors!$C$50:$BB$50))/2)</f>
        <v>0</v>
      </c>
      <c r="AR60" s="20">
        <f>MIN(MAX(0,(SUMPRODUCT(Oxides_min!$C60:$BB60,Factors!$C$51:$BB$51)+SUMPRODUCT(Oxides_max!$C60:$BB60,Factors!$C$51:$BB$51))/2),ABS(SUMPRODUCT(Oxides_max!$C60:$BB60,Factors!$C$51:$BB$51)-SUMPRODUCT(Oxides_min!$C60:$BB60,Factors!$C$51:$BB$51))/2)</f>
        <v>0</v>
      </c>
      <c r="AS60" s="20">
        <f>MIN(MAX(0,(SUMPRODUCT(Oxides_min!$C60:$BB60,Factors!$C$52:$BB$52)+SUMPRODUCT(Oxides_max!$C60:$BB60,Factors!$C$52:$BB$52))/2),ABS(SUMPRODUCT(Oxides_max!$C60:$BB60,Factors!$C$52:$BB$52)-SUMPRODUCT(Oxides_min!$C60:$BB60,Factors!$C$52:$BB$52))/2)</f>
        <v>0</v>
      </c>
      <c r="AT60" s="20">
        <f>MIN(MAX(0,(SUMPRODUCT(Oxides_min!$C60:$BB60,Factors!$C$53:$BB$53)+SUMPRODUCT(Oxides_max!$C60:$BB60,Factors!$C$53:$BB$53))/2),ABS(SUMPRODUCT(Oxides_max!$C60:$BB60,Factors!$C$53:$BB$53)-SUMPRODUCT(Oxides_min!$C60:$BB60,Factors!$C$53:$BB$53))/2)</f>
        <v>0</v>
      </c>
      <c r="AU60" s="20">
        <f>MIN(MAX(0,(SUMPRODUCT(Oxides_min!$C60:$BB60,Factors!$C$54:$BB$54)+SUMPRODUCT(Oxides_max!$C60:$BB60,Factors!$C$54:$BB$54))/2),ABS(SUMPRODUCT(Oxides_max!$C60:$BB60,Factors!$C$54:$BB$54)-SUMPRODUCT(Oxides_min!$C60:$BB60,Factors!$C$54:$BB$54))/2)</f>
        <v>0</v>
      </c>
      <c r="AV60" s="20">
        <f>MIN(MAX(0,(SUMPRODUCT(Oxides_min!$C60:$BB60,Factors!$C$55:$BB$55)+SUMPRODUCT(Oxides_max!$C60:$BB60,Factors!$C$55:$BB$55))/2),ABS(SUMPRODUCT(Oxides_max!$C60:$BB60,Factors!$C$55:$BB$55)-SUMPRODUCT(Oxides_min!$C60:$BB60,Factors!$C$55:$BB$55))/2)</f>
        <v>0</v>
      </c>
      <c r="AW60" s="20">
        <f>MIN(MAX(0,(SUMPRODUCT(Oxides_min!$C60:$BB60,Factors!$C$56:$BB$56)+SUMPRODUCT(Oxides_max!$C60:$BB60,Factors!$C$56:$BB$56))/2),ABS(SUMPRODUCT(Oxides_max!$C60:$BB60,Factors!$C$56:$BB$56)-SUMPRODUCT(Oxides_min!$C60:$BB60,Factors!$C$56:$BB$56))/2)</f>
        <v>0</v>
      </c>
      <c r="AX60" s="20">
        <f>MIN(MAX(0,(SUMPRODUCT(Oxides_min!$C60:$BB60,Factors!$C$57:$BB$57)+SUMPRODUCT(Oxides_max!$C60:$BB60,Factors!$C$57:$BB$57))/2),ABS(SUMPRODUCT(Oxides_max!$C60:$BB60,Factors!$C$57:$BB$57)-SUMPRODUCT(Oxides_min!$C60:$BB60,Factors!$C$57:$BB$57))/2)</f>
        <v>0</v>
      </c>
      <c r="AY60" s="20">
        <f>MIN(MAX(0,(SUMPRODUCT(Oxides_min!$C60:$BB60,Factors!$C$58:$BB$58)+SUMPRODUCT(Oxides_max!$C60:$BB60,Factors!$C$58:$BB$58))/2),ABS(SUMPRODUCT(Oxides_max!$C60:$BB60,Factors!$C$58:$BB$58)-SUMPRODUCT(Oxides_min!$C60:$BB60,Factors!$C$58:$BB$58))/2)</f>
        <v>0</v>
      </c>
      <c r="AZ60" s="18">
        <f t="shared" ref="AZ60:AZ61" si="5">SUM(B60:AY60)</f>
        <v>19.024999999999999</v>
      </c>
    </row>
    <row r="61" spans="1:52" x14ac:dyDescent="0.35">
      <c r="A61" s="13" t="s">
        <v>521</v>
      </c>
      <c r="B61" s="20">
        <f>MIN(MAX(0,(SUMPRODUCT(Oxides_min!$C61:$BB61,Factors!$C$9:$BB$9)+SUMPRODUCT(Oxides_max!$C61:$BB61,Factors!$C$9:$BB$9))/2),ABS(SUMPRODUCT(Oxides_max!$C61:$BB61,Factors!$C$9:$BB$9)-SUMPRODUCT(Oxides_min!$C61:$BB61,Factors!$C$9:$BB$9))/2)</f>
        <v>7.3710015804994811E-2</v>
      </c>
      <c r="C61" s="20">
        <f>MIN(MAX(0,(SUMPRODUCT(Oxides_min!$C61:$BB61,Factors!$C$10:$BB$10)+SUMPRODUCT(Oxides_max!$C61:$BB61,Factors!$C$10:$BB$10))/2),ABS(SUMPRODUCT(Oxides_max!$C61:$BB61,Factors!$C$10:$BB$10)-SUMPRODUCT(Oxides_min!$C61:$BB61,Factors!$C$10:$BB$10))/2)</f>
        <v>0</v>
      </c>
      <c r="D61" s="20">
        <f>MIN(MAX(0,(SUMPRODUCT(Oxides_min!$C61:$BB61,Factors!$C$11:$BB$11)+SUMPRODUCT(Oxides_max!$C61:$BB61,Factors!$C$11:$BB$11))/2),ABS(SUMPRODUCT(Oxides_max!$C61:$BB61,Factors!$C$11:$BB$11)-SUMPRODUCT(Oxides_min!$C61:$BB61,Factors!$C$11:$BB$11))/2)</f>
        <v>0</v>
      </c>
      <c r="E61" s="20">
        <f>MIN(MAX(0,(SUMPRODUCT(Oxides_min!$C61:$BB61,Factors!$C$12:$BB$12)+SUMPRODUCT(Oxides_max!$C61:$BB61,Factors!$C$12:$BB$12))/2),ABS(SUMPRODUCT(Oxides_max!$C61:$BB61,Factors!$C$12:$BB$12)-SUMPRODUCT(Oxides_min!$C61:$BB61,Factors!$C$12:$BB$12))/2)</f>
        <v>0</v>
      </c>
      <c r="F61" s="20">
        <f>MIN(MAX(0,(SUMPRODUCT(Oxides_min!$C61:$BB61,Factors!$C$13:$BB$13)+SUMPRODUCT(Oxides_max!$C61:$BB61,Factors!$C$13:$BB$13))/2),ABS(SUMPRODUCT(Oxides_max!$C61:$BB61,Factors!$C$13:$BB$13)-SUMPRODUCT(Oxides_min!$C61:$BB61,Factors!$C$13:$BB$13))/2)</f>
        <v>0</v>
      </c>
      <c r="G61" s="20">
        <f>MIN(MAX(0,(SUMPRODUCT(Oxides_min!$C61:$BB61,Factors!$C$14:$BB$14)+SUMPRODUCT(Oxides_max!$C61:$BB61,Factors!$C$14:$BB$14))/2),ABS(SUMPRODUCT(Oxides_max!$C61:$BB61,Factors!$C$14:$BB$14)-SUMPRODUCT(Oxides_min!$C61:$BB61,Factors!$C$14:$BB$14))/2)</f>
        <v>1.4099510311330512</v>
      </c>
      <c r="H61" s="20">
        <f>MIN(MAX(0,(SUMPRODUCT(Oxides_min!$C61:$BB61,Factors!$C$15:$BB$15)+SUMPRODUCT(Oxides_max!$C61:$BB61,Factors!$C$15:$BB$15))/2),ABS(SUMPRODUCT(Oxides_max!$C61:$BB61,Factors!$C$15:$BB$15)-SUMPRODUCT(Oxides_min!$C61:$BB61,Factors!$C$15:$BB$15))/2)</f>
        <v>0</v>
      </c>
      <c r="I61" s="20">
        <f>MIN(MAX(0,(SUMPRODUCT(Oxides_min!$C61:$BB61,Factors!$C$16:$BB$16)+SUMPRODUCT(Oxides_max!$C61:$BB61,Factors!$C$16:$BB$16))/2),ABS(SUMPRODUCT(Oxides_max!$C61:$BB61,Factors!$C$16:$BB$16)-SUMPRODUCT(Oxides_min!$C61:$BB61,Factors!$C$16:$BB$16))/2)</f>
        <v>1.5585048855854351</v>
      </c>
      <c r="J61" s="20">
        <f>MIN(MAX(0,(SUMPRODUCT(Oxides_min!$C61:$BB61,Factors!$C$17:$BB$17)+SUMPRODUCT(Oxides_max!$C61:$BB61,Factors!$C$17:$BB$17))/2),ABS(SUMPRODUCT(Oxides_max!$C61:$BB61,Factors!$C$17:$BB$17)-SUMPRODUCT(Oxides_min!$C61:$BB61,Factors!$C$17:$BB$17))/2)</f>
        <v>0</v>
      </c>
      <c r="K61" s="20">
        <f>MIN(MAX(0,(SUMPRODUCT(Oxides_min!$C61:$BB61,Factors!$C$18:$BB$18)+SUMPRODUCT(Oxides_max!$C61:$BB61,Factors!$C$18:$BB$18))/2),ABS(SUMPRODUCT(Oxides_max!$C61:$BB61,Factors!$C$18:$BB$18)-SUMPRODUCT(Oxides_min!$C61:$BB61,Factors!$C$18:$BB$18))/2)</f>
        <v>2.3499490040428119</v>
      </c>
      <c r="L61" s="20">
        <f>MIN(MAX(0,(SUMPRODUCT(Oxides_min!$C61:$BB61,Factors!$C$19:$BB$19)+SUMPRODUCT(Oxides_max!$C61:$BB61,Factors!$C$19:$BB$19))/2),ABS(SUMPRODUCT(Oxides_max!$C61:$BB61,Factors!$C$19:$BB$19)-SUMPRODUCT(Oxides_min!$C61:$BB61,Factors!$C$19:$BB$19))/2)</f>
        <v>0.82157578044740553</v>
      </c>
      <c r="M61" s="20">
        <f>MIN(MAX(0,(SUMPRODUCT(Oxides_min!$C61:$BB61,Factors!$C$20:$BB$20)+SUMPRODUCT(Oxides_max!$C61:$BB61,Factors!$C$20:$BB$20))/2),ABS(SUMPRODUCT(Oxides_max!$C61:$BB61,Factors!$C$20:$BB$20)-SUMPRODUCT(Oxides_min!$C61:$BB61,Factors!$C$20:$BB$20))/2)</f>
        <v>0</v>
      </c>
      <c r="N61" s="20">
        <f>MIN(MAX(0,(SUMPRODUCT(Oxides_min!$C61:$BB61,Factors!$C$21:$BB$21)+SUMPRODUCT(Oxides_max!$C61:$BB61,Factors!$C$21:$BB$21))/2),ABS(SUMPRODUCT(Oxides_max!$C61:$BB61,Factors!$C$21:$BB$21)-SUMPRODUCT(Oxides_min!$C61:$BB61,Factors!$C$21:$BB$21))/2)</f>
        <v>0</v>
      </c>
      <c r="O61" s="20">
        <f>MIN(MAX(0,(SUMPRODUCT(Oxides_min!$C61:$BB61,Factors!$C$22:$BB$22)+SUMPRODUCT(Oxides_max!$C61:$BB61,Factors!$C$22:$BB$22))/2),ABS(SUMPRODUCT(Oxides_max!$C61:$BB61,Factors!$C$22:$BB$22)-SUMPRODUCT(Oxides_min!$C61:$BB61,Factors!$C$22:$BB$22))/2)</f>
        <v>0</v>
      </c>
      <c r="P61" s="20">
        <f>MIN(MAX(0,(SUMPRODUCT(Oxides_min!$C61:$BB61,Factors!$C$23:$BB$23)+SUMPRODUCT(Oxides_max!$C61:$BB61,Factors!$C$23:$BB$23))/2),ABS(SUMPRODUCT(Oxides_max!$C61:$BB61,Factors!$C$23:$BB$23)-SUMPRODUCT(Oxides_min!$C61:$BB61,Factors!$C$23:$BB$23))/2)</f>
        <v>0</v>
      </c>
      <c r="Q61" s="20">
        <f>MIN(MAX(0,(SUMPRODUCT(Oxides_min!$C61:$BB61,Factors!$C$24:$BB$24)+SUMPRODUCT(Oxides_max!$C61:$BB61,Factors!$C$24:$BB$24))/2),ABS(SUMPRODUCT(Oxides_max!$C61:$BB61,Factors!$C$24:$BB$24)-SUMPRODUCT(Oxides_min!$C61:$BB61,Factors!$C$24:$BB$24))/2)</f>
        <v>0</v>
      </c>
      <c r="R61" s="20">
        <f>MIN(MAX(0,(SUMPRODUCT(Oxides_min!$C61:$BB61,Factors!$C$25:$BB$25)+SUMPRODUCT(Oxides_max!$C61:$BB61,Factors!$C$25:$BB$25))/2),ABS(SUMPRODUCT(Oxides_max!$C61:$BB61,Factors!$C$25:$BB$25)-SUMPRODUCT(Oxides_min!$C61:$BB61,Factors!$C$25:$BB$25))/2)</f>
        <v>0</v>
      </c>
      <c r="S61" s="20">
        <f>MIN(MAX(0,(SUMPRODUCT(Oxides_min!$C61:$BB61,Factors!$C$26:$BB$26)+SUMPRODUCT(Oxides_max!$C61:$BB61,Factors!$C$26:$BB$26))/2),ABS(SUMPRODUCT(Oxides_max!$C61:$BB61,Factors!$C$26:$BB$26)-SUMPRODUCT(Oxides_min!$C61:$BB61,Factors!$C$26:$BB$26))/2)</f>
        <v>0</v>
      </c>
      <c r="T61" s="20">
        <f>MIN(MAX(0,(SUMPRODUCT(Oxides_min!$C61:$BB61,Factors!$C$27:$BB$27)+SUMPRODUCT(Oxides_max!$C61:$BB61,Factors!$C$27:$BB$27))/2),ABS(SUMPRODUCT(Oxides_max!$C61:$BB61,Factors!$C$27:$BB$27)-SUMPRODUCT(Oxides_min!$C61:$BB61,Factors!$C$27:$BB$27))/2)</f>
        <v>0</v>
      </c>
      <c r="U61" s="20">
        <f>MIN(MAX(0,(SUMPRODUCT(Oxides_min!$C61:$BB61,Factors!$C$28:$BB$28)+SUMPRODUCT(Oxides_max!$C61:$BB61,Factors!$C$28:$BB$28))/2),ABS(SUMPRODUCT(Oxides_max!$C61:$BB61,Factors!$C$28:$BB$28)-SUMPRODUCT(Oxides_min!$C61:$BB61,Factors!$C$28:$BB$28))/2)</f>
        <v>0</v>
      </c>
      <c r="V61" s="20">
        <f>MIN(MAX(0,(SUMPRODUCT(Oxides_min!$C61:$BB61,Factors!$C$29:$BB$29)+SUMPRODUCT(Oxides_max!$C61:$BB61,Factors!$C$29:$BB$29))/2),ABS(SUMPRODUCT(Oxides_max!$C61:$BB61,Factors!$C$29:$BB$29)-SUMPRODUCT(Oxides_min!$C61:$BB61,Factors!$C$29:$BB$29))/2)</f>
        <v>0</v>
      </c>
      <c r="W61" s="20">
        <f>MIN(MAX(0,(SUMPRODUCT(Oxides_min!$C61:$BB61,Factors!$C$30:$BB$30)+SUMPRODUCT(Oxides_max!$C61:$BB61,Factors!$C$30:$BB$30))/2),ABS(SUMPRODUCT(Oxides_max!$C61:$BB61,Factors!$C$30:$BB$30)-SUMPRODUCT(Oxides_min!$C61:$BB61,Factors!$C$30:$BB$30))/2)</f>
        <v>0</v>
      </c>
      <c r="X61" s="20">
        <f>MIN(MAX(0,(SUMPRODUCT(Oxides_min!$C61:$BB61,Factors!$C$31:$BB$31)+SUMPRODUCT(Oxides_max!$C61:$BB61,Factors!$C$31:$BB$31))/2),ABS(SUMPRODUCT(Oxides_max!$C61:$BB61,Factors!$C$31:$BB$31)-SUMPRODUCT(Oxides_min!$C61:$BB61,Factors!$C$31:$BB$31))/2)</f>
        <v>0</v>
      </c>
      <c r="Y61" s="20">
        <f>MIN(MAX(0,(SUMPRODUCT(Oxides_min!$C61:$BB61,Factors!$C$32:$BB$32)+SUMPRODUCT(Oxides_max!$C61:$BB61,Factors!$C$32:$BB$32))/2),ABS(SUMPRODUCT(Oxides_max!$C61:$BB61,Factors!$C$32:$BB$32)-SUMPRODUCT(Oxides_min!$C61:$BB61,Factors!$C$32:$BB$32))/2)</f>
        <v>0</v>
      </c>
      <c r="Z61" s="20">
        <f>MIN(MAX(0,(SUMPRODUCT(Oxides_min!$C61:$BB61,Factors!$C$33:$BB$33)+SUMPRODUCT(Oxides_max!$C61:$BB61,Factors!$C$33:$BB$33))/2),ABS(SUMPRODUCT(Oxides_max!$C61:$BB61,Factors!$C$33:$BB$33)-SUMPRODUCT(Oxides_min!$C61:$BB61,Factors!$C$33:$BB$33))/2)</f>
        <v>0</v>
      </c>
      <c r="AA61" s="20">
        <f>MIN(MAX(0,(SUMPRODUCT(Oxides_min!$C61:$BB61,Factors!$C$34:$BB$34)+SUMPRODUCT(Oxides_max!$C61:$BB61,Factors!$C$34:$BB$34))/2),ABS(SUMPRODUCT(Oxides_max!$C61:$BB61,Factors!$C$34:$BB$34)-SUMPRODUCT(Oxides_min!$C61:$BB61,Factors!$C$34:$BB$34))/2)</f>
        <v>0</v>
      </c>
      <c r="AB61" s="20">
        <f>MIN(MAX(0,(SUMPRODUCT(Oxides_min!$C61:$BB61,Factors!$C$35:$BB$35)+SUMPRODUCT(Oxides_max!$C61:$BB61,Factors!$C$35:$BB$35))/2),ABS(SUMPRODUCT(Oxides_max!$C61:$BB61,Factors!$C$35:$BB$35)-SUMPRODUCT(Oxides_min!$C61:$BB61,Factors!$C$35:$BB$35))/2)</f>
        <v>0.39500000000000135</v>
      </c>
      <c r="AC61" s="20">
        <f>MIN(MAX(0,(SUMPRODUCT(Oxides_min!$C61:$BB61,Factors!$C$36:$BB$36)+SUMPRODUCT(Oxides_max!$C61:$BB61,Factors!$C$36:$BB$36))/2),ABS(SUMPRODUCT(Oxides_max!$C61:$BB61,Factors!$C$36:$BB$36)-SUMPRODUCT(Oxides_min!$C61:$BB61,Factors!$C$36:$BB$36))/2)</f>
        <v>0</v>
      </c>
      <c r="AD61" s="20">
        <f>MIN(MAX(0,(SUMPRODUCT(Oxides_min!$C61:$BB61,Factors!$C$37:$BB$37)+SUMPRODUCT(Oxides_max!$C61:$BB61,Factors!$C$37:$BB$37))/2),ABS(SUMPRODUCT(Oxides_max!$C61:$BB61,Factors!$C$37:$BB$37)-SUMPRODUCT(Oxides_min!$C61:$BB61,Factors!$C$37:$BB$37))/2)</f>
        <v>0</v>
      </c>
      <c r="AE61" s="20">
        <f>MIN(MAX(0,(SUMPRODUCT(Oxides_min!$C61:$BB61,Factors!$C$38:$BB$38)+SUMPRODUCT(Oxides_max!$C61:$BB61,Factors!$C$38:$BB$38))/2),ABS(SUMPRODUCT(Oxides_max!$C61:$BB61,Factors!$C$38:$BB$38)-SUMPRODUCT(Oxides_min!$C61:$BB61,Factors!$C$38:$BB$38))/2)</f>
        <v>0</v>
      </c>
      <c r="AF61" s="20">
        <f>MIN(MAX(0,(SUMPRODUCT(Oxides_min!$C61:$BB61,Factors!$C$39:$BB$39)+SUMPRODUCT(Oxides_max!$C61:$BB61,Factors!$C$39:$BB$39))/2),ABS(SUMPRODUCT(Oxides_max!$C61:$BB61,Factors!$C$39:$BB$39)-SUMPRODUCT(Oxides_min!$C61:$BB61,Factors!$C$39:$BB$39))/2)</f>
        <v>0</v>
      </c>
      <c r="AG61" s="20">
        <f>MIN(MAX(0,(SUMPRODUCT(Oxides_min!$C61:$BB61,Factors!$C$40:$BB$40)+SUMPRODUCT(Oxides_max!$C61:$BB61,Factors!$C$40:$BB$40))/2),ABS(SUMPRODUCT(Oxides_max!$C61:$BB61,Factors!$C$40:$BB$40)-SUMPRODUCT(Oxides_min!$C61:$BB61,Factors!$C$40:$BB$40))/2)</f>
        <v>0</v>
      </c>
      <c r="AH61" s="20">
        <f>MIN(MAX(0,(SUMPRODUCT(Oxides_min!$C61:$BB61,Factors!$C$41:$BB$41)+SUMPRODUCT(Oxides_max!$C61:$BB61,Factors!$C$41:$BB$41))/2),ABS(SUMPRODUCT(Oxides_max!$C61:$BB61,Factors!$C$41:$BB$41)-SUMPRODUCT(Oxides_min!$C61:$BB61,Factors!$C$41:$BB$41))/2)</f>
        <v>0</v>
      </c>
      <c r="AI61" s="20">
        <f>MIN(MAX(0,(SUMPRODUCT(Oxides_min!$C61:$BB61,Factors!$C$42:$BB$42)+SUMPRODUCT(Oxides_max!$C61:$BB61,Factors!$C$42:$BB$42))/2),ABS(SUMPRODUCT(Oxides_max!$C61:$BB61,Factors!$C$42:$BB$42)-SUMPRODUCT(Oxides_min!$C61:$BB61,Factors!$C$42:$BB$42))/2)</f>
        <v>0</v>
      </c>
      <c r="AJ61" s="20">
        <f>MIN(MAX(0,(SUMPRODUCT(Oxides_min!$C61:$BB61,Factors!$C$43:$BB$43)+SUMPRODUCT(Oxides_max!$C61:$BB61,Factors!$C$43:$BB$43))/2),ABS(SUMPRODUCT(Oxides_max!$C61:$BB61,Factors!$C$43:$BB$43)-SUMPRODUCT(Oxides_min!$C61:$BB61,Factors!$C$43:$BB$43))/2)</f>
        <v>0</v>
      </c>
      <c r="AK61" s="20">
        <f>MIN(MAX(0,(SUMPRODUCT(Oxides_min!$C61:$BB61,Factors!$C$44:$BB$44)+SUMPRODUCT(Oxides_max!$C61:$BB61,Factors!$C$44:$BB$44))/2),ABS(SUMPRODUCT(Oxides_max!$C61:$BB61,Factors!$C$44:$BB$44)-SUMPRODUCT(Oxides_min!$C61:$BB61,Factors!$C$44:$BB$44))/2)</f>
        <v>0</v>
      </c>
      <c r="AL61" s="20">
        <f>MIN(MAX(0,(SUMPRODUCT(Oxides_min!$C61:$BB61,Factors!$C$45:$BB$45)+SUMPRODUCT(Oxides_max!$C61:$BB61,Factors!$C$45:$BB$45))/2),ABS(SUMPRODUCT(Oxides_max!$C61:$BB61,Factors!$C$45:$BB$45)-SUMPRODUCT(Oxides_min!$C61:$BB61,Factors!$C$45:$BB$45))/2)</f>
        <v>0</v>
      </c>
      <c r="AM61" s="20">
        <f>MIN(MAX(0,(SUMPRODUCT(Oxides_min!$C61:$BB61,Factors!$C$46:$BB$46)+SUMPRODUCT(Oxides_max!$C61:$BB61,Factors!$C$46:$BB$46))/2),ABS(SUMPRODUCT(Oxides_max!$C61:$BB61,Factors!$C$46:$BB$46)-SUMPRODUCT(Oxides_min!$C61:$BB61,Factors!$C$46:$BB$46))/2)</f>
        <v>0</v>
      </c>
      <c r="AN61" s="20">
        <f>MIN(MAX(0,(SUMPRODUCT(Oxides_min!$C61:$BB61,Factors!$C$47:$BB$47)+SUMPRODUCT(Oxides_max!$C61:$BB61,Factors!$C$47:$BB$47))/2),ABS(SUMPRODUCT(Oxides_max!$C61:$BB61,Factors!$C$47:$BB$47)-SUMPRODUCT(Oxides_min!$C61:$BB61,Factors!$C$47:$BB$47))/2)</f>
        <v>0</v>
      </c>
      <c r="AO61" s="20">
        <f>MIN(MAX(0,(SUMPRODUCT(Oxides_min!$C61:$BB61,Factors!$C$48:$BB$48)+SUMPRODUCT(Oxides_max!$C61:$BB61,Factors!$C$48:$BB$48))/2),ABS(SUMPRODUCT(Oxides_max!$C61:$BB61,Factors!$C$48:$BB$48)-SUMPRODUCT(Oxides_min!$C61:$BB61,Factors!$C$48:$BB$48))/2)</f>
        <v>0</v>
      </c>
      <c r="AP61" s="20">
        <f>MIN(MAX(0,(SUMPRODUCT(Oxides_min!$C61:$BB61,Factors!$C$49:$BB$49)+SUMPRODUCT(Oxides_max!$C61:$BB61,Factors!$C$49:$BB$49))/2),ABS(SUMPRODUCT(Oxides_max!$C61:$BB61,Factors!$C$49:$BB$49)-SUMPRODUCT(Oxides_min!$C61:$BB61,Factors!$C$49:$BB$49))/2)</f>
        <v>0</v>
      </c>
      <c r="AQ61" s="20">
        <f>MIN(MAX(0,(SUMPRODUCT(Oxides_min!$C61:$BB61,Factors!$C$50:$BB$50)+SUMPRODUCT(Oxides_max!$C61:$BB61,Factors!$C$50:$BB$50))/2),ABS(SUMPRODUCT(Oxides_max!$C61:$BB61,Factors!$C$50:$BB$50)-SUMPRODUCT(Oxides_min!$C61:$BB61,Factors!$C$50:$BB$50))/2)</f>
        <v>0</v>
      </c>
      <c r="AR61" s="20">
        <f>MIN(MAX(0,(SUMPRODUCT(Oxides_min!$C61:$BB61,Factors!$C$51:$BB$51)+SUMPRODUCT(Oxides_max!$C61:$BB61,Factors!$C$51:$BB$51))/2),ABS(SUMPRODUCT(Oxides_max!$C61:$BB61,Factors!$C$51:$BB$51)-SUMPRODUCT(Oxides_min!$C61:$BB61,Factors!$C$51:$BB$51))/2)</f>
        <v>0</v>
      </c>
      <c r="AS61" s="20">
        <f>MIN(MAX(0,(SUMPRODUCT(Oxides_min!$C61:$BB61,Factors!$C$52:$BB$52)+SUMPRODUCT(Oxides_max!$C61:$BB61,Factors!$C$52:$BB$52))/2),ABS(SUMPRODUCT(Oxides_max!$C61:$BB61,Factors!$C$52:$BB$52)-SUMPRODUCT(Oxides_min!$C61:$BB61,Factors!$C$52:$BB$52))/2)</f>
        <v>0</v>
      </c>
      <c r="AT61" s="20">
        <f>MIN(MAX(0,(SUMPRODUCT(Oxides_min!$C61:$BB61,Factors!$C$53:$BB$53)+SUMPRODUCT(Oxides_max!$C61:$BB61,Factors!$C$53:$BB$53))/2),ABS(SUMPRODUCT(Oxides_max!$C61:$BB61,Factors!$C$53:$BB$53)-SUMPRODUCT(Oxides_min!$C61:$BB61,Factors!$C$53:$BB$53))/2)</f>
        <v>0</v>
      </c>
      <c r="AU61" s="20">
        <f>MIN(MAX(0,(SUMPRODUCT(Oxides_min!$C61:$BB61,Factors!$C$54:$BB$54)+SUMPRODUCT(Oxides_max!$C61:$BB61,Factors!$C$54:$BB$54))/2),ABS(SUMPRODUCT(Oxides_max!$C61:$BB61,Factors!$C$54:$BB$54)-SUMPRODUCT(Oxides_min!$C61:$BB61,Factors!$C$54:$BB$54))/2)</f>
        <v>0</v>
      </c>
      <c r="AV61" s="20">
        <f>MIN(MAX(0,(SUMPRODUCT(Oxides_min!$C61:$BB61,Factors!$C$55:$BB$55)+SUMPRODUCT(Oxides_max!$C61:$BB61,Factors!$C$55:$BB$55))/2),ABS(SUMPRODUCT(Oxides_max!$C61:$BB61,Factors!$C$55:$BB$55)-SUMPRODUCT(Oxides_min!$C61:$BB61,Factors!$C$55:$BB$55))/2)</f>
        <v>0</v>
      </c>
      <c r="AW61" s="20">
        <f>MIN(MAX(0,(SUMPRODUCT(Oxides_min!$C61:$BB61,Factors!$C$56:$BB$56)+SUMPRODUCT(Oxides_max!$C61:$BB61,Factors!$C$56:$BB$56))/2),ABS(SUMPRODUCT(Oxides_max!$C61:$BB61,Factors!$C$56:$BB$56)-SUMPRODUCT(Oxides_min!$C61:$BB61,Factors!$C$56:$BB$56))/2)</f>
        <v>0</v>
      </c>
      <c r="AX61" s="20">
        <f>MIN(MAX(0,(SUMPRODUCT(Oxides_min!$C61:$BB61,Factors!$C$57:$BB$57)+SUMPRODUCT(Oxides_max!$C61:$BB61,Factors!$C$57:$BB$57))/2),ABS(SUMPRODUCT(Oxides_max!$C61:$BB61,Factors!$C$57:$BB$57)-SUMPRODUCT(Oxides_min!$C61:$BB61,Factors!$C$57:$BB$57))/2)</f>
        <v>0</v>
      </c>
      <c r="AY61" s="20">
        <f>MIN(MAX(0,(SUMPRODUCT(Oxides_min!$C61:$BB61,Factors!$C$58:$BB$58)+SUMPRODUCT(Oxides_max!$C61:$BB61,Factors!$C$58:$BB$58))/2),ABS(SUMPRODUCT(Oxides_max!$C61:$BB61,Factors!$C$58:$BB$58)-SUMPRODUCT(Oxides_min!$C61:$BB61,Factors!$C$58:$BB$58))/2)</f>
        <v>0</v>
      </c>
      <c r="AZ61" s="18">
        <f t="shared" si="5"/>
        <v>6.6086907170137001</v>
      </c>
    </row>
    <row r="62" spans="1:52" x14ac:dyDescent="0.35">
      <c r="A62" s="13" t="s">
        <v>531</v>
      </c>
      <c r="B62" s="20">
        <f>MIN(MAX(0,(SUMPRODUCT(Oxides_min!$C62:$BB62,Factors!$C$9:$BB$9)+SUMPRODUCT(Oxides_max!$C62:$BB62,Factors!$C$9:$BB$9))/2),ABS(SUMPRODUCT(Oxides_max!$C62:$BB62,Factors!$C$9:$BB$9)-SUMPRODUCT(Oxides_min!$C62:$BB62,Factors!$C$9:$BB$9))/2)</f>
        <v>5.9342037307357636</v>
      </c>
      <c r="C62" s="20">
        <f>MIN(MAX(0,(SUMPRODUCT(Oxides_min!$C62:$BB62,Factors!$C$10:$BB$10)+SUMPRODUCT(Oxides_max!$C62:$BB62,Factors!$C$10:$BB$10))/2),ABS(SUMPRODUCT(Oxides_max!$C62:$BB62,Factors!$C$10:$BB$10)-SUMPRODUCT(Oxides_min!$C62:$BB62,Factors!$C$10:$BB$10))/2)</f>
        <v>2.1034652064643909E-2</v>
      </c>
      <c r="D62" s="20">
        <f>MIN(MAX(0,(SUMPRODUCT(Oxides_min!$C62:$BB62,Factors!$C$11:$BB$11)+SUMPRODUCT(Oxides_max!$C62:$BB62,Factors!$C$11:$BB$11))/2),ABS(SUMPRODUCT(Oxides_max!$C62:$BB62,Factors!$C$11:$BB$11)-SUMPRODUCT(Oxides_min!$C62:$BB62,Factors!$C$11:$BB$11))/2)</f>
        <v>0</v>
      </c>
      <c r="E62" s="20">
        <f>MIN(MAX(0,(SUMPRODUCT(Oxides_min!$C62:$BB62,Factors!$C$12:$BB$12)+SUMPRODUCT(Oxides_max!$C62:$BB62,Factors!$C$12:$BB$12))/2),ABS(SUMPRODUCT(Oxides_max!$C62:$BB62,Factors!$C$12:$BB$12)-SUMPRODUCT(Oxides_min!$C62:$BB62,Factors!$C$12:$BB$12))/2)</f>
        <v>0</v>
      </c>
      <c r="F62" s="20">
        <f>MIN(MAX(0,(SUMPRODUCT(Oxides_min!$C62:$BB62,Factors!$C$13:$BB$13)+SUMPRODUCT(Oxides_max!$C62:$BB62,Factors!$C$13:$BB$13))/2),ABS(SUMPRODUCT(Oxides_max!$C62:$BB62,Factors!$C$13:$BB$13)-SUMPRODUCT(Oxides_min!$C62:$BB62,Factors!$C$13:$BB$13))/2)</f>
        <v>0</v>
      </c>
      <c r="G62" s="20">
        <f>MIN(MAX(0,(SUMPRODUCT(Oxides_min!$C62:$BB62,Factors!$C$14:$BB$14)+SUMPRODUCT(Oxides_max!$C62:$BB62,Factors!$C$14:$BB$14))/2),ABS(SUMPRODUCT(Oxides_max!$C62:$BB62,Factors!$C$14:$BB$14)-SUMPRODUCT(Oxides_min!$C62:$BB62,Factors!$C$14:$BB$14))/2)</f>
        <v>0</v>
      </c>
      <c r="H62" s="20">
        <f>MIN(MAX(0,(SUMPRODUCT(Oxides_min!$C62:$BB62,Factors!$C$15:$BB$15)+SUMPRODUCT(Oxides_max!$C62:$BB62,Factors!$C$15:$BB$15))/2),ABS(SUMPRODUCT(Oxides_max!$C62:$BB62,Factors!$C$15:$BB$15)-SUMPRODUCT(Oxides_min!$C62:$BB62,Factors!$C$15:$BB$15))/2)</f>
        <v>1.8523992434803675E-2</v>
      </c>
      <c r="I62" s="20">
        <f>MIN(MAX(0,(SUMPRODUCT(Oxides_min!$C62:$BB62,Factors!$C$16:$BB$16)+SUMPRODUCT(Oxides_max!$C62:$BB62,Factors!$C$16:$BB$16))/2),ABS(SUMPRODUCT(Oxides_max!$C62:$BB62,Factors!$C$16:$BB$16)-SUMPRODUCT(Oxides_min!$C62:$BB62,Factors!$C$16:$BB$16))/2)</f>
        <v>8.8146859863036582</v>
      </c>
      <c r="J62" s="20">
        <f>MIN(MAX(0,(SUMPRODUCT(Oxides_min!$C62:$BB62,Factors!$C$17:$BB$17)+SUMPRODUCT(Oxides_max!$C62:$BB62,Factors!$C$17:$BB$17))/2),ABS(SUMPRODUCT(Oxides_max!$C62:$BB62,Factors!$C$17:$BB$17)-SUMPRODUCT(Oxides_min!$C62:$BB62,Factors!$C$17:$BB$17))/2)</f>
        <v>9.2354591868812559</v>
      </c>
      <c r="K62" s="20">
        <f>MIN(MAX(0,(SUMPRODUCT(Oxides_min!$C62:$BB62,Factors!$C$18:$BB$18)+SUMPRODUCT(Oxides_max!$C62:$BB62,Factors!$C$18:$BB$18))/2),ABS(SUMPRODUCT(Oxides_max!$C62:$BB62,Factors!$C$18:$BB$18)-SUMPRODUCT(Oxides_min!$C62:$BB62,Factors!$C$18:$BB$18))/2)</f>
        <v>0</v>
      </c>
      <c r="L62" s="20">
        <f>MIN(MAX(0,(SUMPRODUCT(Oxides_min!$C62:$BB62,Factors!$C$19:$BB$19)+SUMPRODUCT(Oxides_max!$C62:$BB62,Factors!$C$19:$BB$19))/2),ABS(SUMPRODUCT(Oxides_max!$C62:$BB62,Factors!$C$19:$BB$19)-SUMPRODUCT(Oxides_min!$C62:$BB62,Factors!$C$19:$BB$19))/2)</f>
        <v>0</v>
      </c>
      <c r="M62" s="20">
        <f>MIN(MAX(0,(SUMPRODUCT(Oxides_min!$C62:$BB62,Factors!$C$20:$BB$20)+SUMPRODUCT(Oxides_max!$C62:$BB62,Factors!$C$20:$BB$20))/2),ABS(SUMPRODUCT(Oxides_max!$C62:$BB62,Factors!$C$20:$BB$20)-SUMPRODUCT(Oxides_min!$C62:$BB62,Factors!$C$20:$BB$20))/2)</f>
        <v>0</v>
      </c>
      <c r="N62" s="20">
        <f>MIN(MAX(0,(SUMPRODUCT(Oxides_min!$C62:$BB62,Factors!$C$21:$BB$21)+SUMPRODUCT(Oxides_max!$C62:$BB62,Factors!$C$21:$BB$21))/2),ABS(SUMPRODUCT(Oxides_max!$C62:$BB62,Factors!$C$21:$BB$21)-SUMPRODUCT(Oxides_min!$C62:$BB62,Factors!$C$21:$BB$21))/2)</f>
        <v>0</v>
      </c>
      <c r="O62" s="20">
        <f>MIN(MAX(0,(SUMPRODUCT(Oxides_min!$C62:$BB62,Factors!$C$22:$BB$22)+SUMPRODUCT(Oxides_max!$C62:$BB62,Factors!$C$22:$BB$22))/2),ABS(SUMPRODUCT(Oxides_max!$C62:$BB62,Factors!$C$22:$BB$22)-SUMPRODUCT(Oxides_min!$C62:$BB62,Factors!$C$22:$BB$22))/2)</f>
        <v>0</v>
      </c>
      <c r="P62" s="20">
        <f>MIN(MAX(0,(SUMPRODUCT(Oxides_min!$C62:$BB62,Factors!$C$23:$BB$23)+SUMPRODUCT(Oxides_max!$C62:$BB62,Factors!$C$23:$BB$23))/2),ABS(SUMPRODUCT(Oxides_max!$C62:$BB62,Factors!$C$23:$BB$23)-SUMPRODUCT(Oxides_min!$C62:$BB62,Factors!$C$23:$BB$23))/2)</f>
        <v>0</v>
      </c>
      <c r="Q62" s="20">
        <f>MIN(MAX(0,(SUMPRODUCT(Oxides_min!$C62:$BB62,Factors!$C$24:$BB$24)+SUMPRODUCT(Oxides_max!$C62:$BB62,Factors!$C$24:$BB$24))/2),ABS(SUMPRODUCT(Oxides_max!$C62:$BB62,Factors!$C$24:$BB$24)-SUMPRODUCT(Oxides_min!$C62:$BB62,Factors!$C$24:$BB$24))/2)</f>
        <v>0</v>
      </c>
      <c r="R62" s="20">
        <f>MIN(MAX(0,(SUMPRODUCT(Oxides_min!$C62:$BB62,Factors!$C$25:$BB$25)+SUMPRODUCT(Oxides_max!$C62:$BB62,Factors!$C$25:$BB$25))/2),ABS(SUMPRODUCT(Oxides_max!$C62:$BB62,Factors!$C$25:$BB$25)-SUMPRODUCT(Oxides_min!$C62:$BB62,Factors!$C$25:$BB$25))/2)</f>
        <v>8.9023470952910438E-2</v>
      </c>
      <c r="S62" s="20">
        <f>MIN(MAX(0,(SUMPRODUCT(Oxides_min!$C62:$BB62,Factors!$C$26:$BB$26)+SUMPRODUCT(Oxides_max!$C62:$BB62,Factors!$C$26:$BB$26))/2),ABS(SUMPRODUCT(Oxides_max!$C62:$BB62,Factors!$C$26:$BB$26)-SUMPRODUCT(Oxides_min!$C62:$BB62,Factors!$C$26:$BB$26))/2)</f>
        <v>0</v>
      </c>
      <c r="T62" s="20">
        <f>MIN(MAX(0,(SUMPRODUCT(Oxides_min!$C62:$BB62,Factors!$C$27:$BB$27)+SUMPRODUCT(Oxides_max!$C62:$BB62,Factors!$C$27:$BB$27))/2),ABS(SUMPRODUCT(Oxides_max!$C62:$BB62,Factors!$C$27:$BB$27)-SUMPRODUCT(Oxides_min!$C62:$BB62,Factors!$C$27:$BB$27))/2)</f>
        <v>0.16258910940794502</v>
      </c>
      <c r="U62" s="20">
        <f>MIN(MAX(0,(SUMPRODUCT(Oxides_min!$C62:$BB62,Factors!$C$28:$BB$28)+SUMPRODUCT(Oxides_max!$C62:$BB62,Factors!$C$28:$BB$28))/2),ABS(SUMPRODUCT(Oxides_max!$C62:$BB62,Factors!$C$28:$BB$28)-SUMPRODUCT(Oxides_min!$C62:$BB62,Factors!$C$28:$BB$28))/2)</f>
        <v>0</v>
      </c>
      <c r="V62" s="20">
        <f>MIN(MAX(0,(SUMPRODUCT(Oxides_min!$C62:$BB62,Factors!$C$29:$BB$29)+SUMPRODUCT(Oxides_max!$C62:$BB62,Factors!$C$29:$BB$29))/2),ABS(SUMPRODUCT(Oxides_max!$C62:$BB62,Factors!$C$29:$BB$29)-SUMPRODUCT(Oxides_min!$C62:$BB62,Factors!$C$29:$BB$29))/2)</f>
        <v>0</v>
      </c>
      <c r="W62" s="20">
        <f>MIN(MAX(0,(SUMPRODUCT(Oxides_min!$C62:$BB62,Factors!$C$30:$BB$30)+SUMPRODUCT(Oxides_max!$C62:$BB62,Factors!$C$30:$BB$30))/2),ABS(SUMPRODUCT(Oxides_max!$C62:$BB62,Factors!$C$30:$BB$30)-SUMPRODUCT(Oxides_min!$C62:$BB62,Factors!$C$30:$BB$30))/2)</f>
        <v>0</v>
      </c>
      <c r="X62" s="20">
        <f>MIN(MAX(0,(SUMPRODUCT(Oxides_min!$C62:$BB62,Factors!$C$31:$BB$31)+SUMPRODUCT(Oxides_max!$C62:$BB62,Factors!$C$31:$BB$31))/2),ABS(SUMPRODUCT(Oxides_max!$C62:$BB62,Factors!$C$31:$BB$31)-SUMPRODUCT(Oxides_min!$C62:$BB62,Factors!$C$31:$BB$31))/2)</f>
        <v>0</v>
      </c>
      <c r="Y62" s="20">
        <f>MIN(MAX(0,(SUMPRODUCT(Oxides_min!$C62:$BB62,Factors!$C$32:$BB$32)+SUMPRODUCT(Oxides_max!$C62:$BB62,Factors!$C$32:$BB$32))/2),ABS(SUMPRODUCT(Oxides_max!$C62:$BB62,Factors!$C$32:$BB$32)-SUMPRODUCT(Oxides_min!$C62:$BB62,Factors!$C$32:$BB$32))/2)</f>
        <v>0</v>
      </c>
      <c r="Z62" s="20">
        <f>MIN(MAX(0,(SUMPRODUCT(Oxides_min!$C62:$BB62,Factors!$C$33:$BB$33)+SUMPRODUCT(Oxides_max!$C62:$BB62,Factors!$C$33:$BB$33))/2),ABS(SUMPRODUCT(Oxides_max!$C62:$BB62,Factors!$C$33:$BB$33)-SUMPRODUCT(Oxides_min!$C62:$BB62,Factors!$C$33:$BB$33))/2)</f>
        <v>0.13311017929561686</v>
      </c>
      <c r="AA62" s="20">
        <f>MIN(MAX(0,(SUMPRODUCT(Oxides_min!$C62:$BB62,Factors!$C$34:$BB$34)+SUMPRODUCT(Oxides_max!$C62:$BB62,Factors!$C$34:$BB$34))/2),ABS(SUMPRODUCT(Oxides_max!$C62:$BB62,Factors!$C$34:$BB$34)-SUMPRODUCT(Oxides_min!$C62:$BB62,Factors!$C$34:$BB$34))/2)</f>
        <v>0</v>
      </c>
      <c r="AB62" s="20">
        <f>MIN(MAX(0,(SUMPRODUCT(Oxides_min!$C62:$BB62,Factors!$C$35:$BB$35)+SUMPRODUCT(Oxides_max!$C62:$BB62,Factors!$C$35:$BB$35))/2),ABS(SUMPRODUCT(Oxides_max!$C62:$BB62,Factors!$C$35:$BB$35)-SUMPRODUCT(Oxides_min!$C62:$BB62,Factors!$C$35:$BB$35))/2)</f>
        <v>0</v>
      </c>
      <c r="AC62" s="20">
        <f>MIN(MAX(0,(SUMPRODUCT(Oxides_min!$C62:$BB62,Factors!$C$36:$BB$36)+SUMPRODUCT(Oxides_max!$C62:$BB62,Factors!$C$36:$BB$36))/2),ABS(SUMPRODUCT(Oxides_max!$C62:$BB62,Factors!$C$36:$BB$36)-SUMPRODUCT(Oxides_min!$C62:$BB62,Factors!$C$36:$BB$36))/2)</f>
        <v>0</v>
      </c>
      <c r="AD62" s="20">
        <f>MIN(MAX(0,(SUMPRODUCT(Oxides_min!$C62:$BB62,Factors!$C$37:$BB$37)+SUMPRODUCT(Oxides_max!$C62:$BB62,Factors!$C$37:$BB$37))/2),ABS(SUMPRODUCT(Oxides_max!$C62:$BB62,Factors!$C$37:$BB$37)-SUMPRODUCT(Oxides_min!$C62:$BB62,Factors!$C$37:$BB$37))/2)</f>
        <v>3.6369691923397167E-2</v>
      </c>
      <c r="AE62" s="20">
        <f>MIN(MAX(0,(SUMPRODUCT(Oxides_min!$C62:$BB62,Factors!$C$38:$BB$38)+SUMPRODUCT(Oxides_max!$C62:$BB62,Factors!$C$38:$BB$38))/2),ABS(SUMPRODUCT(Oxides_max!$C62:$BB62,Factors!$C$38:$BB$38)-SUMPRODUCT(Oxides_min!$C62:$BB62,Factors!$C$38:$BB$38))/2)</f>
        <v>0</v>
      </c>
      <c r="AF62" s="20">
        <f>MIN(MAX(0,(SUMPRODUCT(Oxides_min!$C62:$BB62,Factors!$C$39:$BB$39)+SUMPRODUCT(Oxides_max!$C62:$BB62,Factors!$C$39:$BB$39))/2),ABS(SUMPRODUCT(Oxides_max!$C62:$BB62,Factors!$C$39:$BB$39)-SUMPRODUCT(Oxides_min!$C62:$BB62,Factors!$C$39:$BB$39))/2)</f>
        <v>0</v>
      </c>
      <c r="AG62" s="20">
        <f>MIN(MAX(0,(SUMPRODUCT(Oxides_min!$C62:$BB62,Factors!$C$40:$BB$40)+SUMPRODUCT(Oxides_max!$C62:$BB62,Factors!$C$40:$BB$40))/2),ABS(SUMPRODUCT(Oxides_max!$C62:$BB62,Factors!$C$40:$BB$40)-SUMPRODUCT(Oxides_min!$C62:$BB62,Factors!$C$40:$BB$40))/2)</f>
        <v>0</v>
      </c>
      <c r="AH62" s="20">
        <f>MIN(MAX(0,(SUMPRODUCT(Oxides_min!$C62:$BB62,Factors!$C$41:$BB$41)+SUMPRODUCT(Oxides_max!$C62:$BB62,Factors!$C$41:$BB$41))/2),ABS(SUMPRODUCT(Oxides_max!$C62:$BB62,Factors!$C$41:$BB$41)-SUMPRODUCT(Oxides_min!$C62:$BB62,Factors!$C$41:$BB$41))/2)</f>
        <v>0</v>
      </c>
      <c r="AI62" s="20">
        <f>MIN(MAX(0,(SUMPRODUCT(Oxides_min!$C62:$BB62,Factors!$C$42:$BB$42)+SUMPRODUCT(Oxides_max!$C62:$BB62,Factors!$C$42:$BB$42))/2),ABS(SUMPRODUCT(Oxides_max!$C62:$BB62,Factors!$C$42:$BB$42)-SUMPRODUCT(Oxides_min!$C62:$BB62,Factors!$C$42:$BB$42))/2)</f>
        <v>0</v>
      </c>
      <c r="AJ62" s="20">
        <f>MIN(MAX(0,(SUMPRODUCT(Oxides_min!$C62:$BB62,Factors!$C$43:$BB$43)+SUMPRODUCT(Oxides_max!$C62:$BB62,Factors!$C$43:$BB$43))/2),ABS(SUMPRODUCT(Oxides_max!$C62:$BB62,Factors!$C$43:$BB$43)-SUMPRODUCT(Oxides_min!$C62:$BB62,Factors!$C$43:$BB$43))/2)</f>
        <v>0</v>
      </c>
      <c r="AK62" s="20">
        <f>MIN(MAX(0,(SUMPRODUCT(Oxides_min!$C62:$BB62,Factors!$C$44:$BB$44)+SUMPRODUCT(Oxides_max!$C62:$BB62,Factors!$C$44:$BB$44))/2),ABS(SUMPRODUCT(Oxides_max!$C62:$BB62,Factors!$C$44:$BB$44)-SUMPRODUCT(Oxides_min!$C62:$BB62,Factors!$C$44:$BB$44))/2)</f>
        <v>0</v>
      </c>
      <c r="AL62" s="20">
        <f>MIN(MAX(0,(SUMPRODUCT(Oxides_min!$C62:$BB62,Factors!$C$45:$BB$45)+SUMPRODUCT(Oxides_max!$C62:$BB62,Factors!$C$45:$BB$45))/2),ABS(SUMPRODUCT(Oxides_max!$C62:$BB62,Factors!$C$45:$BB$45)-SUMPRODUCT(Oxides_min!$C62:$BB62,Factors!$C$45:$BB$45))/2)</f>
        <v>0</v>
      </c>
      <c r="AM62" s="20">
        <f>MIN(MAX(0,(SUMPRODUCT(Oxides_min!$C62:$BB62,Factors!$C$46:$BB$46)+SUMPRODUCT(Oxides_max!$C62:$BB62,Factors!$C$46:$BB$46))/2),ABS(SUMPRODUCT(Oxides_max!$C62:$BB62,Factors!$C$46:$BB$46)-SUMPRODUCT(Oxides_min!$C62:$BB62,Factors!$C$46:$BB$46))/2)</f>
        <v>0</v>
      </c>
      <c r="AN62" s="20">
        <f>MIN(MAX(0,(SUMPRODUCT(Oxides_min!$C62:$BB62,Factors!$C$47:$BB$47)+SUMPRODUCT(Oxides_max!$C62:$BB62,Factors!$C$47:$BB$47))/2),ABS(SUMPRODUCT(Oxides_max!$C62:$BB62,Factors!$C$47:$BB$47)-SUMPRODUCT(Oxides_min!$C62:$BB62,Factors!$C$47:$BB$47))/2)</f>
        <v>0</v>
      </c>
      <c r="AO62" s="20">
        <f>MIN(MAX(0,(SUMPRODUCT(Oxides_min!$C62:$BB62,Factors!$C$48:$BB$48)+SUMPRODUCT(Oxides_max!$C62:$BB62,Factors!$C$48:$BB$48))/2),ABS(SUMPRODUCT(Oxides_max!$C62:$BB62,Factors!$C$48:$BB$48)-SUMPRODUCT(Oxides_min!$C62:$BB62,Factors!$C$48:$BB$48))/2)</f>
        <v>0</v>
      </c>
      <c r="AP62" s="20">
        <f>MIN(MAX(0,(SUMPRODUCT(Oxides_min!$C62:$BB62,Factors!$C$49:$BB$49)+SUMPRODUCT(Oxides_max!$C62:$BB62,Factors!$C$49:$BB$49))/2),ABS(SUMPRODUCT(Oxides_max!$C62:$BB62,Factors!$C$49:$BB$49)-SUMPRODUCT(Oxides_min!$C62:$BB62,Factors!$C$49:$BB$49))/2)</f>
        <v>0</v>
      </c>
      <c r="AQ62" s="20">
        <f>MIN(MAX(0,(SUMPRODUCT(Oxides_min!$C62:$BB62,Factors!$C$50:$BB$50)+SUMPRODUCT(Oxides_max!$C62:$BB62,Factors!$C$50:$BB$50))/2),ABS(SUMPRODUCT(Oxides_max!$C62:$BB62,Factors!$C$50:$BB$50)-SUMPRODUCT(Oxides_min!$C62:$BB62,Factors!$C$50:$BB$50))/2)</f>
        <v>0</v>
      </c>
      <c r="AR62" s="20">
        <f>MIN(MAX(0,(SUMPRODUCT(Oxides_min!$C62:$BB62,Factors!$C$51:$BB$51)+SUMPRODUCT(Oxides_max!$C62:$BB62,Factors!$C$51:$BB$51))/2),ABS(SUMPRODUCT(Oxides_max!$C62:$BB62,Factors!$C$51:$BB$51)-SUMPRODUCT(Oxides_min!$C62:$BB62,Factors!$C$51:$BB$51))/2)</f>
        <v>0</v>
      </c>
      <c r="AS62" s="20">
        <f>MIN(MAX(0,(SUMPRODUCT(Oxides_min!$C62:$BB62,Factors!$C$52:$BB$52)+SUMPRODUCT(Oxides_max!$C62:$BB62,Factors!$C$52:$BB$52))/2),ABS(SUMPRODUCT(Oxides_max!$C62:$BB62,Factors!$C$52:$BB$52)-SUMPRODUCT(Oxides_min!$C62:$BB62,Factors!$C$52:$BB$52))/2)</f>
        <v>0</v>
      </c>
      <c r="AT62" s="20">
        <f>MIN(MAX(0,(SUMPRODUCT(Oxides_min!$C62:$BB62,Factors!$C$53:$BB$53)+SUMPRODUCT(Oxides_max!$C62:$BB62,Factors!$C$53:$BB$53))/2),ABS(SUMPRODUCT(Oxides_max!$C62:$BB62,Factors!$C$53:$BB$53)-SUMPRODUCT(Oxides_min!$C62:$BB62,Factors!$C$53:$BB$53))/2)</f>
        <v>0</v>
      </c>
      <c r="AU62" s="20">
        <f>MIN(MAX(0,(SUMPRODUCT(Oxides_min!$C62:$BB62,Factors!$C$54:$BB$54)+SUMPRODUCT(Oxides_max!$C62:$BB62,Factors!$C$54:$BB$54))/2),ABS(SUMPRODUCT(Oxides_max!$C62:$BB62,Factors!$C$54:$BB$54)-SUMPRODUCT(Oxides_min!$C62:$BB62,Factors!$C$54:$BB$54))/2)</f>
        <v>0</v>
      </c>
      <c r="AV62" s="20">
        <f>MIN(MAX(0,(SUMPRODUCT(Oxides_min!$C62:$BB62,Factors!$C$55:$BB$55)+SUMPRODUCT(Oxides_max!$C62:$BB62,Factors!$C$55:$BB$55))/2),ABS(SUMPRODUCT(Oxides_max!$C62:$BB62,Factors!$C$55:$BB$55)-SUMPRODUCT(Oxides_min!$C62:$BB62,Factors!$C$55:$BB$55))/2)</f>
        <v>0</v>
      </c>
      <c r="AW62" s="20">
        <f>MIN(MAX(0,(SUMPRODUCT(Oxides_min!$C62:$BB62,Factors!$C$56:$BB$56)+SUMPRODUCT(Oxides_max!$C62:$BB62,Factors!$C$56:$BB$56))/2),ABS(SUMPRODUCT(Oxides_max!$C62:$BB62,Factors!$C$56:$BB$56)-SUMPRODUCT(Oxides_min!$C62:$BB62,Factors!$C$56:$BB$56))/2)</f>
        <v>0</v>
      </c>
      <c r="AX62" s="20">
        <f>MIN(MAX(0,(SUMPRODUCT(Oxides_min!$C62:$BB62,Factors!$C$57:$BB$57)+SUMPRODUCT(Oxides_max!$C62:$BB62,Factors!$C$57:$BB$57))/2),ABS(SUMPRODUCT(Oxides_max!$C62:$BB62,Factors!$C$57:$BB$57)-SUMPRODUCT(Oxides_min!$C62:$BB62,Factors!$C$57:$BB$57))/2)</f>
        <v>0</v>
      </c>
      <c r="AY62" s="20">
        <f>MIN(MAX(0,(SUMPRODUCT(Oxides_min!$C62:$BB62,Factors!$C$58:$BB$58)+SUMPRODUCT(Oxides_max!$C62:$BB62,Factors!$C$58:$BB$58))/2),ABS(SUMPRODUCT(Oxides_max!$C62:$BB62,Factors!$C$58:$BB$58)-SUMPRODUCT(Oxides_min!$C62:$BB62,Factors!$C$58:$BB$58))/2)</f>
        <v>0</v>
      </c>
      <c r="AZ62" s="18">
        <f t="shared" ref="AZ62:AZ63" si="6">SUM(B62:AY62)</f>
        <v>24.444999999999997</v>
      </c>
    </row>
    <row r="63" spans="1:52" x14ac:dyDescent="0.35">
      <c r="A63" s="13" t="s">
        <v>533</v>
      </c>
      <c r="B63" s="20">
        <f>MIN(MAX(0,(SUMPRODUCT(Oxides_min!$C63:$BB63,Factors!$C$9:$BB$9)+SUMPRODUCT(Oxides_max!$C63:$BB63,Factors!$C$9:$BB$9))/2),ABS(SUMPRODUCT(Oxides_max!$C63:$BB63,Factors!$C$9:$BB$9)-SUMPRODUCT(Oxides_min!$C63:$BB63,Factors!$C$9:$BB$9))/2)</f>
        <v>0.26412066815082724</v>
      </c>
      <c r="C63" s="20">
        <f>MIN(MAX(0,(SUMPRODUCT(Oxides_min!$C63:$BB63,Factors!$C$10:$BB$10)+SUMPRODUCT(Oxides_max!$C63:$BB63,Factors!$C$10:$BB$10))/2),ABS(SUMPRODUCT(Oxides_max!$C63:$BB63,Factors!$C$10:$BB$10)-SUMPRODUCT(Oxides_min!$C63:$BB63,Factors!$C$10:$BB$10))/2)</f>
        <v>0</v>
      </c>
      <c r="D63" s="20">
        <f>MIN(MAX(0,(SUMPRODUCT(Oxides_min!$C63:$BB63,Factors!$C$11:$BB$11)+SUMPRODUCT(Oxides_max!$C63:$BB63,Factors!$C$11:$BB$11))/2),ABS(SUMPRODUCT(Oxides_max!$C63:$BB63,Factors!$C$11:$BB$11)-SUMPRODUCT(Oxides_min!$C63:$BB63,Factors!$C$11:$BB$11))/2)</f>
        <v>0</v>
      </c>
      <c r="E63" s="20">
        <f>MIN(MAX(0,(SUMPRODUCT(Oxides_min!$C63:$BB63,Factors!$C$12:$BB$12)+SUMPRODUCT(Oxides_max!$C63:$BB63,Factors!$C$12:$BB$12))/2),ABS(SUMPRODUCT(Oxides_max!$C63:$BB63,Factors!$C$12:$BB$12)-SUMPRODUCT(Oxides_min!$C63:$BB63,Factors!$C$12:$BB$12))/2)</f>
        <v>0</v>
      </c>
      <c r="F63" s="20">
        <f>MIN(MAX(0,(SUMPRODUCT(Oxides_min!$C63:$BB63,Factors!$C$13:$BB$13)+SUMPRODUCT(Oxides_max!$C63:$BB63,Factors!$C$13:$BB$13))/2),ABS(SUMPRODUCT(Oxides_max!$C63:$BB63,Factors!$C$13:$BB$13)-SUMPRODUCT(Oxides_min!$C63:$BB63,Factors!$C$13:$BB$13))/2)</f>
        <v>0</v>
      </c>
      <c r="G63" s="20">
        <f>MIN(MAX(0,(SUMPRODUCT(Oxides_min!$C63:$BB63,Factors!$C$14:$BB$14)+SUMPRODUCT(Oxides_max!$C63:$BB63,Factors!$C$14:$BB$14))/2),ABS(SUMPRODUCT(Oxides_max!$C63:$BB63,Factors!$C$14:$BB$14)-SUMPRODUCT(Oxides_min!$C63:$BB63,Factors!$C$14:$BB$14))/2)</f>
        <v>0</v>
      </c>
      <c r="H63" s="20">
        <f>MIN(MAX(0,(SUMPRODUCT(Oxides_min!$C63:$BB63,Factors!$C$15:$BB$15)+SUMPRODUCT(Oxides_max!$C63:$BB63,Factors!$C$15:$BB$15))/2),ABS(SUMPRODUCT(Oxides_max!$C63:$BB63,Factors!$C$15:$BB$15)-SUMPRODUCT(Oxides_min!$C63:$BB63,Factors!$C$15:$BB$15))/2)</f>
        <v>0</v>
      </c>
      <c r="I63" s="20">
        <f>MIN(MAX(0,(SUMPRODUCT(Oxides_min!$C63:$BB63,Factors!$C$16:$BB$16)+SUMPRODUCT(Oxides_max!$C63:$BB63,Factors!$C$16:$BB$16))/2),ABS(SUMPRODUCT(Oxides_max!$C63:$BB63,Factors!$C$16:$BB$16)-SUMPRODUCT(Oxides_min!$C63:$BB63,Factors!$C$16:$BB$16))/2)</f>
        <v>0.29926403039919824</v>
      </c>
      <c r="J63" s="20">
        <f>MIN(MAX(0,(SUMPRODUCT(Oxides_min!$C63:$BB63,Factors!$C$17:$BB$17)+SUMPRODUCT(Oxides_max!$C63:$BB63,Factors!$C$17:$BB$17))/2),ABS(SUMPRODUCT(Oxides_max!$C63:$BB63,Factors!$C$17:$BB$17)-SUMPRODUCT(Oxides_min!$C63:$BB63,Factors!$C$17:$BB$17))/2)</f>
        <v>0.32527403425493873</v>
      </c>
      <c r="K63" s="20">
        <f>MIN(MAX(0,(SUMPRODUCT(Oxides_min!$C63:$BB63,Factors!$C$18:$BB$18)+SUMPRODUCT(Oxides_max!$C63:$BB63,Factors!$C$18:$BB$18))/2),ABS(SUMPRODUCT(Oxides_max!$C63:$BB63,Factors!$C$18:$BB$18)-SUMPRODUCT(Oxides_min!$C63:$BB63,Factors!$C$18:$BB$18))/2)</f>
        <v>0</v>
      </c>
      <c r="L63" s="20">
        <f>MIN(MAX(0,(SUMPRODUCT(Oxides_min!$C63:$BB63,Factors!$C$19:$BB$19)+SUMPRODUCT(Oxides_max!$C63:$BB63,Factors!$C$19:$BB$19))/2),ABS(SUMPRODUCT(Oxides_max!$C63:$BB63,Factors!$C$19:$BB$19)-SUMPRODUCT(Oxides_min!$C63:$BB63,Factors!$C$19:$BB$19))/2)</f>
        <v>0</v>
      </c>
      <c r="M63" s="20">
        <f>MIN(MAX(0,(SUMPRODUCT(Oxides_min!$C63:$BB63,Factors!$C$20:$BB$20)+SUMPRODUCT(Oxides_max!$C63:$BB63,Factors!$C$20:$BB$20))/2),ABS(SUMPRODUCT(Oxides_max!$C63:$BB63,Factors!$C$20:$BB$20)-SUMPRODUCT(Oxides_min!$C63:$BB63,Factors!$C$20:$BB$20))/2)</f>
        <v>0</v>
      </c>
      <c r="N63" s="20">
        <f>MIN(MAX(0,(SUMPRODUCT(Oxides_min!$C63:$BB63,Factors!$C$21:$BB$21)+SUMPRODUCT(Oxides_max!$C63:$BB63,Factors!$C$21:$BB$21))/2),ABS(SUMPRODUCT(Oxides_max!$C63:$BB63,Factors!$C$21:$BB$21)-SUMPRODUCT(Oxides_min!$C63:$BB63,Factors!$C$21:$BB$21))/2)</f>
        <v>0.18224744547675517</v>
      </c>
      <c r="O63" s="20">
        <f>MIN(MAX(0,(SUMPRODUCT(Oxides_min!$C63:$BB63,Factors!$C$22:$BB$22)+SUMPRODUCT(Oxides_max!$C63:$BB63,Factors!$C$22:$BB$22))/2),ABS(SUMPRODUCT(Oxides_max!$C63:$BB63,Factors!$C$22:$BB$22)-SUMPRODUCT(Oxides_min!$C63:$BB63,Factors!$C$22:$BB$22))/2)</f>
        <v>0</v>
      </c>
      <c r="P63" s="20">
        <f>MIN(MAX(0,(SUMPRODUCT(Oxides_min!$C63:$BB63,Factors!$C$23:$BB$23)+SUMPRODUCT(Oxides_max!$C63:$BB63,Factors!$C$23:$BB$23))/2),ABS(SUMPRODUCT(Oxides_max!$C63:$BB63,Factors!$C$23:$BB$23)-SUMPRODUCT(Oxides_min!$C63:$BB63,Factors!$C$23:$BB$23))/2)</f>
        <v>0</v>
      </c>
      <c r="Q63" s="20">
        <f>MIN(MAX(0,(SUMPRODUCT(Oxides_min!$C63:$BB63,Factors!$C$24:$BB$24)+SUMPRODUCT(Oxides_max!$C63:$BB63,Factors!$C$24:$BB$24))/2),ABS(SUMPRODUCT(Oxides_max!$C63:$BB63,Factors!$C$24:$BB$24)-SUMPRODUCT(Oxides_min!$C63:$BB63,Factors!$C$24:$BB$24))/2)</f>
        <v>0</v>
      </c>
      <c r="R63" s="20">
        <f>MIN(MAX(0,(SUMPRODUCT(Oxides_min!$C63:$BB63,Factors!$C$25:$BB$25)+SUMPRODUCT(Oxides_max!$C63:$BB63,Factors!$C$25:$BB$25))/2),ABS(SUMPRODUCT(Oxides_max!$C63:$BB63,Factors!$C$25:$BB$25)-SUMPRODUCT(Oxides_min!$C63:$BB63,Factors!$C$25:$BB$25))/2)</f>
        <v>0</v>
      </c>
      <c r="S63" s="20">
        <f>MIN(MAX(0,(SUMPRODUCT(Oxides_min!$C63:$BB63,Factors!$C$26:$BB$26)+SUMPRODUCT(Oxides_max!$C63:$BB63,Factors!$C$26:$BB$26))/2),ABS(SUMPRODUCT(Oxides_max!$C63:$BB63,Factors!$C$26:$BB$26)-SUMPRODUCT(Oxides_min!$C63:$BB63,Factors!$C$26:$BB$26))/2)</f>
        <v>0</v>
      </c>
      <c r="T63" s="20">
        <f>MIN(MAX(0,(SUMPRODUCT(Oxides_min!$C63:$BB63,Factors!$C$27:$BB$27)+SUMPRODUCT(Oxides_max!$C63:$BB63,Factors!$C$27:$BB$27))/2),ABS(SUMPRODUCT(Oxides_max!$C63:$BB63,Factors!$C$27:$BB$27)-SUMPRODUCT(Oxides_min!$C63:$BB63,Factors!$C$27:$BB$27))/2)</f>
        <v>0</v>
      </c>
      <c r="U63" s="20">
        <f>MIN(MAX(0,(SUMPRODUCT(Oxides_min!$C63:$BB63,Factors!$C$28:$BB$28)+SUMPRODUCT(Oxides_max!$C63:$BB63,Factors!$C$28:$BB$28))/2),ABS(SUMPRODUCT(Oxides_max!$C63:$BB63,Factors!$C$28:$BB$28)-SUMPRODUCT(Oxides_min!$C63:$BB63,Factors!$C$28:$BB$28))/2)</f>
        <v>0</v>
      </c>
      <c r="V63" s="20">
        <f>MIN(MAX(0,(SUMPRODUCT(Oxides_min!$C63:$BB63,Factors!$C$29:$BB$29)+SUMPRODUCT(Oxides_max!$C63:$BB63,Factors!$C$29:$BB$29))/2),ABS(SUMPRODUCT(Oxides_max!$C63:$BB63,Factors!$C$29:$BB$29)-SUMPRODUCT(Oxides_min!$C63:$BB63,Factors!$C$29:$BB$29))/2)</f>
        <v>0</v>
      </c>
      <c r="W63" s="20">
        <f>MIN(MAX(0,(SUMPRODUCT(Oxides_min!$C63:$BB63,Factors!$C$30:$BB$30)+SUMPRODUCT(Oxides_max!$C63:$BB63,Factors!$C$30:$BB$30))/2),ABS(SUMPRODUCT(Oxides_max!$C63:$BB63,Factors!$C$30:$BB$30)-SUMPRODUCT(Oxides_min!$C63:$BB63,Factors!$C$30:$BB$30))/2)</f>
        <v>0</v>
      </c>
      <c r="X63" s="20">
        <f>MIN(MAX(0,(SUMPRODUCT(Oxides_min!$C63:$BB63,Factors!$C$31:$BB$31)+SUMPRODUCT(Oxides_max!$C63:$BB63,Factors!$C$31:$BB$31))/2),ABS(SUMPRODUCT(Oxides_max!$C63:$BB63,Factors!$C$31:$BB$31)-SUMPRODUCT(Oxides_min!$C63:$BB63,Factors!$C$31:$BB$31))/2)</f>
        <v>0</v>
      </c>
      <c r="Y63" s="20">
        <f>MIN(MAX(0,(SUMPRODUCT(Oxides_min!$C63:$BB63,Factors!$C$32:$BB$32)+SUMPRODUCT(Oxides_max!$C63:$BB63,Factors!$C$32:$BB$32))/2),ABS(SUMPRODUCT(Oxides_max!$C63:$BB63,Factors!$C$32:$BB$32)-SUMPRODUCT(Oxides_min!$C63:$BB63,Factors!$C$32:$BB$32))/2)</f>
        <v>0</v>
      </c>
      <c r="Z63" s="20">
        <f>MIN(MAX(0,(SUMPRODUCT(Oxides_min!$C63:$BB63,Factors!$C$33:$BB$33)+SUMPRODUCT(Oxides_max!$C63:$BB63,Factors!$C$33:$BB$33))/2),ABS(SUMPRODUCT(Oxides_max!$C63:$BB63,Factors!$C$33:$BB$33)-SUMPRODUCT(Oxides_min!$C63:$BB63,Factors!$C$33:$BB$33))/2)</f>
        <v>0</v>
      </c>
      <c r="AA63" s="20">
        <f>MIN(MAX(0,(SUMPRODUCT(Oxides_min!$C63:$BB63,Factors!$C$34:$BB$34)+SUMPRODUCT(Oxides_max!$C63:$BB63,Factors!$C$34:$BB$34))/2),ABS(SUMPRODUCT(Oxides_max!$C63:$BB63,Factors!$C$34:$BB$34)-SUMPRODUCT(Oxides_min!$C63:$BB63,Factors!$C$34:$BB$34))/2)</f>
        <v>0</v>
      </c>
      <c r="AB63" s="20">
        <f>MIN(MAX(0,(SUMPRODUCT(Oxides_min!$C63:$BB63,Factors!$C$35:$BB$35)+SUMPRODUCT(Oxides_max!$C63:$BB63,Factors!$C$35:$BB$35))/2),ABS(SUMPRODUCT(Oxides_max!$C63:$BB63,Factors!$C$35:$BB$35)-SUMPRODUCT(Oxides_min!$C63:$BB63,Factors!$C$35:$BB$35))/2)</f>
        <v>0</v>
      </c>
      <c r="AC63" s="20">
        <f>MIN(MAX(0,(SUMPRODUCT(Oxides_min!$C63:$BB63,Factors!$C$36:$BB$36)+SUMPRODUCT(Oxides_max!$C63:$BB63,Factors!$C$36:$BB$36))/2),ABS(SUMPRODUCT(Oxides_max!$C63:$BB63,Factors!$C$36:$BB$36)-SUMPRODUCT(Oxides_min!$C63:$BB63,Factors!$C$36:$BB$36))/2)</f>
        <v>4.0938217182855396E-3</v>
      </c>
      <c r="AD63" s="20">
        <f>MIN(MAX(0,(SUMPRODUCT(Oxides_min!$C63:$BB63,Factors!$C$37:$BB$37)+SUMPRODUCT(Oxides_max!$C63:$BB63,Factors!$C$37:$BB$37))/2),ABS(SUMPRODUCT(Oxides_max!$C63:$BB63,Factors!$C$37:$BB$37)-SUMPRODUCT(Oxides_min!$C63:$BB63,Factors!$C$37:$BB$37))/2)</f>
        <v>0</v>
      </c>
      <c r="AE63" s="20">
        <f>MIN(MAX(0,(SUMPRODUCT(Oxides_min!$C63:$BB63,Factors!$C$38:$BB$38)+SUMPRODUCT(Oxides_max!$C63:$BB63,Factors!$C$38:$BB$38))/2),ABS(SUMPRODUCT(Oxides_max!$C63:$BB63,Factors!$C$38:$BB$38)-SUMPRODUCT(Oxides_min!$C63:$BB63,Factors!$C$38:$BB$38))/2)</f>
        <v>0</v>
      </c>
      <c r="AF63" s="20">
        <f>MIN(MAX(0,(SUMPRODUCT(Oxides_min!$C63:$BB63,Factors!$C$39:$BB$39)+SUMPRODUCT(Oxides_max!$C63:$BB63,Factors!$C$39:$BB$39))/2),ABS(SUMPRODUCT(Oxides_max!$C63:$BB63,Factors!$C$39:$BB$39)-SUMPRODUCT(Oxides_min!$C63:$BB63,Factors!$C$39:$BB$39))/2)</f>
        <v>0</v>
      </c>
      <c r="AG63" s="20">
        <f>MIN(MAX(0,(SUMPRODUCT(Oxides_min!$C63:$BB63,Factors!$C$40:$BB$40)+SUMPRODUCT(Oxides_max!$C63:$BB63,Factors!$C$40:$BB$40))/2),ABS(SUMPRODUCT(Oxides_max!$C63:$BB63,Factors!$C$40:$BB$40)-SUMPRODUCT(Oxides_min!$C63:$BB63,Factors!$C$40:$BB$40))/2)</f>
        <v>0</v>
      </c>
      <c r="AH63" s="20">
        <f>MIN(MAX(0,(SUMPRODUCT(Oxides_min!$C63:$BB63,Factors!$C$41:$BB$41)+SUMPRODUCT(Oxides_max!$C63:$BB63,Factors!$C$41:$BB$41))/2),ABS(SUMPRODUCT(Oxides_max!$C63:$BB63,Factors!$C$41:$BB$41)-SUMPRODUCT(Oxides_min!$C63:$BB63,Factors!$C$41:$BB$41))/2)</f>
        <v>0</v>
      </c>
      <c r="AI63" s="20">
        <f>MIN(MAX(0,(SUMPRODUCT(Oxides_min!$C63:$BB63,Factors!$C$42:$BB$42)+SUMPRODUCT(Oxides_max!$C63:$BB63,Factors!$C$42:$BB$42))/2),ABS(SUMPRODUCT(Oxides_max!$C63:$BB63,Factors!$C$42:$BB$42)-SUMPRODUCT(Oxides_min!$C63:$BB63,Factors!$C$42:$BB$42))/2)</f>
        <v>0</v>
      </c>
      <c r="AJ63" s="20">
        <f>MIN(MAX(0,(SUMPRODUCT(Oxides_min!$C63:$BB63,Factors!$C$43:$BB$43)+SUMPRODUCT(Oxides_max!$C63:$BB63,Factors!$C$43:$BB$43))/2),ABS(SUMPRODUCT(Oxides_max!$C63:$BB63,Factors!$C$43:$BB$43)-SUMPRODUCT(Oxides_min!$C63:$BB63,Factors!$C$43:$BB$43))/2)</f>
        <v>0</v>
      </c>
      <c r="AK63" s="20">
        <f>MIN(MAX(0,(SUMPRODUCT(Oxides_min!$C63:$BB63,Factors!$C$44:$BB$44)+SUMPRODUCT(Oxides_max!$C63:$BB63,Factors!$C$44:$BB$44))/2),ABS(SUMPRODUCT(Oxides_max!$C63:$BB63,Factors!$C$44:$BB$44)-SUMPRODUCT(Oxides_min!$C63:$BB63,Factors!$C$44:$BB$44))/2)</f>
        <v>0</v>
      </c>
      <c r="AL63" s="20">
        <f>MIN(MAX(0,(SUMPRODUCT(Oxides_min!$C63:$BB63,Factors!$C$45:$BB$45)+SUMPRODUCT(Oxides_max!$C63:$BB63,Factors!$C$45:$BB$45))/2),ABS(SUMPRODUCT(Oxides_max!$C63:$BB63,Factors!$C$45:$BB$45)-SUMPRODUCT(Oxides_min!$C63:$BB63,Factors!$C$45:$BB$45))/2)</f>
        <v>0</v>
      </c>
      <c r="AM63" s="20">
        <f>MIN(MAX(0,(SUMPRODUCT(Oxides_min!$C63:$BB63,Factors!$C$46:$BB$46)+SUMPRODUCT(Oxides_max!$C63:$BB63,Factors!$C$46:$BB$46))/2),ABS(SUMPRODUCT(Oxides_max!$C63:$BB63,Factors!$C$46:$BB$46)-SUMPRODUCT(Oxides_min!$C63:$BB63,Factors!$C$46:$BB$46))/2)</f>
        <v>0</v>
      </c>
      <c r="AN63" s="20">
        <f>MIN(MAX(0,(SUMPRODUCT(Oxides_min!$C63:$BB63,Factors!$C$47:$BB$47)+SUMPRODUCT(Oxides_max!$C63:$BB63,Factors!$C$47:$BB$47))/2),ABS(SUMPRODUCT(Oxides_max!$C63:$BB63,Factors!$C$47:$BB$47)-SUMPRODUCT(Oxides_min!$C63:$BB63,Factors!$C$47:$BB$47))/2)</f>
        <v>0</v>
      </c>
      <c r="AO63" s="20">
        <f>MIN(MAX(0,(SUMPRODUCT(Oxides_min!$C63:$BB63,Factors!$C$48:$BB$48)+SUMPRODUCT(Oxides_max!$C63:$BB63,Factors!$C$48:$BB$48))/2),ABS(SUMPRODUCT(Oxides_max!$C63:$BB63,Factors!$C$48:$BB$48)-SUMPRODUCT(Oxides_min!$C63:$BB63,Factors!$C$48:$BB$48))/2)</f>
        <v>0</v>
      </c>
      <c r="AP63" s="20">
        <f>MIN(MAX(0,(SUMPRODUCT(Oxides_min!$C63:$BB63,Factors!$C$49:$BB$49)+SUMPRODUCT(Oxides_max!$C63:$BB63,Factors!$C$49:$BB$49))/2),ABS(SUMPRODUCT(Oxides_max!$C63:$BB63,Factors!$C$49:$BB$49)-SUMPRODUCT(Oxides_min!$C63:$BB63,Factors!$C$49:$BB$49))/2)</f>
        <v>0</v>
      </c>
      <c r="AQ63" s="20">
        <f>MIN(MAX(0,(SUMPRODUCT(Oxides_min!$C63:$BB63,Factors!$C$50:$BB$50)+SUMPRODUCT(Oxides_max!$C63:$BB63,Factors!$C$50:$BB$50))/2),ABS(SUMPRODUCT(Oxides_max!$C63:$BB63,Factors!$C$50:$BB$50)-SUMPRODUCT(Oxides_min!$C63:$BB63,Factors!$C$50:$BB$50))/2)</f>
        <v>0</v>
      </c>
      <c r="AR63" s="20">
        <f>MIN(MAX(0,(SUMPRODUCT(Oxides_min!$C63:$BB63,Factors!$C$51:$BB$51)+SUMPRODUCT(Oxides_max!$C63:$BB63,Factors!$C$51:$BB$51))/2),ABS(SUMPRODUCT(Oxides_max!$C63:$BB63,Factors!$C$51:$BB$51)-SUMPRODUCT(Oxides_min!$C63:$BB63,Factors!$C$51:$BB$51))/2)</f>
        <v>0</v>
      </c>
      <c r="AS63" s="20">
        <f>MIN(MAX(0,(SUMPRODUCT(Oxides_min!$C63:$BB63,Factors!$C$52:$BB$52)+SUMPRODUCT(Oxides_max!$C63:$BB63,Factors!$C$52:$BB$52))/2),ABS(SUMPRODUCT(Oxides_max!$C63:$BB63,Factors!$C$52:$BB$52)-SUMPRODUCT(Oxides_min!$C63:$BB63,Factors!$C$52:$BB$52))/2)</f>
        <v>0</v>
      </c>
      <c r="AT63" s="20">
        <f>MIN(MAX(0,(SUMPRODUCT(Oxides_min!$C63:$BB63,Factors!$C$53:$BB$53)+SUMPRODUCT(Oxides_max!$C63:$BB63,Factors!$C$53:$BB$53))/2),ABS(SUMPRODUCT(Oxides_max!$C63:$BB63,Factors!$C$53:$BB$53)-SUMPRODUCT(Oxides_min!$C63:$BB63,Factors!$C$53:$BB$53))/2)</f>
        <v>0</v>
      </c>
      <c r="AU63" s="20">
        <f>MIN(MAX(0,(SUMPRODUCT(Oxides_min!$C63:$BB63,Factors!$C$54:$BB$54)+SUMPRODUCT(Oxides_max!$C63:$BB63,Factors!$C$54:$BB$54))/2),ABS(SUMPRODUCT(Oxides_max!$C63:$BB63,Factors!$C$54:$BB$54)-SUMPRODUCT(Oxides_min!$C63:$BB63,Factors!$C$54:$BB$54))/2)</f>
        <v>0</v>
      </c>
      <c r="AV63" s="20">
        <f>MIN(MAX(0,(SUMPRODUCT(Oxides_min!$C63:$BB63,Factors!$C$55:$BB$55)+SUMPRODUCT(Oxides_max!$C63:$BB63,Factors!$C$55:$BB$55))/2),ABS(SUMPRODUCT(Oxides_max!$C63:$BB63,Factors!$C$55:$BB$55)-SUMPRODUCT(Oxides_min!$C63:$BB63,Factors!$C$55:$BB$55))/2)</f>
        <v>0</v>
      </c>
      <c r="AW63" s="20">
        <f>MIN(MAX(0,(SUMPRODUCT(Oxides_min!$C63:$BB63,Factors!$C$56:$BB$56)+SUMPRODUCT(Oxides_max!$C63:$BB63,Factors!$C$56:$BB$56))/2),ABS(SUMPRODUCT(Oxides_max!$C63:$BB63,Factors!$C$56:$BB$56)-SUMPRODUCT(Oxides_min!$C63:$BB63,Factors!$C$56:$BB$56))/2)</f>
        <v>0</v>
      </c>
      <c r="AX63" s="20">
        <f>MIN(MAX(0,(SUMPRODUCT(Oxides_min!$C63:$BB63,Factors!$C$57:$BB$57)+SUMPRODUCT(Oxides_max!$C63:$BB63,Factors!$C$57:$BB$57))/2),ABS(SUMPRODUCT(Oxides_max!$C63:$BB63,Factors!$C$57:$BB$57)-SUMPRODUCT(Oxides_min!$C63:$BB63,Factors!$C$57:$BB$57))/2)</f>
        <v>0</v>
      </c>
      <c r="AY63" s="20">
        <f>MIN(MAX(0,(SUMPRODUCT(Oxides_min!$C63:$BB63,Factors!$C$58:$BB$58)+SUMPRODUCT(Oxides_max!$C63:$BB63,Factors!$C$58:$BB$58))/2),ABS(SUMPRODUCT(Oxides_max!$C63:$BB63,Factors!$C$58:$BB$58)-SUMPRODUCT(Oxides_min!$C63:$BB63,Factors!$C$58:$BB$58))/2)</f>
        <v>0</v>
      </c>
      <c r="AZ63" s="18">
        <f t="shared" si="6"/>
        <v>1.0750000000000048</v>
      </c>
    </row>
  </sheetData>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63"/>
  <sheetViews>
    <sheetView workbookViewId="0">
      <pane xSplit="1" ySplit="1" topLeftCell="B2" activePane="bottomRight" state="frozen"/>
      <selection pane="topRight"/>
      <selection pane="bottomLeft"/>
      <selection pane="bottomRight" activeCell="I35" sqref="I35"/>
    </sheetView>
  </sheetViews>
  <sheetFormatPr defaultRowHeight="14.5" x14ac:dyDescent="0.35"/>
  <cols>
    <col min="1" max="1" width="30" customWidth="1"/>
    <col min="2" max="52" width="8" customWidth="1"/>
  </cols>
  <sheetData>
    <row r="1" spans="1:52" x14ac:dyDescent="0.35">
      <c r="A1" s="4" t="s">
        <v>179</v>
      </c>
      <c r="B1" s="4" t="s">
        <v>20</v>
      </c>
      <c r="C1" s="4" t="s">
        <v>22</v>
      </c>
      <c r="D1" s="4" t="s">
        <v>23</v>
      </c>
      <c r="E1" s="19" t="s">
        <v>24</v>
      </c>
      <c r="F1" s="4" t="s">
        <v>26</v>
      </c>
      <c r="G1" s="4" t="s">
        <v>27</v>
      </c>
      <c r="H1" s="4" t="s">
        <v>28</v>
      </c>
      <c r="I1" s="4" t="s">
        <v>29</v>
      </c>
      <c r="J1" s="4" t="s">
        <v>30</v>
      </c>
      <c r="K1" s="4" t="s">
        <v>328</v>
      </c>
      <c r="L1" s="4" t="s">
        <v>517</v>
      </c>
      <c r="M1" s="4" t="s">
        <v>31</v>
      </c>
      <c r="N1" s="4" t="s">
        <v>32</v>
      </c>
      <c r="O1" s="4" t="s">
        <v>33</v>
      </c>
      <c r="P1" s="4" t="s">
        <v>34</v>
      </c>
      <c r="Q1" s="4" t="s">
        <v>35</v>
      </c>
      <c r="R1" s="4" t="s">
        <v>36</v>
      </c>
      <c r="S1" s="4" t="s">
        <v>37</v>
      </c>
      <c r="T1" s="4" t="s">
        <v>428</v>
      </c>
      <c r="U1" s="4" t="s">
        <v>429</v>
      </c>
      <c r="V1" s="4" t="s">
        <v>38</v>
      </c>
      <c r="W1" s="19" t="s">
        <v>39</v>
      </c>
      <c r="X1" s="4" t="s">
        <v>40</v>
      </c>
      <c r="Y1" s="4" t="s">
        <v>41</v>
      </c>
      <c r="Z1" s="4" t="s">
        <v>42</v>
      </c>
      <c r="AA1" s="4" t="s">
        <v>43</v>
      </c>
      <c r="AB1" s="4" t="s">
        <v>44</v>
      </c>
      <c r="AC1" s="4" t="s">
        <v>45</v>
      </c>
      <c r="AD1" s="4" t="s">
        <v>46</v>
      </c>
      <c r="AE1" s="4" t="s">
        <v>47</v>
      </c>
      <c r="AF1" s="4" t="s">
        <v>48</v>
      </c>
      <c r="AG1" s="19" t="s">
        <v>49</v>
      </c>
      <c r="AH1" s="19" t="s">
        <v>50</v>
      </c>
      <c r="AI1" s="4" t="s">
        <v>51</v>
      </c>
      <c r="AJ1" s="4" t="s">
        <v>52</v>
      </c>
      <c r="AK1" s="4" t="s">
        <v>53</v>
      </c>
      <c r="AL1" s="4" t="s">
        <v>54</v>
      </c>
      <c r="AM1" s="4" t="s">
        <v>55</v>
      </c>
      <c r="AN1" s="4" t="s">
        <v>56</v>
      </c>
      <c r="AO1" s="4" t="s">
        <v>57</v>
      </c>
      <c r="AP1" s="4" t="s">
        <v>58</v>
      </c>
      <c r="AQ1" s="4" t="s">
        <v>59</v>
      </c>
      <c r="AR1" s="4" t="s">
        <v>60</v>
      </c>
      <c r="AS1" s="4" t="s">
        <v>61</v>
      </c>
      <c r="AT1" s="4" t="s">
        <v>62</v>
      </c>
      <c r="AU1" s="4" t="s">
        <v>63</v>
      </c>
      <c r="AV1" s="4" t="s">
        <v>64</v>
      </c>
      <c r="AW1" s="4" t="s">
        <v>65</v>
      </c>
      <c r="AX1" s="4" t="s">
        <v>66</v>
      </c>
      <c r="AY1" s="4" t="s">
        <v>67</v>
      </c>
      <c r="AZ1" s="4" t="s">
        <v>180</v>
      </c>
    </row>
    <row r="2" spans="1:52" x14ac:dyDescent="0.35">
      <c r="A2" s="13" t="s">
        <v>125</v>
      </c>
      <c r="B2" s="20">
        <f>SUMPRODUCT(Oxides_typical!$C2:$BB2,Factors!$C$9:$BB$9)</f>
        <v>26.051885110568428</v>
      </c>
      <c r="C2" s="20">
        <f>SUMPRODUCT(Oxides_typical!$C2:$BB2,Factors!$C$10:$BB$10)</f>
        <v>0.18697468501905701</v>
      </c>
      <c r="D2" s="20">
        <f>SUMPRODUCT(Oxides_typical!$C2:$BB2,Factors!$C$11:$BB$11)</f>
        <v>0</v>
      </c>
      <c r="E2" s="20">
        <f>SUMPRODUCT(Oxides_typical!$C2:$BB2,Factors!$C$12:$BB$12)</f>
        <v>0</v>
      </c>
      <c r="F2" s="20">
        <f>SUMPRODUCT(Oxides_typical!$C2:$BB2,Factors!$C$13:$BB$13)</f>
        <v>0</v>
      </c>
      <c r="G2" s="20">
        <f>SUMPRODUCT(Oxides_typical!$C2:$BB2,Factors!$C$14:$BB$14)</f>
        <v>0</v>
      </c>
      <c r="H2" s="20">
        <f>SUMPRODUCT(Oxides_typical!$C2:$BB2,Factors!$C$15:$BB$15)</f>
        <v>1.0585138534173529E-2</v>
      </c>
      <c r="I2" s="20">
        <f>SUMPRODUCT(Oxides_typical!$C2:$BB2,Factors!$C$16:$BB$16)</f>
        <v>0</v>
      </c>
      <c r="J2" s="20">
        <f>SUMPRODUCT(Oxides_typical!$C2:$BB2,Factors!$C$17:$BB$17)</f>
        <v>0</v>
      </c>
      <c r="K2" s="20">
        <f>SUMPRODUCT(Oxides_typical!$C2:$BB2,Factors!$C$18:$BB$18)</f>
        <v>0</v>
      </c>
      <c r="L2" s="20">
        <f>SUMPRODUCT(Oxides_typical!$C2:$BB2,Factors!$C$19:$BB$19)</f>
        <v>0</v>
      </c>
      <c r="M2" s="20">
        <f>SUMPRODUCT(Oxides_typical!$C2:$BB2,Factors!$C$20:$BB$20)</f>
        <v>0</v>
      </c>
      <c r="N2" s="20">
        <f>SUMPRODUCT(Oxides_typical!$C2:$BB2,Factors!$C$21:$BB$21)</f>
        <v>0.71469586461472612</v>
      </c>
      <c r="O2" s="20">
        <f>SUMPRODUCT(Oxides_typical!$C2:$BB2,Factors!$C$22:$BB$22)</f>
        <v>0</v>
      </c>
      <c r="P2" s="20">
        <f>SUMPRODUCT(Oxides_typical!$C2:$BB2,Factors!$C$23:$BB$23)</f>
        <v>0</v>
      </c>
      <c r="Q2" s="20">
        <f>SUMPRODUCT(Oxides_typical!$C2:$BB2,Factors!$C$24:$BB$24)</f>
        <v>9.0975317989775942E-2</v>
      </c>
      <c r="R2" s="20">
        <f>SUMPRODUCT(Oxides_typical!$C2:$BB2,Factors!$C$25:$BB$25)</f>
        <v>0</v>
      </c>
      <c r="S2" s="20">
        <f>SUMPRODUCT(Oxides_typical!$C2:$BB2,Factors!$C$26:$BB$26)</f>
        <v>0</v>
      </c>
      <c r="T2" s="20">
        <f>SUMPRODUCT(Oxides_typical!$C2:$BB2,Factors!$C$27:$BB$27)</f>
        <v>0</v>
      </c>
      <c r="U2" s="20">
        <f>SUMPRODUCT(Oxides_typical!$C2:$BB2,Factors!$C$28:$BB$28)</f>
        <v>0</v>
      </c>
      <c r="V2" s="20">
        <f>SUMPRODUCT(Oxides_typical!$C2:$BB2,Factors!$C$29:$BB$29)</f>
        <v>0</v>
      </c>
      <c r="W2" s="20">
        <f>SUMPRODUCT(Oxides_typical!$C2:$BB2,Factors!$C$30:$BB$30)</f>
        <v>0</v>
      </c>
      <c r="X2" s="20">
        <f>SUMPRODUCT(Oxides_typical!$C2:$BB2,Factors!$C$31:$BB$31)</f>
        <v>0</v>
      </c>
      <c r="Y2" s="20">
        <f>SUMPRODUCT(Oxides_typical!$C2:$BB2,Factors!$C$32:$BB$32)</f>
        <v>0</v>
      </c>
      <c r="Z2" s="20">
        <f>SUMPRODUCT(Oxides_typical!$C2:$BB2,Factors!$C$33:$BB$33)</f>
        <v>11.958094795737409</v>
      </c>
      <c r="AA2" s="20">
        <f>SUMPRODUCT(Oxides_typical!$C2:$BB2,Factors!$C$34:$BB$34)</f>
        <v>0</v>
      </c>
      <c r="AB2" s="20">
        <f>SUMPRODUCT(Oxides_typical!$C2:$BB2,Factors!$C$35:$BB$35)</f>
        <v>0</v>
      </c>
      <c r="AC2" s="20">
        <f>SUMPRODUCT(Oxides_typical!$C2:$BB2,Factors!$C$36:$BB$36)</f>
        <v>0</v>
      </c>
      <c r="AD2" s="20">
        <f>SUMPRODUCT(Oxides_typical!$C2:$BB2,Factors!$C$37:$BB$37)</f>
        <v>0</v>
      </c>
      <c r="AE2" s="20">
        <f>SUMPRODUCT(Oxides_typical!$C2:$BB2,Factors!$C$38:$BB$38)</f>
        <v>0</v>
      </c>
      <c r="AF2" s="20">
        <f>SUMPRODUCT(Oxides_typical!$C2:$BB2,Factors!$C$39:$BB$39)</f>
        <v>0</v>
      </c>
      <c r="AG2" s="20">
        <f>SUMPRODUCT(Oxides_typical!$C2:$BB2,Factors!$C$40:$BB$40)</f>
        <v>10.194217372877985</v>
      </c>
      <c r="AH2" s="20">
        <f>SUMPRODUCT(Oxides_typical!$C2:$BB2,Factors!$C$41:$BB$41)</f>
        <v>0.3393777692378882</v>
      </c>
      <c r="AI2" s="20">
        <f>SUMPRODUCT(Oxides_typical!$C2:$BB2,Factors!$C$42:$BB$42)</f>
        <v>0</v>
      </c>
      <c r="AJ2" s="20">
        <f>SUMPRODUCT(Oxides_typical!$C2:$BB2,Factors!$C$43:$BB$43)</f>
        <v>0</v>
      </c>
      <c r="AK2" s="20">
        <f>SUMPRODUCT(Oxides_typical!$C2:$BB2,Factors!$C$44:$BB$44)</f>
        <v>18.503224316755446</v>
      </c>
      <c r="AL2" s="20">
        <f>SUMPRODUCT(Oxides_typical!$C2:$BB2,Factors!$C$45:$BB$45)</f>
        <v>24.503192588101598</v>
      </c>
      <c r="AM2" s="20">
        <f>SUMPRODUCT(Oxides_typical!$C2:$BB2,Factors!$C$46:$BB$46)</f>
        <v>1.5722280744394266</v>
      </c>
      <c r="AN2" s="20">
        <f>SUMPRODUCT(Oxides_typical!$C2:$BB2,Factors!$C$47:$BB$47)</f>
        <v>5.1441359244652745</v>
      </c>
      <c r="AO2" s="20">
        <f>SUMPRODUCT(Oxides_typical!$C2:$BB2,Factors!$C$48:$BB$48)</f>
        <v>0.51741670179543864</v>
      </c>
      <c r="AP2" s="20">
        <f>SUMPRODUCT(Oxides_typical!$C2:$BB2,Factors!$C$49:$BB$49)</f>
        <v>0</v>
      </c>
      <c r="AQ2" s="20">
        <f>SUMPRODUCT(Oxides_typical!$C2:$BB2,Factors!$C$50:$BB$50)</f>
        <v>7.8083404828177883E-2</v>
      </c>
      <c r="AR2" s="20">
        <f>SUMPRODUCT(Oxides_typical!$C2:$BB2,Factors!$C$51:$BB$51)</f>
        <v>0</v>
      </c>
      <c r="AS2" s="20">
        <f>SUMPRODUCT(Oxides_typical!$C2:$BB2,Factors!$C$52:$BB$52)</f>
        <v>0.174264136172677</v>
      </c>
      <c r="AT2" s="20">
        <f>SUMPRODUCT(Oxides_typical!$C2:$BB2,Factors!$C$53:$BB$53)</f>
        <v>4.3648798862513466E-2</v>
      </c>
      <c r="AU2" s="20">
        <f>SUMPRODUCT(Oxides_typical!$C2:$BB2,Factors!$C$54:$BB$54)</f>
        <v>0</v>
      </c>
      <c r="AV2" s="20">
        <f>SUMPRODUCT(Oxides_typical!$C2:$BB2,Factors!$C$55:$BB$55)</f>
        <v>0</v>
      </c>
      <c r="AW2" s="20">
        <f>SUMPRODUCT(Oxides_typical!$C2:$BB2,Factors!$C$56:$BB$56)</f>
        <v>0</v>
      </c>
      <c r="AX2" s="20">
        <f>SUMPRODUCT(Oxides_typical!$C2:$BB2,Factors!$C$57:$BB$57)</f>
        <v>0</v>
      </c>
      <c r="AY2" s="20">
        <f>SUMPRODUCT(Oxides_typical!$C2:$BB2,Factors!$C$58:$BB$58)</f>
        <v>0</v>
      </c>
      <c r="AZ2" s="18">
        <f t="shared" ref="AZ2:AZ26" si="0">SUM(B2:AY2)</f>
        <v>100.083</v>
      </c>
    </row>
    <row r="3" spans="1:52" x14ac:dyDescent="0.35">
      <c r="A3" s="13" t="s">
        <v>127</v>
      </c>
      <c r="B3" s="20">
        <f>SUMPRODUCT(Oxides_typical!$C3:$BB3,Factors!$C$9:$BB$9)</f>
        <v>21.991186221801776</v>
      </c>
      <c r="C3" s="20">
        <f>SUMPRODUCT(Oxides_typical!$C3:$BB3,Factors!$C$10:$BB$10)</f>
        <v>0</v>
      </c>
      <c r="D3" s="20">
        <f>SUMPRODUCT(Oxides_typical!$C3:$BB3,Factors!$C$11:$BB$11)</f>
        <v>0</v>
      </c>
      <c r="E3" s="20">
        <f>SUMPRODUCT(Oxides_typical!$C3:$BB3,Factors!$C$12:$BB$12)</f>
        <v>0</v>
      </c>
      <c r="F3" s="20">
        <f>SUMPRODUCT(Oxides_typical!$C3:$BB3,Factors!$C$13:$BB$13)</f>
        <v>0</v>
      </c>
      <c r="G3" s="20">
        <f>SUMPRODUCT(Oxides_typical!$C3:$BB3,Factors!$C$14:$BB$14)</f>
        <v>0</v>
      </c>
      <c r="H3" s="20">
        <f>SUMPRODUCT(Oxides_typical!$C3:$BB3,Factors!$C$15:$BB$15)</f>
        <v>0</v>
      </c>
      <c r="I3" s="20">
        <f>SUMPRODUCT(Oxides_typical!$C3:$BB3,Factors!$C$16:$BB$16)</f>
        <v>0</v>
      </c>
      <c r="J3" s="20">
        <f>SUMPRODUCT(Oxides_typical!$C3:$BB3,Factors!$C$17:$BB$17)</f>
        <v>0</v>
      </c>
      <c r="K3" s="20">
        <f>SUMPRODUCT(Oxides_typical!$C3:$BB3,Factors!$C$18:$BB$18)</f>
        <v>0</v>
      </c>
      <c r="L3" s="20">
        <f>SUMPRODUCT(Oxides_typical!$C3:$BB3,Factors!$C$19:$BB$19)</f>
        <v>0</v>
      </c>
      <c r="M3" s="20">
        <f>SUMPRODUCT(Oxides_typical!$C3:$BB3,Factors!$C$20:$BB$20)</f>
        <v>0</v>
      </c>
      <c r="N3" s="20">
        <f>SUMPRODUCT(Oxides_typical!$C3:$BB3,Factors!$C$21:$BB$21)</f>
        <v>0.21440875938441784</v>
      </c>
      <c r="O3" s="20">
        <f>SUMPRODUCT(Oxides_typical!$C3:$BB3,Factors!$C$22:$BB$22)</f>
        <v>0</v>
      </c>
      <c r="P3" s="20">
        <f>SUMPRODUCT(Oxides_typical!$C3:$BB3,Factors!$C$23:$BB$23)</f>
        <v>0</v>
      </c>
      <c r="Q3" s="20">
        <f>SUMPRODUCT(Oxides_typical!$C3:$BB3,Factors!$C$24:$BB$24)</f>
        <v>0</v>
      </c>
      <c r="R3" s="20">
        <f>SUMPRODUCT(Oxides_typical!$C3:$BB3,Factors!$C$25:$BB$25)</f>
        <v>0</v>
      </c>
      <c r="S3" s="20">
        <f>SUMPRODUCT(Oxides_typical!$C3:$BB3,Factors!$C$26:$BB$26)</f>
        <v>0</v>
      </c>
      <c r="T3" s="20">
        <f>SUMPRODUCT(Oxides_typical!$C3:$BB3,Factors!$C$27:$BB$27)</f>
        <v>0</v>
      </c>
      <c r="U3" s="20">
        <f>SUMPRODUCT(Oxides_typical!$C3:$BB3,Factors!$C$28:$BB$28)</f>
        <v>0</v>
      </c>
      <c r="V3" s="20">
        <f>SUMPRODUCT(Oxides_typical!$C3:$BB3,Factors!$C$29:$BB$29)</f>
        <v>0</v>
      </c>
      <c r="W3" s="20">
        <f>SUMPRODUCT(Oxides_typical!$C3:$BB3,Factors!$C$30:$BB$30)</f>
        <v>0</v>
      </c>
      <c r="X3" s="20">
        <f>SUMPRODUCT(Oxides_typical!$C3:$BB3,Factors!$C$31:$BB$31)</f>
        <v>0</v>
      </c>
      <c r="Y3" s="20">
        <f>SUMPRODUCT(Oxides_typical!$C3:$BB3,Factors!$C$32:$BB$32)</f>
        <v>0</v>
      </c>
      <c r="Z3" s="20">
        <f>SUMPRODUCT(Oxides_typical!$C3:$BB3,Factors!$C$33:$BB$33)</f>
        <v>0</v>
      </c>
      <c r="AA3" s="20">
        <f>SUMPRODUCT(Oxides_typical!$C3:$BB3,Factors!$C$34:$BB$34)</f>
        <v>0</v>
      </c>
      <c r="AB3" s="20">
        <f>SUMPRODUCT(Oxides_typical!$C3:$BB3,Factors!$C$35:$BB$35)</f>
        <v>0</v>
      </c>
      <c r="AC3" s="20">
        <f>SUMPRODUCT(Oxides_typical!$C3:$BB3,Factors!$C$36:$BB$36)</f>
        <v>5.4775334590651914</v>
      </c>
      <c r="AD3" s="20">
        <f>SUMPRODUCT(Oxides_typical!$C3:$BB3,Factors!$C$37:$BB$37)</f>
        <v>0</v>
      </c>
      <c r="AE3" s="20">
        <f>SUMPRODUCT(Oxides_typical!$C3:$BB3,Factors!$C$38:$BB$38)</f>
        <v>8.67</v>
      </c>
      <c r="AF3" s="20">
        <f>SUMPRODUCT(Oxides_typical!$C3:$BB3,Factors!$C$39:$BB$39)</f>
        <v>0</v>
      </c>
      <c r="AG3" s="20">
        <f>SUMPRODUCT(Oxides_typical!$C3:$BB3,Factors!$C$40:$BB$40)</f>
        <v>0.13182177637342221</v>
      </c>
      <c r="AH3" s="20">
        <f>SUMPRODUCT(Oxides_typical!$C3:$BB3,Factors!$C$41:$BB$41)</f>
        <v>0</v>
      </c>
      <c r="AI3" s="20">
        <f>SUMPRODUCT(Oxides_typical!$C3:$BB3,Factors!$C$42:$BB$42)</f>
        <v>0</v>
      </c>
      <c r="AJ3" s="20">
        <f>SUMPRODUCT(Oxides_typical!$C3:$BB3,Factors!$C$43:$BB$43)</f>
        <v>0.11811659321510581</v>
      </c>
      <c r="AK3" s="20">
        <f>SUMPRODUCT(Oxides_typical!$C3:$BB3,Factors!$C$44:$BB$44)</f>
        <v>20.907790794785416</v>
      </c>
      <c r="AL3" s="20">
        <f>SUMPRODUCT(Oxides_typical!$C3:$BB3,Factors!$C$45:$BB$45)</f>
        <v>31.316275405281065</v>
      </c>
      <c r="AM3" s="20">
        <f>SUMPRODUCT(Oxides_typical!$C3:$BB3,Factors!$C$46:$BB$46)</f>
        <v>2.8881146150028596</v>
      </c>
      <c r="AN3" s="20">
        <f>SUMPRODUCT(Oxides_typical!$C3:$BB3,Factors!$C$47:$BB$47)</f>
        <v>7.8962486440541966</v>
      </c>
      <c r="AO3" s="20">
        <f>SUMPRODUCT(Oxides_typical!$C3:$BB3,Factors!$C$48:$BB$48)</f>
        <v>0.55191114858180135</v>
      </c>
      <c r="AP3" s="20">
        <f>SUMPRODUCT(Oxides_typical!$C3:$BB3,Factors!$C$49:$BB$49)</f>
        <v>6.9089266178873329E-2</v>
      </c>
      <c r="AQ3" s="20">
        <f>SUMPRODUCT(Oxides_typical!$C3:$BB3,Factors!$C$50:$BB$50)</f>
        <v>0.21689834674493857</v>
      </c>
      <c r="AR3" s="20">
        <f>SUMPRODUCT(Oxides_typical!$C3:$BB3,Factors!$C$51:$BB$51)</f>
        <v>0</v>
      </c>
      <c r="AS3" s="20">
        <f>SUMPRODUCT(Oxides_typical!$C3:$BB3,Factors!$C$52:$BB$52)</f>
        <v>0</v>
      </c>
      <c r="AT3" s="20">
        <f>SUMPRODUCT(Oxides_typical!$C3:$BB3,Factors!$C$53:$BB$53)</f>
        <v>0</v>
      </c>
      <c r="AU3" s="20">
        <f>SUMPRODUCT(Oxides_typical!$C3:$BB3,Factors!$C$54:$BB$54)</f>
        <v>0</v>
      </c>
      <c r="AV3" s="20">
        <f>SUMPRODUCT(Oxides_typical!$C3:$BB3,Factors!$C$55:$BB$55)</f>
        <v>0</v>
      </c>
      <c r="AW3" s="20">
        <f>SUMPRODUCT(Oxides_typical!$C3:$BB3,Factors!$C$56:$BB$56)</f>
        <v>0</v>
      </c>
      <c r="AX3" s="20">
        <f>SUMPRODUCT(Oxides_typical!$C3:$BB3,Factors!$C$57:$BB$57)</f>
        <v>0</v>
      </c>
      <c r="AY3" s="20">
        <f>SUMPRODUCT(Oxides_typical!$C3:$BB3,Factors!$C$58:$BB$58)</f>
        <v>0</v>
      </c>
      <c r="AZ3" s="18">
        <f t="shared" si="0"/>
        <v>100.44939503046906</v>
      </c>
    </row>
    <row r="4" spans="1:52" x14ac:dyDescent="0.35">
      <c r="A4" s="13" t="s">
        <v>129</v>
      </c>
      <c r="B4" s="20">
        <f>SUMPRODUCT(Oxides_typical!$C4:$BB4,Factors!$C$9:$BB$9)</f>
        <v>31.392442712597571</v>
      </c>
      <c r="C4" s="20">
        <f>SUMPRODUCT(Oxides_typical!$C4:$BB4,Factors!$C$10:$BB$10)</f>
        <v>4.6743671254764252E-2</v>
      </c>
      <c r="D4" s="20">
        <f>SUMPRODUCT(Oxides_typical!$C4:$BB4,Factors!$C$11:$BB$11)</f>
        <v>0</v>
      </c>
      <c r="E4" s="20">
        <f>SUMPRODUCT(Oxides_typical!$C4:$BB4,Factors!$C$12:$BB$12)</f>
        <v>0</v>
      </c>
      <c r="F4" s="20">
        <f>SUMPRODUCT(Oxides_typical!$C4:$BB4,Factors!$C$13:$BB$13)</f>
        <v>0</v>
      </c>
      <c r="G4" s="20">
        <f>SUMPRODUCT(Oxides_typical!$C4:$BB4,Factors!$C$14:$BB$14)</f>
        <v>0</v>
      </c>
      <c r="H4" s="20">
        <f>SUMPRODUCT(Oxides_typical!$C4:$BB4,Factors!$C$15:$BB$15)</f>
        <v>0</v>
      </c>
      <c r="I4" s="20">
        <f>SUMPRODUCT(Oxides_typical!$C4:$BB4,Factors!$C$16:$BB$16)</f>
        <v>0</v>
      </c>
      <c r="J4" s="20">
        <f>SUMPRODUCT(Oxides_typical!$C4:$BB4,Factors!$C$17:$BB$17)</f>
        <v>0</v>
      </c>
      <c r="K4" s="20">
        <f>SUMPRODUCT(Oxides_typical!$C4:$BB4,Factors!$C$18:$BB$18)</f>
        <v>0</v>
      </c>
      <c r="L4" s="20">
        <f>SUMPRODUCT(Oxides_typical!$C4:$BB4,Factors!$C$19:$BB$19)</f>
        <v>0</v>
      </c>
      <c r="M4" s="20">
        <f>SUMPRODUCT(Oxides_typical!$C4:$BB4,Factors!$C$20:$BB$20)</f>
        <v>0</v>
      </c>
      <c r="N4" s="20">
        <f>SUMPRODUCT(Oxides_typical!$C4:$BB4,Factors!$C$21:$BB$21)</f>
        <v>5.0028710523030831E-2</v>
      </c>
      <c r="O4" s="20">
        <f>SUMPRODUCT(Oxides_typical!$C4:$BB4,Factors!$C$22:$BB$22)</f>
        <v>0</v>
      </c>
      <c r="P4" s="20">
        <f>SUMPRODUCT(Oxides_typical!$C4:$BB4,Factors!$C$23:$BB$23)</f>
        <v>0</v>
      </c>
      <c r="Q4" s="20">
        <f>SUMPRODUCT(Oxides_typical!$C4:$BB4,Factors!$C$24:$BB$24)</f>
        <v>0</v>
      </c>
      <c r="R4" s="20">
        <f>SUMPRODUCT(Oxides_typical!$C4:$BB4,Factors!$C$25:$BB$25)</f>
        <v>0</v>
      </c>
      <c r="S4" s="20">
        <f>SUMPRODUCT(Oxides_typical!$C4:$BB4,Factors!$C$26:$BB$26)</f>
        <v>0</v>
      </c>
      <c r="T4" s="20">
        <f>SUMPRODUCT(Oxides_typical!$C4:$BB4,Factors!$C$27:$BB$27)</f>
        <v>0</v>
      </c>
      <c r="U4" s="20">
        <f>SUMPRODUCT(Oxides_typical!$C4:$BB4,Factors!$C$28:$BB$28)</f>
        <v>0</v>
      </c>
      <c r="V4" s="20">
        <f>SUMPRODUCT(Oxides_typical!$C4:$BB4,Factors!$C$29:$BB$29)</f>
        <v>0</v>
      </c>
      <c r="W4" s="20">
        <f>SUMPRODUCT(Oxides_typical!$C4:$BB4,Factors!$C$30:$BB$30)</f>
        <v>0</v>
      </c>
      <c r="X4" s="20">
        <f>SUMPRODUCT(Oxides_typical!$C4:$BB4,Factors!$C$31:$BB$31)</f>
        <v>0</v>
      </c>
      <c r="Y4" s="20">
        <f>SUMPRODUCT(Oxides_typical!$C4:$BB4,Factors!$C$32:$BB$32)</f>
        <v>0</v>
      </c>
      <c r="Z4" s="20">
        <f>SUMPRODUCT(Oxides_typical!$C4:$BB4,Factors!$C$33:$BB$33)</f>
        <v>14.790504840421198</v>
      </c>
      <c r="AA4" s="20">
        <f>SUMPRODUCT(Oxides_typical!$C4:$BB4,Factors!$C$34:$BB$34)</f>
        <v>0</v>
      </c>
      <c r="AB4" s="20">
        <f>SUMPRODUCT(Oxides_typical!$C4:$BB4,Factors!$C$35:$BB$35)</f>
        <v>0</v>
      </c>
      <c r="AC4" s="20">
        <f>SUMPRODUCT(Oxides_typical!$C4:$BB4,Factors!$C$36:$BB$36)</f>
        <v>0</v>
      </c>
      <c r="AD4" s="20">
        <f>SUMPRODUCT(Oxides_typical!$C4:$BB4,Factors!$C$37:$BB$37)</f>
        <v>0</v>
      </c>
      <c r="AE4" s="20">
        <f>SUMPRODUCT(Oxides_typical!$C4:$BB4,Factors!$C$38:$BB$38)</f>
        <v>0</v>
      </c>
      <c r="AF4" s="20">
        <f>SUMPRODUCT(Oxides_typical!$C4:$BB4,Factors!$C$39:$BB$39)</f>
        <v>0</v>
      </c>
      <c r="AG4" s="20">
        <f>SUMPRODUCT(Oxides_typical!$C4:$BB4,Factors!$C$40:$BB$40)</f>
        <v>0.33394850014600297</v>
      </c>
      <c r="AH4" s="20">
        <f>SUMPRODUCT(Oxides_typical!$C4:$BB4,Factors!$C$41:$BB$41)</f>
        <v>0.84624067134642245</v>
      </c>
      <c r="AI4" s="20">
        <f>SUMPRODUCT(Oxides_typical!$C4:$BB4,Factors!$C$42:$BB$42)</f>
        <v>0</v>
      </c>
      <c r="AJ4" s="20">
        <f>SUMPRODUCT(Oxides_typical!$C4:$BB4,Factors!$C$43:$BB$43)</f>
        <v>36.608269457135137</v>
      </c>
      <c r="AK4" s="20">
        <f>SUMPRODUCT(Oxides_typical!$C4:$BB4,Factors!$C$44:$BB$44)</f>
        <v>0</v>
      </c>
      <c r="AL4" s="20">
        <f>SUMPRODUCT(Oxides_typical!$C4:$BB4,Factors!$C$45:$BB$45)</f>
        <v>0</v>
      </c>
      <c r="AM4" s="20">
        <f>SUMPRODUCT(Oxides_typical!$C4:$BB4,Factors!$C$46:$BB$46)</f>
        <v>0</v>
      </c>
      <c r="AN4" s="20">
        <f>SUMPRODUCT(Oxides_typical!$C4:$BB4,Factors!$C$47:$BB$47)</f>
        <v>0</v>
      </c>
      <c r="AO4" s="20">
        <f>SUMPRODUCT(Oxides_typical!$C4:$BB4,Factors!$C$48:$BB$48)</f>
        <v>0</v>
      </c>
      <c r="AP4" s="20">
        <f>SUMPRODUCT(Oxides_typical!$C4:$BB4,Factors!$C$49:$BB$49)</f>
        <v>3.4544633089436665E-2</v>
      </c>
      <c r="AQ4" s="20">
        <f>SUMPRODUCT(Oxides_typical!$C4:$BB4,Factors!$C$50:$BB$50)</f>
        <v>1.6397515013917356</v>
      </c>
      <c r="AR4" s="20">
        <f>SUMPRODUCT(Oxides_typical!$C4:$BB4,Factors!$C$51:$BB$51)</f>
        <v>0.52128363797285038</v>
      </c>
      <c r="AS4" s="20">
        <f>SUMPRODUCT(Oxides_typical!$C4:$BB4,Factors!$C$52:$BB$52)</f>
        <v>4.4873015064464328</v>
      </c>
      <c r="AT4" s="20">
        <f>SUMPRODUCT(Oxides_typical!$C4:$BB4,Factors!$C$53:$BB$53)</f>
        <v>0.92535453588528549</v>
      </c>
      <c r="AU4" s="20">
        <f>SUMPRODUCT(Oxides_typical!$C4:$BB4,Factors!$C$54:$BB$54)</f>
        <v>3.3756571114858236</v>
      </c>
      <c r="AV4" s="20">
        <f>SUMPRODUCT(Oxides_typical!$C4:$BB4,Factors!$C$55:$BB$55)</f>
        <v>0</v>
      </c>
      <c r="AW4" s="20">
        <f>SUMPRODUCT(Oxides_typical!$C4:$BB4,Factors!$C$56:$BB$56)</f>
        <v>3.6006490952505406</v>
      </c>
      <c r="AX4" s="20">
        <f>SUMPRODUCT(Oxides_typical!$C4:$BB4,Factors!$C$57:$BB$57)</f>
        <v>0.45727941505378072</v>
      </c>
      <c r="AY4" s="20">
        <f>SUMPRODUCT(Oxides_typical!$C4:$BB4,Factors!$C$58:$BB$58)</f>
        <v>0</v>
      </c>
      <c r="AZ4" s="18">
        <f t="shared" si="0"/>
        <v>99.110000000000014</v>
      </c>
    </row>
    <row r="5" spans="1:52" x14ac:dyDescent="0.35">
      <c r="A5" s="13" t="s">
        <v>131</v>
      </c>
      <c r="B5" s="20">
        <f>SUMPRODUCT(Oxides_typical!$C5:$BB5,Factors!$C$9:$BB$9)</f>
        <v>27.44864350903315</v>
      </c>
      <c r="C5" s="20">
        <f>SUMPRODUCT(Oxides_typical!$C5:$BB5,Factors!$C$10:$BB$10)</f>
        <v>0</v>
      </c>
      <c r="D5" s="20">
        <f>SUMPRODUCT(Oxides_typical!$C5:$BB5,Factors!$C$11:$BB$11)</f>
        <v>0</v>
      </c>
      <c r="E5" s="20">
        <f>SUMPRODUCT(Oxides_typical!$C5:$BB5,Factors!$C$12:$BB$12)</f>
        <v>0</v>
      </c>
      <c r="F5" s="20">
        <f>SUMPRODUCT(Oxides_typical!$C5:$BB5,Factors!$C$13:$BB$13)</f>
        <v>0</v>
      </c>
      <c r="G5" s="20">
        <f>SUMPRODUCT(Oxides_typical!$C5:$BB5,Factors!$C$14:$BB$14)</f>
        <v>0</v>
      </c>
      <c r="H5" s="20">
        <f>SUMPRODUCT(Oxides_typical!$C5:$BB5,Factors!$C$15:$BB$15)</f>
        <v>0</v>
      </c>
      <c r="I5" s="20">
        <f>SUMPRODUCT(Oxides_typical!$C5:$BB5,Factors!$C$16:$BB$16)</f>
        <v>0</v>
      </c>
      <c r="J5" s="20">
        <f>SUMPRODUCT(Oxides_typical!$C5:$BB5,Factors!$C$17:$BB$17)</f>
        <v>0</v>
      </c>
      <c r="K5" s="20">
        <f>SUMPRODUCT(Oxides_typical!$C5:$BB5,Factors!$C$18:$BB$18)</f>
        <v>0</v>
      </c>
      <c r="L5" s="20">
        <f>SUMPRODUCT(Oxides_typical!$C5:$BB5,Factors!$C$19:$BB$19)</f>
        <v>0</v>
      </c>
      <c r="M5" s="20">
        <f>SUMPRODUCT(Oxides_typical!$C5:$BB5,Factors!$C$20:$BB$20)</f>
        <v>0</v>
      </c>
      <c r="N5" s="20">
        <f>SUMPRODUCT(Oxides_typical!$C5:$BB5,Factors!$C$21:$BB$21)</f>
        <v>7.6472457513775689</v>
      </c>
      <c r="O5" s="20">
        <f>SUMPRODUCT(Oxides_typical!$C5:$BB5,Factors!$C$22:$BB$22)</f>
        <v>0</v>
      </c>
      <c r="P5" s="20">
        <f>SUMPRODUCT(Oxides_typical!$C5:$BB5,Factors!$C$23:$BB$23)</f>
        <v>0</v>
      </c>
      <c r="Q5" s="20">
        <f>SUMPRODUCT(Oxides_typical!$C5:$BB5,Factors!$C$24:$BB$24)</f>
        <v>0</v>
      </c>
      <c r="R5" s="20">
        <f>SUMPRODUCT(Oxides_typical!$C5:$BB5,Factors!$C$25:$BB$25)</f>
        <v>0</v>
      </c>
      <c r="S5" s="20">
        <f>SUMPRODUCT(Oxides_typical!$C5:$BB5,Factors!$C$26:$BB$26)</f>
        <v>0</v>
      </c>
      <c r="T5" s="20">
        <f>SUMPRODUCT(Oxides_typical!$C5:$BB5,Factors!$C$27:$BB$27)</f>
        <v>0</v>
      </c>
      <c r="U5" s="20">
        <f>SUMPRODUCT(Oxides_typical!$C5:$BB5,Factors!$C$28:$BB$28)</f>
        <v>0</v>
      </c>
      <c r="V5" s="20">
        <f>SUMPRODUCT(Oxides_typical!$C5:$BB5,Factors!$C$29:$BB$29)</f>
        <v>0</v>
      </c>
      <c r="W5" s="20">
        <f>SUMPRODUCT(Oxides_typical!$C5:$BB5,Factors!$C$30:$BB$30)</f>
        <v>0</v>
      </c>
      <c r="X5" s="20">
        <f>SUMPRODUCT(Oxides_typical!$C5:$BB5,Factors!$C$31:$BB$31)</f>
        <v>0</v>
      </c>
      <c r="Y5" s="20">
        <f>SUMPRODUCT(Oxides_typical!$C5:$BB5,Factors!$C$32:$BB$32)</f>
        <v>0</v>
      </c>
      <c r="Z5" s="20">
        <f>SUMPRODUCT(Oxides_typical!$C5:$BB5,Factors!$C$33:$BB$33)</f>
        <v>0</v>
      </c>
      <c r="AA5" s="20">
        <f>SUMPRODUCT(Oxides_typical!$C5:$BB5,Factors!$C$34:$BB$34)</f>
        <v>0</v>
      </c>
      <c r="AB5" s="20">
        <f>SUMPRODUCT(Oxides_typical!$C5:$BB5,Factors!$C$35:$BB$35)</f>
        <v>0</v>
      </c>
      <c r="AC5" s="20">
        <f>SUMPRODUCT(Oxides_typical!$C5:$BB5,Factors!$C$36:$BB$36)</f>
        <v>6.7084091890295161</v>
      </c>
      <c r="AD5" s="20">
        <f>SUMPRODUCT(Oxides_typical!$C5:$BB5,Factors!$C$37:$BB$37)</f>
        <v>0</v>
      </c>
      <c r="AE5" s="20">
        <f>SUMPRODUCT(Oxides_typical!$C5:$BB5,Factors!$C$38:$BB$38)</f>
        <v>5.34</v>
      </c>
      <c r="AF5" s="20">
        <f>SUMPRODUCT(Oxides_typical!$C5:$BB5,Factors!$C$39:$BB$39)</f>
        <v>0</v>
      </c>
      <c r="AG5" s="20">
        <f>SUMPRODUCT(Oxides_typical!$C5:$BB5,Factors!$C$40:$BB$40)</f>
        <v>0</v>
      </c>
      <c r="AH5" s="20">
        <f>SUMPRODUCT(Oxides_typical!$C5:$BB5,Factors!$C$41:$BB$41)</f>
        <v>0</v>
      </c>
      <c r="AI5" s="20">
        <f>SUMPRODUCT(Oxides_typical!$C5:$BB5,Factors!$C$42:$BB$42)</f>
        <v>0</v>
      </c>
      <c r="AJ5" s="20">
        <f>SUMPRODUCT(Oxides_typical!$C5:$BB5,Factors!$C$43:$BB$43)</f>
        <v>0</v>
      </c>
      <c r="AK5" s="20">
        <f>SUMPRODUCT(Oxides_typical!$C5:$BB5,Factors!$C$44:$BB$44)</f>
        <v>12.875515538387431</v>
      </c>
      <c r="AL5" s="20">
        <f>SUMPRODUCT(Oxides_typical!$C5:$BB5,Factors!$C$45:$BB$45)</f>
        <v>24.648333450121712</v>
      </c>
      <c r="AM5" s="20">
        <f>SUMPRODUCT(Oxides_typical!$C5:$BB5,Factors!$C$46:$BB$46)</f>
        <v>2.5634153387599348</v>
      </c>
      <c r="AN5" s="20">
        <f>SUMPRODUCT(Oxides_typical!$C5:$BB5,Factors!$C$47:$BB$47)</f>
        <v>9.9881972533367414</v>
      </c>
      <c r="AO5" s="20">
        <f>SUMPRODUCT(Oxides_typical!$C5:$BB5,Factors!$C$48:$BB$48)</f>
        <v>1.2590473077022342</v>
      </c>
      <c r="AP5" s="20">
        <f>SUMPRODUCT(Oxides_typical!$C5:$BB5,Factors!$C$49:$BB$49)</f>
        <v>0.17272316544718336</v>
      </c>
      <c r="AQ5" s="20">
        <f>SUMPRODUCT(Oxides_typical!$C5:$BB5,Factors!$C$50:$BB$50)</f>
        <v>0</v>
      </c>
      <c r="AR5" s="20">
        <f>SUMPRODUCT(Oxides_typical!$C5:$BB5,Factors!$C$51:$BB$51)</f>
        <v>0</v>
      </c>
      <c r="AS5" s="20">
        <f>SUMPRODUCT(Oxides_typical!$C5:$BB5,Factors!$C$52:$BB$52)</f>
        <v>0</v>
      </c>
      <c r="AT5" s="20">
        <f>SUMPRODUCT(Oxides_typical!$C5:$BB5,Factors!$C$53:$BB$53)</f>
        <v>0</v>
      </c>
      <c r="AU5" s="20">
        <f>SUMPRODUCT(Oxides_typical!$C5:$BB5,Factors!$C$54:$BB$54)</f>
        <v>0</v>
      </c>
      <c r="AV5" s="20">
        <f>SUMPRODUCT(Oxides_typical!$C5:$BB5,Factors!$C$55:$BB$55)</f>
        <v>0</v>
      </c>
      <c r="AW5" s="20">
        <f>SUMPRODUCT(Oxides_typical!$C5:$BB5,Factors!$C$56:$BB$56)</f>
        <v>0</v>
      </c>
      <c r="AX5" s="20">
        <f>SUMPRODUCT(Oxides_typical!$C5:$BB5,Factors!$C$57:$BB$57)</f>
        <v>0</v>
      </c>
      <c r="AY5" s="20">
        <f>SUMPRODUCT(Oxides_typical!$C5:$BB5,Factors!$C$58:$BB$58)</f>
        <v>0</v>
      </c>
      <c r="AZ5" s="18">
        <f t="shared" si="0"/>
        <v>98.651530503195474</v>
      </c>
    </row>
    <row r="6" spans="1:52" x14ac:dyDescent="0.35">
      <c r="A6" s="13" t="s">
        <v>133</v>
      </c>
      <c r="B6" s="20">
        <f>SUMPRODUCT(Oxides_typical!$C6:$BB6,Factors!$C$9:$BB$9)</f>
        <v>30.54958434690618</v>
      </c>
      <c r="C6" s="20">
        <f>SUMPRODUCT(Oxides_typical!$C6:$BB6,Factors!$C$10:$BB$10)</f>
        <v>6.5441139756669944E-2</v>
      </c>
      <c r="D6" s="20">
        <f>SUMPRODUCT(Oxides_typical!$C6:$BB6,Factors!$C$11:$BB$11)</f>
        <v>0</v>
      </c>
      <c r="E6" s="20">
        <f>SUMPRODUCT(Oxides_typical!$C6:$BB6,Factors!$C$12:$BB$12)</f>
        <v>0</v>
      </c>
      <c r="F6" s="20">
        <f>SUMPRODUCT(Oxides_typical!$C6:$BB6,Factors!$C$13:$BB$13)</f>
        <v>0</v>
      </c>
      <c r="G6" s="20">
        <f>SUMPRODUCT(Oxides_typical!$C6:$BB6,Factors!$C$14:$BB$14)</f>
        <v>0</v>
      </c>
      <c r="H6" s="20">
        <f>SUMPRODUCT(Oxides_typical!$C6:$BB6,Factors!$C$15:$BB$15)</f>
        <v>0</v>
      </c>
      <c r="I6" s="20">
        <f>SUMPRODUCT(Oxides_typical!$C6:$BB6,Factors!$C$16:$BB$16)</f>
        <v>0</v>
      </c>
      <c r="J6" s="20">
        <f>SUMPRODUCT(Oxides_typical!$C6:$BB6,Factors!$C$17:$BB$17)</f>
        <v>0</v>
      </c>
      <c r="K6" s="20">
        <f>SUMPRODUCT(Oxides_typical!$C6:$BB6,Factors!$C$18:$BB$18)</f>
        <v>0</v>
      </c>
      <c r="L6" s="20">
        <f>SUMPRODUCT(Oxides_typical!$C6:$BB6,Factors!$C$19:$BB$19)</f>
        <v>0</v>
      </c>
      <c r="M6" s="20">
        <f>SUMPRODUCT(Oxides_typical!$C6:$BB6,Factors!$C$20:$BB$20)</f>
        <v>0</v>
      </c>
      <c r="N6" s="20">
        <f>SUMPRODUCT(Oxides_typical!$C6:$BB6,Factors!$C$21:$BB$21)</f>
        <v>12.964582984111132</v>
      </c>
      <c r="O6" s="20">
        <f>SUMPRODUCT(Oxides_typical!$C6:$BB6,Factors!$C$22:$BB$22)</f>
        <v>0</v>
      </c>
      <c r="P6" s="20">
        <f>SUMPRODUCT(Oxides_typical!$C6:$BB6,Factors!$C$23:$BB$23)</f>
        <v>0</v>
      </c>
      <c r="Q6" s="20">
        <f>SUMPRODUCT(Oxides_typical!$C6:$BB6,Factors!$C$24:$BB$24)</f>
        <v>0</v>
      </c>
      <c r="R6" s="20">
        <f>SUMPRODUCT(Oxides_typical!$C6:$BB6,Factors!$C$25:$BB$25)</f>
        <v>0</v>
      </c>
      <c r="S6" s="20">
        <f>SUMPRODUCT(Oxides_typical!$C6:$BB6,Factors!$C$26:$BB$26)</f>
        <v>0</v>
      </c>
      <c r="T6" s="20">
        <f>SUMPRODUCT(Oxides_typical!$C6:$BB6,Factors!$C$27:$BB$27)</f>
        <v>0</v>
      </c>
      <c r="U6" s="20">
        <f>SUMPRODUCT(Oxides_typical!$C6:$BB6,Factors!$C$28:$BB$28)</f>
        <v>0</v>
      </c>
      <c r="V6" s="20">
        <f>SUMPRODUCT(Oxides_typical!$C6:$BB6,Factors!$C$29:$BB$29)</f>
        <v>0</v>
      </c>
      <c r="W6" s="20">
        <f>SUMPRODUCT(Oxides_typical!$C6:$BB6,Factors!$C$30:$BB$30)</f>
        <v>0</v>
      </c>
      <c r="X6" s="20">
        <f>SUMPRODUCT(Oxides_typical!$C6:$BB6,Factors!$C$31:$BB$31)</f>
        <v>0</v>
      </c>
      <c r="Y6" s="20">
        <f>SUMPRODUCT(Oxides_typical!$C6:$BB6,Factors!$C$32:$BB$32)</f>
        <v>0</v>
      </c>
      <c r="Z6" s="20">
        <f>SUMPRODUCT(Oxides_typical!$C6:$BB6,Factors!$C$33:$BB$33)</f>
        <v>0</v>
      </c>
      <c r="AA6" s="20">
        <f>SUMPRODUCT(Oxides_typical!$C6:$BB6,Factors!$C$34:$BB$34)</f>
        <v>0</v>
      </c>
      <c r="AB6" s="20">
        <f>SUMPRODUCT(Oxides_typical!$C6:$BB6,Factors!$C$35:$BB$35)</f>
        <v>0</v>
      </c>
      <c r="AC6" s="20">
        <f>SUMPRODUCT(Oxides_typical!$C6:$BB6,Factors!$C$36:$BB$36)</f>
        <v>7.6281544684041895</v>
      </c>
      <c r="AD6" s="20">
        <f>SUMPRODUCT(Oxides_typical!$C6:$BB6,Factors!$C$37:$BB$37)</f>
        <v>0</v>
      </c>
      <c r="AE6" s="20">
        <f>SUMPRODUCT(Oxides_typical!$C6:$BB6,Factors!$C$38:$BB$38)</f>
        <v>5.73</v>
      </c>
      <c r="AF6" s="20">
        <f>SUMPRODUCT(Oxides_typical!$C6:$BB6,Factors!$C$39:$BB$39)</f>
        <v>0</v>
      </c>
      <c r="AG6" s="20">
        <f>SUMPRODUCT(Oxides_typical!$C6:$BB6,Factors!$C$40:$BB$40)</f>
        <v>0</v>
      </c>
      <c r="AH6" s="20">
        <f>SUMPRODUCT(Oxides_typical!$C6:$BB6,Factors!$C$41:$BB$41)</f>
        <v>0</v>
      </c>
      <c r="AI6" s="20">
        <f>SUMPRODUCT(Oxides_typical!$C6:$BB6,Factors!$C$42:$BB$42)</f>
        <v>0</v>
      </c>
      <c r="AJ6" s="20">
        <f>SUMPRODUCT(Oxides_typical!$C6:$BB6,Factors!$C$43:$BB$43)</f>
        <v>0.3543497796453175</v>
      </c>
      <c r="AK6" s="20">
        <f>SUMPRODUCT(Oxides_typical!$C6:$BB6,Factors!$C$44:$BB$44)</f>
        <v>8.492724156446279</v>
      </c>
      <c r="AL6" s="20">
        <f>SUMPRODUCT(Oxides_typical!$C6:$BB6,Factors!$C$45:$BB$45)</f>
        <v>19.073216808996158</v>
      </c>
      <c r="AM6" s="20">
        <f>SUMPRODUCT(Oxides_typical!$C6:$BB6,Factors!$C$46:$BB$46)</f>
        <v>1.9396509396616839</v>
      </c>
      <c r="AN6" s="20">
        <f>SUMPRODUCT(Oxides_typical!$C6:$BB6,Factors!$C$47:$BB$47)</f>
        <v>10.91414171974049</v>
      </c>
      <c r="AO6" s="20">
        <f>SUMPRODUCT(Oxides_typical!$C6:$BB6,Factors!$C$48:$BB$48)</f>
        <v>1.5436264936897255</v>
      </c>
      <c r="AP6" s="20">
        <f>SUMPRODUCT(Oxides_typical!$C6:$BB6,Factors!$C$49:$BB$49)</f>
        <v>0</v>
      </c>
      <c r="AQ6" s="20">
        <f>SUMPRODUCT(Oxides_typical!$C6:$BB6,Factors!$C$50:$BB$50)</f>
        <v>1.1018436014642881</v>
      </c>
      <c r="AR6" s="20">
        <f>SUMPRODUCT(Oxides_typical!$C6:$BB6,Factors!$C$51:$BB$51)</f>
        <v>0</v>
      </c>
      <c r="AS6" s="20">
        <f>SUMPRODUCT(Oxides_typical!$C6:$BB6,Factors!$C$52:$BB$52)</f>
        <v>0</v>
      </c>
      <c r="AT6" s="20">
        <f>SUMPRODUCT(Oxides_typical!$C6:$BB6,Factors!$C$53:$BB$53)</f>
        <v>0</v>
      </c>
      <c r="AU6" s="20">
        <f>SUMPRODUCT(Oxides_typical!$C6:$BB6,Factors!$C$54:$BB$54)</f>
        <v>0</v>
      </c>
      <c r="AV6" s="20">
        <f>SUMPRODUCT(Oxides_typical!$C6:$BB6,Factors!$C$55:$BB$55)</f>
        <v>0</v>
      </c>
      <c r="AW6" s="20">
        <f>SUMPRODUCT(Oxides_typical!$C6:$BB6,Factors!$C$56:$BB$56)</f>
        <v>0</v>
      </c>
      <c r="AX6" s="20">
        <f>SUMPRODUCT(Oxides_typical!$C6:$BB6,Factors!$C$57:$BB$57)</f>
        <v>0</v>
      </c>
      <c r="AY6" s="20">
        <f>SUMPRODUCT(Oxides_typical!$C6:$BB6,Factors!$C$58:$BB$58)</f>
        <v>0</v>
      </c>
      <c r="AZ6" s="18">
        <f t="shared" si="0"/>
        <v>100.35731643882212</v>
      </c>
    </row>
    <row r="7" spans="1:52" x14ac:dyDescent="0.35">
      <c r="A7" s="13" t="s">
        <v>135</v>
      </c>
      <c r="B7" s="20">
        <f>SUMPRODUCT(Oxides_typical!$C7:$BB7,Factors!$C$9:$BB$9)</f>
        <v>35.57608240259259</v>
      </c>
      <c r="C7" s="20">
        <f>SUMPRODUCT(Oxides_typical!$C7:$BB7,Factors!$C$10:$BB$10)</f>
        <v>13.924939666794268</v>
      </c>
      <c r="D7" s="20">
        <f>SUMPRODUCT(Oxides_typical!$C7:$BB7,Factors!$C$11:$BB$11)</f>
        <v>1.1986978025417894E-2</v>
      </c>
      <c r="E7" s="20">
        <f>SUMPRODUCT(Oxides_typical!$C7:$BB7,Factors!$C$12:$BB$12)</f>
        <v>0</v>
      </c>
      <c r="F7" s="20">
        <f>SUMPRODUCT(Oxides_typical!$C7:$BB7,Factors!$C$13:$BB$13)</f>
        <v>0</v>
      </c>
      <c r="G7" s="20">
        <f>SUMPRODUCT(Oxides_typical!$C7:$BB7,Factors!$C$14:$BB$14)</f>
        <v>0</v>
      </c>
      <c r="H7" s="20">
        <f>SUMPRODUCT(Oxides_typical!$C7:$BB7,Factors!$C$15:$BB$15)</f>
        <v>6.7480258155356241</v>
      </c>
      <c r="I7" s="20">
        <f>SUMPRODUCT(Oxides_typical!$C7:$BB7,Factors!$C$16:$BB$16)</f>
        <v>14.453272013793512</v>
      </c>
      <c r="J7" s="20">
        <f>SUMPRODUCT(Oxides_typical!$C7:$BB7,Factors!$C$17:$BB$17)</f>
        <v>0.65829268837308752</v>
      </c>
      <c r="K7" s="20">
        <f>SUMPRODUCT(Oxides_typical!$C7:$BB7,Factors!$C$18:$BB$18)</f>
        <v>0</v>
      </c>
      <c r="L7" s="20">
        <f>SUMPRODUCT(Oxides_typical!$C7:$BB7,Factors!$C$19:$BB$19)</f>
        <v>0</v>
      </c>
      <c r="M7" s="20">
        <f>SUMPRODUCT(Oxides_typical!$C7:$BB7,Factors!$C$20:$BB$20)</f>
        <v>0.38594680428741562</v>
      </c>
      <c r="N7" s="20">
        <f>SUMPRODUCT(Oxides_typical!$C7:$BB7,Factors!$C$21:$BB$21)</f>
        <v>7.2184282326087335</v>
      </c>
      <c r="O7" s="20">
        <f>SUMPRODUCT(Oxides_typical!$C7:$BB7,Factors!$C$22:$BB$22)</f>
        <v>0</v>
      </c>
      <c r="P7" s="20">
        <f>SUMPRODUCT(Oxides_typical!$C7:$BB7,Factors!$C$23:$BB$23)</f>
        <v>0</v>
      </c>
      <c r="Q7" s="20">
        <f>SUMPRODUCT(Oxides_typical!$C7:$BB7,Factors!$C$24:$BB$24)</f>
        <v>0</v>
      </c>
      <c r="R7" s="20">
        <f>SUMPRODUCT(Oxides_typical!$C7:$BB7,Factors!$C$25:$BB$25)</f>
        <v>0</v>
      </c>
      <c r="S7" s="20">
        <f>SUMPRODUCT(Oxides_typical!$C7:$BB7,Factors!$C$26:$BB$26)</f>
        <v>0</v>
      </c>
      <c r="T7" s="20">
        <f>SUMPRODUCT(Oxides_typical!$C7:$BB7,Factors!$C$27:$BB$27)</f>
        <v>0</v>
      </c>
      <c r="U7" s="20">
        <f>SUMPRODUCT(Oxides_typical!$C7:$BB7,Factors!$C$28:$BB$28)</f>
        <v>0</v>
      </c>
      <c r="V7" s="20">
        <f>SUMPRODUCT(Oxides_typical!$C7:$BB7,Factors!$C$29:$BB$29)</f>
        <v>0</v>
      </c>
      <c r="W7" s="20">
        <f>SUMPRODUCT(Oxides_typical!$C7:$BB7,Factors!$C$30:$BB$30)</f>
        <v>0</v>
      </c>
      <c r="X7" s="20">
        <f>SUMPRODUCT(Oxides_typical!$C7:$BB7,Factors!$C$31:$BB$31)</f>
        <v>0</v>
      </c>
      <c r="Y7" s="20">
        <f>SUMPRODUCT(Oxides_typical!$C7:$BB7,Factors!$C$32:$BB$32)</f>
        <v>0</v>
      </c>
      <c r="Z7" s="20">
        <f>SUMPRODUCT(Oxides_typical!$C7:$BB7,Factors!$C$33:$BB$33)</f>
        <v>0</v>
      </c>
      <c r="AA7" s="20">
        <f>SUMPRODUCT(Oxides_typical!$C7:$BB7,Factors!$C$34:$BB$34)</f>
        <v>0</v>
      </c>
      <c r="AB7" s="20">
        <f>SUMPRODUCT(Oxides_typical!$C7:$BB7,Factors!$C$35:$BB$35)</f>
        <v>0</v>
      </c>
      <c r="AC7" s="20">
        <f>SUMPRODUCT(Oxides_typical!$C7:$BB7,Factors!$C$36:$BB$36)</f>
        <v>0</v>
      </c>
      <c r="AD7" s="20">
        <f>SUMPRODUCT(Oxides_typical!$C7:$BB7,Factors!$C$37:$BB$37)</f>
        <v>0.19471773522064945</v>
      </c>
      <c r="AE7" s="20">
        <f>SUMPRODUCT(Oxides_typical!$C7:$BB7,Factors!$C$38:$BB$38)</f>
        <v>0</v>
      </c>
      <c r="AF7" s="20">
        <f>SUMPRODUCT(Oxides_typical!$C7:$BB7,Factors!$C$39:$BB$39)</f>
        <v>0</v>
      </c>
      <c r="AG7" s="20">
        <f>SUMPRODUCT(Oxides_typical!$C7:$BB7,Factors!$C$40:$BB$40)</f>
        <v>0</v>
      </c>
      <c r="AH7" s="20">
        <f>SUMPRODUCT(Oxides_typical!$C7:$BB7,Factors!$C$41:$BB$41)</f>
        <v>0</v>
      </c>
      <c r="AI7" s="20">
        <f>SUMPRODUCT(Oxides_typical!$C7:$BB7,Factors!$C$42:$BB$42)</f>
        <v>0</v>
      </c>
      <c r="AJ7" s="20">
        <f>SUMPRODUCT(Oxides_typical!$C7:$BB7,Factors!$C$43:$BB$43)</f>
        <v>3.1497758190694884E-2</v>
      </c>
      <c r="AK7" s="20">
        <f>SUMPRODUCT(Oxides_typical!$C7:$BB7,Factors!$C$44:$BB$44)</f>
        <v>6.1393186673105626</v>
      </c>
      <c r="AL7" s="20">
        <f>SUMPRODUCT(Oxides_typical!$C7:$BB7,Factors!$C$45:$BB$45)</f>
        <v>10.928253140337995</v>
      </c>
      <c r="AM7" s="20">
        <f>SUMPRODUCT(Oxides_typical!$C7:$BB7,Factors!$C$46:$BB$46)</f>
        <v>0.85447177958664489</v>
      </c>
      <c r="AN7" s="20">
        <f>SUMPRODUCT(Oxides_typical!$C7:$BB7,Factors!$C$47:$BB$47)</f>
        <v>2.6578035609737252</v>
      </c>
      <c r="AO7" s="20">
        <f>SUMPRODUCT(Oxides_typical!$C7:$BB7,Factors!$C$48:$BB$48)</f>
        <v>0.51741670179543864</v>
      </c>
      <c r="AP7" s="20">
        <f>SUMPRODUCT(Oxides_typical!$C7:$BB7,Factors!$C$49:$BB$49)</f>
        <v>0</v>
      </c>
      <c r="AQ7" s="20">
        <f>SUMPRODUCT(Oxides_typical!$C7:$BB7,Factors!$C$50:$BB$50)</f>
        <v>5.2055603218785253E-2</v>
      </c>
      <c r="AR7" s="20">
        <f>SUMPRODUCT(Oxides_typical!$C7:$BB7,Factors!$C$51:$BB$51)</f>
        <v>0</v>
      </c>
      <c r="AS7" s="20">
        <f>SUMPRODUCT(Oxides_typical!$C7:$BB7,Factors!$C$52:$BB$52)</f>
        <v>0</v>
      </c>
      <c r="AT7" s="20">
        <f>SUMPRODUCT(Oxides_typical!$C7:$BB7,Factors!$C$53:$BB$53)</f>
        <v>0</v>
      </c>
      <c r="AU7" s="20">
        <f>SUMPRODUCT(Oxides_typical!$C7:$BB7,Factors!$C$54:$BB$54)</f>
        <v>1.7490451354848828E-2</v>
      </c>
      <c r="AV7" s="20">
        <f>SUMPRODUCT(Oxides_typical!$C7:$BB7,Factors!$C$55:$BB$55)</f>
        <v>0</v>
      </c>
      <c r="AW7" s="20">
        <f>SUMPRODUCT(Oxides_typical!$C7:$BB7,Factors!$C$56:$BB$56)</f>
        <v>0</v>
      </c>
      <c r="AX7" s="20">
        <f>SUMPRODUCT(Oxides_typical!$C7:$BB7,Factors!$C$57:$BB$57)</f>
        <v>0</v>
      </c>
      <c r="AY7" s="20">
        <f>SUMPRODUCT(Oxides_typical!$C7:$BB7,Factors!$C$58:$BB$58)</f>
        <v>0</v>
      </c>
      <c r="AZ7" s="18">
        <f t="shared" si="0"/>
        <v>100.36999999999999</v>
      </c>
    </row>
    <row r="8" spans="1:52" x14ac:dyDescent="0.35">
      <c r="A8" s="13" t="s">
        <v>137</v>
      </c>
      <c r="B8" s="20">
        <f>SUMPRODUCT(Oxides_typical!$C8:$BB8,Factors!$C$9:$BB$9)</f>
        <v>37.685648677259579</v>
      </c>
      <c r="C8" s="20">
        <f>SUMPRODUCT(Oxides_typical!$C8:$BB8,Factors!$C$10:$BB$10)</f>
        <v>0.21969525489739195</v>
      </c>
      <c r="D8" s="20">
        <f>SUMPRODUCT(Oxides_typical!$C8:$BB8,Factors!$C$11:$BB$11)</f>
        <v>0</v>
      </c>
      <c r="E8" s="20">
        <f>SUMPRODUCT(Oxides_typical!$C8:$BB8,Factors!$C$12:$BB$12)</f>
        <v>0</v>
      </c>
      <c r="F8" s="20">
        <f>SUMPRODUCT(Oxides_typical!$C8:$BB8,Factors!$C$13:$BB$13)</f>
        <v>0</v>
      </c>
      <c r="G8" s="20">
        <f>SUMPRODUCT(Oxides_typical!$C8:$BB8,Factors!$C$14:$BB$14)</f>
        <v>0</v>
      </c>
      <c r="H8" s="20">
        <f>SUMPRODUCT(Oxides_typical!$C8:$BB8,Factors!$C$15:$BB$15)</f>
        <v>0</v>
      </c>
      <c r="I8" s="20">
        <f>SUMPRODUCT(Oxides_typical!$C8:$BB8,Factors!$C$16:$BB$16)</f>
        <v>7.7730916986804746E-2</v>
      </c>
      <c r="J8" s="20">
        <f>SUMPRODUCT(Oxides_typical!$C8:$BB8,Factors!$C$17:$BB$17)</f>
        <v>4.6467719179276765E-2</v>
      </c>
      <c r="K8" s="20">
        <f>SUMPRODUCT(Oxides_typical!$C8:$BB8,Factors!$C$18:$BB$18)</f>
        <v>0</v>
      </c>
      <c r="L8" s="20">
        <f>SUMPRODUCT(Oxides_typical!$C8:$BB8,Factors!$C$19:$BB$19)</f>
        <v>0</v>
      </c>
      <c r="M8" s="20">
        <f>SUMPRODUCT(Oxides_typical!$C8:$BB8,Factors!$C$20:$BB$20)</f>
        <v>0</v>
      </c>
      <c r="N8" s="20">
        <f>SUMPRODUCT(Oxides_typical!$C8:$BB8,Factors!$C$21:$BB$21)</f>
        <v>38.300551384703176</v>
      </c>
      <c r="O8" s="20">
        <f>SUMPRODUCT(Oxides_typical!$C8:$BB8,Factors!$C$22:$BB$22)</f>
        <v>0.26213532267248285</v>
      </c>
      <c r="P8" s="20">
        <f>SUMPRODUCT(Oxides_typical!$C8:$BB8,Factors!$C$23:$BB$23)</f>
        <v>0</v>
      </c>
      <c r="Q8" s="20">
        <f>SUMPRODUCT(Oxides_typical!$C8:$BB8,Factors!$C$24:$BB$24)</f>
        <v>0</v>
      </c>
      <c r="R8" s="20">
        <f>SUMPRODUCT(Oxides_typical!$C8:$BB8,Factors!$C$25:$BB$25)</f>
        <v>0.11127933869113804</v>
      </c>
      <c r="S8" s="20">
        <f>SUMPRODUCT(Oxides_typical!$C8:$BB8,Factors!$C$26:$BB$26)</f>
        <v>0</v>
      </c>
      <c r="T8" s="20">
        <f>SUMPRODUCT(Oxides_typical!$C8:$BB8,Factors!$C$27:$BB$27)</f>
        <v>0</v>
      </c>
      <c r="U8" s="20">
        <f>SUMPRODUCT(Oxides_typical!$C8:$BB8,Factors!$C$28:$BB$28)</f>
        <v>0</v>
      </c>
      <c r="V8" s="20">
        <f>SUMPRODUCT(Oxides_typical!$C8:$BB8,Factors!$C$29:$BB$29)</f>
        <v>0</v>
      </c>
      <c r="W8" s="20">
        <f>SUMPRODUCT(Oxides_typical!$C8:$BB8,Factors!$C$30:$BB$30)</f>
        <v>0</v>
      </c>
      <c r="X8" s="20">
        <f>SUMPRODUCT(Oxides_typical!$C8:$BB8,Factors!$C$31:$BB$31)</f>
        <v>0</v>
      </c>
      <c r="Y8" s="20">
        <f>SUMPRODUCT(Oxides_typical!$C8:$BB8,Factors!$C$32:$BB$32)</f>
        <v>0</v>
      </c>
      <c r="Z8" s="20">
        <f>SUMPRODUCT(Oxides_typical!$C8:$BB8,Factors!$C$33:$BB$33)</f>
        <v>17.932777925432489</v>
      </c>
      <c r="AA8" s="20">
        <f>SUMPRODUCT(Oxides_typical!$C8:$BB8,Factors!$C$34:$BB$34)</f>
        <v>0</v>
      </c>
      <c r="AB8" s="20">
        <f>SUMPRODUCT(Oxides_typical!$C8:$BB8,Factors!$C$35:$BB$35)</f>
        <v>3.2037173513871371E-2</v>
      </c>
      <c r="AC8" s="20">
        <f>SUMPRODUCT(Oxides_typical!$C8:$BB8,Factors!$C$36:$BB$36)</f>
        <v>0</v>
      </c>
      <c r="AD8" s="20">
        <f>SUMPRODUCT(Oxides_typical!$C8:$BB8,Factors!$C$37:$BB$37)</f>
        <v>5.5953372189841803E-3</v>
      </c>
      <c r="AE8" s="20">
        <f>SUMPRODUCT(Oxides_typical!$C8:$BB8,Factors!$C$38:$BB$38)</f>
        <v>3.54</v>
      </c>
      <c r="AF8" s="20">
        <f>SUMPRODUCT(Oxides_typical!$C8:$BB8,Factors!$C$39:$BB$39)</f>
        <v>0.14000000000000001</v>
      </c>
      <c r="AG8" s="20">
        <f>SUMPRODUCT(Oxides_typical!$C8:$BB8,Factors!$C$40:$BB$40)</f>
        <v>0</v>
      </c>
      <c r="AH8" s="20">
        <f>SUMPRODUCT(Oxides_typical!$C8:$BB8,Factors!$C$41:$BB$41)</f>
        <v>0</v>
      </c>
      <c r="AI8" s="20">
        <f>SUMPRODUCT(Oxides_typical!$C8:$BB8,Factors!$C$42:$BB$42)</f>
        <v>0</v>
      </c>
      <c r="AJ8" s="20">
        <f>SUMPRODUCT(Oxides_typical!$C8:$BB8,Factors!$C$43:$BB$43)</f>
        <v>0.12599103276277954</v>
      </c>
      <c r="AK8" s="20">
        <f>SUMPRODUCT(Oxides_typical!$C8:$BB8,Factors!$C$44:$BB$44)</f>
        <v>0.35812692225978282</v>
      </c>
      <c r="AL8" s="20">
        <f>SUMPRODUCT(Oxides_typical!$C8:$BB8,Factors!$C$45:$BB$45)</f>
        <v>0.69155351903701379</v>
      </c>
      <c r="AM8" s="20">
        <f>SUMPRODUCT(Oxides_typical!$C8:$BB8,Factors!$C$46:$BB$46)</f>
        <v>8.5447177958664494E-2</v>
      </c>
      <c r="AN8" s="20">
        <f>SUMPRODUCT(Oxides_typical!$C8:$BB8,Factors!$C$47:$BB$47)</f>
        <v>0.28292747584559008</v>
      </c>
      <c r="AO8" s="20">
        <f>SUMPRODUCT(Oxides_typical!$C8:$BB8,Factors!$C$48:$BB$48)</f>
        <v>6.0365281876134519E-2</v>
      </c>
      <c r="AP8" s="20">
        <f>SUMPRODUCT(Oxides_typical!$C8:$BB8,Factors!$C$49:$BB$49)</f>
        <v>0</v>
      </c>
      <c r="AQ8" s="20">
        <f>SUMPRODUCT(Oxides_typical!$C8:$BB8,Factors!$C$50:$BB$50)</f>
        <v>4.3379669348987716E-2</v>
      </c>
      <c r="AR8" s="20">
        <f>SUMPRODUCT(Oxides_typical!$C8:$BB8,Factors!$C$51:$BB$51)</f>
        <v>0</v>
      </c>
      <c r="AS8" s="20">
        <f>SUMPRODUCT(Oxides_typical!$C8:$BB8,Factors!$C$52:$BB$52)</f>
        <v>2.6139620425901545E-2</v>
      </c>
      <c r="AT8" s="20">
        <f>SUMPRODUCT(Oxides_typical!$C8:$BB8,Factors!$C$53:$BB$53)</f>
        <v>0</v>
      </c>
      <c r="AU8" s="20">
        <f>SUMPRODUCT(Oxides_typical!$C8:$BB8,Factors!$C$54:$BB$54)</f>
        <v>0</v>
      </c>
      <c r="AV8" s="20">
        <f>SUMPRODUCT(Oxides_typical!$C8:$BB8,Factors!$C$55:$BB$55)</f>
        <v>0</v>
      </c>
      <c r="AW8" s="20">
        <f>SUMPRODUCT(Oxides_typical!$C8:$BB8,Factors!$C$56:$BB$56)</f>
        <v>0</v>
      </c>
      <c r="AX8" s="20">
        <f>SUMPRODUCT(Oxides_typical!$C8:$BB8,Factors!$C$57:$BB$57)</f>
        <v>0</v>
      </c>
      <c r="AY8" s="20">
        <f>SUMPRODUCT(Oxides_typical!$C8:$BB8,Factors!$C$58:$BB$58)</f>
        <v>0</v>
      </c>
      <c r="AZ8" s="18">
        <f t="shared" si="0"/>
        <v>100.02784975007006</v>
      </c>
    </row>
    <row r="9" spans="1:52" x14ac:dyDescent="0.35">
      <c r="A9" s="13" t="s">
        <v>139</v>
      </c>
      <c r="B9" s="20">
        <f>SUMPRODUCT(Oxides_typical!$C9:$BB9,Factors!$C$9:$BB$9)</f>
        <v>43.422494355378007</v>
      </c>
      <c r="C9" s="20">
        <f>SUMPRODUCT(Oxides_typical!$C9:$BB9,Factors!$C$10:$BB$10)</f>
        <v>0</v>
      </c>
      <c r="D9" s="20">
        <f>SUMPRODUCT(Oxides_typical!$C9:$BB9,Factors!$C$11:$BB$11)</f>
        <v>0</v>
      </c>
      <c r="E9" s="20">
        <f>SUMPRODUCT(Oxides_typical!$C9:$BB9,Factors!$C$12:$BB$12)</f>
        <v>0</v>
      </c>
      <c r="F9" s="20">
        <f>SUMPRODUCT(Oxides_typical!$C9:$BB9,Factors!$C$13:$BB$13)</f>
        <v>0</v>
      </c>
      <c r="G9" s="20">
        <f>SUMPRODUCT(Oxides_typical!$C9:$BB9,Factors!$C$14:$BB$14)</f>
        <v>0</v>
      </c>
      <c r="H9" s="20">
        <f>SUMPRODUCT(Oxides_typical!$C9:$BB9,Factors!$C$15:$BB$15)</f>
        <v>15.666005030576823</v>
      </c>
      <c r="I9" s="20">
        <f>SUMPRODUCT(Oxides_typical!$C9:$BB9,Factors!$C$16:$BB$16)</f>
        <v>0</v>
      </c>
      <c r="J9" s="20">
        <f>SUMPRODUCT(Oxides_typical!$C9:$BB9,Factors!$C$17:$BB$17)</f>
        <v>0</v>
      </c>
      <c r="K9" s="20">
        <f>SUMPRODUCT(Oxides_typical!$C9:$BB9,Factors!$C$18:$BB$18)</f>
        <v>0</v>
      </c>
      <c r="L9" s="20">
        <f>SUMPRODUCT(Oxides_typical!$C9:$BB9,Factors!$C$19:$BB$19)</f>
        <v>0</v>
      </c>
      <c r="M9" s="20">
        <f>SUMPRODUCT(Oxides_typical!$C9:$BB9,Factors!$C$20:$BB$20)</f>
        <v>0</v>
      </c>
      <c r="N9" s="20">
        <f>SUMPRODUCT(Oxides_typical!$C9:$BB9,Factors!$C$21:$BB$21)</f>
        <v>0.33590705636892126</v>
      </c>
      <c r="O9" s="20">
        <f>SUMPRODUCT(Oxides_typical!$C9:$BB9,Factors!$C$22:$BB$22)</f>
        <v>0</v>
      </c>
      <c r="P9" s="20">
        <f>SUMPRODUCT(Oxides_typical!$C9:$BB9,Factors!$C$23:$BB$23)</f>
        <v>0</v>
      </c>
      <c r="Q9" s="20">
        <f>SUMPRODUCT(Oxides_typical!$C9:$BB9,Factors!$C$24:$BB$24)</f>
        <v>0</v>
      </c>
      <c r="R9" s="20">
        <f>SUMPRODUCT(Oxides_typical!$C9:$BB9,Factors!$C$25:$BB$25)</f>
        <v>0</v>
      </c>
      <c r="S9" s="20">
        <f>SUMPRODUCT(Oxides_typical!$C9:$BB9,Factors!$C$26:$BB$26)</f>
        <v>0</v>
      </c>
      <c r="T9" s="20">
        <f>SUMPRODUCT(Oxides_typical!$C9:$BB9,Factors!$C$27:$BB$27)</f>
        <v>0</v>
      </c>
      <c r="U9" s="20">
        <f>SUMPRODUCT(Oxides_typical!$C9:$BB9,Factors!$C$28:$BB$28)</f>
        <v>0</v>
      </c>
      <c r="V9" s="20">
        <f>SUMPRODUCT(Oxides_typical!$C9:$BB9,Factors!$C$29:$BB$29)</f>
        <v>0</v>
      </c>
      <c r="W9" s="20">
        <f>SUMPRODUCT(Oxides_typical!$C9:$BB9,Factors!$C$30:$BB$30)</f>
        <v>0</v>
      </c>
      <c r="X9" s="20">
        <f>SUMPRODUCT(Oxides_typical!$C9:$BB9,Factors!$C$31:$BB$31)</f>
        <v>0</v>
      </c>
      <c r="Y9" s="20">
        <f>SUMPRODUCT(Oxides_typical!$C9:$BB9,Factors!$C$32:$BB$32)</f>
        <v>0</v>
      </c>
      <c r="Z9" s="20">
        <f>SUMPRODUCT(Oxides_typical!$C9:$BB9,Factors!$C$33:$BB$33)</f>
        <v>11.958094795737409</v>
      </c>
      <c r="AA9" s="20">
        <f>SUMPRODUCT(Oxides_typical!$C9:$BB9,Factors!$C$34:$BB$34)</f>
        <v>0</v>
      </c>
      <c r="AB9" s="20">
        <f>SUMPRODUCT(Oxides_typical!$C9:$BB9,Factors!$C$35:$BB$35)</f>
        <v>0</v>
      </c>
      <c r="AC9" s="20">
        <f>SUMPRODUCT(Oxides_typical!$C9:$BB9,Factors!$C$36:$BB$36)</f>
        <v>0</v>
      </c>
      <c r="AD9" s="20">
        <f>SUMPRODUCT(Oxides_typical!$C9:$BB9,Factors!$C$37:$BB$37)</f>
        <v>1.1705445462114905</v>
      </c>
      <c r="AE9" s="20">
        <f>SUMPRODUCT(Oxides_typical!$C9:$BB9,Factors!$C$38:$BB$38)</f>
        <v>0</v>
      </c>
      <c r="AF9" s="20">
        <f>SUMPRODUCT(Oxides_typical!$C9:$BB9,Factors!$C$39:$BB$39)</f>
        <v>0</v>
      </c>
      <c r="AG9" s="20">
        <f>SUMPRODUCT(Oxides_typical!$C9:$BB9,Factors!$C$40:$BB$40)</f>
        <v>0</v>
      </c>
      <c r="AH9" s="20">
        <f>SUMPRODUCT(Oxides_typical!$C9:$BB9,Factors!$C$41:$BB$41)</f>
        <v>0</v>
      </c>
      <c r="AI9" s="20">
        <f>SUMPRODUCT(Oxides_typical!$C9:$BB9,Factors!$C$42:$BB$42)</f>
        <v>0</v>
      </c>
      <c r="AJ9" s="20">
        <f>SUMPRODUCT(Oxides_typical!$C9:$BB9,Factors!$C$43:$BB$43)</f>
        <v>0</v>
      </c>
      <c r="AK9" s="20">
        <f>SUMPRODUCT(Oxides_typical!$C9:$BB9,Factors!$C$44:$BB$44)</f>
        <v>7.4012897267021787</v>
      </c>
      <c r="AL9" s="20">
        <f>SUMPRODUCT(Oxides_typical!$C9:$BB9,Factors!$C$45:$BB$45)</f>
        <v>15.188564325516634</v>
      </c>
      <c r="AM9" s="20">
        <f>SUMPRODUCT(Oxides_typical!$C9:$BB9,Factors!$C$46:$BB$46)</f>
        <v>0</v>
      </c>
      <c r="AN9" s="20">
        <f>SUMPRODUCT(Oxides_typical!$C9:$BB9,Factors!$C$47:$BB$47)</f>
        <v>3.2408056324131227</v>
      </c>
      <c r="AO9" s="20">
        <f>SUMPRODUCT(Oxides_typical!$C9:$BB9,Factors!$C$48:$BB$48)</f>
        <v>1.2762945310954155</v>
      </c>
      <c r="AP9" s="20">
        <f>SUMPRODUCT(Oxides_typical!$C9:$BB9,Factors!$C$49:$BB$49)</f>
        <v>0</v>
      </c>
      <c r="AQ9" s="20">
        <f>SUMPRODUCT(Oxides_typical!$C9:$BB9,Factors!$C$50:$BB$50)</f>
        <v>0</v>
      </c>
      <c r="AR9" s="20">
        <f>SUMPRODUCT(Oxides_typical!$C9:$BB9,Factors!$C$51:$BB$51)</f>
        <v>0</v>
      </c>
      <c r="AS9" s="20">
        <f>SUMPRODUCT(Oxides_typical!$C9:$BB9,Factors!$C$52:$BB$52)</f>
        <v>0</v>
      </c>
      <c r="AT9" s="20">
        <f>SUMPRODUCT(Oxides_typical!$C9:$BB9,Factors!$C$53:$BB$53)</f>
        <v>0</v>
      </c>
      <c r="AU9" s="20">
        <f>SUMPRODUCT(Oxides_typical!$C9:$BB9,Factors!$C$54:$BB$54)</f>
        <v>0</v>
      </c>
      <c r="AV9" s="20">
        <f>SUMPRODUCT(Oxides_typical!$C9:$BB9,Factors!$C$55:$BB$55)</f>
        <v>0</v>
      </c>
      <c r="AW9" s="20">
        <f>SUMPRODUCT(Oxides_typical!$C9:$BB9,Factors!$C$56:$BB$56)</f>
        <v>0</v>
      </c>
      <c r="AX9" s="20">
        <f>SUMPRODUCT(Oxides_typical!$C9:$BB9,Factors!$C$57:$BB$57)</f>
        <v>0</v>
      </c>
      <c r="AY9" s="20">
        <f>SUMPRODUCT(Oxides_typical!$C9:$BB9,Factors!$C$58:$BB$58)</f>
        <v>0</v>
      </c>
      <c r="AZ9" s="18">
        <f t="shared" si="0"/>
        <v>99.660000000000011</v>
      </c>
    </row>
    <row r="10" spans="1:52" x14ac:dyDescent="0.35">
      <c r="A10" s="13" t="s">
        <v>141</v>
      </c>
      <c r="B10" s="20">
        <f>SUMPRODUCT(Oxides_typical!$C10:$BB10,Factors!$C$9:$BB$9)</f>
        <v>18.722815357714069</v>
      </c>
      <c r="C10" s="20">
        <f>SUMPRODUCT(Oxides_typical!$C10:$BB10,Factors!$C$10:$BB$10)</f>
        <v>0.14023101376429273</v>
      </c>
      <c r="D10" s="20">
        <f>SUMPRODUCT(Oxides_typical!$C10:$BB10,Factors!$C$11:$BB$11)</f>
        <v>0</v>
      </c>
      <c r="E10" s="20">
        <f>SUMPRODUCT(Oxides_typical!$C10:$BB10,Factors!$C$12:$BB$12)</f>
        <v>0</v>
      </c>
      <c r="F10" s="20">
        <f>SUMPRODUCT(Oxides_typical!$C10:$BB10,Factors!$C$13:$BB$13)</f>
        <v>0</v>
      </c>
      <c r="G10" s="20">
        <f>SUMPRODUCT(Oxides_typical!$C10:$BB10,Factors!$C$14:$BB$14)</f>
        <v>0</v>
      </c>
      <c r="H10" s="20">
        <f>SUMPRODUCT(Oxides_typical!$C10:$BB10,Factors!$C$15:$BB$15)</f>
        <v>0</v>
      </c>
      <c r="I10" s="20">
        <f>SUMPRODUCT(Oxides_typical!$C10:$BB10,Factors!$C$16:$BB$16)</f>
        <v>0.31092366794721898</v>
      </c>
      <c r="J10" s="20">
        <f>SUMPRODUCT(Oxides_typical!$C10:$BB10,Factors!$C$17:$BB$17)</f>
        <v>0</v>
      </c>
      <c r="K10" s="20">
        <f>SUMPRODUCT(Oxides_typical!$C10:$BB10,Factors!$C$18:$BB$18)</f>
        <v>0</v>
      </c>
      <c r="L10" s="20">
        <f>SUMPRODUCT(Oxides_typical!$C10:$BB10,Factors!$C$19:$BB$19)</f>
        <v>0</v>
      </c>
      <c r="M10" s="20">
        <f>SUMPRODUCT(Oxides_typical!$C10:$BB10,Factors!$C$20:$BB$20)</f>
        <v>0</v>
      </c>
      <c r="N10" s="20">
        <f>SUMPRODUCT(Oxides_typical!$C10:$BB10,Factors!$C$21:$BB$21)</f>
        <v>0.57175669169178089</v>
      </c>
      <c r="O10" s="20">
        <f>SUMPRODUCT(Oxides_typical!$C10:$BB10,Factors!$C$22:$BB$22)</f>
        <v>0</v>
      </c>
      <c r="P10" s="20">
        <f>SUMPRODUCT(Oxides_typical!$C10:$BB10,Factors!$C$23:$BB$23)</f>
        <v>0</v>
      </c>
      <c r="Q10" s="20">
        <f>SUMPRODUCT(Oxides_typical!$C10:$BB10,Factors!$C$24:$BB$24)</f>
        <v>0</v>
      </c>
      <c r="R10" s="20">
        <f>SUMPRODUCT(Oxides_typical!$C10:$BB10,Factors!$C$25:$BB$25)</f>
        <v>0</v>
      </c>
      <c r="S10" s="20">
        <f>SUMPRODUCT(Oxides_typical!$C10:$BB10,Factors!$C$26:$BB$26)</f>
        <v>0</v>
      </c>
      <c r="T10" s="20">
        <f>SUMPRODUCT(Oxides_typical!$C10:$BB10,Factors!$C$27:$BB$27)</f>
        <v>0</v>
      </c>
      <c r="U10" s="20">
        <f>SUMPRODUCT(Oxides_typical!$C10:$BB10,Factors!$C$28:$BB$28)</f>
        <v>0</v>
      </c>
      <c r="V10" s="20">
        <f>SUMPRODUCT(Oxides_typical!$C10:$BB10,Factors!$C$29:$BB$29)</f>
        <v>0</v>
      </c>
      <c r="W10" s="20">
        <f>SUMPRODUCT(Oxides_typical!$C10:$BB10,Factors!$C$30:$BB$30)</f>
        <v>0</v>
      </c>
      <c r="X10" s="20">
        <f>SUMPRODUCT(Oxides_typical!$C10:$BB10,Factors!$C$31:$BB$31)</f>
        <v>0</v>
      </c>
      <c r="Y10" s="20">
        <f>SUMPRODUCT(Oxides_typical!$C10:$BB10,Factors!$C$32:$BB$32)</f>
        <v>0</v>
      </c>
      <c r="Z10" s="20">
        <f>SUMPRODUCT(Oxides_typical!$C10:$BB10,Factors!$C$33:$BB$33)</f>
        <v>0</v>
      </c>
      <c r="AA10" s="20">
        <f>SUMPRODUCT(Oxides_typical!$C10:$BB10,Factors!$C$34:$BB$34)</f>
        <v>0</v>
      </c>
      <c r="AB10" s="20">
        <f>SUMPRODUCT(Oxides_typical!$C10:$BB10,Factors!$C$35:$BB$35)</f>
        <v>0</v>
      </c>
      <c r="AC10" s="20">
        <f>SUMPRODUCT(Oxides_typical!$C10:$BB10,Factors!$C$36:$BB$36)</f>
        <v>0</v>
      </c>
      <c r="AD10" s="20">
        <f>SUMPRODUCT(Oxides_typical!$C10:$BB10,Factors!$C$37:$BB$37)</f>
        <v>5.5953372189841796E-2</v>
      </c>
      <c r="AE10" s="20">
        <f>SUMPRODUCT(Oxides_typical!$C10:$BB10,Factors!$C$38:$BB$38)</f>
        <v>0</v>
      </c>
      <c r="AF10" s="20">
        <f>SUMPRODUCT(Oxides_typical!$C10:$BB10,Factors!$C$39:$BB$39)</f>
        <v>0</v>
      </c>
      <c r="AG10" s="20">
        <f>SUMPRODUCT(Oxides_typical!$C10:$BB10,Factors!$C$40:$BB$40)</f>
        <v>3.5152473699579261</v>
      </c>
      <c r="AH10" s="20">
        <f>SUMPRODUCT(Oxides_typical!$C10:$BB10,Factors!$C$41:$BB$41)</f>
        <v>0</v>
      </c>
      <c r="AI10" s="20">
        <f>SUMPRODUCT(Oxides_typical!$C10:$BB10,Factors!$C$42:$BB$42)</f>
        <v>0</v>
      </c>
      <c r="AJ10" s="20">
        <f>SUMPRODUCT(Oxides_typical!$C10:$BB10,Factors!$C$43:$BB$43)</f>
        <v>0.39372197738368608</v>
      </c>
      <c r="AK10" s="20">
        <f>SUMPRODUCT(Oxides_typical!$C10:$BB10,Factors!$C$44:$BB$44)</f>
        <v>1.2790247223563673</v>
      </c>
      <c r="AL10" s="20">
        <f>SUMPRODUCT(Oxides_typical!$C10:$BB10,Factors!$C$45:$BB$45)</f>
        <v>73.267950312002512</v>
      </c>
      <c r="AM10" s="20">
        <f>SUMPRODUCT(Oxides_typical!$C10:$BB10,Factors!$C$46:$BB$46)</f>
        <v>0.25634153387599345</v>
      </c>
      <c r="AN10" s="20">
        <f>SUMPRODUCT(Oxides_typical!$C10:$BB10,Factors!$C$47:$BB$47)</f>
        <v>1.2860339811163186</v>
      </c>
      <c r="AO10" s="20">
        <f>SUMPRODUCT(Oxides_typical!$C10:$BB10,Factors!$C$48:$BB$48)</f>
        <v>0</v>
      </c>
      <c r="AP10" s="20">
        <f>SUMPRODUCT(Oxides_typical!$C10:$BB10,Factors!$C$49:$BB$49)</f>
        <v>0</v>
      </c>
      <c r="AQ10" s="20">
        <f>SUMPRODUCT(Oxides_typical!$C10:$BB10,Factors!$C$50:$BB$50)</f>
        <v>0</v>
      </c>
      <c r="AR10" s="20">
        <f>SUMPRODUCT(Oxides_typical!$C10:$BB10,Factors!$C$51:$BB$51)</f>
        <v>0</v>
      </c>
      <c r="AS10" s="20">
        <f>SUMPRODUCT(Oxides_typical!$C10:$BB10,Factors!$C$52:$BB$52)</f>
        <v>0</v>
      </c>
      <c r="AT10" s="20">
        <f>SUMPRODUCT(Oxides_typical!$C10:$BB10,Factors!$C$53:$BB$53)</f>
        <v>0</v>
      </c>
      <c r="AU10" s="20">
        <f>SUMPRODUCT(Oxides_typical!$C10:$BB10,Factors!$C$54:$BB$54)</f>
        <v>0</v>
      </c>
      <c r="AV10" s="20">
        <f>SUMPRODUCT(Oxides_typical!$C10:$BB10,Factors!$C$55:$BB$55)</f>
        <v>0</v>
      </c>
      <c r="AW10" s="20">
        <f>SUMPRODUCT(Oxides_typical!$C10:$BB10,Factors!$C$56:$BB$56)</f>
        <v>0</v>
      </c>
      <c r="AX10" s="20">
        <f>SUMPRODUCT(Oxides_typical!$C10:$BB10,Factors!$C$57:$BB$57)</f>
        <v>0</v>
      </c>
      <c r="AY10" s="20">
        <f>SUMPRODUCT(Oxides_typical!$C10:$BB10,Factors!$C$58:$BB$58)</f>
        <v>0</v>
      </c>
      <c r="AZ10" s="18">
        <f t="shared" si="0"/>
        <v>99.800000000000011</v>
      </c>
    </row>
    <row r="11" spans="1:52" x14ac:dyDescent="0.35">
      <c r="A11" s="13" t="s">
        <v>143</v>
      </c>
      <c r="B11" s="20">
        <f>SUMPRODUCT(Oxides_typical!$C11:$BB11,Factors!$C$9:$BB$9)</f>
        <v>26.077946468545978</v>
      </c>
      <c r="C11" s="20">
        <f>SUMPRODUCT(Oxides_typical!$C11:$BB11,Factors!$C$10:$BB$10)</f>
        <v>0</v>
      </c>
      <c r="D11" s="20">
        <f>SUMPRODUCT(Oxides_typical!$C11:$BB11,Factors!$C$11:$BB$11)</f>
        <v>2.1756365116133476</v>
      </c>
      <c r="E11" s="20">
        <f>SUMPRODUCT(Oxides_typical!$C11:$BB11,Factors!$C$12:$BB$12)</f>
        <v>2.3986443979159566</v>
      </c>
      <c r="F11" s="20">
        <f>SUMPRODUCT(Oxides_typical!$C11:$BB11,Factors!$C$13:$BB$13)</f>
        <v>0</v>
      </c>
      <c r="G11" s="20">
        <f>SUMPRODUCT(Oxides_typical!$C11:$BB11,Factors!$C$14:$BB$14)</f>
        <v>0</v>
      </c>
      <c r="H11" s="20">
        <f>SUMPRODUCT(Oxides_typical!$C11:$BB11,Factors!$C$15:$BB$15)</f>
        <v>0</v>
      </c>
      <c r="I11" s="20">
        <f>SUMPRODUCT(Oxides_typical!$C11:$BB11,Factors!$C$16:$BB$16)</f>
        <v>0.88613245364957405</v>
      </c>
      <c r="J11" s="20">
        <f>SUMPRODUCT(Oxides_typical!$C11:$BB11,Factors!$C$17:$BB$17)</f>
        <v>6.9701578768915154E-2</v>
      </c>
      <c r="K11" s="20">
        <f>SUMPRODUCT(Oxides_typical!$C11:$BB11,Factors!$C$18:$BB$18)</f>
        <v>0</v>
      </c>
      <c r="L11" s="20">
        <f>SUMPRODUCT(Oxides_typical!$C11:$BB11,Factors!$C$19:$BB$19)</f>
        <v>0</v>
      </c>
      <c r="M11" s="20">
        <f>SUMPRODUCT(Oxides_typical!$C11:$BB11,Factors!$C$20:$BB$20)</f>
        <v>6.0304188169908691E-3</v>
      </c>
      <c r="N11" s="20">
        <f>SUMPRODUCT(Oxides_typical!$C11:$BB11,Factors!$C$21:$BB$21)</f>
        <v>11.935420939065926</v>
      </c>
      <c r="O11" s="20">
        <f>SUMPRODUCT(Oxides_typical!$C11:$BB11,Factors!$C$22:$BB$22)</f>
        <v>0.28750325712465868</v>
      </c>
      <c r="P11" s="20">
        <f>SUMPRODUCT(Oxides_typical!$C11:$BB11,Factors!$C$23:$BB$23)</f>
        <v>0</v>
      </c>
      <c r="Q11" s="20">
        <f>SUMPRODUCT(Oxides_typical!$C11:$BB11,Factors!$C$24:$BB$24)</f>
        <v>0.2227966971178186</v>
      </c>
      <c r="R11" s="20">
        <f>SUMPRODUCT(Oxides_typical!$C11:$BB11,Factors!$C$25:$BB$25)</f>
        <v>3.8725209864516037</v>
      </c>
      <c r="S11" s="20">
        <f>SUMPRODUCT(Oxides_typical!$C11:$BB11,Factors!$C$26:$BB$26)</f>
        <v>0</v>
      </c>
      <c r="T11" s="20">
        <f>SUMPRODUCT(Oxides_typical!$C11:$BB11,Factors!$C$27:$BB$27)</f>
        <v>0</v>
      </c>
      <c r="U11" s="20">
        <f>SUMPRODUCT(Oxides_typical!$C11:$BB11,Factors!$C$28:$BB$28)</f>
        <v>0</v>
      </c>
      <c r="V11" s="20">
        <f>SUMPRODUCT(Oxides_typical!$C11:$BB11,Factors!$C$29:$BB$29)</f>
        <v>0</v>
      </c>
      <c r="W11" s="20">
        <f>SUMPRODUCT(Oxides_typical!$C11:$BB11,Factors!$C$30:$BB$30)</f>
        <v>42.362393375001048</v>
      </c>
      <c r="X11" s="20">
        <f>SUMPRODUCT(Oxides_typical!$C11:$BB11,Factors!$C$31:$BB$31)</f>
        <v>4.9138265755998153E-2</v>
      </c>
      <c r="Y11" s="20">
        <f>SUMPRODUCT(Oxides_typical!$C11:$BB11,Factors!$C$32:$BB$32)</f>
        <v>0</v>
      </c>
      <c r="Z11" s="20">
        <f>SUMPRODUCT(Oxides_typical!$C11:$BB11,Factors!$C$33:$BB$33)</f>
        <v>0</v>
      </c>
      <c r="AA11" s="20">
        <f>SUMPRODUCT(Oxides_typical!$C11:$BB11,Factors!$C$34:$BB$34)</f>
        <v>0</v>
      </c>
      <c r="AB11" s="20">
        <f>SUMPRODUCT(Oxides_typical!$C11:$BB11,Factors!$C$35:$BB$35)</f>
        <v>0</v>
      </c>
      <c r="AC11" s="20">
        <f>SUMPRODUCT(Oxides_typical!$C11:$BB11,Factors!$C$36:$BB$36)</f>
        <v>0</v>
      </c>
      <c r="AD11" s="20">
        <f>SUMPRODUCT(Oxides_typical!$C11:$BB11,Factors!$C$37:$BB$37)</f>
        <v>0</v>
      </c>
      <c r="AE11" s="20">
        <f>SUMPRODUCT(Oxides_typical!$C11:$BB11,Factors!$C$38:$BB$38)</f>
        <v>3.8</v>
      </c>
      <c r="AF11" s="20">
        <f>SUMPRODUCT(Oxides_typical!$C11:$BB11,Factors!$C$39:$BB$39)</f>
        <v>0</v>
      </c>
      <c r="AG11" s="20">
        <f>SUMPRODUCT(Oxides_typical!$C11:$BB11,Factors!$C$40:$BB$40)</f>
        <v>0.94911678988864012</v>
      </c>
      <c r="AH11" s="20">
        <f>SUMPRODUCT(Oxides_typical!$C11:$BB11,Factors!$C$41:$BB$41)</f>
        <v>8.8150069931919012E-2</v>
      </c>
      <c r="AI11" s="20">
        <f>SUMPRODUCT(Oxides_typical!$C11:$BB11,Factors!$C$42:$BB$42)</f>
        <v>0</v>
      </c>
      <c r="AJ11" s="20">
        <f>SUMPRODUCT(Oxides_typical!$C11:$BB11,Factors!$C$43:$BB$43)</f>
        <v>0.18898654914416932</v>
      </c>
      <c r="AK11" s="20">
        <f>SUMPRODUCT(Oxides_typical!$C11:$BB11,Factors!$C$44:$BB$44)</f>
        <v>0.51160988894254689</v>
      </c>
      <c r="AL11" s="20">
        <f>SUMPRODUCT(Oxides_typical!$C11:$BB11,Factors!$C$45:$BB$45)</f>
        <v>1.5794740866894759</v>
      </c>
      <c r="AM11" s="20">
        <f>SUMPRODUCT(Oxides_typical!$C11:$BB11,Factors!$C$46:$BB$46)</f>
        <v>0.14526020252972965</v>
      </c>
      <c r="AN11" s="20">
        <f>SUMPRODUCT(Oxides_typical!$C11:$BB11,Factors!$C$47:$BB$47)</f>
        <v>0.49726647269830981</v>
      </c>
      <c r="AO11" s="20">
        <f>SUMPRODUCT(Oxides_typical!$C11:$BB11,Factors!$C$48:$BB$48)</f>
        <v>8.6236116965906454E-2</v>
      </c>
      <c r="AP11" s="20">
        <f>SUMPRODUCT(Oxides_typical!$C11:$BB11,Factors!$C$49:$BB$49)</f>
        <v>0</v>
      </c>
      <c r="AQ11" s="20">
        <f>SUMPRODUCT(Oxides_typical!$C11:$BB11,Factors!$C$50:$BB$50)</f>
        <v>0</v>
      </c>
      <c r="AR11" s="20">
        <f>SUMPRODUCT(Oxides_typical!$C11:$BB11,Factors!$C$51:$BB$51)</f>
        <v>0</v>
      </c>
      <c r="AS11" s="20">
        <f>SUMPRODUCT(Oxides_typical!$C11:$BB11,Factors!$C$52:$BB$52)</f>
        <v>0</v>
      </c>
      <c r="AT11" s="20">
        <f>SUMPRODUCT(Oxides_typical!$C11:$BB11,Factors!$C$53:$BB$53)</f>
        <v>0</v>
      </c>
      <c r="AU11" s="20">
        <f>SUMPRODUCT(Oxides_typical!$C11:$BB11,Factors!$C$54:$BB$54)</f>
        <v>0</v>
      </c>
      <c r="AV11" s="20">
        <f>SUMPRODUCT(Oxides_typical!$C11:$BB11,Factors!$C$55:$BB$55)</f>
        <v>0</v>
      </c>
      <c r="AW11" s="20">
        <f>SUMPRODUCT(Oxides_typical!$C11:$BB11,Factors!$C$56:$BB$56)</f>
        <v>0</v>
      </c>
      <c r="AX11" s="20">
        <f>SUMPRODUCT(Oxides_typical!$C11:$BB11,Factors!$C$57:$BB$57)</f>
        <v>0</v>
      </c>
      <c r="AY11" s="20">
        <f>SUMPRODUCT(Oxides_typical!$C11:$BB11,Factors!$C$58:$BB$58)</f>
        <v>0</v>
      </c>
      <c r="AZ11" s="18">
        <f t="shared" si="0"/>
        <v>98.189965526618508</v>
      </c>
    </row>
    <row r="12" spans="1:52" x14ac:dyDescent="0.35">
      <c r="A12" s="13" t="s">
        <v>145</v>
      </c>
      <c r="B12" s="20">
        <f>SUMPRODUCT(Oxides_typical!$C12:$BB12,Factors!$C$9:$BB$9)</f>
        <v>33.957995633374402</v>
      </c>
      <c r="C12" s="20">
        <f>SUMPRODUCT(Oxides_typical!$C12:$BB12,Factors!$C$10:$BB$10)</f>
        <v>0</v>
      </c>
      <c r="D12" s="20">
        <f>SUMPRODUCT(Oxides_typical!$C12:$BB12,Factors!$C$11:$BB$11)</f>
        <v>0</v>
      </c>
      <c r="E12" s="20">
        <f>SUMPRODUCT(Oxides_typical!$C12:$BB12,Factors!$C$12:$BB$12)</f>
        <v>0</v>
      </c>
      <c r="F12" s="20">
        <f>SUMPRODUCT(Oxides_typical!$C12:$BB12,Factors!$C$13:$BB$13)</f>
        <v>0</v>
      </c>
      <c r="G12" s="20">
        <f>SUMPRODUCT(Oxides_typical!$C12:$BB12,Factors!$C$14:$BB$14)</f>
        <v>0</v>
      </c>
      <c r="H12" s="20">
        <f>SUMPRODUCT(Oxides_typical!$C12:$BB12,Factors!$C$15:$BB$15)</f>
        <v>0</v>
      </c>
      <c r="I12" s="20">
        <f>SUMPRODUCT(Oxides_typical!$C12:$BB12,Factors!$C$16:$BB$16)</f>
        <v>0.14768874227492901</v>
      </c>
      <c r="J12" s="20">
        <f>SUMPRODUCT(Oxides_typical!$C12:$BB12,Factors!$C$17:$BB$17)</f>
        <v>0</v>
      </c>
      <c r="K12" s="20">
        <f>SUMPRODUCT(Oxides_typical!$C12:$BB12,Factors!$C$18:$BB$18)</f>
        <v>0</v>
      </c>
      <c r="L12" s="20">
        <f>SUMPRODUCT(Oxides_typical!$C12:$BB12,Factors!$C$19:$BB$19)</f>
        <v>0</v>
      </c>
      <c r="M12" s="20">
        <f>SUMPRODUCT(Oxides_typical!$C12:$BB12,Factors!$C$20:$BB$20)</f>
        <v>0</v>
      </c>
      <c r="N12" s="20">
        <f>SUMPRODUCT(Oxides_typical!$C12:$BB12,Factors!$C$21:$BB$21)</f>
        <v>0.96483941722988031</v>
      </c>
      <c r="O12" s="20">
        <f>SUMPRODUCT(Oxides_typical!$C12:$BB12,Factors!$C$22:$BB$22)</f>
        <v>20.268979627288434</v>
      </c>
      <c r="P12" s="20">
        <f>SUMPRODUCT(Oxides_typical!$C12:$BB12,Factors!$C$23:$BB$23)</f>
        <v>0</v>
      </c>
      <c r="Q12" s="20">
        <f>SUMPRODUCT(Oxides_typical!$C12:$BB12,Factors!$C$24:$BB$24)</f>
        <v>0</v>
      </c>
      <c r="R12" s="20">
        <f>SUMPRODUCT(Oxides_typical!$C12:$BB12,Factors!$C$25:$BB$25)</f>
        <v>0</v>
      </c>
      <c r="S12" s="20">
        <f>SUMPRODUCT(Oxides_typical!$C12:$BB12,Factors!$C$26:$BB$26)</f>
        <v>0</v>
      </c>
      <c r="T12" s="20">
        <f>SUMPRODUCT(Oxides_typical!$C12:$BB12,Factors!$C$27:$BB$27)</f>
        <v>0</v>
      </c>
      <c r="U12" s="20">
        <f>SUMPRODUCT(Oxides_typical!$C12:$BB12,Factors!$C$28:$BB$28)</f>
        <v>0</v>
      </c>
      <c r="V12" s="20">
        <f>SUMPRODUCT(Oxides_typical!$C12:$BB12,Factors!$C$29:$BB$29)</f>
        <v>0</v>
      </c>
      <c r="W12" s="20">
        <f>SUMPRODUCT(Oxides_typical!$C12:$BB12,Factors!$C$30:$BB$30)</f>
        <v>0</v>
      </c>
      <c r="X12" s="20">
        <f>SUMPRODUCT(Oxides_typical!$C12:$BB12,Factors!$C$31:$BB$31)</f>
        <v>0</v>
      </c>
      <c r="Y12" s="20">
        <f>SUMPRODUCT(Oxides_typical!$C12:$BB12,Factors!$C$32:$BB$32)</f>
        <v>0</v>
      </c>
      <c r="Z12" s="20">
        <f>SUMPRODUCT(Oxides_typical!$C12:$BB12,Factors!$C$33:$BB$33)</f>
        <v>0</v>
      </c>
      <c r="AA12" s="20">
        <f>SUMPRODUCT(Oxides_typical!$C12:$BB12,Factors!$C$34:$BB$34)</f>
        <v>0</v>
      </c>
      <c r="AB12" s="20">
        <f>SUMPRODUCT(Oxides_typical!$C12:$BB12,Factors!$C$35:$BB$35)</f>
        <v>0</v>
      </c>
      <c r="AC12" s="20">
        <f>SUMPRODUCT(Oxides_typical!$C12:$BB12,Factors!$C$36:$BB$36)</f>
        <v>6.3972787384398648</v>
      </c>
      <c r="AD12" s="20">
        <f>SUMPRODUCT(Oxides_typical!$C12:$BB12,Factors!$C$37:$BB$37)</f>
        <v>0.79006161532056607</v>
      </c>
      <c r="AE12" s="20">
        <f>SUMPRODUCT(Oxides_typical!$C12:$BB12,Factors!$C$38:$BB$38)</f>
        <v>0</v>
      </c>
      <c r="AF12" s="20">
        <f>SUMPRODUCT(Oxides_typical!$C12:$BB12,Factors!$C$39:$BB$39)</f>
        <v>0</v>
      </c>
      <c r="AG12" s="20">
        <f>SUMPRODUCT(Oxides_typical!$C12:$BB12,Factors!$C$40:$BB$40)</f>
        <v>0.46577027651942521</v>
      </c>
      <c r="AH12" s="20">
        <f>SUMPRODUCT(Oxides_typical!$C12:$BB12,Factors!$C$41:$BB$41)</f>
        <v>0</v>
      </c>
      <c r="AI12" s="20">
        <f>SUMPRODUCT(Oxides_typical!$C12:$BB12,Factors!$C$42:$BB$42)</f>
        <v>0</v>
      </c>
      <c r="AJ12" s="20">
        <f>SUMPRODUCT(Oxides_typical!$C12:$BB12,Factors!$C$43:$BB$43)</f>
        <v>0</v>
      </c>
      <c r="AK12" s="20">
        <f>SUMPRODUCT(Oxides_typical!$C12:$BB12,Factors!$C$44:$BB$44)</f>
        <v>11.153095578947523</v>
      </c>
      <c r="AL12" s="20">
        <f>SUMPRODUCT(Oxides_typical!$C12:$BB12,Factors!$C$45:$BB$45)</f>
        <v>19.978212772180395</v>
      </c>
      <c r="AM12" s="20">
        <f>SUMPRODUCT(Oxides_typical!$C12:$BB12,Factors!$C$46:$BB$46)</f>
        <v>1.6576752523980911</v>
      </c>
      <c r="AN12" s="20">
        <f>SUMPRODUCT(Oxides_typical!$C12:$BB12,Factors!$C$47:$BB$47)</f>
        <v>4.5868545326482026</v>
      </c>
      <c r="AO12" s="20">
        <f>SUMPRODUCT(Oxides_typical!$C12:$BB12,Factors!$C$48:$BB$48)</f>
        <v>0.25008473920112867</v>
      </c>
      <c r="AP12" s="20">
        <f>SUMPRODUCT(Oxides_typical!$C12:$BB12,Factors!$C$49:$BB$49)</f>
        <v>0</v>
      </c>
      <c r="AQ12" s="20">
        <f>SUMPRODUCT(Oxides_typical!$C12:$BB12,Factors!$C$50:$BB$50)</f>
        <v>0.12146307417716562</v>
      </c>
      <c r="AR12" s="20">
        <f>SUMPRODUCT(Oxides_typical!$C12:$BB12,Factors!$C$51:$BB$51)</f>
        <v>0</v>
      </c>
      <c r="AS12" s="20">
        <f>SUMPRODUCT(Oxides_typical!$C12:$BB12,Factors!$C$52:$BB$52)</f>
        <v>0</v>
      </c>
      <c r="AT12" s="20">
        <f>SUMPRODUCT(Oxides_typical!$C12:$BB12,Factors!$C$53:$BB$53)</f>
        <v>0</v>
      </c>
      <c r="AU12" s="20">
        <f>SUMPRODUCT(Oxides_typical!$C12:$BB12,Factors!$C$54:$BB$54)</f>
        <v>0</v>
      </c>
      <c r="AV12" s="20">
        <f>SUMPRODUCT(Oxides_typical!$C12:$BB12,Factors!$C$55:$BB$55)</f>
        <v>0</v>
      </c>
      <c r="AW12" s="20">
        <f>SUMPRODUCT(Oxides_typical!$C12:$BB12,Factors!$C$56:$BB$56)</f>
        <v>0</v>
      </c>
      <c r="AX12" s="20">
        <f>SUMPRODUCT(Oxides_typical!$C12:$BB12,Factors!$C$57:$BB$57)</f>
        <v>0</v>
      </c>
      <c r="AY12" s="20">
        <f>SUMPRODUCT(Oxides_typical!$C12:$BB12,Factors!$C$58:$BB$58)</f>
        <v>0</v>
      </c>
      <c r="AZ12" s="18">
        <f t="shared" si="0"/>
        <v>100.74000000000002</v>
      </c>
    </row>
    <row r="13" spans="1:52" x14ac:dyDescent="0.35">
      <c r="A13" s="13" t="s">
        <v>147</v>
      </c>
      <c r="B13" s="20">
        <f>SUMPRODUCT(Oxides_typical!$C13:$BB13,Factors!$C$9:$BB$9)</f>
        <v>51.853947246292933</v>
      </c>
      <c r="C13" s="20">
        <f>SUMPRODUCT(Oxides_typical!$C13:$BB13,Factors!$C$10:$BB$10)</f>
        <v>28.42015212289666</v>
      </c>
      <c r="D13" s="20">
        <f>SUMPRODUCT(Oxides_typical!$C13:$BB13,Factors!$C$11:$BB$11)</f>
        <v>3.5960934076253677E-2</v>
      </c>
      <c r="E13" s="20">
        <f>SUMPRODUCT(Oxides_typical!$C13:$BB13,Factors!$C$12:$BB$12)</f>
        <v>0</v>
      </c>
      <c r="F13" s="20">
        <f>SUMPRODUCT(Oxides_typical!$C13:$BB13,Factors!$C$13:$BB$13)</f>
        <v>0</v>
      </c>
      <c r="G13" s="20">
        <f>SUMPRODUCT(Oxides_typical!$C13:$BB13,Factors!$C$14:$BB$14)</f>
        <v>0</v>
      </c>
      <c r="H13" s="20">
        <f>SUMPRODUCT(Oxides_typical!$C13:$BB13,Factors!$C$15:$BB$15)</f>
        <v>12.860943319020837</v>
      </c>
      <c r="I13" s="20">
        <f>SUMPRODUCT(Oxides_typical!$C13:$BB13,Factors!$C$16:$BB$16)</f>
        <v>0.53156737868455162</v>
      </c>
      <c r="J13" s="20">
        <f>SUMPRODUCT(Oxides_typical!$C13:$BB13,Factors!$C$17:$BB$17)</f>
        <v>9.2935438358553529E-2</v>
      </c>
      <c r="K13" s="20">
        <f>SUMPRODUCT(Oxides_typical!$C13:$BB13,Factors!$C$18:$BB$18)</f>
        <v>0</v>
      </c>
      <c r="L13" s="20">
        <f>SUMPRODUCT(Oxides_typical!$C13:$BB13,Factors!$C$19:$BB$19)</f>
        <v>0</v>
      </c>
      <c r="M13" s="20">
        <f>SUMPRODUCT(Oxides_typical!$C13:$BB13,Factors!$C$20:$BB$20)</f>
        <v>3.0152094084954346E-2</v>
      </c>
      <c r="N13" s="20">
        <f>SUMPRODUCT(Oxides_typical!$C13:$BB13,Factors!$C$21:$BB$21)</f>
        <v>4.2881751876883568E-2</v>
      </c>
      <c r="O13" s="20">
        <f>SUMPRODUCT(Oxides_typical!$C13:$BB13,Factors!$C$22:$BB$22)</f>
        <v>0</v>
      </c>
      <c r="P13" s="20">
        <f>SUMPRODUCT(Oxides_typical!$C13:$BB13,Factors!$C$23:$BB$23)</f>
        <v>0</v>
      </c>
      <c r="Q13" s="20">
        <f>SUMPRODUCT(Oxides_typical!$C13:$BB13,Factors!$C$24:$BB$24)</f>
        <v>0</v>
      </c>
      <c r="R13" s="20">
        <f>SUMPRODUCT(Oxides_typical!$C13:$BB13,Factors!$C$25:$BB$25)</f>
        <v>0.10386071611172885</v>
      </c>
      <c r="S13" s="20">
        <f>SUMPRODUCT(Oxides_typical!$C13:$BB13,Factors!$C$26:$BB$26)</f>
        <v>4.8314805787106829</v>
      </c>
      <c r="T13" s="20">
        <f>SUMPRODUCT(Oxides_typical!$C13:$BB13,Factors!$C$27:$BB$27)</f>
        <v>0</v>
      </c>
      <c r="U13" s="20">
        <f>SUMPRODUCT(Oxides_typical!$C13:$BB13,Factors!$C$28:$BB$28)</f>
        <v>0</v>
      </c>
      <c r="V13" s="20">
        <f>SUMPRODUCT(Oxides_typical!$C13:$BB13,Factors!$C$29:$BB$29)</f>
        <v>0</v>
      </c>
      <c r="W13" s="20">
        <f>SUMPRODUCT(Oxides_typical!$C13:$BB13,Factors!$C$30:$BB$30)</f>
        <v>0</v>
      </c>
      <c r="X13" s="20">
        <f>SUMPRODUCT(Oxides_typical!$C13:$BB13,Factors!$C$31:$BB$31)</f>
        <v>0</v>
      </c>
      <c r="Y13" s="20">
        <f>SUMPRODUCT(Oxides_typical!$C13:$BB13,Factors!$C$32:$BB$32)</f>
        <v>0</v>
      </c>
      <c r="Z13" s="20">
        <f>SUMPRODUCT(Oxides_typical!$C13:$BB13,Factors!$C$33:$BB$33)</f>
        <v>4.3642681736267919E-3</v>
      </c>
      <c r="AA13" s="20">
        <f>SUMPRODUCT(Oxides_typical!$C13:$BB13,Factors!$C$34:$BB$34)</f>
        <v>0</v>
      </c>
      <c r="AB13" s="20">
        <f>SUMPRODUCT(Oxides_typical!$C13:$BB13,Factors!$C$35:$BB$35)</f>
        <v>0</v>
      </c>
      <c r="AC13" s="20">
        <f>SUMPRODUCT(Oxides_typical!$C13:$BB13,Factors!$C$36:$BB$36)</f>
        <v>0</v>
      </c>
      <c r="AD13" s="20">
        <f>SUMPRODUCT(Oxides_typical!$C13:$BB13,Factors!$C$37:$BB$37)</f>
        <v>0.83930058284762699</v>
      </c>
      <c r="AE13" s="20">
        <f>SUMPRODUCT(Oxides_typical!$C13:$BB13,Factors!$C$38:$BB$38)</f>
        <v>0</v>
      </c>
      <c r="AF13" s="20">
        <f>SUMPRODUCT(Oxides_typical!$C13:$BB13,Factors!$C$39:$BB$39)</f>
        <v>0</v>
      </c>
      <c r="AG13" s="20">
        <f>SUMPRODUCT(Oxides_typical!$C13:$BB13,Factors!$C$40:$BB$40)</f>
        <v>0</v>
      </c>
      <c r="AH13" s="20">
        <f>SUMPRODUCT(Oxides_typical!$C13:$BB13,Factors!$C$41:$BB$41)</f>
        <v>0</v>
      </c>
      <c r="AI13" s="20">
        <f>SUMPRODUCT(Oxides_typical!$C13:$BB13,Factors!$C$42:$BB$42)</f>
        <v>0</v>
      </c>
      <c r="AJ13" s="20">
        <f>SUMPRODUCT(Oxides_typical!$C13:$BB13,Factors!$C$43:$BB$43)</f>
        <v>7.7169507567202478E-2</v>
      </c>
      <c r="AK13" s="20">
        <f>SUMPRODUCT(Oxides_typical!$C13:$BB13,Factors!$C$44:$BB$44)</f>
        <v>2.3022445002414613E-3</v>
      </c>
      <c r="AL13" s="20">
        <f>SUMPRODUCT(Oxides_typical!$C13:$BB13,Factors!$C$45:$BB$45)</f>
        <v>5.122618659533435E-4</v>
      </c>
      <c r="AM13" s="20">
        <f>SUMPRODUCT(Oxides_typical!$C13:$BB13,Factors!$C$46:$BB$46)</f>
        <v>8.544717795866449E-4</v>
      </c>
      <c r="AN13" s="20">
        <f>SUMPRODUCT(Oxides_typical!$C13:$BB13,Factors!$C$47:$BB$47)</f>
        <v>3.8581019433489554E-3</v>
      </c>
      <c r="AO13" s="20">
        <f>SUMPRODUCT(Oxides_typical!$C13:$BB13,Factors!$C$48:$BB$48)</f>
        <v>3.6219169125680708E-3</v>
      </c>
      <c r="AP13" s="20">
        <f>SUMPRODUCT(Oxides_typical!$C13:$BB13,Factors!$C$49:$BB$49)</f>
        <v>1.2954237408538749E-4</v>
      </c>
      <c r="AQ13" s="20">
        <f>SUMPRODUCT(Oxides_typical!$C13:$BB13,Factors!$C$50:$BB$50)</f>
        <v>9.0229712245894437E-3</v>
      </c>
      <c r="AR13" s="20">
        <f>SUMPRODUCT(Oxides_typical!$C13:$BB13,Factors!$C$51:$BB$51)</f>
        <v>1.7376121265761681E-3</v>
      </c>
      <c r="AS13" s="20">
        <f>SUMPRODUCT(Oxides_typical!$C13:$BB13,Factors!$C$52:$BB$52)</f>
        <v>8.8003388767201873E-3</v>
      </c>
      <c r="AT13" s="20">
        <f>SUMPRODUCT(Oxides_typical!$C13:$BB13,Factors!$C$53:$BB$53)</f>
        <v>2.0951423454006464E-3</v>
      </c>
      <c r="AU13" s="20">
        <f>SUMPRODUCT(Oxides_typical!$C13:$BB13,Factors!$C$54:$BB$54)</f>
        <v>6.4714670012940671E-3</v>
      </c>
      <c r="AV13" s="20">
        <f>SUMPRODUCT(Oxides_typical!$C13:$BB13,Factors!$C$55:$BB$55)</f>
        <v>9.6317328652185074E-4</v>
      </c>
      <c r="AW13" s="20">
        <f>SUMPRODUCT(Oxides_typical!$C13:$BB13,Factors!$C$56:$BB$56)</f>
        <v>3.3371869663297699E-3</v>
      </c>
      <c r="AX13" s="20">
        <f>SUMPRODUCT(Oxides_typical!$C13:$BB13,Factors!$C$57:$BB$57)</f>
        <v>5.2763009429282384E-4</v>
      </c>
      <c r="AY13" s="20">
        <f>SUMPRODUCT(Oxides_typical!$C13:$BB13,Factors!$C$58:$BB$58)</f>
        <v>0</v>
      </c>
      <c r="AZ13" s="18">
        <f t="shared" si="0"/>
        <v>99.768950000000018</v>
      </c>
    </row>
    <row r="14" spans="1:52" x14ac:dyDescent="0.35">
      <c r="A14" s="13" t="s">
        <v>149</v>
      </c>
      <c r="B14" s="20">
        <f>SUMPRODUCT(Oxides_typical!$C14:$BB14,Factors!$C$9:$BB$9)</f>
        <v>25.504393798226342</v>
      </c>
      <c r="C14" s="20">
        <f>SUMPRODUCT(Oxides_typical!$C14:$BB14,Factors!$C$10:$BB$10)</f>
        <v>8.9280412096599715</v>
      </c>
      <c r="D14" s="20">
        <f>SUMPRODUCT(Oxides_typical!$C14:$BB14,Factors!$C$11:$BB$11)</f>
        <v>0</v>
      </c>
      <c r="E14" s="20">
        <f>SUMPRODUCT(Oxides_typical!$C14:$BB14,Factors!$C$12:$BB$12)</f>
        <v>0</v>
      </c>
      <c r="F14" s="20">
        <f>SUMPRODUCT(Oxides_typical!$C14:$BB14,Factors!$C$13:$BB$13)</f>
        <v>0</v>
      </c>
      <c r="G14" s="20">
        <f>SUMPRODUCT(Oxides_typical!$C14:$BB14,Factors!$C$14:$BB$14)</f>
        <v>0</v>
      </c>
      <c r="H14" s="20">
        <f>SUMPRODUCT(Oxides_typical!$C14:$BB14,Factors!$C$15:$BB$15)</f>
        <v>0</v>
      </c>
      <c r="I14" s="20">
        <f>SUMPRODUCT(Oxides_typical!$C14:$BB14,Factors!$C$16:$BB$16)</f>
        <v>0.13991565057624852</v>
      </c>
      <c r="J14" s="20">
        <f>SUMPRODUCT(Oxides_typical!$C14:$BB14,Factors!$C$17:$BB$17)</f>
        <v>0</v>
      </c>
      <c r="K14" s="20">
        <f>SUMPRODUCT(Oxides_typical!$C14:$BB14,Factors!$C$18:$BB$18)</f>
        <v>0</v>
      </c>
      <c r="L14" s="20">
        <f>SUMPRODUCT(Oxides_typical!$C14:$BB14,Factors!$C$19:$BB$19)</f>
        <v>0</v>
      </c>
      <c r="M14" s="20">
        <f>SUMPRODUCT(Oxides_typical!$C14:$BB14,Factors!$C$20:$BB$20)</f>
        <v>0</v>
      </c>
      <c r="N14" s="20">
        <f>SUMPRODUCT(Oxides_typical!$C14:$BB14,Factors!$C$21:$BB$21)</f>
        <v>10.448853540667296</v>
      </c>
      <c r="O14" s="20">
        <f>SUMPRODUCT(Oxides_typical!$C14:$BB14,Factors!$C$22:$BB$22)</f>
        <v>0.33823912602901018</v>
      </c>
      <c r="P14" s="20">
        <f>SUMPRODUCT(Oxides_typical!$C14:$BB14,Factors!$C$23:$BB$23)</f>
        <v>0</v>
      </c>
      <c r="Q14" s="20">
        <f>SUMPRODUCT(Oxides_typical!$C14:$BB14,Factors!$C$24:$BB$24)</f>
        <v>0</v>
      </c>
      <c r="R14" s="20">
        <f>SUMPRODUCT(Oxides_typical!$C14:$BB14,Factors!$C$25:$BB$25)</f>
        <v>0.14837245158818407</v>
      </c>
      <c r="S14" s="20">
        <f>SUMPRODUCT(Oxides_typical!$C14:$BB14,Factors!$C$26:$BB$26)</f>
        <v>0</v>
      </c>
      <c r="T14" s="20">
        <f>SUMPRODUCT(Oxides_typical!$C14:$BB14,Factors!$C$27:$BB$27)</f>
        <v>0</v>
      </c>
      <c r="U14" s="20">
        <f>SUMPRODUCT(Oxides_typical!$C14:$BB14,Factors!$C$28:$BB$28)</f>
        <v>0</v>
      </c>
      <c r="V14" s="20">
        <f>SUMPRODUCT(Oxides_typical!$C14:$BB14,Factors!$C$29:$BB$29)</f>
        <v>0</v>
      </c>
      <c r="W14" s="20">
        <f>SUMPRODUCT(Oxides_typical!$C14:$BB14,Factors!$C$30:$BB$30)</f>
        <v>0</v>
      </c>
      <c r="X14" s="20">
        <f>SUMPRODUCT(Oxides_typical!$C14:$BB14,Factors!$C$31:$BB$31)</f>
        <v>0</v>
      </c>
      <c r="Y14" s="20">
        <f>SUMPRODUCT(Oxides_typical!$C14:$BB14,Factors!$C$32:$BB$32)</f>
        <v>0</v>
      </c>
      <c r="Z14" s="20">
        <f>SUMPRODUCT(Oxides_typical!$C14:$BB14,Factors!$C$33:$BB$33)</f>
        <v>1.9682849463056831</v>
      </c>
      <c r="AA14" s="20">
        <f>SUMPRODUCT(Oxides_typical!$C14:$BB14,Factors!$C$34:$BB$34)</f>
        <v>0</v>
      </c>
      <c r="AB14" s="20">
        <f>SUMPRODUCT(Oxides_typical!$C14:$BB14,Factors!$C$35:$BB$35)</f>
        <v>0</v>
      </c>
      <c r="AC14" s="20">
        <f>SUMPRODUCT(Oxides_typical!$C14:$BB14,Factors!$C$36:$BB$36)</f>
        <v>0</v>
      </c>
      <c r="AD14" s="20">
        <f>SUMPRODUCT(Oxides_typical!$C14:$BB14,Factors!$C$37:$BB$37)</f>
        <v>5.1477102414654453E-2</v>
      </c>
      <c r="AE14" s="20">
        <f>SUMPRODUCT(Oxides_typical!$C14:$BB14,Factors!$C$38:$BB$38)</f>
        <v>1.45</v>
      </c>
      <c r="AF14" s="20">
        <f>SUMPRODUCT(Oxides_typical!$C14:$BB14,Factors!$C$39:$BB$39)</f>
        <v>0</v>
      </c>
      <c r="AG14" s="20">
        <f>SUMPRODUCT(Oxides_typical!$C14:$BB14,Factors!$C$40:$BB$40)</f>
        <v>2.9528077907646577</v>
      </c>
      <c r="AH14" s="20">
        <f>SUMPRODUCT(Oxides_typical!$C14:$BB14,Factors!$C$41:$BB$41)</f>
        <v>0.14985511888426231</v>
      </c>
      <c r="AI14" s="20">
        <f>SUMPRODUCT(Oxides_typical!$C14:$BB14,Factors!$C$42:$BB$42)</f>
        <v>0</v>
      </c>
      <c r="AJ14" s="20">
        <f>SUMPRODUCT(Oxides_typical!$C14:$BB14,Factors!$C$43:$BB$43)</f>
        <v>0.90556054798247787</v>
      </c>
      <c r="AK14" s="20">
        <f>SUMPRODUCT(Oxides_typical!$C14:$BB14,Factors!$C$44:$BB$44)</f>
        <v>10.948451623370504</v>
      </c>
      <c r="AL14" s="20">
        <f>SUMPRODUCT(Oxides_typical!$C14:$BB14,Factors!$C$45:$BB$45)</f>
        <v>23.521357345024356</v>
      </c>
      <c r="AM14" s="20">
        <f>SUMPRODUCT(Oxides_typical!$C14:$BB14,Factors!$C$46:$BB$46)</f>
        <v>2.153268884558345</v>
      </c>
      <c r="AN14" s="20">
        <f>SUMPRODUCT(Oxides_typical!$C14:$BB14,Factors!$C$47:$BB$47)</f>
        <v>8.2563381587667664</v>
      </c>
      <c r="AO14" s="20">
        <f>SUMPRODUCT(Oxides_typical!$C14:$BB14,Factors!$C$48:$BB$48)</f>
        <v>1.1469403556465558</v>
      </c>
      <c r="AP14" s="20">
        <f>SUMPRODUCT(Oxides_typical!$C14:$BB14,Factors!$C$49:$BB$49)</f>
        <v>0</v>
      </c>
      <c r="AQ14" s="20">
        <f>SUMPRODUCT(Oxides_typical!$C14:$BB14,Factors!$C$50:$BB$50)</f>
        <v>0.79818591602137401</v>
      </c>
      <c r="AR14" s="20">
        <f>SUMPRODUCT(Oxides_typical!$C14:$BB14,Factors!$C$51:$BB$51)</f>
        <v>0</v>
      </c>
      <c r="AS14" s="20">
        <f>SUMPRODUCT(Oxides_typical!$C14:$BB14,Factors!$C$52:$BB$52)</f>
        <v>0.20911696340721236</v>
      </c>
      <c r="AT14" s="20">
        <f>SUMPRODUCT(Oxides_typical!$C14:$BB14,Factors!$C$53:$BB$53)</f>
        <v>0</v>
      </c>
      <c r="AU14" s="20">
        <f>SUMPRODUCT(Oxides_typical!$C14:$BB14,Factors!$C$54:$BB$54)</f>
        <v>0</v>
      </c>
      <c r="AV14" s="20">
        <f>SUMPRODUCT(Oxides_typical!$C14:$BB14,Factors!$C$55:$BB$55)</f>
        <v>0</v>
      </c>
      <c r="AW14" s="20">
        <f>SUMPRODUCT(Oxides_typical!$C14:$BB14,Factors!$C$56:$BB$56)</f>
        <v>0</v>
      </c>
      <c r="AX14" s="20">
        <f>SUMPRODUCT(Oxides_typical!$C14:$BB14,Factors!$C$57:$BB$57)</f>
        <v>0</v>
      </c>
      <c r="AY14" s="20">
        <f>SUMPRODUCT(Oxides_typical!$C14:$BB14,Factors!$C$58:$BB$58)</f>
        <v>0</v>
      </c>
      <c r="AZ14" s="18">
        <f t="shared" si="0"/>
        <v>100.01946052989388</v>
      </c>
    </row>
    <row r="15" spans="1:52" x14ac:dyDescent="0.35">
      <c r="A15" s="13" t="s">
        <v>151</v>
      </c>
      <c r="B15" s="20">
        <f>SUMPRODUCT(Oxides_typical!$C15:$BB15,Factors!$C$9:$BB$9)</f>
        <v>41.293915531862737</v>
      </c>
      <c r="C15" s="20">
        <f>SUMPRODUCT(Oxides_typical!$C15:$BB15,Factors!$C$10:$BB$10)</f>
        <v>0</v>
      </c>
      <c r="D15" s="20">
        <f>SUMPRODUCT(Oxides_typical!$C15:$BB15,Factors!$C$11:$BB$11)</f>
        <v>0</v>
      </c>
      <c r="E15" s="20">
        <f>SUMPRODUCT(Oxides_typical!$C15:$BB15,Factors!$C$12:$BB$12)</f>
        <v>0</v>
      </c>
      <c r="F15" s="20">
        <f>SUMPRODUCT(Oxides_typical!$C15:$BB15,Factors!$C$13:$BB$13)</f>
        <v>0</v>
      </c>
      <c r="G15" s="20">
        <f>SUMPRODUCT(Oxides_typical!$C15:$BB15,Factors!$C$14:$BB$14)</f>
        <v>0</v>
      </c>
      <c r="H15" s="20">
        <f>SUMPRODUCT(Oxides_typical!$C15:$BB15,Factors!$C$15:$BB$15)</f>
        <v>0</v>
      </c>
      <c r="I15" s="20">
        <f>SUMPRODUCT(Oxides_typical!$C15:$BB15,Factors!$C$16:$BB$16)</f>
        <v>0</v>
      </c>
      <c r="J15" s="20">
        <f>SUMPRODUCT(Oxides_typical!$C15:$BB15,Factors!$C$17:$BB$17)</f>
        <v>0</v>
      </c>
      <c r="K15" s="20">
        <f>SUMPRODUCT(Oxides_typical!$C15:$BB15,Factors!$C$18:$BB$18)</f>
        <v>0</v>
      </c>
      <c r="L15" s="20">
        <f>SUMPRODUCT(Oxides_typical!$C15:$BB15,Factors!$C$19:$BB$19)</f>
        <v>0</v>
      </c>
      <c r="M15" s="20">
        <f>SUMPRODUCT(Oxides_typical!$C15:$BB15,Factors!$C$20:$BB$20)</f>
        <v>0</v>
      </c>
      <c r="N15" s="20">
        <f>SUMPRODUCT(Oxides_typical!$C15:$BB15,Factors!$C$21:$BB$21)</f>
        <v>0.52172798116875008</v>
      </c>
      <c r="O15" s="20">
        <f>SUMPRODUCT(Oxides_typical!$C15:$BB15,Factors!$C$22:$BB$22)</f>
        <v>0</v>
      </c>
      <c r="P15" s="20">
        <f>SUMPRODUCT(Oxides_typical!$C15:$BB15,Factors!$C$23:$BB$23)</f>
        <v>0</v>
      </c>
      <c r="Q15" s="20">
        <f>SUMPRODUCT(Oxides_typical!$C15:$BB15,Factors!$C$24:$BB$24)</f>
        <v>0</v>
      </c>
      <c r="R15" s="20">
        <f>SUMPRODUCT(Oxides_typical!$C15:$BB15,Factors!$C$25:$BB$25)</f>
        <v>0</v>
      </c>
      <c r="S15" s="20">
        <f>SUMPRODUCT(Oxides_typical!$C15:$BB15,Factors!$C$26:$BB$26)</f>
        <v>0</v>
      </c>
      <c r="T15" s="20">
        <f>SUMPRODUCT(Oxides_typical!$C15:$BB15,Factors!$C$27:$BB$27)</f>
        <v>0</v>
      </c>
      <c r="U15" s="20">
        <f>SUMPRODUCT(Oxides_typical!$C15:$BB15,Factors!$C$28:$BB$28)</f>
        <v>0</v>
      </c>
      <c r="V15" s="20">
        <f>SUMPRODUCT(Oxides_typical!$C15:$BB15,Factors!$C$29:$BB$29)</f>
        <v>0</v>
      </c>
      <c r="W15" s="20">
        <f>SUMPRODUCT(Oxides_typical!$C15:$BB15,Factors!$C$30:$BB$30)</f>
        <v>0</v>
      </c>
      <c r="X15" s="20">
        <f>SUMPRODUCT(Oxides_typical!$C15:$BB15,Factors!$C$31:$BB$31)</f>
        <v>0</v>
      </c>
      <c r="Y15" s="20">
        <f>SUMPRODUCT(Oxides_typical!$C15:$BB15,Factors!$C$32:$BB$32)</f>
        <v>0</v>
      </c>
      <c r="Z15" s="20">
        <f>SUMPRODUCT(Oxides_typical!$C15:$BB15,Factors!$C$33:$BB$33)</f>
        <v>13.350296343124356</v>
      </c>
      <c r="AA15" s="20">
        <f>SUMPRODUCT(Oxides_typical!$C15:$BB15,Factors!$C$34:$BB$34)</f>
        <v>0</v>
      </c>
      <c r="AB15" s="20">
        <f>SUMPRODUCT(Oxides_typical!$C15:$BB15,Factors!$C$35:$BB$35)</f>
        <v>0</v>
      </c>
      <c r="AC15" s="20">
        <f>SUMPRODUCT(Oxides_typical!$C15:$BB15,Factors!$C$36:$BB$36)</f>
        <v>0</v>
      </c>
      <c r="AD15" s="20">
        <f>SUMPRODUCT(Oxides_typical!$C15:$BB15,Factors!$C$37:$BB$37)</f>
        <v>1.7379117402164861</v>
      </c>
      <c r="AE15" s="20">
        <f>SUMPRODUCT(Oxides_typical!$C15:$BB15,Factors!$C$38:$BB$38)</f>
        <v>0</v>
      </c>
      <c r="AF15" s="20">
        <f>SUMPRODUCT(Oxides_typical!$C15:$BB15,Factors!$C$39:$BB$39)</f>
        <v>0</v>
      </c>
      <c r="AG15" s="20">
        <f>SUMPRODUCT(Oxides_typical!$C15:$BB15,Factors!$C$40:$BB$40)</f>
        <v>0</v>
      </c>
      <c r="AH15" s="20">
        <f>SUMPRODUCT(Oxides_typical!$C15:$BB15,Factors!$C$41:$BB$41)</f>
        <v>0</v>
      </c>
      <c r="AI15" s="20">
        <f>SUMPRODUCT(Oxides_typical!$C15:$BB15,Factors!$C$42:$BB$42)</f>
        <v>0</v>
      </c>
      <c r="AJ15" s="20">
        <f>SUMPRODUCT(Oxides_typical!$C15:$BB15,Factors!$C$43:$BB$43)</f>
        <v>29.891372522969448</v>
      </c>
      <c r="AK15" s="20">
        <f>SUMPRODUCT(Oxides_typical!$C15:$BB15,Factors!$C$44:$BB$44)</f>
        <v>0.29843910188315237</v>
      </c>
      <c r="AL15" s="20">
        <f>SUMPRODUCT(Oxides_typical!$C15:$BB15,Factors!$C$45:$BB$45)</f>
        <v>0.60617654137812316</v>
      </c>
      <c r="AM15" s="20">
        <f>SUMPRODUCT(Oxides_typical!$C15:$BB15,Factors!$C$46:$BB$46)</f>
        <v>0</v>
      </c>
      <c r="AN15" s="20">
        <f>SUMPRODUCT(Oxides_typical!$C15:$BB15,Factors!$C$47:$BB$47)</f>
        <v>1.2431661817457746</v>
      </c>
      <c r="AO15" s="20">
        <f>SUMPRODUCT(Oxides_typical!$C15:$BB15,Factors!$C$48:$BB$48)</f>
        <v>0.64677087724429838</v>
      </c>
      <c r="AP15" s="20">
        <f>SUMPRODUCT(Oxides_typical!$C15:$BB15,Factors!$C$49:$BB$49)</f>
        <v>0.12954237408538749</v>
      </c>
      <c r="AQ15" s="20">
        <f>SUMPRODUCT(Oxides_typical!$C15:$BB15,Factors!$C$50:$BB$50)</f>
        <v>2.0301685255326247</v>
      </c>
      <c r="AR15" s="20">
        <f>SUMPRODUCT(Oxides_typical!$C15:$BB15,Factors!$C$51:$BB$51)</f>
        <v>0.33883436468235278</v>
      </c>
      <c r="AS15" s="20">
        <f>SUMPRODUCT(Oxides_typical!$C15:$BB15,Factors!$C$52:$BB$52)</f>
        <v>2.8056525923800995</v>
      </c>
      <c r="AT15" s="20">
        <f>SUMPRODUCT(Oxides_typical!$C15:$BB15,Factors!$C$53:$BB$53)</f>
        <v>0.70711054157271824</v>
      </c>
      <c r="AU15" s="20">
        <f>SUMPRODUCT(Oxides_typical!$C15:$BB15,Factors!$C$54:$BB$54)</f>
        <v>2.1600707423238306</v>
      </c>
      <c r="AV15" s="20">
        <f>SUMPRODUCT(Oxides_typical!$C15:$BB15,Factors!$C$55:$BB$55)</f>
        <v>0.36775707303561572</v>
      </c>
      <c r="AW15" s="20">
        <f>SUMPRODUCT(Oxides_typical!$C15:$BB15,Factors!$C$56:$BB$56)</f>
        <v>1.4929520638843707</v>
      </c>
      <c r="AX15" s="20">
        <f>SUMPRODUCT(Oxides_typical!$C15:$BB15,Factors!$C$57:$BB$57)</f>
        <v>0.37813490090985713</v>
      </c>
      <c r="AY15" s="20">
        <f>SUMPRODUCT(Oxides_typical!$C15:$BB15,Factors!$C$58:$BB$58)</f>
        <v>0</v>
      </c>
      <c r="AZ15" s="18">
        <f t="shared" si="0"/>
        <v>99.999999999999986</v>
      </c>
    </row>
    <row r="16" spans="1:52" x14ac:dyDescent="0.35">
      <c r="A16" s="13" t="s">
        <v>153</v>
      </c>
      <c r="B16" s="20">
        <f>SUMPRODUCT(Oxides_typical!$C16:$BB16,Factors!$C$9:$BB$9)</f>
        <v>31.611301223867898</v>
      </c>
      <c r="C16" s="20">
        <f>SUMPRODUCT(Oxides_typical!$C16:$BB16,Factors!$C$10:$BB$10)</f>
        <v>0</v>
      </c>
      <c r="D16" s="20">
        <f>SUMPRODUCT(Oxides_typical!$C16:$BB16,Factors!$C$11:$BB$11)</f>
        <v>0</v>
      </c>
      <c r="E16" s="20">
        <f>SUMPRODUCT(Oxides_typical!$C16:$BB16,Factors!$C$12:$BB$12)</f>
        <v>0</v>
      </c>
      <c r="F16" s="20">
        <f>SUMPRODUCT(Oxides_typical!$C16:$BB16,Factors!$C$13:$BB$13)</f>
        <v>0</v>
      </c>
      <c r="G16" s="20">
        <f>SUMPRODUCT(Oxides_typical!$C16:$BB16,Factors!$C$14:$BB$14)</f>
        <v>0</v>
      </c>
      <c r="H16" s="20">
        <f>SUMPRODUCT(Oxides_typical!$C16:$BB16,Factors!$C$15:$BB$15)</f>
        <v>0</v>
      </c>
      <c r="I16" s="20">
        <f>SUMPRODUCT(Oxides_typical!$C16:$BB16,Factors!$C$16:$BB$16)</f>
        <v>0</v>
      </c>
      <c r="J16" s="20">
        <f>SUMPRODUCT(Oxides_typical!$C16:$BB16,Factors!$C$17:$BB$17)</f>
        <v>0</v>
      </c>
      <c r="K16" s="20">
        <f>SUMPRODUCT(Oxides_typical!$C16:$BB16,Factors!$C$18:$BB$18)</f>
        <v>0</v>
      </c>
      <c r="L16" s="20">
        <f>SUMPRODUCT(Oxides_typical!$C16:$BB16,Factors!$C$19:$BB$19)</f>
        <v>0</v>
      </c>
      <c r="M16" s="20">
        <f>SUMPRODUCT(Oxides_typical!$C16:$BB16,Factors!$C$20:$BB$20)</f>
        <v>0</v>
      </c>
      <c r="N16" s="20">
        <f>SUMPRODUCT(Oxides_typical!$C16:$BB16,Factors!$C$21:$BB$21)</f>
        <v>0.55746277439948644</v>
      </c>
      <c r="O16" s="20">
        <f>SUMPRODUCT(Oxides_typical!$C16:$BB16,Factors!$C$22:$BB$22)</f>
        <v>0</v>
      </c>
      <c r="P16" s="20">
        <f>SUMPRODUCT(Oxides_typical!$C16:$BB16,Factors!$C$23:$BB$23)</f>
        <v>0</v>
      </c>
      <c r="Q16" s="20">
        <f>SUMPRODUCT(Oxides_typical!$C16:$BB16,Factors!$C$24:$BB$24)</f>
        <v>0</v>
      </c>
      <c r="R16" s="20">
        <f>SUMPRODUCT(Oxides_typical!$C16:$BB16,Factors!$C$25:$BB$25)</f>
        <v>0</v>
      </c>
      <c r="S16" s="20">
        <f>SUMPRODUCT(Oxides_typical!$C16:$BB16,Factors!$C$26:$BB$26)</f>
        <v>0</v>
      </c>
      <c r="T16" s="20">
        <f>SUMPRODUCT(Oxides_typical!$C16:$BB16,Factors!$C$27:$BB$27)</f>
        <v>0</v>
      </c>
      <c r="U16" s="20">
        <f>SUMPRODUCT(Oxides_typical!$C16:$BB16,Factors!$C$28:$BB$28)</f>
        <v>0</v>
      </c>
      <c r="V16" s="20">
        <f>SUMPRODUCT(Oxides_typical!$C16:$BB16,Factors!$C$29:$BB$29)</f>
        <v>0</v>
      </c>
      <c r="W16" s="20">
        <f>SUMPRODUCT(Oxides_typical!$C16:$BB16,Factors!$C$30:$BB$30)</f>
        <v>0</v>
      </c>
      <c r="X16" s="20">
        <f>SUMPRODUCT(Oxides_typical!$C16:$BB16,Factors!$C$31:$BB$31)</f>
        <v>0</v>
      </c>
      <c r="Y16" s="20">
        <f>SUMPRODUCT(Oxides_typical!$C16:$BB16,Factors!$C$32:$BB$32)</f>
        <v>0</v>
      </c>
      <c r="Z16" s="20">
        <f>SUMPRODUCT(Oxides_typical!$C16:$BB16,Factors!$C$33:$BB$33)</f>
        <v>12.237407958849523</v>
      </c>
      <c r="AA16" s="20">
        <f>SUMPRODUCT(Oxides_typical!$C16:$BB16,Factors!$C$34:$BB$34)</f>
        <v>0</v>
      </c>
      <c r="AB16" s="20">
        <f>SUMPRODUCT(Oxides_typical!$C16:$BB16,Factors!$C$35:$BB$35)</f>
        <v>0</v>
      </c>
      <c r="AC16" s="20">
        <f>SUMPRODUCT(Oxides_typical!$C16:$BB16,Factors!$C$36:$BB$36)</f>
        <v>0</v>
      </c>
      <c r="AD16" s="20">
        <f>SUMPRODUCT(Oxides_typical!$C16:$BB16,Factors!$C$37:$BB$37)</f>
        <v>0.79677601998334724</v>
      </c>
      <c r="AE16" s="20">
        <f>SUMPRODUCT(Oxides_typical!$C16:$BB16,Factors!$C$38:$BB$38)</f>
        <v>0</v>
      </c>
      <c r="AF16" s="20">
        <f>SUMPRODUCT(Oxides_typical!$C16:$BB16,Factors!$C$39:$BB$39)</f>
        <v>0</v>
      </c>
      <c r="AG16" s="20">
        <f>SUMPRODUCT(Oxides_typical!$C16:$BB16,Factors!$C$40:$BB$40)</f>
        <v>3.2076632250866073</v>
      </c>
      <c r="AH16" s="20">
        <f>SUMPRODUCT(Oxides_typical!$C16:$BB16,Factors!$C$41:$BB$41)</f>
        <v>0</v>
      </c>
      <c r="AI16" s="20">
        <f>SUMPRODUCT(Oxides_typical!$C16:$BB16,Factors!$C$42:$BB$42)</f>
        <v>0</v>
      </c>
      <c r="AJ16" s="20">
        <f>SUMPRODUCT(Oxides_typical!$C16:$BB16,Factors!$C$43:$BB$43)</f>
        <v>0.3543497796453175</v>
      </c>
      <c r="AK16" s="20">
        <f>SUMPRODUCT(Oxides_typical!$C16:$BB16,Factors!$C$44:$BB$44)</f>
        <v>12.073993379044108</v>
      </c>
      <c r="AL16" s="20">
        <f>SUMPRODUCT(Oxides_typical!$C16:$BB16,Factors!$C$45:$BB$45)</f>
        <v>26.02290279042985</v>
      </c>
      <c r="AM16" s="20">
        <f>SUMPRODUCT(Oxides_typical!$C16:$BB16,Factors!$C$46:$BB$46)</f>
        <v>2.7855780014524623</v>
      </c>
      <c r="AN16" s="20">
        <f>SUMPRODUCT(Oxides_typical!$C16:$BB16,Factors!$C$47:$BB$47)</f>
        <v>8.547839194486464</v>
      </c>
      <c r="AO16" s="20">
        <f>SUMPRODUCT(Oxides_typical!$C16:$BB16,Factors!$C$48:$BB$48)</f>
        <v>1.190058414129509</v>
      </c>
      <c r="AP16" s="20">
        <f>SUMPRODUCT(Oxides_typical!$C16:$BB16,Factors!$C$49:$BB$49)</f>
        <v>0</v>
      </c>
      <c r="AQ16" s="20">
        <f>SUMPRODUCT(Oxides_typical!$C16:$BB16,Factors!$C$50:$BB$50)</f>
        <v>0.62466723862542306</v>
      </c>
      <c r="AR16" s="20">
        <f>SUMPRODUCT(Oxides_typical!$C16:$BB16,Factors!$C$51:$BB$51)</f>
        <v>0</v>
      </c>
      <c r="AS16" s="20">
        <f>SUMPRODUCT(Oxides_typical!$C16:$BB16,Factors!$C$52:$BB$52)</f>
        <v>0</v>
      </c>
      <c r="AT16" s="20">
        <f>SUMPRODUCT(Oxides_typical!$C16:$BB16,Factors!$C$53:$BB$53)</f>
        <v>0</v>
      </c>
      <c r="AU16" s="20">
        <f>SUMPRODUCT(Oxides_typical!$C16:$BB16,Factors!$C$54:$BB$54)</f>
        <v>0</v>
      </c>
      <c r="AV16" s="20">
        <f>SUMPRODUCT(Oxides_typical!$C16:$BB16,Factors!$C$55:$BB$55)</f>
        <v>0</v>
      </c>
      <c r="AW16" s="20">
        <f>SUMPRODUCT(Oxides_typical!$C16:$BB16,Factors!$C$56:$BB$56)</f>
        <v>0</v>
      </c>
      <c r="AX16" s="20">
        <f>SUMPRODUCT(Oxides_typical!$C16:$BB16,Factors!$C$57:$BB$57)</f>
        <v>0</v>
      </c>
      <c r="AY16" s="20">
        <f>SUMPRODUCT(Oxides_typical!$C16:$BB16,Factors!$C$58:$BB$58)</f>
        <v>0</v>
      </c>
      <c r="AZ16" s="18">
        <f t="shared" si="0"/>
        <v>100.00999999999999</v>
      </c>
    </row>
    <row r="17" spans="1:52" x14ac:dyDescent="0.35">
      <c r="A17" s="13" t="s">
        <v>155</v>
      </c>
      <c r="B17" s="20">
        <f>SUMPRODUCT(Oxides_typical!$C17:$BB17,Factors!$C$9:$BB$9)</f>
        <v>-2.4583592313773571E-2</v>
      </c>
      <c r="C17" s="20">
        <f>SUMPRODUCT(Oxides_typical!$C17:$BB17,Factors!$C$10:$BB$10)</f>
        <v>0</v>
      </c>
      <c r="D17" s="20">
        <f>SUMPRODUCT(Oxides_typical!$C17:$BB17,Factors!$C$11:$BB$11)</f>
        <v>0</v>
      </c>
      <c r="E17" s="20">
        <f>SUMPRODUCT(Oxides_typical!$C17:$BB17,Factors!$C$12:$BB$12)</f>
        <v>0</v>
      </c>
      <c r="F17" s="20">
        <f>SUMPRODUCT(Oxides_typical!$C17:$BB17,Factors!$C$13:$BB$13)</f>
        <v>0</v>
      </c>
      <c r="G17" s="20">
        <f>SUMPRODUCT(Oxides_typical!$C17:$BB17,Factors!$C$14:$BB$14)</f>
        <v>0</v>
      </c>
      <c r="H17" s="20">
        <f>SUMPRODUCT(Oxides_typical!$C17:$BB17,Factors!$C$15:$BB$15)</f>
        <v>0</v>
      </c>
      <c r="I17" s="20">
        <f>SUMPRODUCT(Oxides_typical!$C17:$BB17,Factors!$C$16:$BB$16)</f>
        <v>0</v>
      </c>
      <c r="J17" s="20">
        <f>SUMPRODUCT(Oxides_typical!$C17:$BB17,Factors!$C$17:$BB$17)</f>
        <v>0</v>
      </c>
      <c r="K17" s="20">
        <f>SUMPRODUCT(Oxides_typical!$C17:$BB17,Factors!$C$18:$BB$18)</f>
        <v>0</v>
      </c>
      <c r="L17" s="20">
        <f>SUMPRODUCT(Oxides_typical!$C17:$BB17,Factors!$C$19:$BB$19)</f>
        <v>0</v>
      </c>
      <c r="M17" s="20">
        <f>SUMPRODUCT(Oxides_typical!$C17:$BB17,Factors!$C$20:$BB$20)</f>
        <v>0</v>
      </c>
      <c r="N17" s="20">
        <f>SUMPRODUCT(Oxides_typical!$C17:$BB17,Factors!$C$21:$BB$21)</f>
        <v>0</v>
      </c>
      <c r="O17" s="20">
        <f>SUMPRODUCT(Oxides_typical!$C17:$BB17,Factors!$C$22:$BB$22)</f>
        <v>0</v>
      </c>
      <c r="P17" s="20">
        <f>SUMPRODUCT(Oxides_typical!$C17:$BB17,Factors!$C$23:$BB$23)</f>
        <v>0</v>
      </c>
      <c r="Q17" s="20">
        <f>SUMPRODUCT(Oxides_typical!$C17:$BB17,Factors!$C$24:$BB$24)</f>
        <v>0</v>
      </c>
      <c r="R17" s="20">
        <f>SUMPRODUCT(Oxides_typical!$C17:$BB17,Factors!$C$25:$BB$25)</f>
        <v>0</v>
      </c>
      <c r="S17" s="20">
        <f>SUMPRODUCT(Oxides_typical!$C17:$BB17,Factors!$C$26:$BB$26)</f>
        <v>0</v>
      </c>
      <c r="T17" s="20">
        <f>SUMPRODUCT(Oxides_typical!$C17:$BB17,Factors!$C$27:$BB$27)</f>
        <v>0</v>
      </c>
      <c r="U17" s="20">
        <f>SUMPRODUCT(Oxides_typical!$C17:$BB17,Factors!$C$28:$BB$28)</f>
        <v>0</v>
      </c>
      <c r="V17" s="20">
        <f>SUMPRODUCT(Oxides_typical!$C17:$BB17,Factors!$C$29:$BB$29)</f>
        <v>0</v>
      </c>
      <c r="W17" s="20">
        <f>SUMPRODUCT(Oxides_typical!$C17:$BB17,Factors!$C$30:$BB$30)</f>
        <v>0</v>
      </c>
      <c r="X17" s="20">
        <f>SUMPRODUCT(Oxides_typical!$C17:$BB17,Factors!$C$31:$BB$31)</f>
        <v>0</v>
      </c>
      <c r="Y17" s="20">
        <f>SUMPRODUCT(Oxides_typical!$C17:$BB17,Factors!$C$32:$BB$32)</f>
        <v>0</v>
      </c>
      <c r="Z17" s="20">
        <f>SUMPRODUCT(Oxides_typical!$C17:$BB17,Factors!$C$33:$BB$33)</f>
        <v>0</v>
      </c>
      <c r="AA17" s="20">
        <f>SUMPRODUCT(Oxides_typical!$C17:$BB17,Factors!$C$34:$BB$34)</f>
        <v>0</v>
      </c>
      <c r="AB17" s="20">
        <f>SUMPRODUCT(Oxides_typical!$C17:$BB17,Factors!$C$35:$BB$35)</f>
        <v>0</v>
      </c>
      <c r="AC17" s="20">
        <f>SUMPRODUCT(Oxides_typical!$C17:$BB17,Factors!$C$36:$BB$36)</f>
        <v>0</v>
      </c>
      <c r="AD17" s="20">
        <f>SUMPRODUCT(Oxides_typical!$C17:$BB17,Factors!$C$37:$BB$37)</f>
        <v>0</v>
      </c>
      <c r="AE17" s="20">
        <f>SUMPRODUCT(Oxides_typical!$C17:$BB17,Factors!$C$38:$BB$38)</f>
        <v>28.92</v>
      </c>
      <c r="AF17" s="20">
        <f>SUMPRODUCT(Oxides_typical!$C17:$BB17,Factors!$C$39:$BB$39)</f>
        <v>0</v>
      </c>
      <c r="AG17" s="20">
        <f>SUMPRODUCT(Oxides_typical!$C17:$BB17,Factors!$C$40:$BB$40)</f>
        <v>0</v>
      </c>
      <c r="AH17" s="20">
        <f>SUMPRODUCT(Oxides_typical!$C17:$BB17,Factors!$C$41:$BB$41)</f>
        <v>0</v>
      </c>
      <c r="AI17" s="20">
        <f>SUMPRODUCT(Oxides_typical!$C17:$BB17,Factors!$C$42:$BB$42)</f>
        <v>0</v>
      </c>
      <c r="AJ17" s="20">
        <f>SUMPRODUCT(Oxides_typical!$C17:$BB17,Factors!$C$43:$BB$43)</f>
        <v>0</v>
      </c>
      <c r="AK17" s="20">
        <f>SUMPRODUCT(Oxides_typical!$C17:$BB17,Factors!$C$44:$BB$44)</f>
        <v>19.731088050217558</v>
      </c>
      <c r="AL17" s="20">
        <f>SUMPRODUCT(Oxides_typical!$C17:$BB17,Factors!$C$45:$BB$45)</f>
        <v>39.102655767771886</v>
      </c>
      <c r="AM17" s="20">
        <f>SUMPRODUCT(Oxides_typical!$C17:$BB17,Factors!$C$46:$BB$46)</f>
        <v>3.2213586090416513</v>
      </c>
      <c r="AN17" s="20">
        <f>SUMPRODUCT(Oxides_typical!$C17:$BB17,Factors!$C$47:$BB$47)</f>
        <v>8.0505727217881553</v>
      </c>
      <c r="AO17" s="20">
        <f>SUMPRODUCT(Oxides_typical!$C17:$BB17,Factors!$C$48:$BB$48)</f>
        <v>0.75887782929997682</v>
      </c>
      <c r="AP17" s="20">
        <f>SUMPRODUCT(Oxides_typical!$C17:$BB17,Factors!$C$49:$BB$49)</f>
        <v>0</v>
      </c>
      <c r="AQ17" s="20">
        <f>SUMPRODUCT(Oxides_typical!$C17:$BB17,Factors!$C$50:$BB$50)</f>
        <v>0.24292614835433124</v>
      </c>
      <c r="AR17" s="20">
        <f>SUMPRODUCT(Oxides_typical!$C17:$BB17,Factors!$C$51:$BB$51)</f>
        <v>0</v>
      </c>
      <c r="AS17" s="20">
        <f>SUMPRODUCT(Oxides_typical!$C17:$BB17,Factors!$C$52:$BB$52)</f>
        <v>0</v>
      </c>
      <c r="AT17" s="20">
        <f>SUMPRODUCT(Oxides_typical!$C17:$BB17,Factors!$C$53:$BB$53)</f>
        <v>0</v>
      </c>
      <c r="AU17" s="20">
        <f>SUMPRODUCT(Oxides_typical!$C17:$BB17,Factors!$C$54:$BB$54)</f>
        <v>0</v>
      </c>
      <c r="AV17" s="20">
        <f>SUMPRODUCT(Oxides_typical!$C17:$BB17,Factors!$C$55:$BB$55)</f>
        <v>0</v>
      </c>
      <c r="AW17" s="20">
        <f>SUMPRODUCT(Oxides_typical!$C17:$BB17,Factors!$C$56:$BB$56)</f>
        <v>0</v>
      </c>
      <c r="AX17" s="20">
        <f>SUMPRODUCT(Oxides_typical!$C17:$BB17,Factors!$C$57:$BB$57)</f>
        <v>0</v>
      </c>
      <c r="AY17" s="20">
        <f>SUMPRODUCT(Oxides_typical!$C17:$BB17,Factors!$C$58:$BB$58)</f>
        <v>0</v>
      </c>
      <c r="AZ17" s="18">
        <f t="shared" si="0"/>
        <v>100.00289553415978</v>
      </c>
    </row>
    <row r="18" spans="1:52" x14ac:dyDescent="0.35">
      <c r="A18" s="13" t="s">
        <v>157</v>
      </c>
      <c r="B18" s="20">
        <f>SUMPRODUCT(Oxides_typical!$C18:$BB18,Factors!$C$9:$BB$9)</f>
        <v>27.033748961352813</v>
      </c>
      <c r="C18" s="20">
        <f>SUMPRODUCT(Oxides_typical!$C18:$BB18,Factors!$C$10:$BB$10)</f>
        <v>10.395792487059568</v>
      </c>
      <c r="D18" s="20">
        <f>SUMPRODUCT(Oxides_typical!$C18:$BB18,Factors!$C$11:$BB$11)</f>
        <v>4.7947912101671576E-2</v>
      </c>
      <c r="E18" s="20">
        <f>SUMPRODUCT(Oxides_typical!$C18:$BB18,Factors!$C$12:$BB$12)</f>
        <v>0</v>
      </c>
      <c r="F18" s="20">
        <f>SUMPRODUCT(Oxides_typical!$C18:$BB18,Factors!$C$13:$BB$13)</f>
        <v>0</v>
      </c>
      <c r="G18" s="20">
        <f>SUMPRODUCT(Oxides_typical!$C18:$BB18,Factors!$C$14:$BB$14)</f>
        <v>0</v>
      </c>
      <c r="H18" s="20">
        <f>SUMPRODUCT(Oxides_typical!$C18:$BB18,Factors!$C$15:$BB$15)</f>
        <v>0.60335289644789103</v>
      </c>
      <c r="I18" s="20">
        <f>SUMPRODUCT(Oxides_typical!$C18:$BB18,Factors!$C$16:$BB$16)</f>
        <v>0.6434763005128783</v>
      </c>
      <c r="J18" s="20">
        <f>SUMPRODUCT(Oxides_typical!$C18:$BB18,Factors!$C$17:$BB$17)</f>
        <v>0.15489239726425591</v>
      </c>
      <c r="K18" s="20">
        <f>SUMPRODUCT(Oxides_typical!$C18:$BB18,Factors!$C$18:$BB$18)</f>
        <v>0</v>
      </c>
      <c r="L18" s="20">
        <f>SUMPRODUCT(Oxides_typical!$C18:$BB18,Factors!$C$19:$BB$19)</f>
        <v>0</v>
      </c>
      <c r="M18" s="20">
        <f>SUMPRODUCT(Oxides_typical!$C18:$BB18,Factors!$C$20:$BB$20)</f>
        <v>1.1457795752282651</v>
      </c>
      <c r="N18" s="20">
        <f>SUMPRODUCT(Oxides_typical!$C18:$BB18,Factors!$C$21:$BB$21)</f>
        <v>3.2018374734739732</v>
      </c>
      <c r="O18" s="20">
        <f>SUMPRODUCT(Oxides_typical!$C18:$BB18,Factors!$C$22:$BB$22)</f>
        <v>0</v>
      </c>
      <c r="P18" s="20">
        <f>SUMPRODUCT(Oxides_typical!$C18:$BB18,Factors!$C$23:$BB$23)</f>
        <v>0.40304416732974185</v>
      </c>
      <c r="Q18" s="20">
        <f>SUMPRODUCT(Oxides_typical!$C18:$BB18,Factors!$C$24:$BB$24)</f>
        <v>0</v>
      </c>
      <c r="R18" s="20">
        <f>SUMPRODUCT(Oxides_typical!$C18:$BB18,Factors!$C$25:$BB$25)</f>
        <v>0.17804694190582088</v>
      </c>
      <c r="S18" s="20">
        <f>SUMPRODUCT(Oxides_typical!$C18:$BB18,Factors!$C$26:$BB$26)</f>
        <v>0.13282420834943459</v>
      </c>
      <c r="T18" s="20">
        <f>SUMPRODUCT(Oxides_typical!$C18:$BB18,Factors!$C$27:$BB$27)</f>
        <v>0</v>
      </c>
      <c r="U18" s="20">
        <f>SUMPRODUCT(Oxides_typical!$C18:$BB18,Factors!$C$28:$BB$28)</f>
        <v>0</v>
      </c>
      <c r="V18" s="20">
        <f>SUMPRODUCT(Oxides_typical!$C18:$BB18,Factors!$C$29:$BB$29)</f>
        <v>0</v>
      </c>
      <c r="W18" s="20">
        <f>SUMPRODUCT(Oxides_typical!$C18:$BB18,Factors!$C$30:$BB$30)</f>
        <v>0</v>
      </c>
      <c r="X18" s="20">
        <f>SUMPRODUCT(Oxides_typical!$C18:$BB18,Factors!$C$31:$BB$31)</f>
        <v>0</v>
      </c>
      <c r="Y18" s="20">
        <f>SUMPRODUCT(Oxides_typical!$C18:$BB18,Factors!$C$32:$BB$32)</f>
        <v>0</v>
      </c>
      <c r="Z18" s="20">
        <f>SUMPRODUCT(Oxides_typical!$C18:$BB18,Factors!$C$33:$BB$33)</f>
        <v>0</v>
      </c>
      <c r="AA18" s="20">
        <f>SUMPRODUCT(Oxides_typical!$C18:$BB18,Factors!$C$34:$BB$34)</f>
        <v>0</v>
      </c>
      <c r="AB18" s="20">
        <f>SUMPRODUCT(Oxides_typical!$C18:$BB18,Factors!$C$35:$BB$35)</f>
        <v>5.6065053649274901E-2</v>
      </c>
      <c r="AC18" s="20">
        <f>SUMPRODUCT(Oxides_typical!$C18:$BB18,Factors!$C$36:$BB$36)</f>
        <v>0</v>
      </c>
      <c r="AD18" s="20">
        <f>SUMPRODUCT(Oxides_typical!$C18:$BB18,Factors!$C$37:$BB$37)</f>
        <v>0.3234104912572856</v>
      </c>
      <c r="AE18" s="20">
        <f>SUMPRODUCT(Oxides_typical!$C18:$BB18,Factors!$C$38:$BB$38)</f>
        <v>7.0000000000000007E-2</v>
      </c>
      <c r="AF18" s="20">
        <f>SUMPRODUCT(Oxides_typical!$C18:$BB18,Factors!$C$39:$BB$39)</f>
        <v>0</v>
      </c>
      <c r="AG18" s="20">
        <f>SUMPRODUCT(Oxides_typical!$C18:$BB18,Factors!$C$40:$BB$40)</f>
        <v>0</v>
      </c>
      <c r="AH18" s="20">
        <f>SUMPRODUCT(Oxides_typical!$C18:$BB18,Factors!$C$41:$BB$41)</f>
        <v>0</v>
      </c>
      <c r="AI18" s="20">
        <f>SUMPRODUCT(Oxides_typical!$C18:$BB18,Factors!$C$42:$BB$42)</f>
        <v>0</v>
      </c>
      <c r="AJ18" s="20">
        <f>SUMPRODUCT(Oxides_typical!$C18:$BB18,Factors!$C$43:$BB$43)</f>
        <v>0</v>
      </c>
      <c r="AK18" s="20">
        <f>SUMPRODUCT(Oxides_typical!$C18:$BB18,Factors!$C$44:$BB$44)</f>
        <v>17.317994740705213</v>
      </c>
      <c r="AL18" s="20">
        <f>SUMPRODUCT(Oxides_typical!$C18:$BB18,Factors!$C$45:$BB$45)</f>
        <v>29.924630669441147</v>
      </c>
      <c r="AM18" s="20">
        <f>SUMPRODUCT(Oxides_typical!$C18:$BB18,Factors!$C$46:$BB$46)</f>
        <v>2.1020005777831465</v>
      </c>
      <c r="AN18" s="20">
        <f>SUMPRODUCT(Oxides_typical!$C18:$BB18,Factors!$C$47:$BB$47)</f>
        <v>5.7700057952752166</v>
      </c>
      <c r="AO18" s="20">
        <f>SUMPRODUCT(Oxides_typical!$C18:$BB18,Factors!$C$48:$BB$48)</f>
        <v>0.46567503161589485</v>
      </c>
      <c r="AP18" s="20">
        <f>SUMPRODUCT(Oxides_typical!$C18:$BB18,Factors!$C$49:$BB$49)</f>
        <v>0</v>
      </c>
      <c r="AQ18" s="20">
        <f>SUMPRODUCT(Oxides_typical!$C18:$BB18,Factors!$C$50:$BB$50)</f>
        <v>0</v>
      </c>
      <c r="AR18" s="20">
        <f>SUMPRODUCT(Oxides_typical!$C18:$BB18,Factors!$C$51:$BB$51)</f>
        <v>0</v>
      </c>
      <c r="AS18" s="20">
        <f>SUMPRODUCT(Oxides_typical!$C18:$BB18,Factors!$C$52:$BB$52)</f>
        <v>0</v>
      </c>
      <c r="AT18" s="20">
        <f>SUMPRODUCT(Oxides_typical!$C18:$BB18,Factors!$C$53:$BB$53)</f>
        <v>0</v>
      </c>
      <c r="AU18" s="20">
        <f>SUMPRODUCT(Oxides_typical!$C18:$BB18,Factors!$C$54:$BB$54)</f>
        <v>0</v>
      </c>
      <c r="AV18" s="20">
        <f>SUMPRODUCT(Oxides_typical!$C18:$BB18,Factors!$C$55:$BB$55)</f>
        <v>0</v>
      </c>
      <c r="AW18" s="20">
        <f>SUMPRODUCT(Oxides_typical!$C18:$BB18,Factors!$C$56:$BB$56)</f>
        <v>0</v>
      </c>
      <c r="AX18" s="20">
        <f>SUMPRODUCT(Oxides_typical!$C18:$BB18,Factors!$C$57:$BB$57)</f>
        <v>0</v>
      </c>
      <c r="AY18" s="20">
        <f>SUMPRODUCT(Oxides_typical!$C18:$BB18,Factors!$C$58:$BB$58)</f>
        <v>0</v>
      </c>
      <c r="AZ18" s="18">
        <f t="shared" si="0"/>
        <v>99.970525680753468</v>
      </c>
    </row>
    <row r="19" spans="1:52" x14ac:dyDescent="0.35">
      <c r="A19" s="13" t="s">
        <v>159</v>
      </c>
      <c r="B19" s="20">
        <f>SUMPRODUCT(Oxides_typical!$C19:$BB19,Factors!$C$9:$BB$9)</f>
        <v>39.6139067058458</v>
      </c>
      <c r="C19" s="20">
        <f>SUMPRODUCT(Oxides_typical!$C19:$BB19,Factors!$C$10:$BB$10)</f>
        <v>23.348463791754742</v>
      </c>
      <c r="D19" s="20">
        <f>SUMPRODUCT(Oxides_typical!$C19:$BB19,Factors!$C$11:$BB$11)</f>
        <v>0.35960934076253681</v>
      </c>
      <c r="E19" s="20">
        <f>SUMPRODUCT(Oxides_typical!$C19:$BB19,Factors!$C$12:$BB$12)</f>
        <v>10.016561328334227</v>
      </c>
      <c r="F19" s="20">
        <f>SUMPRODUCT(Oxides_typical!$C19:$BB19,Factors!$C$13:$BB$13)</f>
        <v>0.24591473148112958</v>
      </c>
      <c r="G19" s="20">
        <f>SUMPRODUCT(Oxides_typical!$C19:$BB19,Factors!$C$14:$BB$14)</f>
        <v>0</v>
      </c>
      <c r="H19" s="20">
        <f>SUMPRODUCT(Oxides_typical!$C19:$BB19,Factors!$C$15:$BB$15)</f>
        <v>0</v>
      </c>
      <c r="I19" s="20">
        <f>SUMPRODUCT(Oxides_typical!$C19:$BB19,Factors!$C$16:$BB$16)</f>
        <v>3.0237326707867047</v>
      </c>
      <c r="J19" s="20">
        <f>SUMPRODUCT(Oxides_typical!$C19:$BB19,Factors!$C$17:$BB$17)</f>
        <v>1.5411793527793463</v>
      </c>
      <c r="K19" s="20">
        <f>SUMPRODUCT(Oxides_typical!$C19:$BB19,Factors!$C$18:$BB$18)</f>
        <v>0</v>
      </c>
      <c r="L19" s="20">
        <f>SUMPRODUCT(Oxides_typical!$C19:$BB19,Factors!$C$19:$BB$19)</f>
        <v>0</v>
      </c>
      <c r="M19" s="20">
        <f>SUMPRODUCT(Oxides_typical!$C19:$BB19,Factors!$C$20:$BB$20)</f>
        <v>0</v>
      </c>
      <c r="N19" s="20">
        <f>SUMPRODUCT(Oxides_typical!$C19:$BB19,Factors!$C$21:$BB$21)</f>
        <v>5.2172798116875008</v>
      </c>
      <c r="O19" s="20">
        <f>SUMPRODUCT(Oxides_typical!$C19:$BB19,Factors!$C$22:$BB$22)</f>
        <v>1.1415570503479093</v>
      </c>
      <c r="P19" s="20">
        <f>SUMPRODUCT(Oxides_typical!$C19:$BB19,Factors!$C$23:$BB$23)</f>
        <v>9.8521907569492459E-2</v>
      </c>
      <c r="Q19" s="20">
        <f>SUMPRODUCT(Oxides_typical!$C19:$BB19,Factors!$C$24:$BB$24)</f>
        <v>0</v>
      </c>
      <c r="R19" s="20">
        <f>SUMPRODUCT(Oxides_typical!$C19:$BB19,Factors!$C$25:$BB$25)</f>
        <v>12.003331333484091</v>
      </c>
      <c r="S19" s="20">
        <f>SUMPRODUCT(Oxides_typical!$C19:$BB19,Factors!$C$26:$BB$26)</f>
        <v>0.31545749482990715</v>
      </c>
      <c r="T19" s="20">
        <f>SUMPRODUCT(Oxides_typical!$C19:$BB19,Factors!$C$27:$BB$27)</f>
        <v>0</v>
      </c>
      <c r="U19" s="20">
        <f>SUMPRODUCT(Oxides_typical!$C19:$BB19,Factors!$C$28:$BB$28)</f>
        <v>0</v>
      </c>
      <c r="V19" s="20">
        <f>SUMPRODUCT(Oxides_typical!$C19:$BB19,Factors!$C$29:$BB$29)</f>
        <v>0</v>
      </c>
      <c r="W19" s="20">
        <f>SUMPRODUCT(Oxides_typical!$C19:$BB19,Factors!$C$30:$BB$30)</f>
        <v>0.52428704672031001</v>
      </c>
      <c r="X19" s="20">
        <f>SUMPRODUCT(Oxides_typical!$C19:$BB19,Factors!$C$31:$BB$31)</f>
        <v>0</v>
      </c>
      <c r="Y19" s="20">
        <f>SUMPRODUCT(Oxides_typical!$C19:$BB19,Factors!$C$32:$BB$32)</f>
        <v>0</v>
      </c>
      <c r="Z19" s="20">
        <f>SUMPRODUCT(Oxides_typical!$C19:$BB19,Factors!$C$33:$BB$33)</f>
        <v>0</v>
      </c>
      <c r="AA19" s="20">
        <f>SUMPRODUCT(Oxides_typical!$C19:$BB19,Factors!$C$34:$BB$34)</f>
        <v>0</v>
      </c>
      <c r="AB19" s="20">
        <f>SUMPRODUCT(Oxides_typical!$C19:$BB19,Factors!$C$35:$BB$35)</f>
        <v>0.10412081392008195</v>
      </c>
      <c r="AC19" s="20">
        <f>SUMPRODUCT(Oxides_typical!$C19:$BB19,Factors!$C$36:$BB$36)</f>
        <v>0</v>
      </c>
      <c r="AD19" s="20">
        <f>SUMPRODUCT(Oxides_typical!$C19:$BB19,Factors!$C$37:$BB$37)</f>
        <v>0.11190674437968359</v>
      </c>
      <c r="AE19" s="20">
        <f>SUMPRODUCT(Oxides_typical!$C19:$BB19,Factors!$C$38:$BB$38)</f>
        <v>0</v>
      </c>
      <c r="AF19" s="20">
        <f>SUMPRODUCT(Oxides_typical!$C19:$BB19,Factors!$C$39:$BB$39)</f>
        <v>1.4</v>
      </c>
      <c r="AG19" s="20">
        <f>SUMPRODUCT(Oxides_typical!$C19:$BB19,Factors!$C$40:$BB$40)</f>
        <v>0</v>
      </c>
      <c r="AH19" s="20">
        <f>SUMPRODUCT(Oxides_typical!$C19:$BB19,Factors!$C$41:$BB$41)</f>
        <v>0</v>
      </c>
      <c r="AI19" s="20">
        <f>SUMPRODUCT(Oxides_typical!$C19:$BB19,Factors!$C$42:$BB$42)</f>
        <v>0</v>
      </c>
      <c r="AJ19" s="20">
        <f>SUMPRODUCT(Oxides_typical!$C19:$BB19,Factors!$C$43:$BB$43)</f>
        <v>0.49608969150344445</v>
      </c>
      <c r="AK19" s="20">
        <f>SUMPRODUCT(Oxides_typical!$C19:$BB19,Factors!$C$44:$BB$44)</f>
        <v>0.28991227040077661</v>
      </c>
      <c r="AL19" s="20">
        <f>SUMPRODUCT(Oxides_typical!$C19:$BB19,Factors!$C$45:$BB$45)</f>
        <v>0.4866487726556763</v>
      </c>
      <c r="AM19" s="20">
        <f>SUMPRODUCT(Oxides_typical!$C19:$BB19,Factors!$C$46:$BB$46)</f>
        <v>0.12817076693799673</v>
      </c>
      <c r="AN19" s="20">
        <f>SUMPRODUCT(Oxides_typical!$C19:$BB19,Factors!$C$47:$BB$47)</f>
        <v>0.31722171534202526</v>
      </c>
      <c r="AO19" s="20">
        <f>SUMPRODUCT(Oxides_typical!$C19:$BB19,Factors!$C$48:$BB$48)</f>
        <v>7.9337227608633931E-2</v>
      </c>
      <c r="AP19" s="20">
        <f>SUMPRODUCT(Oxides_typical!$C19:$BB19,Factors!$C$49:$BB$49)</f>
        <v>2.2454011508133833E-2</v>
      </c>
      <c r="AQ19" s="20">
        <f>SUMPRODUCT(Oxides_typical!$C19:$BB19,Factors!$C$50:$BB$50)</f>
        <v>6.7672284184420839E-2</v>
      </c>
      <c r="AR19" s="20">
        <f>SUMPRODUCT(Oxides_typical!$C19:$BB19,Factors!$C$51:$BB$51)</f>
        <v>1.7376121265761681E-2</v>
      </c>
      <c r="AS19" s="20">
        <f>SUMPRODUCT(Oxides_typical!$C19:$BB19,Factors!$C$52:$BB$52)</f>
        <v>8.9746030128928636E-2</v>
      </c>
      <c r="AT19" s="20">
        <f>SUMPRODUCT(Oxides_typical!$C19:$BB19,Factors!$C$53:$BB$53)</f>
        <v>1.8332495522255656E-2</v>
      </c>
      <c r="AU19" s="20">
        <f>SUMPRODUCT(Oxides_typical!$C19:$BB19,Factors!$C$54:$BB$54)</f>
        <v>4.8098741225834275E-2</v>
      </c>
      <c r="AV19" s="20">
        <f>SUMPRODUCT(Oxides_typical!$C19:$BB19,Factors!$C$55:$BB$55)</f>
        <v>7.0048966292498233E-3</v>
      </c>
      <c r="AW19" s="20">
        <f>SUMPRODUCT(Oxides_typical!$C19:$BB19,Factors!$C$56:$BB$56)</f>
        <v>4.3910354820128554E-2</v>
      </c>
      <c r="AX19" s="20">
        <f>SUMPRODUCT(Oxides_typical!$C19:$BB19,Factors!$C$57:$BB$57)</f>
        <v>5.2763009429282392E-3</v>
      </c>
      <c r="AY19" s="20">
        <f>SUMPRODUCT(Oxides_typical!$C19:$BB19,Factors!$C$58:$BB$58)</f>
        <v>0</v>
      </c>
      <c r="AZ19" s="18">
        <f t="shared" si="0"/>
        <v>101.18308180535966</v>
      </c>
    </row>
    <row r="20" spans="1:52" x14ac:dyDescent="0.35">
      <c r="A20" s="13" t="s">
        <v>161</v>
      </c>
      <c r="B20" s="20">
        <f>SUMPRODUCT(Oxides_typical!$C20:$BB20,Factors!$C$9:$BB$9)</f>
        <v>31.118534356888748</v>
      </c>
      <c r="C20" s="20">
        <f>SUMPRODUCT(Oxides_typical!$C20:$BB20,Factors!$C$10:$BB$10)</f>
        <v>10.919321605112927</v>
      </c>
      <c r="D20" s="20">
        <f>SUMPRODUCT(Oxides_typical!$C20:$BB20,Factors!$C$11:$BB$11)</f>
        <v>0</v>
      </c>
      <c r="E20" s="20">
        <f>SUMPRODUCT(Oxides_typical!$C20:$BB20,Factors!$C$12:$BB$12)</f>
        <v>0</v>
      </c>
      <c r="F20" s="20">
        <f>SUMPRODUCT(Oxides_typical!$C20:$BB20,Factors!$C$13:$BB$13)</f>
        <v>0</v>
      </c>
      <c r="G20" s="20">
        <f>SUMPRODUCT(Oxides_typical!$C20:$BB20,Factors!$C$14:$BB$14)</f>
        <v>0</v>
      </c>
      <c r="H20" s="20">
        <f>SUMPRODUCT(Oxides_typical!$C20:$BB20,Factors!$C$15:$BB$15)</f>
        <v>0</v>
      </c>
      <c r="I20" s="20">
        <f>SUMPRODUCT(Oxides_typical!$C20:$BB20,Factors!$C$16:$BB$16)</f>
        <v>9.3898947720060129</v>
      </c>
      <c r="J20" s="20">
        <f>SUMPRODUCT(Oxides_typical!$C20:$BB20,Factors!$C$17:$BB$17)</f>
        <v>0</v>
      </c>
      <c r="K20" s="20">
        <f>SUMPRODUCT(Oxides_typical!$C20:$BB20,Factors!$C$18:$BB$18)</f>
        <v>0</v>
      </c>
      <c r="L20" s="20">
        <f>SUMPRODUCT(Oxides_typical!$C20:$BB20,Factors!$C$19:$BB$19)</f>
        <v>0</v>
      </c>
      <c r="M20" s="20">
        <f>SUMPRODUCT(Oxides_typical!$C20:$BB20,Factors!$C$20:$BB$20)</f>
        <v>0</v>
      </c>
      <c r="N20" s="20">
        <f>SUMPRODUCT(Oxides_typical!$C20:$BB20,Factors!$C$21:$BB$21)</f>
        <v>2.1440875938441784E-2</v>
      </c>
      <c r="O20" s="20">
        <f>SUMPRODUCT(Oxides_typical!$C20:$BB20,Factors!$C$22:$BB$22)</f>
        <v>0</v>
      </c>
      <c r="P20" s="20">
        <f>SUMPRODUCT(Oxides_typical!$C20:$BB20,Factors!$C$23:$BB$23)</f>
        <v>0</v>
      </c>
      <c r="Q20" s="20">
        <f>SUMPRODUCT(Oxides_typical!$C20:$BB20,Factors!$C$24:$BB$24)</f>
        <v>0</v>
      </c>
      <c r="R20" s="20">
        <f>SUMPRODUCT(Oxides_typical!$C20:$BB20,Factors!$C$25:$BB$25)</f>
        <v>0</v>
      </c>
      <c r="S20" s="20">
        <f>SUMPRODUCT(Oxides_typical!$C20:$BB20,Factors!$C$26:$BB$26)</f>
        <v>0</v>
      </c>
      <c r="T20" s="20">
        <f>SUMPRODUCT(Oxides_typical!$C20:$BB20,Factors!$C$27:$BB$27)</f>
        <v>0</v>
      </c>
      <c r="U20" s="20">
        <f>SUMPRODUCT(Oxides_typical!$C20:$BB20,Factors!$C$28:$BB$28)</f>
        <v>0</v>
      </c>
      <c r="V20" s="20">
        <f>SUMPRODUCT(Oxides_typical!$C20:$BB20,Factors!$C$29:$BB$29)</f>
        <v>3.4987668336648978</v>
      </c>
      <c r="W20" s="20">
        <f>SUMPRODUCT(Oxides_typical!$C20:$BB20,Factors!$C$30:$BB$30)</f>
        <v>0</v>
      </c>
      <c r="X20" s="20">
        <f>SUMPRODUCT(Oxides_typical!$C20:$BB20,Factors!$C$31:$BB$31)</f>
        <v>0</v>
      </c>
      <c r="Y20" s="20">
        <f>SUMPRODUCT(Oxides_typical!$C20:$BB20,Factors!$C$32:$BB$32)</f>
        <v>0</v>
      </c>
      <c r="Z20" s="20">
        <f>SUMPRODUCT(Oxides_typical!$C20:$BB20,Factors!$C$33:$BB$33)</f>
        <v>0</v>
      </c>
      <c r="AA20" s="20">
        <f>SUMPRODUCT(Oxides_typical!$C20:$BB20,Factors!$C$34:$BB$34)</f>
        <v>0</v>
      </c>
      <c r="AB20" s="20">
        <f>SUMPRODUCT(Oxides_typical!$C20:$BB20,Factors!$C$35:$BB$35)</f>
        <v>0</v>
      </c>
      <c r="AC20" s="20">
        <f>SUMPRODUCT(Oxides_typical!$C20:$BB20,Factors!$C$36:$BB$36)</f>
        <v>0</v>
      </c>
      <c r="AD20" s="20">
        <f>SUMPRODUCT(Oxides_typical!$C20:$BB20,Factors!$C$37:$BB$37)</f>
        <v>5.1477102414654453E-2</v>
      </c>
      <c r="AE20" s="20">
        <f>SUMPRODUCT(Oxides_typical!$C20:$BB20,Factors!$C$38:$BB$38)</f>
        <v>0</v>
      </c>
      <c r="AF20" s="20">
        <f>SUMPRODUCT(Oxides_typical!$C20:$BB20,Factors!$C$39:$BB$39)</f>
        <v>0</v>
      </c>
      <c r="AG20" s="20">
        <f>SUMPRODUCT(Oxides_typical!$C20:$BB20,Factors!$C$40:$BB$40)</f>
        <v>0</v>
      </c>
      <c r="AH20" s="20">
        <f>SUMPRODUCT(Oxides_typical!$C20:$BB20,Factors!$C$41:$BB$41)</f>
        <v>0</v>
      </c>
      <c r="AI20" s="20">
        <f>SUMPRODUCT(Oxides_typical!$C20:$BB20,Factors!$C$42:$BB$42)</f>
        <v>0</v>
      </c>
      <c r="AJ20" s="20">
        <f>SUMPRODUCT(Oxides_typical!$C20:$BB20,Factors!$C$43:$BB$43)</f>
        <v>22.481524908608478</v>
      </c>
      <c r="AK20" s="20">
        <f>SUMPRODUCT(Oxides_typical!$C20:$BB20,Factors!$C$44:$BB$44)</f>
        <v>0.17906346112989141</v>
      </c>
      <c r="AL20" s="20">
        <f>SUMPRODUCT(Oxides_typical!$C20:$BB20,Factors!$C$45:$BB$45)</f>
        <v>2.168575232535821</v>
      </c>
      <c r="AM20" s="20">
        <f>SUMPRODUCT(Oxides_typical!$C20:$BB20,Factors!$C$46:$BB$46)</f>
        <v>1.0253661355039738</v>
      </c>
      <c r="AN20" s="20">
        <f>SUMPRODUCT(Oxides_typical!$C20:$BB20,Factors!$C$47:$BB$47)</f>
        <v>3.9009697427194996</v>
      </c>
      <c r="AO20" s="20">
        <f>SUMPRODUCT(Oxides_typical!$C20:$BB20,Factors!$C$48:$BB$48)</f>
        <v>2.4318584984385616</v>
      </c>
      <c r="AP20" s="20">
        <f>SUMPRODUCT(Oxides_typical!$C20:$BB20,Factors!$C$49:$BB$49)</f>
        <v>0.51816949634154996</v>
      </c>
      <c r="AQ20" s="20">
        <f>SUMPRODUCT(Oxides_typical!$C20:$BB20,Factors!$C$50:$BB$50)</f>
        <v>2.5420486238506803</v>
      </c>
      <c r="AR20" s="20">
        <f>SUMPRODUCT(Oxides_typical!$C20:$BB20,Factors!$C$51:$BB$51)</f>
        <v>0.95568666961689253</v>
      </c>
      <c r="AS20" s="20">
        <f>SUMPRODUCT(Oxides_typical!$C20:$BB20,Factors!$C$52:$BB$52)</f>
        <v>3.5375619643053424</v>
      </c>
      <c r="AT20" s="20">
        <f>SUMPRODUCT(Oxides_typical!$C20:$BB20,Factors!$C$53:$BB$53)</f>
        <v>1.7284924349555333</v>
      </c>
      <c r="AU20" s="20">
        <f>SUMPRODUCT(Oxides_typical!$C20:$BB20,Factors!$C$54:$BB$54)</f>
        <v>1.3467647543233598</v>
      </c>
      <c r="AV20" s="20">
        <f>SUMPRODUCT(Oxides_typical!$C20:$BB20,Factors!$C$55:$BB$55)</f>
        <v>0.1751224157312456</v>
      </c>
      <c r="AW20" s="20">
        <f>SUMPRODUCT(Oxides_typical!$C20:$BB20,Factors!$C$56:$BB$56)</f>
        <v>0.50936011591349117</v>
      </c>
      <c r="AX20" s="20">
        <f>SUMPRODUCT(Oxides_typical!$C20:$BB20,Factors!$C$57:$BB$57)</f>
        <v>0</v>
      </c>
      <c r="AY20" s="20">
        <f>SUMPRODUCT(Oxides_typical!$C20:$BB20,Factors!$C$58:$BB$58)</f>
        <v>0</v>
      </c>
      <c r="AZ20" s="18">
        <f t="shared" si="0"/>
        <v>98.499999999999986</v>
      </c>
    </row>
    <row r="21" spans="1:52" x14ac:dyDescent="0.35">
      <c r="A21" s="13" t="s">
        <v>163</v>
      </c>
      <c r="B21" s="20">
        <f>SUMPRODUCT(Oxides_typical!$C21:$BB21,Factors!$C$9:$BB$9)</f>
        <v>32.717887361152627</v>
      </c>
      <c r="C21" s="20">
        <f>SUMPRODUCT(Oxides_typical!$C21:$BB21,Factors!$C$10:$BB$10)</f>
        <v>12.382398515387049</v>
      </c>
      <c r="D21" s="20">
        <f>SUMPRODUCT(Oxides_typical!$C21:$BB21,Factors!$C$11:$BB$11)</f>
        <v>0</v>
      </c>
      <c r="E21" s="20">
        <f>SUMPRODUCT(Oxides_typical!$C21:$BB21,Factors!$C$12:$BB$12)</f>
        <v>36.875456006232653</v>
      </c>
      <c r="F21" s="20">
        <f>SUMPRODUCT(Oxides_typical!$C21:$BB21,Factors!$C$13:$BB$13)</f>
        <v>1.5518067538291971</v>
      </c>
      <c r="G21" s="20">
        <f>SUMPRODUCT(Oxides_typical!$C21:$BB21,Factors!$C$14:$BB$14)</f>
        <v>0</v>
      </c>
      <c r="H21" s="20">
        <f>SUMPRODUCT(Oxides_typical!$C21:$BB21,Factors!$C$15:$BB$15)</f>
        <v>5.8218261937954409E-2</v>
      </c>
      <c r="I21" s="20">
        <f>SUMPRODUCT(Oxides_typical!$C21:$BB21,Factors!$C$16:$BB$16)</f>
        <v>7.7730916986804748E-3</v>
      </c>
      <c r="J21" s="20">
        <f>SUMPRODUCT(Oxides_typical!$C21:$BB21,Factors!$C$17:$BB$17)</f>
        <v>2.3233859589638382E-2</v>
      </c>
      <c r="K21" s="20">
        <f>SUMPRODUCT(Oxides_typical!$C21:$BB21,Factors!$C$18:$BB$18)</f>
        <v>0</v>
      </c>
      <c r="L21" s="20">
        <f>SUMPRODUCT(Oxides_typical!$C21:$BB21,Factors!$C$19:$BB$19)</f>
        <v>0</v>
      </c>
      <c r="M21" s="20">
        <f>SUMPRODUCT(Oxides_typical!$C21:$BB21,Factors!$C$20:$BB$20)</f>
        <v>0</v>
      </c>
      <c r="N21" s="20">
        <f>SUMPRODUCT(Oxides_typical!$C21:$BB21,Factors!$C$21:$BB$21)</f>
        <v>0.28587834584589045</v>
      </c>
      <c r="O21" s="20">
        <f>SUMPRODUCT(Oxides_typical!$C21:$BB21,Factors!$C$22:$BB$22)</f>
        <v>0</v>
      </c>
      <c r="P21" s="20">
        <f>SUMPRODUCT(Oxides_typical!$C21:$BB21,Factors!$C$23:$BB$23)</f>
        <v>0</v>
      </c>
      <c r="Q21" s="20">
        <f>SUMPRODUCT(Oxides_typical!$C21:$BB21,Factors!$C$24:$BB$24)</f>
        <v>0.80763802705209253</v>
      </c>
      <c r="R21" s="20">
        <f>SUMPRODUCT(Oxides_typical!$C21:$BB21,Factors!$C$25:$BB$25)</f>
        <v>0</v>
      </c>
      <c r="S21" s="20">
        <f>SUMPRODUCT(Oxides_typical!$C21:$BB21,Factors!$C$26:$BB$26)</f>
        <v>0</v>
      </c>
      <c r="T21" s="20">
        <f>SUMPRODUCT(Oxides_typical!$C21:$BB21,Factors!$C$27:$BB$27)</f>
        <v>0</v>
      </c>
      <c r="U21" s="20">
        <f>SUMPRODUCT(Oxides_typical!$C21:$BB21,Factors!$C$28:$BB$28)</f>
        <v>0</v>
      </c>
      <c r="V21" s="20">
        <f>SUMPRODUCT(Oxides_typical!$C21:$BB21,Factors!$C$29:$BB$29)</f>
        <v>0</v>
      </c>
      <c r="W21" s="20">
        <f>SUMPRODUCT(Oxides_typical!$C21:$BB21,Factors!$C$30:$BB$30)</f>
        <v>0</v>
      </c>
      <c r="X21" s="20">
        <f>SUMPRODUCT(Oxides_typical!$C21:$BB21,Factors!$C$31:$BB$31)</f>
        <v>0</v>
      </c>
      <c r="Y21" s="20">
        <f>SUMPRODUCT(Oxides_typical!$C21:$BB21,Factors!$C$32:$BB$32)</f>
        <v>0</v>
      </c>
      <c r="Z21" s="20">
        <f>SUMPRODUCT(Oxides_typical!$C21:$BB21,Factors!$C$33:$BB$33)</f>
        <v>2.3828904228002283</v>
      </c>
      <c r="AA21" s="20">
        <f>SUMPRODUCT(Oxides_typical!$C21:$BB21,Factors!$C$34:$BB$34)</f>
        <v>3.2597539599489536E-2</v>
      </c>
      <c r="AB21" s="20">
        <f>SUMPRODUCT(Oxides_typical!$C21:$BB21,Factors!$C$35:$BB$35)</f>
        <v>0</v>
      </c>
      <c r="AC21" s="20">
        <f>SUMPRODUCT(Oxides_typical!$C21:$BB21,Factors!$C$36:$BB$36)</f>
        <v>0</v>
      </c>
      <c r="AD21" s="20">
        <f>SUMPRODUCT(Oxides_typical!$C21:$BB21,Factors!$C$37:$BB$37)</f>
        <v>0</v>
      </c>
      <c r="AE21" s="20">
        <f>SUMPRODUCT(Oxides_typical!$C21:$BB21,Factors!$C$38:$BB$38)</f>
        <v>0.28000000000000003</v>
      </c>
      <c r="AF21" s="20">
        <f>SUMPRODUCT(Oxides_typical!$C21:$BB21,Factors!$C$39:$BB$39)</f>
        <v>0</v>
      </c>
      <c r="AG21" s="20">
        <f>SUMPRODUCT(Oxides_typical!$C21:$BB21,Factors!$C$40:$BB$40)</f>
        <v>0.80850689509032303</v>
      </c>
      <c r="AH21" s="20">
        <f>SUMPRODUCT(Oxides_typical!$C21:$BB21,Factors!$C$41:$BB$41)</f>
        <v>2.7238371608962972</v>
      </c>
      <c r="AI21" s="20">
        <f>SUMPRODUCT(Oxides_typical!$C21:$BB21,Factors!$C$42:$BB$42)</f>
        <v>0.27382558864112067</v>
      </c>
      <c r="AJ21" s="20">
        <f>SUMPRODUCT(Oxides_typical!$C21:$BB21,Factors!$C$43:$BB$43)</f>
        <v>4.3073184325775253</v>
      </c>
      <c r="AK21" s="20">
        <f>SUMPRODUCT(Oxides_typical!$C21:$BB21,Factors!$C$44:$BB$44)</f>
        <v>1.7053662964751564E-2</v>
      </c>
      <c r="AL21" s="20">
        <f>SUMPRODUCT(Oxides_typical!$C21:$BB21,Factors!$C$45:$BB$45)</f>
        <v>0.30735711957200612</v>
      </c>
      <c r="AM21" s="20">
        <f>SUMPRODUCT(Oxides_typical!$C21:$BB21,Factors!$C$46:$BB$46)</f>
        <v>1.7089435591732899E-2</v>
      </c>
      <c r="AN21" s="20">
        <f>SUMPRODUCT(Oxides_typical!$C21:$BB21,Factors!$C$47:$BB$47)</f>
        <v>1.7147119748217581E-2</v>
      </c>
      <c r="AO21" s="20">
        <f>SUMPRODUCT(Oxides_typical!$C21:$BB21,Factors!$C$48:$BB$48)</f>
        <v>9.4859728662497103E-2</v>
      </c>
      <c r="AP21" s="20">
        <f>SUMPRODUCT(Oxides_typical!$C21:$BB21,Factors!$C$49:$BB$49)</f>
        <v>0</v>
      </c>
      <c r="AQ21" s="20">
        <f>SUMPRODUCT(Oxides_typical!$C21:$BB21,Factors!$C$50:$BB$50)</f>
        <v>0.30365768544291399</v>
      </c>
      <c r="AR21" s="20">
        <f>SUMPRODUCT(Oxides_typical!$C21:$BB21,Factors!$C$51:$BB$51)</f>
        <v>0</v>
      </c>
      <c r="AS21" s="20">
        <f>SUMPRODUCT(Oxides_typical!$C21:$BB21,Factors!$C$52:$BB$52)</f>
        <v>0.70576975149934185</v>
      </c>
      <c r="AT21" s="20">
        <f>SUMPRODUCT(Oxides_typical!$C21:$BB21,Factors!$C$53:$BB$53)</f>
        <v>0</v>
      </c>
      <c r="AU21" s="20">
        <f>SUMPRODUCT(Oxides_typical!$C21:$BB21,Factors!$C$54:$BB$54)</f>
        <v>0.43726128387122071</v>
      </c>
      <c r="AV21" s="20">
        <f>SUMPRODUCT(Oxides_typical!$C21:$BB21,Factors!$C$55:$BB$55)</f>
        <v>0</v>
      </c>
      <c r="AW21" s="20">
        <f>SUMPRODUCT(Oxides_typical!$C21:$BB21,Factors!$C$56:$BB$56)</f>
        <v>0.68500153519400542</v>
      </c>
      <c r="AX21" s="20">
        <f>SUMPRODUCT(Oxides_typical!$C21:$BB21,Factors!$C$57:$BB$57)</f>
        <v>0</v>
      </c>
      <c r="AY21" s="20">
        <f>SUMPRODUCT(Oxides_typical!$C21:$BB21,Factors!$C$58:$BB$58)</f>
        <v>0.10763913813654369</v>
      </c>
      <c r="AZ21" s="18">
        <f t="shared" si="0"/>
        <v>98.212102723013999</v>
      </c>
    </row>
    <row r="22" spans="1:52" x14ac:dyDescent="0.35">
      <c r="A22" s="13" t="s">
        <v>165</v>
      </c>
      <c r="B22" s="20">
        <f>SUMPRODUCT(Oxides_typical!$C22:$BB22,Factors!$C$9:$BB$9)</f>
        <v>27.646074347983859</v>
      </c>
      <c r="C22" s="20">
        <f>SUMPRODUCT(Oxides_typical!$C22:$BB22,Factors!$C$10:$BB$10)</f>
        <v>6.5441139756669944E-2</v>
      </c>
      <c r="D22" s="20">
        <f>SUMPRODUCT(Oxides_typical!$C22:$BB22,Factors!$C$11:$BB$11)</f>
        <v>19.502813247354911</v>
      </c>
      <c r="E22" s="20">
        <f>SUMPRODUCT(Oxides_typical!$C22:$BB22,Factors!$C$12:$BB$12)</f>
        <v>1.4066124555679993</v>
      </c>
      <c r="F22" s="20">
        <f>SUMPRODUCT(Oxides_typical!$C22:$BB22,Factors!$C$13:$BB$13)</f>
        <v>0</v>
      </c>
      <c r="G22" s="20">
        <f>SUMPRODUCT(Oxides_typical!$C22:$BB22,Factors!$C$14:$BB$14)</f>
        <v>0</v>
      </c>
      <c r="H22" s="20">
        <f>SUMPRODUCT(Oxides_typical!$C22:$BB22,Factors!$C$15:$BB$15)</f>
        <v>0</v>
      </c>
      <c r="I22" s="20">
        <f>SUMPRODUCT(Oxides_typical!$C22:$BB22,Factors!$C$16:$BB$16)</f>
        <v>4.3504593360761987</v>
      </c>
      <c r="J22" s="20">
        <f>SUMPRODUCT(Oxides_typical!$C22:$BB22,Factors!$C$17:$BB$17)</f>
        <v>0</v>
      </c>
      <c r="K22" s="20">
        <f>SUMPRODUCT(Oxides_typical!$C22:$BB22,Factors!$C$18:$BB$18)</f>
        <v>0</v>
      </c>
      <c r="L22" s="20">
        <f>SUMPRODUCT(Oxides_typical!$C22:$BB22,Factors!$C$19:$BB$19)</f>
        <v>0</v>
      </c>
      <c r="M22" s="20">
        <f>SUMPRODUCT(Oxides_typical!$C22:$BB22,Factors!$C$20:$BB$20)</f>
        <v>0</v>
      </c>
      <c r="N22" s="20">
        <f>SUMPRODUCT(Oxides_typical!$C22:$BB22,Factors!$C$21:$BB$21)</f>
        <v>1.1077785901528254</v>
      </c>
      <c r="O22" s="20">
        <f>SUMPRODUCT(Oxides_typical!$C22:$BB22,Factors!$C$22:$BB$22)</f>
        <v>0</v>
      </c>
      <c r="P22" s="20">
        <f>SUMPRODUCT(Oxides_typical!$C22:$BB22,Factors!$C$23:$BB$23)</f>
        <v>0</v>
      </c>
      <c r="Q22" s="20">
        <f>SUMPRODUCT(Oxides_typical!$C22:$BB22,Factors!$C$24:$BB$24)</f>
        <v>0</v>
      </c>
      <c r="R22" s="20">
        <f>SUMPRODUCT(Oxides_typical!$C22:$BB22,Factors!$C$25:$BB$25)</f>
        <v>0</v>
      </c>
      <c r="S22" s="20">
        <f>SUMPRODUCT(Oxides_typical!$C22:$BB22,Factors!$C$26:$BB$26)</f>
        <v>0</v>
      </c>
      <c r="T22" s="20">
        <f>SUMPRODUCT(Oxides_typical!$C22:$BB22,Factors!$C$27:$BB$27)</f>
        <v>0</v>
      </c>
      <c r="U22" s="20">
        <f>SUMPRODUCT(Oxides_typical!$C22:$BB22,Factors!$C$28:$BB$28)</f>
        <v>0</v>
      </c>
      <c r="V22" s="20">
        <f>SUMPRODUCT(Oxides_typical!$C22:$BB22,Factors!$C$29:$BB$29)</f>
        <v>0</v>
      </c>
      <c r="W22" s="20">
        <f>SUMPRODUCT(Oxides_typical!$C22:$BB22,Factors!$C$30:$BB$30)</f>
        <v>7.5846859425538176</v>
      </c>
      <c r="X22" s="20">
        <f>SUMPRODUCT(Oxides_typical!$C22:$BB22,Factors!$C$31:$BB$31)</f>
        <v>6.5517687674664218E-2</v>
      </c>
      <c r="Y22" s="20">
        <f>SUMPRODUCT(Oxides_typical!$C22:$BB22,Factors!$C$32:$BB$32)</f>
        <v>0</v>
      </c>
      <c r="Z22" s="20">
        <f>SUMPRODUCT(Oxides_typical!$C22:$BB22,Factors!$C$33:$BB$33)</f>
        <v>0</v>
      </c>
      <c r="AA22" s="20">
        <f>SUMPRODUCT(Oxides_typical!$C22:$BB22,Factors!$C$34:$BB$34)</f>
        <v>0</v>
      </c>
      <c r="AB22" s="20">
        <f>SUMPRODUCT(Oxides_typical!$C22:$BB22,Factors!$C$35:$BB$35)</f>
        <v>0</v>
      </c>
      <c r="AC22" s="20">
        <f>SUMPRODUCT(Oxides_typical!$C22:$BB22,Factors!$C$36:$BB$36)</f>
        <v>0</v>
      </c>
      <c r="AD22" s="20">
        <f>SUMPRODUCT(Oxides_typical!$C22:$BB22,Factors!$C$37:$BB$37)</f>
        <v>0.29543380516236467</v>
      </c>
      <c r="AE22" s="20">
        <f>SUMPRODUCT(Oxides_typical!$C22:$BB22,Factors!$C$38:$BB$38)</f>
        <v>0.34</v>
      </c>
      <c r="AF22" s="20">
        <f>SUMPRODUCT(Oxides_typical!$C22:$BB22,Factors!$C$39:$BB$39)</f>
        <v>0</v>
      </c>
      <c r="AG22" s="20">
        <f>SUMPRODUCT(Oxides_typical!$C22:$BB22,Factors!$C$40:$BB$40)</f>
        <v>0</v>
      </c>
      <c r="AH22" s="20">
        <f>SUMPRODUCT(Oxides_typical!$C22:$BB22,Factors!$C$41:$BB$41)</f>
        <v>0</v>
      </c>
      <c r="AI22" s="20">
        <f>SUMPRODUCT(Oxides_typical!$C22:$BB22,Factors!$C$42:$BB$42)</f>
        <v>0</v>
      </c>
      <c r="AJ22" s="20">
        <f>SUMPRODUCT(Oxides_typical!$C22:$BB22,Factors!$C$43:$BB$43)</f>
        <v>2.2835874688253792</v>
      </c>
      <c r="AK22" s="20">
        <f>SUMPRODUCT(Oxides_typical!$C22:$BB22,Factors!$C$44:$BB$44)</f>
        <v>4.6044890004829222</v>
      </c>
      <c r="AL22" s="20">
        <f>SUMPRODUCT(Oxides_typical!$C22:$BB22,Factors!$C$45:$BB$45)</f>
        <v>14.462860015416066</v>
      </c>
      <c r="AM22" s="20">
        <f>SUMPRODUCT(Oxides_typical!$C22:$BB22,Factors!$C$46:$BB$46)</f>
        <v>1.9396509396616839</v>
      </c>
      <c r="AN22" s="20">
        <f>SUMPRODUCT(Oxides_typical!$C22:$BB22,Factors!$C$47:$BB$47)</f>
        <v>7.570453368838062</v>
      </c>
      <c r="AO22" s="20">
        <f>SUMPRODUCT(Oxides_typical!$C22:$BB22,Factors!$C$48:$BB$48)</f>
        <v>1.6039917755658601</v>
      </c>
      <c r="AP22" s="20">
        <f>SUMPRODUCT(Oxides_typical!$C22:$BB22,Factors!$C$49:$BB$49)</f>
        <v>1.0967921005896142</v>
      </c>
      <c r="AQ22" s="20">
        <f>SUMPRODUCT(Oxides_typical!$C22:$BB22,Factors!$C$50:$BB$50)</f>
        <v>1.51828842721457</v>
      </c>
      <c r="AR22" s="20">
        <f>SUMPRODUCT(Oxides_typical!$C22:$BB22,Factors!$C$51:$BB$51)</f>
        <v>0</v>
      </c>
      <c r="AS22" s="20">
        <f>SUMPRODUCT(Oxides_typical!$C22:$BB22,Factors!$C$52:$BB$52)</f>
        <v>0.7319093719252433</v>
      </c>
      <c r="AT22" s="20">
        <f>SUMPRODUCT(Oxides_typical!$C22:$BB22,Factors!$C$53:$BB$53)</f>
        <v>0</v>
      </c>
      <c r="AU22" s="20">
        <f>SUMPRODUCT(Oxides_typical!$C22:$BB22,Factors!$C$54:$BB$54)</f>
        <v>0</v>
      </c>
      <c r="AV22" s="20">
        <f>SUMPRODUCT(Oxides_typical!$C22:$BB22,Factors!$C$55:$BB$55)</f>
        <v>0</v>
      </c>
      <c r="AW22" s="20">
        <f>SUMPRODUCT(Oxides_typical!$C22:$BB22,Factors!$C$56:$BB$56)</f>
        <v>0</v>
      </c>
      <c r="AX22" s="20">
        <f>SUMPRODUCT(Oxides_typical!$C22:$BB22,Factors!$C$57:$BB$57)</f>
        <v>0</v>
      </c>
      <c r="AY22" s="20">
        <f>SUMPRODUCT(Oxides_typical!$C22:$BB22,Factors!$C$58:$BB$58)</f>
        <v>0</v>
      </c>
      <c r="AZ22" s="18">
        <f t="shared" si="0"/>
        <v>98.176839020802717</v>
      </c>
    </row>
    <row r="23" spans="1:52" x14ac:dyDescent="0.35">
      <c r="A23" s="13" t="s">
        <v>167</v>
      </c>
      <c r="B23" s="20">
        <f>SUMPRODUCT(Oxides_typical!$C23:$BB23,Factors!$C$9:$BB$9)</f>
        <v>26.27374743300814</v>
      </c>
      <c r="C23" s="20">
        <f>SUMPRODUCT(Oxides_typical!$C23:$BB23,Factors!$C$10:$BB$10)</f>
        <v>0</v>
      </c>
      <c r="D23" s="20">
        <f>SUMPRODUCT(Oxides_typical!$C23:$BB23,Factors!$C$11:$BB$11)</f>
        <v>12.40652225630752</v>
      </c>
      <c r="E23" s="20">
        <f>SUMPRODUCT(Oxides_typical!$C23:$BB23,Factors!$C$12:$BB$12)</f>
        <v>0</v>
      </c>
      <c r="F23" s="20">
        <f>SUMPRODUCT(Oxides_typical!$C23:$BB23,Factors!$C$13:$BB$13)</f>
        <v>0</v>
      </c>
      <c r="G23" s="20">
        <f>SUMPRODUCT(Oxides_typical!$C23:$BB23,Factors!$C$14:$BB$14)</f>
        <v>0.11027549964169123</v>
      </c>
      <c r="H23" s="20">
        <f>SUMPRODUCT(Oxides_typical!$C23:$BB23,Factors!$C$15:$BB$15)</f>
        <v>0</v>
      </c>
      <c r="I23" s="20">
        <f>SUMPRODUCT(Oxides_typical!$C23:$BB23,Factors!$C$16:$BB$16)</f>
        <v>0.17878110906965092</v>
      </c>
      <c r="J23" s="20">
        <f>SUMPRODUCT(Oxides_typical!$C23:$BB23,Factors!$C$17:$BB$17)</f>
        <v>0.1781262568538943</v>
      </c>
      <c r="K23" s="20">
        <f>SUMPRODUCT(Oxides_typical!$C23:$BB23,Factors!$C$18:$BB$18)</f>
        <v>0</v>
      </c>
      <c r="L23" s="20">
        <f>SUMPRODUCT(Oxides_typical!$C23:$BB23,Factors!$C$19:$BB$19)</f>
        <v>0</v>
      </c>
      <c r="M23" s="20">
        <f>SUMPRODUCT(Oxides_typical!$C23:$BB23,Factors!$C$20:$BB$20)</f>
        <v>0</v>
      </c>
      <c r="N23" s="20">
        <f>SUMPRODUCT(Oxides_typical!$C23:$BB23,Factors!$C$21:$BB$21)</f>
        <v>0.7790184924300515</v>
      </c>
      <c r="O23" s="20">
        <f>SUMPRODUCT(Oxides_typical!$C23:$BB23,Factors!$C$22:$BB$22)</f>
        <v>0</v>
      </c>
      <c r="P23" s="20">
        <f>SUMPRODUCT(Oxides_typical!$C23:$BB23,Factors!$C$23:$BB$23)</f>
        <v>0</v>
      </c>
      <c r="Q23" s="20">
        <f>SUMPRODUCT(Oxides_typical!$C23:$BB23,Factors!$C$24:$BB$24)</f>
        <v>0</v>
      </c>
      <c r="R23" s="20">
        <f>SUMPRODUCT(Oxides_typical!$C23:$BB23,Factors!$C$25:$BB$25)</f>
        <v>0</v>
      </c>
      <c r="S23" s="20">
        <f>SUMPRODUCT(Oxides_typical!$C23:$BB23,Factors!$C$26:$BB$26)</f>
        <v>0</v>
      </c>
      <c r="T23" s="20">
        <f>SUMPRODUCT(Oxides_typical!$C23:$BB23,Factors!$C$27:$BB$27)</f>
        <v>0</v>
      </c>
      <c r="U23" s="20">
        <f>SUMPRODUCT(Oxides_typical!$C23:$BB23,Factors!$C$28:$BB$28)</f>
        <v>0</v>
      </c>
      <c r="V23" s="20">
        <f>SUMPRODUCT(Oxides_typical!$C23:$BB23,Factors!$C$29:$BB$29)</f>
        <v>0</v>
      </c>
      <c r="W23" s="20">
        <f>SUMPRODUCT(Oxides_typical!$C23:$BB23,Factors!$C$30:$BB$30)</f>
        <v>22.432495105672999</v>
      </c>
      <c r="X23" s="20">
        <f>SUMPRODUCT(Oxides_typical!$C23:$BB23,Factors!$C$31:$BB$31)</f>
        <v>8.2306595141296928</v>
      </c>
      <c r="Y23" s="20">
        <f>SUMPRODUCT(Oxides_typical!$C23:$BB23,Factors!$C$32:$BB$32)</f>
        <v>7.9297092353679544E-2</v>
      </c>
      <c r="Z23" s="20">
        <f>SUMPRODUCT(Oxides_typical!$C23:$BB23,Factors!$C$33:$BB$33)</f>
        <v>0</v>
      </c>
      <c r="AA23" s="20">
        <f>SUMPRODUCT(Oxides_typical!$C23:$BB23,Factors!$C$34:$BB$34)</f>
        <v>0</v>
      </c>
      <c r="AB23" s="20">
        <f>SUMPRODUCT(Oxides_typical!$C23:$BB23,Factors!$C$35:$BB$35)</f>
        <v>0</v>
      </c>
      <c r="AC23" s="20">
        <f>SUMPRODUCT(Oxides_typical!$C23:$BB23,Factors!$C$36:$BB$36)</f>
        <v>0</v>
      </c>
      <c r="AD23" s="20">
        <f>SUMPRODUCT(Oxides_typical!$C23:$BB23,Factors!$C$37:$BB$37)</f>
        <v>0</v>
      </c>
      <c r="AE23" s="20">
        <f>SUMPRODUCT(Oxides_typical!$C23:$BB23,Factors!$C$38:$BB$38)</f>
        <v>0</v>
      </c>
      <c r="AF23" s="20">
        <f>SUMPRODUCT(Oxides_typical!$C23:$BB23,Factors!$C$39:$BB$39)</f>
        <v>0</v>
      </c>
      <c r="AG23" s="20">
        <f>SUMPRODUCT(Oxides_typical!$C23:$BB23,Factors!$C$40:$BB$40)</f>
        <v>0.57122769761816306</v>
      </c>
      <c r="AH23" s="20">
        <f>SUMPRODUCT(Oxides_typical!$C23:$BB23,Factors!$C$41:$BB$41)</f>
        <v>3.9403081259567792</v>
      </c>
      <c r="AI23" s="20">
        <f>SUMPRODUCT(Oxides_typical!$C23:$BB23,Factors!$C$42:$BB$42)</f>
        <v>3.2598284362038175E-2</v>
      </c>
      <c r="AJ23" s="20">
        <f>SUMPRODUCT(Oxides_typical!$C23:$BB23,Factors!$C$43:$BB$43)</f>
        <v>15.662260260323032</v>
      </c>
      <c r="AK23" s="20">
        <f>SUMPRODUCT(Oxides_typical!$C23:$BB23,Factors!$C$44:$BB$44)</f>
        <v>0</v>
      </c>
      <c r="AL23" s="20">
        <f>SUMPRODUCT(Oxides_typical!$C23:$BB23,Factors!$C$45:$BB$45)</f>
        <v>0.1024523731906687</v>
      </c>
      <c r="AM23" s="20">
        <f>SUMPRODUCT(Oxides_typical!$C23:$BB23,Factors!$C$46:$BB$46)</f>
        <v>0</v>
      </c>
      <c r="AN23" s="20">
        <f>SUMPRODUCT(Oxides_typical!$C23:$BB23,Factors!$C$47:$BB$47)</f>
        <v>0.40295731408311314</v>
      </c>
      <c r="AO23" s="20">
        <f>SUMPRODUCT(Oxides_typical!$C23:$BB23,Factors!$C$48:$BB$48)</f>
        <v>0.87960839305224581</v>
      </c>
      <c r="AP23" s="20">
        <f>SUMPRODUCT(Oxides_typical!$C23:$BB23,Factors!$C$49:$BB$49)</f>
        <v>0.40589943880088081</v>
      </c>
      <c r="AQ23" s="20">
        <f>SUMPRODUCT(Oxides_typical!$C23:$BB23,Factors!$C$50:$BB$50)</f>
        <v>1.4575568901259872</v>
      </c>
      <c r="AR23" s="20">
        <f>SUMPRODUCT(Oxides_typical!$C23:$BB23,Factors!$C$51:$BB$51)</f>
        <v>0.31277018278371027</v>
      </c>
      <c r="AS23" s="20">
        <f>SUMPRODUCT(Oxides_typical!$C23:$BB23,Factors!$C$52:$BB$52)</f>
        <v>1.6816489140663327</v>
      </c>
      <c r="AT23" s="20">
        <f>SUMPRODUCT(Oxides_typical!$C23:$BB23,Factors!$C$53:$BB$53)</f>
        <v>0.36664991044511308</v>
      </c>
      <c r="AU23" s="20">
        <f>SUMPRODUCT(Oxides_typical!$C23:$BB23,Factors!$C$54:$BB$54)</f>
        <v>0.88326779341986583</v>
      </c>
      <c r="AV23" s="20">
        <f>SUMPRODUCT(Oxides_typical!$C23:$BB23,Factors!$C$55:$BB$55)</f>
        <v>0.3414887106759289</v>
      </c>
      <c r="AW23" s="20">
        <f>SUMPRODUCT(Oxides_typical!$C23:$BB23,Factors!$C$56:$BB$56)</f>
        <v>0.93968159315075106</v>
      </c>
      <c r="AX23" s="20">
        <f>SUMPRODUCT(Oxides_typical!$C23:$BB23,Factors!$C$57:$BB$57)</f>
        <v>0.14070135847808637</v>
      </c>
      <c r="AY23" s="20">
        <f>SUMPRODUCT(Oxides_typical!$C23:$BB23,Factors!$C$58:$BB$58)</f>
        <v>0</v>
      </c>
      <c r="AZ23" s="18">
        <f t="shared" si="0"/>
        <v>98.790000000000035</v>
      </c>
    </row>
    <row r="24" spans="1:52" x14ac:dyDescent="0.35">
      <c r="A24" s="13" t="s">
        <v>169</v>
      </c>
      <c r="B24" s="20">
        <f>SUMPRODUCT(Oxides_typical!$C24:$BB24,Factors!$C$9:$BB$9)</f>
        <v>23.212581180747165</v>
      </c>
      <c r="C24" s="20">
        <f>SUMPRODUCT(Oxides_typical!$C24:$BB24,Factors!$C$10:$BB$10)</f>
        <v>0</v>
      </c>
      <c r="D24" s="20">
        <f>SUMPRODUCT(Oxides_typical!$C24:$BB24,Factors!$C$11:$BB$11)</f>
        <v>0.58136843423276785</v>
      </c>
      <c r="E24" s="20">
        <f>SUMPRODUCT(Oxides_typical!$C24:$BB24,Factors!$C$12:$BB$12)</f>
        <v>0</v>
      </c>
      <c r="F24" s="20">
        <f>SUMPRODUCT(Oxides_typical!$C24:$BB24,Factors!$C$13:$BB$13)</f>
        <v>0</v>
      </c>
      <c r="G24" s="20">
        <f>SUMPRODUCT(Oxides_typical!$C24:$BB24,Factors!$C$14:$BB$14)</f>
        <v>0</v>
      </c>
      <c r="H24" s="20">
        <f>SUMPRODUCT(Oxides_typical!$C24:$BB24,Factors!$C$15:$BB$15)</f>
        <v>0</v>
      </c>
      <c r="I24" s="20">
        <f>SUMPRODUCT(Oxides_typical!$C24:$BB24,Factors!$C$16:$BB$16)</f>
        <v>0</v>
      </c>
      <c r="J24" s="20">
        <f>SUMPRODUCT(Oxides_typical!$C24:$BB24,Factors!$C$17:$BB$17)</f>
        <v>0</v>
      </c>
      <c r="K24" s="20">
        <f>SUMPRODUCT(Oxides_typical!$C24:$BB24,Factors!$C$18:$BB$18)</f>
        <v>0</v>
      </c>
      <c r="L24" s="20">
        <f>SUMPRODUCT(Oxides_typical!$C24:$BB24,Factors!$C$19:$BB$19)</f>
        <v>0</v>
      </c>
      <c r="M24" s="20">
        <f>SUMPRODUCT(Oxides_typical!$C24:$BB24,Factors!$C$20:$BB$20)</f>
        <v>0</v>
      </c>
      <c r="N24" s="20">
        <f>SUMPRODUCT(Oxides_typical!$C24:$BB24,Factors!$C$21:$BB$21)</f>
        <v>0.58605060898407535</v>
      </c>
      <c r="O24" s="20">
        <f>SUMPRODUCT(Oxides_typical!$C24:$BB24,Factors!$C$22:$BB$22)</f>
        <v>0</v>
      </c>
      <c r="P24" s="20">
        <f>SUMPRODUCT(Oxides_typical!$C24:$BB24,Factors!$C$23:$BB$23)</f>
        <v>0</v>
      </c>
      <c r="Q24" s="20">
        <f>SUMPRODUCT(Oxides_typical!$C24:$BB24,Factors!$C$24:$BB$24)</f>
        <v>0</v>
      </c>
      <c r="R24" s="20">
        <f>SUMPRODUCT(Oxides_typical!$C24:$BB24,Factors!$C$25:$BB$25)</f>
        <v>0</v>
      </c>
      <c r="S24" s="20">
        <f>SUMPRODUCT(Oxides_typical!$C24:$BB24,Factors!$C$26:$BB$26)</f>
        <v>0</v>
      </c>
      <c r="T24" s="20">
        <f>SUMPRODUCT(Oxides_typical!$C24:$BB24,Factors!$C$27:$BB$27)</f>
        <v>0</v>
      </c>
      <c r="U24" s="20">
        <f>SUMPRODUCT(Oxides_typical!$C24:$BB24,Factors!$C$28:$BB$28)</f>
        <v>0</v>
      </c>
      <c r="V24" s="20">
        <f>SUMPRODUCT(Oxides_typical!$C24:$BB24,Factors!$C$29:$BB$29)</f>
        <v>0</v>
      </c>
      <c r="W24" s="20">
        <f>SUMPRODUCT(Oxides_typical!$C24:$BB24,Factors!$C$30:$BB$30)</f>
        <v>31.051774153754895</v>
      </c>
      <c r="X24" s="20">
        <f>SUMPRODUCT(Oxides_typical!$C24:$BB24,Factors!$C$31:$BB$31)</f>
        <v>0</v>
      </c>
      <c r="Y24" s="20">
        <f>SUMPRODUCT(Oxides_typical!$C24:$BB24,Factors!$C$32:$BB$32)</f>
        <v>0</v>
      </c>
      <c r="Z24" s="20">
        <f>SUMPRODUCT(Oxides_typical!$C24:$BB24,Factors!$C$33:$BB$33)</f>
        <v>0</v>
      </c>
      <c r="AA24" s="20">
        <f>SUMPRODUCT(Oxides_typical!$C24:$BB24,Factors!$C$34:$BB$34)</f>
        <v>0</v>
      </c>
      <c r="AB24" s="20">
        <f>SUMPRODUCT(Oxides_typical!$C24:$BB24,Factors!$C$35:$BB$35)</f>
        <v>0</v>
      </c>
      <c r="AC24" s="20">
        <f>SUMPRODUCT(Oxides_typical!$C24:$BB24,Factors!$C$36:$BB$36)</f>
        <v>0</v>
      </c>
      <c r="AD24" s="20">
        <f>SUMPRODUCT(Oxides_typical!$C24:$BB24,Factors!$C$37:$BB$37)</f>
        <v>0</v>
      </c>
      <c r="AE24" s="20">
        <f>SUMPRODUCT(Oxides_typical!$C24:$BB24,Factors!$C$38:$BB$38)</f>
        <v>0</v>
      </c>
      <c r="AF24" s="20">
        <f>SUMPRODUCT(Oxides_typical!$C24:$BB24,Factors!$C$39:$BB$39)</f>
        <v>0</v>
      </c>
      <c r="AG24" s="20">
        <f>SUMPRODUCT(Oxides_typical!$C24:$BB24,Factors!$C$40:$BB$40)</f>
        <v>3.5679760805072944</v>
      </c>
      <c r="AH24" s="20">
        <f>SUMPRODUCT(Oxides_typical!$C24:$BB24,Factors!$C$41:$BB$41)</f>
        <v>2.1067866713728645</v>
      </c>
      <c r="AI24" s="20">
        <f>SUMPRODUCT(Oxides_typical!$C24:$BB24,Factors!$C$42:$BB$42)</f>
        <v>0</v>
      </c>
      <c r="AJ24" s="20">
        <f>SUMPRODUCT(Oxides_typical!$C24:$BB24,Factors!$C$43:$BB$43)</f>
        <v>21.646834316555061</v>
      </c>
      <c r="AK24" s="20">
        <f>SUMPRODUCT(Oxides_typical!$C24:$BB24,Factors!$C$44:$BB$44)</f>
        <v>9.37951463061336E-2</v>
      </c>
      <c r="AL24" s="20">
        <f>SUMPRODUCT(Oxides_typical!$C24:$BB24,Factors!$C$45:$BB$45)</f>
        <v>0.80254358999357145</v>
      </c>
      <c r="AM24" s="20">
        <f>SUMPRODUCT(Oxides_typical!$C24:$BB24,Factors!$C$46:$BB$46)</f>
        <v>0.12817076693799673</v>
      </c>
      <c r="AN24" s="20">
        <f>SUMPRODUCT(Oxides_typical!$C24:$BB24,Factors!$C$47:$BB$47)</f>
        <v>1.5603878970878</v>
      </c>
      <c r="AO24" s="20">
        <f>SUMPRODUCT(Oxides_typical!$C24:$BB24,Factors!$C$48:$BB$48)</f>
        <v>1.0089625685011054</v>
      </c>
      <c r="AP24" s="20">
        <f>SUMPRODUCT(Oxides_typical!$C24:$BB24,Factors!$C$49:$BB$49)</f>
        <v>2.59084748170775E-2</v>
      </c>
      <c r="AQ24" s="20">
        <f>SUMPRODUCT(Oxides_typical!$C24:$BB24,Factors!$C$50:$BB$50)</f>
        <v>1.917381385225257</v>
      </c>
      <c r="AR24" s="20">
        <f>SUMPRODUCT(Oxides_typical!$C24:$BB24,Factors!$C$51:$BB$51)</f>
        <v>0.47784333480844626</v>
      </c>
      <c r="AS24" s="20">
        <f>SUMPRODUCT(Oxides_typical!$C24:$BB24,Factors!$C$52:$BB$52)</f>
        <v>3.9993619251629364</v>
      </c>
      <c r="AT24" s="20">
        <f>SUMPRODUCT(Oxides_typical!$C24:$BB24,Factors!$C$53:$BB$53)</f>
        <v>0.89043549679527467</v>
      </c>
      <c r="AU24" s="20">
        <f>SUMPRODUCT(Oxides_typical!$C24:$BB24,Factors!$C$54:$BB$54)</f>
        <v>2.8072174424532368</v>
      </c>
      <c r="AV24" s="20">
        <f>SUMPRODUCT(Oxides_typical!$C24:$BB24,Factors!$C$55:$BB$55)</f>
        <v>0.51661112640717444</v>
      </c>
      <c r="AW24" s="20">
        <f>SUMPRODUCT(Oxides_typical!$C24:$BB24,Factors!$C$56:$BB$56)</f>
        <v>3.1000710503010755</v>
      </c>
      <c r="AX24" s="20">
        <f>SUMPRODUCT(Oxides_typical!$C24:$BB24,Factors!$C$57:$BB$57)</f>
        <v>8.7938349048803988E-2</v>
      </c>
      <c r="AY24" s="20">
        <f>SUMPRODUCT(Oxides_typical!$C24:$BB24,Factors!$C$58:$BB$58)</f>
        <v>0</v>
      </c>
      <c r="AZ24" s="18">
        <f t="shared" si="0"/>
        <v>100.16999999999999</v>
      </c>
    </row>
    <row r="25" spans="1:52" x14ac:dyDescent="0.35">
      <c r="A25" s="13" t="s">
        <v>171</v>
      </c>
      <c r="B25" s="20">
        <f>SUMPRODUCT(Oxides_typical!$C25:$BB25,Factors!$C$9:$BB$9)</f>
        <v>27.462509098632896</v>
      </c>
      <c r="C25" s="20">
        <f>SUMPRODUCT(Oxides_typical!$C25:$BB25,Factors!$C$10:$BB$10)</f>
        <v>0</v>
      </c>
      <c r="D25" s="20">
        <f>SUMPRODUCT(Oxides_typical!$C25:$BB25,Factors!$C$11:$BB$11)</f>
        <v>23.656301133162213</v>
      </c>
      <c r="E25" s="20">
        <f>SUMPRODUCT(Oxides_typical!$C25:$BB25,Factors!$C$12:$BB$12)</f>
        <v>0</v>
      </c>
      <c r="F25" s="20">
        <f>SUMPRODUCT(Oxides_typical!$C25:$BB25,Factors!$C$13:$BB$13)</f>
        <v>0</v>
      </c>
      <c r="G25" s="20">
        <f>SUMPRODUCT(Oxides_typical!$C25:$BB25,Factors!$C$14:$BB$14)</f>
        <v>0</v>
      </c>
      <c r="H25" s="20">
        <f>SUMPRODUCT(Oxides_typical!$C25:$BB25,Factors!$C$15:$BB$15)</f>
        <v>0</v>
      </c>
      <c r="I25" s="20">
        <f>SUMPRODUCT(Oxides_typical!$C25:$BB25,Factors!$C$16:$BB$16)</f>
        <v>0.13991565057624852</v>
      </c>
      <c r="J25" s="20">
        <f>SUMPRODUCT(Oxides_typical!$C25:$BB25,Factors!$C$17:$BB$17)</f>
        <v>0</v>
      </c>
      <c r="K25" s="20">
        <f>SUMPRODUCT(Oxides_typical!$C25:$BB25,Factors!$C$18:$BB$18)</f>
        <v>0</v>
      </c>
      <c r="L25" s="20">
        <f>SUMPRODUCT(Oxides_typical!$C25:$BB25,Factors!$C$19:$BB$19)</f>
        <v>0</v>
      </c>
      <c r="M25" s="20">
        <f>SUMPRODUCT(Oxides_typical!$C25:$BB25,Factors!$C$20:$BB$20)</f>
        <v>0</v>
      </c>
      <c r="N25" s="20">
        <f>SUMPRODUCT(Oxides_typical!$C25:$BB25,Factors!$C$21:$BB$21)</f>
        <v>3.1946905148278257</v>
      </c>
      <c r="O25" s="20">
        <f>SUMPRODUCT(Oxides_typical!$C25:$BB25,Factors!$C$22:$BB$22)</f>
        <v>2.8750325712465865</v>
      </c>
      <c r="P25" s="20">
        <f>SUMPRODUCT(Oxides_typical!$C25:$BB25,Factors!$C$23:$BB$23)</f>
        <v>0</v>
      </c>
      <c r="Q25" s="20">
        <f>SUMPRODUCT(Oxides_typical!$C25:$BB25,Factors!$C$24:$BB$24)</f>
        <v>0</v>
      </c>
      <c r="R25" s="20">
        <f>SUMPRODUCT(Oxides_typical!$C25:$BB25,Factors!$C$25:$BB$25)</f>
        <v>5.5268738216598567</v>
      </c>
      <c r="S25" s="20">
        <f>SUMPRODUCT(Oxides_typical!$C25:$BB25,Factors!$C$26:$BB$26)</f>
        <v>0</v>
      </c>
      <c r="T25" s="20">
        <f>SUMPRODUCT(Oxides_typical!$C25:$BB25,Factors!$C$27:$BB$27)</f>
        <v>0</v>
      </c>
      <c r="U25" s="20">
        <f>SUMPRODUCT(Oxides_typical!$C25:$BB25,Factors!$C$28:$BB$28)</f>
        <v>0</v>
      </c>
      <c r="V25" s="20">
        <f>SUMPRODUCT(Oxides_typical!$C25:$BB25,Factors!$C$29:$BB$29)</f>
        <v>0</v>
      </c>
      <c r="W25" s="20">
        <f>SUMPRODUCT(Oxides_typical!$C25:$BB25,Factors!$C$30:$BB$30)</f>
        <v>6.6130072826321777</v>
      </c>
      <c r="X25" s="20">
        <f>SUMPRODUCT(Oxides_typical!$C25:$BB25,Factors!$C$31:$BB$31)</f>
        <v>0.51595179043798067</v>
      </c>
      <c r="Y25" s="20">
        <f>SUMPRODUCT(Oxides_typical!$C25:$BB25,Factors!$C$32:$BB$32)</f>
        <v>0</v>
      </c>
      <c r="Z25" s="20">
        <f>SUMPRODUCT(Oxides_typical!$C25:$BB25,Factors!$C$33:$BB$33)</f>
        <v>0</v>
      </c>
      <c r="AA25" s="20">
        <f>SUMPRODUCT(Oxides_typical!$C25:$BB25,Factors!$C$34:$BB$34)</f>
        <v>0</v>
      </c>
      <c r="AB25" s="20">
        <f>SUMPRODUCT(Oxides_typical!$C25:$BB25,Factors!$C$35:$BB$35)</f>
        <v>0</v>
      </c>
      <c r="AC25" s="20">
        <f>SUMPRODUCT(Oxides_typical!$C25:$BB25,Factors!$C$36:$BB$36)</f>
        <v>0</v>
      </c>
      <c r="AD25" s="20">
        <f>SUMPRODUCT(Oxides_typical!$C25:$BB25,Factors!$C$37:$BB$37)</f>
        <v>0</v>
      </c>
      <c r="AE25" s="20">
        <f>SUMPRODUCT(Oxides_typical!$C25:$BB25,Factors!$C$38:$BB$38)</f>
        <v>0</v>
      </c>
      <c r="AF25" s="20">
        <f>SUMPRODUCT(Oxides_typical!$C25:$BB25,Factors!$C$39:$BB$39)</f>
        <v>0</v>
      </c>
      <c r="AG25" s="20">
        <f>SUMPRODUCT(Oxides_typical!$C25:$BB25,Factors!$C$40:$BB$40)</f>
        <v>0.71183759241648004</v>
      </c>
      <c r="AH25" s="20">
        <f>SUMPRODUCT(Oxides_typical!$C25:$BB25,Factors!$C$41:$BB$41)</f>
        <v>0</v>
      </c>
      <c r="AI25" s="20">
        <f>SUMPRODUCT(Oxides_typical!$C25:$BB25,Factors!$C$42:$BB$42)</f>
        <v>0</v>
      </c>
      <c r="AJ25" s="20">
        <f>SUMPRODUCT(Oxides_typical!$C25:$BB25,Factors!$C$43:$BB$43)</f>
        <v>0</v>
      </c>
      <c r="AK25" s="20">
        <f>SUMPRODUCT(Oxides_typical!$C25:$BB25,Factors!$C$44:$BB$44)</f>
        <v>7.4865580415259361</v>
      </c>
      <c r="AL25" s="20">
        <f>SUMPRODUCT(Oxides_typical!$C25:$BB25,Factors!$C$45:$BB$45)</f>
        <v>15.034885765730632</v>
      </c>
      <c r="AM25" s="20">
        <f>SUMPRODUCT(Oxides_typical!$C25:$BB25,Factors!$C$46:$BB$46)</f>
        <v>1.3927890007262311</v>
      </c>
      <c r="AN25" s="20">
        <f>SUMPRODUCT(Oxides_typical!$C25:$BB25,Factors!$C$47:$BB$47)</f>
        <v>4.3296477364249393</v>
      </c>
      <c r="AO25" s="20">
        <f>SUMPRODUCT(Oxides_typical!$C25:$BB25,Factors!$C$48:$BB$48)</f>
        <v>0</v>
      </c>
      <c r="AP25" s="20">
        <f>SUMPRODUCT(Oxides_typical!$C25:$BB25,Factors!$C$49:$BB$49)</f>
        <v>0</v>
      </c>
      <c r="AQ25" s="20">
        <f>SUMPRODUCT(Oxides_typical!$C25:$BB25,Factors!$C$50:$BB$50)</f>
        <v>0</v>
      </c>
      <c r="AR25" s="20">
        <f>SUMPRODUCT(Oxides_typical!$C25:$BB25,Factors!$C$51:$BB$51)</f>
        <v>0</v>
      </c>
      <c r="AS25" s="20">
        <f>SUMPRODUCT(Oxides_typical!$C25:$BB25,Factors!$C$52:$BB$52)</f>
        <v>0</v>
      </c>
      <c r="AT25" s="20">
        <f>SUMPRODUCT(Oxides_typical!$C25:$BB25,Factors!$C$53:$BB$53)</f>
        <v>0</v>
      </c>
      <c r="AU25" s="20">
        <f>SUMPRODUCT(Oxides_typical!$C25:$BB25,Factors!$C$54:$BB$54)</f>
        <v>0</v>
      </c>
      <c r="AV25" s="20">
        <f>SUMPRODUCT(Oxides_typical!$C25:$BB25,Factors!$C$55:$BB$55)</f>
        <v>0</v>
      </c>
      <c r="AW25" s="20">
        <f>SUMPRODUCT(Oxides_typical!$C25:$BB25,Factors!$C$56:$BB$56)</f>
        <v>0</v>
      </c>
      <c r="AX25" s="20">
        <f>SUMPRODUCT(Oxides_typical!$C25:$BB25,Factors!$C$57:$BB$57)</f>
        <v>0</v>
      </c>
      <c r="AY25" s="20">
        <f>SUMPRODUCT(Oxides_typical!$C25:$BB25,Factors!$C$58:$BB$58)</f>
        <v>0</v>
      </c>
      <c r="AZ25" s="18">
        <f t="shared" si="0"/>
        <v>98.940000000000012</v>
      </c>
    </row>
    <row r="26" spans="1:52" x14ac:dyDescent="0.35">
      <c r="A26" s="13" t="s">
        <v>173</v>
      </c>
      <c r="B26" s="20">
        <f>SUMPRODUCT(Oxides_typical!$C26:$BB26,Factors!$C$9:$BB$9)</f>
        <v>23.334269702287536</v>
      </c>
      <c r="C26" s="20">
        <f>SUMPRODUCT(Oxides_typical!$C26:$BB26,Factors!$C$10:$BB$10)</f>
        <v>0</v>
      </c>
      <c r="D26" s="20">
        <f>SUMPRODUCT(Oxides_typical!$C26:$BB26,Factors!$C$11:$BB$11)</f>
        <v>2.4273630501471235</v>
      </c>
      <c r="E26" s="20">
        <f>SUMPRODUCT(Oxides_typical!$C26:$BB26,Factors!$C$12:$BB$12)</f>
        <v>0</v>
      </c>
      <c r="F26" s="20">
        <f>SUMPRODUCT(Oxides_typical!$C26:$BB26,Factors!$C$13:$BB$13)</f>
        <v>0</v>
      </c>
      <c r="G26" s="20">
        <f>SUMPRODUCT(Oxides_typical!$C26:$BB26,Factors!$C$14:$BB$14)</f>
        <v>0.82706624731268408</v>
      </c>
      <c r="H26" s="20">
        <f>SUMPRODUCT(Oxides_typical!$C26:$BB26,Factors!$C$15:$BB$15)</f>
        <v>0</v>
      </c>
      <c r="I26" s="20">
        <f>SUMPRODUCT(Oxides_typical!$C26:$BB26,Factors!$C$16:$BB$16)</f>
        <v>7.2389638099385341</v>
      </c>
      <c r="J26" s="20">
        <f>SUMPRODUCT(Oxides_typical!$C26:$BB26,Factors!$C$17:$BB$17)</f>
        <v>0.89063128426947136</v>
      </c>
      <c r="K26" s="20">
        <f>SUMPRODUCT(Oxides_typical!$C26:$BB26,Factors!$C$18:$BB$18)</f>
        <v>0</v>
      </c>
      <c r="L26" s="20">
        <f>SUMPRODUCT(Oxides_typical!$C26:$BB26,Factors!$C$19:$BB$19)</f>
        <v>0</v>
      </c>
      <c r="M26" s="20">
        <f>SUMPRODUCT(Oxides_typical!$C26:$BB26,Factors!$C$20:$BB$20)</f>
        <v>6.0304188169908693E-2</v>
      </c>
      <c r="N26" s="20">
        <f>SUMPRODUCT(Oxides_typical!$C26:$BB26,Factors!$C$21:$BB$21)</f>
        <v>0.20011484209212332</v>
      </c>
      <c r="O26" s="20">
        <f>SUMPRODUCT(Oxides_typical!$C26:$BB26,Factors!$C$22:$BB$22)</f>
        <v>0</v>
      </c>
      <c r="P26" s="20">
        <f>SUMPRODUCT(Oxides_typical!$C26:$BB26,Factors!$C$23:$BB$23)</f>
        <v>0</v>
      </c>
      <c r="Q26" s="20">
        <f>SUMPRODUCT(Oxides_typical!$C26:$BB26,Factors!$C$24:$BB$24)</f>
        <v>0</v>
      </c>
      <c r="R26" s="20">
        <f>SUMPRODUCT(Oxides_typical!$C26:$BB26,Factors!$C$25:$BB$25)</f>
        <v>0</v>
      </c>
      <c r="S26" s="20">
        <f>SUMPRODUCT(Oxides_typical!$C26:$BB26,Factors!$C$26:$BB$26)</f>
        <v>0</v>
      </c>
      <c r="T26" s="20">
        <f>SUMPRODUCT(Oxides_typical!$C26:$BB26,Factors!$C$27:$BB$27)</f>
        <v>0</v>
      </c>
      <c r="U26" s="20">
        <f>SUMPRODUCT(Oxides_typical!$C26:$BB26,Factors!$C$28:$BB$28)</f>
        <v>0</v>
      </c>
      <c r="V26" s="20">
        <f>SUMPRODUCT(Oxides_typical!$C26:$BB26,Factors!$C$29:$BB$29)</f>
        <v>0</v>
      </c>
      <c r="W26" s="20">
        <f>SUMPRODUCT(Oxides_typical!$C26:$BB26,Factors!$C$30:$BB$30)</f>
        <v>25.186749724443693</v>
      </c>
      <c r="X26" s="20">
        <f>SUMPRODUCT(Oxides_typical!$C26:$BB26,Factors!$C$31:$BB$31)</f>
        <v>10.753090489604265</v>
      </c>
      <c r="Y26" s="20">
        <f>SUMPRODUCT(Oxides_typical!$C26:$BB26,Factors!$C$32:$BB$32)</f>
        <v>1.4352773716015996</v>
      </c>
      <c r="Z26" s="20">
        <f>SUMPRODUCT(Oxides_typical!$C26:$BB26,Factors!$C$33:$BB$33)</f>
        <v>0</v>
      </c>
      <c r="AA26" s="20">
        <f>SUMPRODUCT(Oxides_typical!$C26:$BB26,Factors!$C$34:$BB$34)</f>
        <v>0</v>
      </c>
      <c r="AB26" s="20">
        <f>SUMPRODUCT(Oxides_typical!$C26:$BB26,Factors!$C$35:$BB$35)</f>
        <v>0</v>
      </c>
      <c r="AC26" s="20">
        <f>SUMPRODUCT(Oxides_typical!$C26:$BB26,Factors!$C$36:$BB$36)</f>
        <v>0</v>
      </c>
      <c r="AD26" s="20">
        <f>SUMPRODUCT(Oxides_typical!$C26:$BB26,Factors!$C$37:$BB$37)</f>
        <v>0</v>
      </c>
      <c r="AE26" s="20">
        <f>SUMPRODUCT(Oxides_typical!$C26:$BB26,Factors!$C$38:$BB$38)</f>
        <v>0</v>
      </c>
      <c r="AF26" s="20">
        <f>SUMPRODUCT(Oxides_typical!$C26:$BB26,Factors!$C$39:$BB$39)</f>
        <v>0</v>
      </c>
      <c r="AG26" s="20">
        <f>SUMPRODUCT(Oxides_typical!$C26:$BB26,Factors!$C$40:$BB$40)</f>
        <v>1.3973108295582757</v>
      </c>
      <c r="AH26" s="20">
        <f>SUMPRODUCT(Oxides_typical!$C26:$BB26,Factors!$C$41:$BB$41)</f>
        <v>13.936526056236396</v>
      </c>
      <c r="AI26" s="20">
        <f>SUMPRODUCT(Oxides_typical!$C26:$BB26,Factors!$C$42:$BB$42)</f>
        <v>0.43029735357890397</v>
      </c>
      <c r="AJ26" s="20">
        <f>SUMPRODUCT(Oxides_typical!$C26:$BB26,Factors!$C$43:$BB$43)</f>
        <v>7.0476233951679808</v>
      </c>
      <c r="AK26" s="20">
        <f>SUMPRODUCT(Oxides_typical!$C26:$BB26,Factors!$C$44:$BB$44)</f>
        <v>0</v>
      </c>
      <c r="AL26" s="20">
        <f>SUMPRODUCT(Oxides_typical!$C26:$BB26,Factors!$C$45:$BB$45)</f>
        <v>0</v>
      </c>
      <c r="AM26" s="20">
        <f>SUMPRODUCT(Oxides_typical!$C26:$BB26,Factors!$C$46:$BB$46)</f>
        <v>0</v>
      </c>
      <c r="AN26" s="20">
        <f>SUMPRODUCT(Oxides_typical!$C26:$BB26,Factors!$C$47:$BB$47)</f>
        <v>0.96023870590018456</v>
      </c>
      <c r="AO26" s="20">
        <f>SUMPRODUCT(Oxides_typical!$C26:$BB26,Factors!$C$48:$BB$48)</f>
        <v>0.5777819836715733</v>
      </c>
      <c r="AP26" s="20">
        <f>SUMPRODUCT(Oxides_typical!$C26:$BB26,Factors!$C$49:$BB$49)</f>
        <v>0</v>
      </c>
      <c r="AQ26" s="20">
        <f>SUMPRODUCT(Oxides_typical!$C26:$BB26,Factors!$C$50:$BB$50)</f>
        <v>0.85024151924015923</v>
      </c>
      <c r="AR26" s="20">
        <f>SUMPRODUCT(Oxides_typical!$C26:$BB26,Factors!$C$51:$BB$51)</f>
        <v>0</v>
      </c>
      <c r="AS26" s="20">
        <f>SUMPRODUCT(Oxides_typical!$C26:$BB26,Factors!$C$52:$BB$52)</f>
        <v>0.83646785362884946</v>
      </c>
      <c r="AT26" s="20">
        <f>SUMPRODUCT(Oxides_typical!$C26:$BB26,Factors!$C$53:$BB$53)</f>
        <v>0</v>
      </c>
      <c r="AU26" s="20">
        <f>SUMPRODUCT(Oxides_typical!$C26:$BB26,Factors!$C$54:$BB$54)</f>
        <v>0</v>
      </c>
      <c r="AV26" s="20">
        <f>SUMPRODUCT(Oxides_typical!$C26:$BB26,Factors!$C$55:$BB$55)</f>
        <v>0</v>
      </c>
      <c r="AW26" s="20">
        <f>SUMPRODUCT(Oxides_typical!$C26:$BB26,Factors!$C$56:$BB$56)</f>
        <v>0.93968159315075106</v>
      </c>
      <c r="AX26" s="20">
        <f>SUMPRODUCT(Oxides_typical!$C26:$BB26,Factors!$C$57:$BB$57)</f>
        <v>0</v>
      </c>
      <c r="AY26" s="20">
        <f>SUMPRODUCT(Oxides_typical!$C26:$BB26,Factors!$C$58:$BB$58)</f>
        <v>0</v>
      </c>
      <c r="AZ26" s="18">
        <f t="shared" si="0"/>
        <v>99.330000000000013</v>
      </c>
    </row>
    <row r="27" spans="1:52" x14ac:dyDescent="0.35">
      <c r="A27" s="13" t="s">
        <v>322</v>
      </c>
      <c r="B27" s="20">
        <f>SUMPRODUCT(Oxides_typical!$C27:$BB27,Factors!$C$9:$BB$9)</f>
        <v>48.926346717211835</v>
      </c>
      <c r="C27" s="20">
        <f>SUMPRODUCT(Oxides_typical!$C27:$BB27,Factors!$C$10:$BB$10)</f>
        <v>32.117576519148514</v>
      </c>
      <c r="D27" s="20">
        <f>SUMPRODUCT(Oxides_typical!$C27:$BB27,Factors!$C$11:$BB$11)</f>
        <v>0</v>
      </c>
      <c r="E27" s="20">
        <f>SUMPRODUCT(Oxides_typical!$C27:$BB27,Factors!$C$12:$BB$12)</f>
        <v>0</v>
      </c>
      <c r="F27" s="20">
        <f>SUMPRODUCT(Oxides_typical!$C27:$BB27,Factors!$C$13:$BB$13)</f>
        <v>0</v>
      </c>
      <c r="G27" s="20">
        <f>SUMPRODUCT(Oxides_typical!$C27:$BB27,Factors!$C$14:$BB$14)</f>
        <v>0</v>
      </c>
      <c r="H27" s="20">
        <f>SUMPRODUCT(Oxides_typical!$C27:$BB27,Factors!$C$15:$BB$15)</f>
        <v>10.389313471291317</v>
      </c>
      <c r="I27" s="20">
        <f>SUMPRODUCT(Oxides_typical!$C27:$BB27,Factors!$C$16:$BB$16)</f>
        <v>0</v>
      </c>
      <c r="J27" s="20">
        <f>SUMPRODUCT(Oxides_typical!$C27:$BB27,Factors!$C$17:$BB$17)</f>
        <v>0</v>
      </c>
      <c r="K27" s="20">
        <f>SUMPRODUCT(Oxides_typical!$C27:$BB27,Factors!$C$18:$BB$18)</f>
        <v>0</v>
      </c>
      <c r="L27" s="20">
        <f>SUMPRODUCT(Oxides_typical!$C27:$BB27,Factors!$C$19:$BB$19)</f>
        <v>0</v>
      </c>
      <c r="M27" s="20">
        <f>SUMPRODUCT(Oxides_typical!$C27:$BB27,Factors!$C$20:$BB$20)</f>
        <v>0</v>
      </c>
      <c r="N27" s="20">
        <f>SUMPRODUCT(Oxides_typical!$C27:$BB27,Factors!$C$21:$BB$21)</f>
        <v>0.15723309021523973</v>
      </c>
      <c r="O27" s="20">
        <f>SUMPRODUCT(Oxides_typical!$C27:$BB27,Factors!$C$22:$BB$22)</f>
        <v>0</v>
      </c>
      <c r="P27" s="20">
        <f>SUMPRODUCT(Oxides_typical!$C27:$BB27,Factors!$C$23:$BB$23)</f>
        <v>0</v>
      </c>
      <c r="Q27" s="20">
        <f>SUMPRODUCT(Oxides_typical!$C27:$BB27,Factors!$C$24:$BB$24)</f>
        <v>0</v>
      </c>
      <c r="R27" s="20">
        <f>SUMPRODUCT(Oxides_typical!$C27:$BB27,Factors!$C$25:$BB$25)</f>
        <v>8.6946256630675869</v>
      </c>
      <c r="S27" s="20">
        <f>SUMPRODUCT(Oxides_typical!$C27:$BB27,Factors!$C$26:$BB$26)</f>
        <v>2.4904539065518982E-2</v>
      </c>
      <c r="T27" s="20">
        <f>SUMPRODUCT(Oxides_typical!$C27:$BB27,Factors!$C$27:$BB$27)</f>
        <v>0</v>
      </c>
      <c r="U27" s="20">
        <f>SUMPRODUCT(Oxides_typical!$C27:$BB27,Factors!$C$28:$BB$28)</f>
        <v>0</v>
      </c>
      <c r="V27" s="20">
        <f>SUMPRODUCT(Oxides_typical!$C27:$BB27,Factors!$C$29:$BB$29)</f>
        <v>0</v>
      </c>
      <c r="W27" s="20">
        <f>SUMPRODUCT(Oxides_typical!$C27:$BB27,Factors!$C$30:$BB$30)</f>
        <v>0</v>
      </c>
      <c r="X27" s="20">
        <f>SUMPRODUCT(Oxides_typical!$C27:$BB27,Factors!$C$31:$BB$31)</f>
        <v>0</v>
      </c>
      <c r="Y27" s="20">
        <f>SUMPRODUCT(Oxides_typical!$C27:$BB27,Factors!$C$32:$BB$32)</f>
        <v>0</v>
      </c>
      <c r="Z27" s="20">
        <f>SUMPRODUCT(Oxides_typical!$C27:$BB27,Factors!$C$33:$BB$33)</f>
        <v>0</v>
      </c>
      <c r="AA27" s="20">
        <f>SUMPRODUCT(Oxides_typical!$C27:$BB27,Factors!$C$34:$BB$34)</f>
        <v>0</v>
      </c>
      <c r="AB27" s="20">
        <f>SUMPRODUCT(Oxides_typical!$C27:$BB27,Factors!$C$35:$BB$35)</f>
        <v>0</v>
      </c>
      <c r="AC27" s="20">
        <f>SUMPRODUCT(Oxides_typical!$C27:$BB27,Factors!$C$36:$BB$36)</f>
        <v>0</v>
      </c>
      <c r="AD27" s="20">
        <f>SUMPRODUCT(Oxides_typical!$C27:$BB27,Factors!$C$37:$BB$37)</f>
        <v>0</v>
      </c>
      <c r="AE27" s="20">
        <f>SUMPRODUCT(Oxides_typical!$C27:$BB27,Factors!$C$38:$BB$38)</f>
        <v>0</v>
      </c>
      <c r="AF27" s="20">
        <f>SUMPRODUCT(Oxides_typical!$C27:$BB27,Factors!$C$39:$BB$39)</f>
        <v>0</v>
      </c>
      <c r="AG27" s="20">
        <f>SUMPRODUCT(Oxides_typical!$C27:$BB27,Factors!$C$40:$BB$40)</f>
        <v>0</v>
      </c>
      <c r="AH27" s="20">
        <f>SUMPRODUCT(Oxides_typical!$C27:$BB27,Factors!$C$41:$BB$41)</f>
        <v>0</v>
      </c>
      <c r="AI27" s="20">
        <f>SUMPRODUCT(Oxides_typical!$C27:$BB27,Factors!$C$42:$BB$42)</f>
        <v>0</v>
      </c>
      <c r="AJ27" s="20">
        <f>SUMPRODUCT(Oxides_typical!$C27:$BB27,Factors!$C$43:$BB$43)</f>
        <v>0</v>
      </c>
      <c r="AK27" s="20">
        <f>SUMPRODUCT(Oxides_typical!$C27:$BB27,Factors!$C$44:$BB$44)</f>
        <v>0</v>
      </c>
      <c r="AL27" s="20">
        <f>SUMPRODUCT(Oxides_typical!$C27:$BB27,Factors!$C$45:$BB$45)</f>
        <v>0</v>
      </c>
      <c r="AM27" s="20">
        <f>SUMPRODUCT(Oxides_typical!$C27:$BB27,Factors!$C$46:$BB$46)</f>
        <v>0</v>
      </c>
      <c r="AN27" s="20">
        <f>SUMPRODUCT(Oxides_typical!$C27:$BB27,Factors!$C$47:$BB$47)</f>
        <v>0</v>
      </c>
      <c r="AO27" s="20">
        <f>SUMPRODUCT(Oxides_typical!$C27:$BB27,Factors!$C$48:$BB$48)</f>
        <v>0</v>
      </c>
      <c r="AP27" s="20">
        <f>SUMPRODUCT(Oxides_typical!$C27:$BB27,Factors!$C$49:$BB$49)</f>
        <v>0</v>
      </c>
      <c r="AQ27" s="20">
        <f>SUMPRODUCT(Oxides_typical!$C27:$BB27,Factors!$C$50:$BB$50)</f>
        <v>0</v>
      </c>
      <c r="AR27" s="20">
        <f>SUMPRODUCT(Oxides_typical!$C27:$BB27,Factors!$C$51:$BB$51)</f>
        <v>0</v>
      </c>
      <c r="AS27" s="20">
        <f>SUMPRODUCT(Oxides_typical!$C27:$BB27,Factors!$C$52:$BB$52)</f>
        <v>0</v>
      </c>
      <c r="AT27" s="20">
        <f>SUMPRODUCT(Oxides_typical!$C27:$BB27,Factors!$C$53:$BB$53)</f>
        <v>0</v>
      </c>
      <c r="AU27" s="20">
        <f>SUMPRODUCT(Oxides_typical!$C27:$BB27,Factors!$C$54:$BB$54)</f>
        <v>0</v>
      </c>
      <c r="AV27" s="20">
        <f>SUMPRODUCT(Oxides_typical!$C27:$BB27,Factors!$C$55:$BB$55)</f>
        <v>0</v>
      </c>
      <c r="AW27" s="20">
        <f>SUMPRODUCT(Oxides_typical!$C27:$BB27,Factors!$C$56:$BB$56)</f>
        <v>0</v>
      </c>
      <c r="AX27" s="20">
        <f>SUMPRODUCT(Oxides_typical!$C27:$BB27,Factors!$C$57:$BB$57)</f>
        <v>0</v>
      </c>
      <c r="AY27" s="20">
        <f>SUMPRODUCT(Oxides_typical!$C27:$BB27,Factors!$C$58:$BB$58)</f>
        <v>0</v>
      </c>
      <c r="AZ27" s="18">
        <f t="shared" ref="AZ27" si="1">SUM(B27:AY27)</f>
        <v>100.31</v>
      </c>
    </row>
    <row r="28" spans="1:52" x14ac:dyDescent="0.35">
      <c r="A28" s="13" t="s">
        <v>331</v>
      </c>
      <c r="B28" s="20">
        <f>SUMPRODUCT(Oxides_typical!$C28:$BB28,Factors!$C$9:$BB$9)</f>
        <v>35.005310517894564</v>
      </c>
      <c r="C28" s="20">
        <f>SUMPRODUCT(Oxides_typical!$C28:$BB28,Factors!$C$10:$BB$10)</f>
        <v>15.35997037431553</v>
      </c>
      <c r="D28" s="20">
        <f>SUMPRODUCT(Oxides_typical!$C28:$BB28,Factors!$C$11:$BB$11)</f>
        <v>0</v>
      </c>
      <c r="E28" s="20">
        <f>SUMPRODUCT(Oxides_typical!$C28:$BB28,Factors!$C$12:$BB$12)</f>
        <v>49.39430686078785</v>
      </c>
      <c r="F28" s="20">
        <f>SUMPRODUCT(Oxides_typical!$C28:$BB28,Factors!$C$13:$BB$13)</f>
        <v>0.97517910759758275</v>
      </c>
      <c r="G28" s="20">
        <f>SUMPRODUCT(Oxides_typical!$C28:$BB28,Factors!$C$14:$BB$14)</f>
        <v>0</v>
      </c>
      <c r="H28" s="20">
        <f>SUMPRODUCT(Oxides_typical!$C28:$BB28,Factors!$C$15:$BB$15)</f>
        <v>0</v>
      </c>
      <c r="I28" s="20">
        <f>SUMPRODUCT(Oxides_typical!$C28:$BB28,Factors!$C$16:$BB$16)</f>
        <v>0</v>
      </c>
      <c r="J28" s="20">
        <f>SUMPRODUCT(Oxides_typical!$C28:$BB28,Factors!$C$17:$BB$17)</f>
        <v>0</v>
      </c>
      <c r="K28" s="20">
        <f>SUMPRODUCT(Oxides_typical!$C28:$BB28,Factors!$C$18:$BB$18)</f>
        <v>0</v>
      </c>
      <c r="L28" s="20">
        <f>SUMPRODUCT(Oxides_typical!$C28:$BB28,Factors!$C$19:$BB$19)</f>
        <v>0</v>
      </c>
      <c r="M28" s="20">
        <f>SUMPRODUCT(Oxides_typical!$C28:$BB28,Factors!$C$20:$BB$20)</f>
        <v>0</v>
      </c>
      <c r="N28" s="20">
        <f>SUMPRODUCT(Oxides_typical!$C28:$BB28,Factors!$C$21:$BB$21)</f>
        <v>0</v>
      </c>
      <c r="O28" s="20">
        <f>SUMPRODUCT(Oxides_typical!$C28:$BB28,Factors!$C$22:$BB$22)</f>
        <v>0</v>
      </c>
      <c r="P28" s="20">
        <f>SUMPRODUCT(Oxides_typical!$C28:$BB28,Factors!$C$23:$BB$23)</f>
        <v>0</v>
      </c>
      <c r="Q28" s="20">
        <f>SUMPRODUCT(Oxides_typical!$C28:$BB28,Factors!$C$24:$BB$24)</f>
        <v>0</v>
      </c>
      <c r="R28" s="20">
        <f>SUMPRODUCT(Oxides_typical!$C28:$BB28,Factors!$C$25:$BB$25)</f>
        <v>0</v>
      </c>
      <c r="S28" s="20">
        <f>SUMPRODUCT(Oxides_typical!$C28:$BB28,Factors!$C$26:$BB$26)</f>
        <v>0</v>
      </c>
      <c r="T28" s="20">
        <f>SUMPRODUCT(Oxides_typical!$C28:$BB28,Factors!$C$27:$BB$27)</f>
        <v>0</v>
      </c>
      <c r="U28" s="20">
        <f>SUMPRODUCT(Oxides_typical!$C28:$BB28,Factors!$C$28:$BB$28)</f>
        <v>0</v>
      </c>
      <c r="V28" s="20">
        <f>SUMPRODUCT(Oxides_typical!$C28:$BB28,Factors!$C$29:$BB$29)</f>
        <v>0</v>
      </c>
      <c r="W28" s="20">
        <f>SUMPRODUCT(Oxides_typical!$C28:$BB28,Factors!$C$30:$BB$30)</f>
        <v>0</v>
      </c>
      <c r="X28" s="20">
        <f>SUMPRODUCT(Oxides_typical!$C28:$BB28,Factors!$C$31:$BB$31)</f>
        <v>0</v>
      </c>
      <c r="Y28" s="20">
        <f>SUMPRODUCT(Oxides_typical!$C28:$BB28,Factors!$C$32:$BB$32)</f>
        <v>0</v>
      </c>
      <c r="Z28" s="20">
        <f>SUMPRODUCT(Oxides_typical!$C28:$BB28,Factors!$C$33:$BB$33)</f>
        <v>0</v>
      </c>
      <c r="AA28" s="20">
        <f>SUMPRODUCT(Oxides_typical!$C28:$BB28,Factors!$C$34:$BB$34)</f>
        <v>0</v>
      </c>
      <c r="AB28" s="20">
        <f>SUMPRODUCT(Oxides_typical!$C28:$BB28,Factors!$C$35:$BB$35)</f>
        <v>0</v>
      </c>
      <c r="AC28" s="20">
        <f>SUMPRODUCT(Oxides_typical!$C28:$BB28,Factors!$C$36:$BB$36)</f>
        <v>0</v>
      </c>
      <c r="AD28" s="20">
        <f>SUMPRODUCT(Oxides_typical!$C28:$BB28,Factors!$C$37:$BB$37)</f>
        <v>0</v>
      </c>
      <c r="AE28" s="20">
        <f>SUMPRODUCT(Oxides_typical!$C28:$BB28,Factors!$C$38:$BB$38)</f>
        <v>0</v>
      </c>
      <c r="AF28" s="20">
        <f>SUMPRODUCT(Oxides_typical!$C28:$BB28,Factors!$C$39:$BB$39)</f>
        <v>0</v>
      </c>
      <c r="AG28" s="20">
        <f>SUMPRODUCT(Oxides_typical!$C28:$BB28,Factors!$C$40:$BB$40)</f>
        <v>8.7881184248948148E-3</v>
      </c>
      <c r="AH28" s="20">
        <f>SUMPRODUCT(Oxides_typical!$C28:$BB28,Factors!$C$41:$BB$41)</f>
        <v>2.6445020979575701E-2</v>
      </c>
      <c r="AI28" s="20">
        <f>SUMPRODUCT(Oxides_typical!$C28:$BB28,Factors!$C$42:$BB$42)</f>
        <v>0</v>
      </c>
      <c r="AJ28" s="20">
        <f>SUMPRODUCT(Oxides_typical!$C28:$BB28,Factors!$C$43:$BB$43)</f>
        <v>0</v>
      </c>
      <c r="AK28" s="20">
        <f>SUMPRODUCT(Oxides_typical!$C28:$BB28,Factors!$C$44:$BB$44)</f>
        <v>0</v>
      </c>
      <c r="AL28" s="20">
        <f>SUMPRODUCT(Oxides_typical!$C28:$BB28,Factors!$C$45:$BB$45)</f>
        <v>0</v>
      </c>
      <c r="AM28" s="20">
        <f>SUMPRODUCT(Oxides_typical!$C28:$BB28,Factors!$C$46:$BB$46)</f>
        <v>0</v>
      </c>
      <c r="AN28" s="20">
        <f>SUMPRODUCT(Oxides_typical!$C28:$BB28,Factors!$C$47:$BB$47)</f>
        <v>0</v>
      </c>
      <c r="AO28" s="20">
        <f>SUMPRODUCT(Oxides_typical!$C28:$BB28,Factors!$C$48:$BB$48)</f>
        <v>0</v>
      </c>
      <c r="AP28" s="20">
        <f>SUMPRODUCT(Oxides_typical!$C28:$BB28,Factors!$C$49:$BB$49)</f>
        <v>0</v>
      </c>
      <c r="AQ28" s="20">
        <f>SUMPRODUCT(Oxides_typical!$C28:$BB28,Factors!$C$50:$BB$50)</f>
        <v>0</v>
      </c>
      <c r="AR28" s="20">
        <f>SUMPRODUCT(Oxides_typical!$C28:$BB28,Factors!$C$51:$BB$51)</f>
        <v>0</v>
      </c>
      <c r="AS28" s="20">
        <f>SUMPRODUCT(Oxides_typical!$C28:$BB28,Factors!$C$52:$BB$52)</f>
        <v>0</v>
      </c>
      <c r="AT28" s="20">
        <f>SUMPRODUCT(Oxides_typical!$C28:$BB28,Factors!$C$53:$BB$53)</f>
        <v>0</v>
      </c>
      <c r="AU28" s="20">
        <f>SUMPRODUCT(Oxides_typical!$C28:$BB28,Factors!$C$54:$BB$54)</f>
        <v>0</v>
      </c>
      <c r="AV28" s="20">
        <f>SUMPRODUCT(Oxides_typical!$C28:$BB28,Factors!$C$55:$BB$55)</f>
        <v>0</v>
      </c>
      <c r="AW28" s="20">
        <f>SUMPRODUCT(Oxides_typical!$C28:$BB28,Factors!$C$56:$BB$56)</f>
        <v>0</v>
      </c>
      <c r="AX28" s="20">
        <f>SUMPRODUCT(Oxides_typical!$C28:$BB28,Factors!$C$57:$BB$57)</f>
        <v>0</v>
      </c>
      <c r="AY28" s="20">
        <f>SUMPRODUCT(Oxides_typical!$C28:$BB28,Factors!$C$58:$BB$58)</f>
        <v>0</v>
      </c>
      <c r="AZ28" s="18">
        <f t="shared" ref="AZ28:AZ44" si="2">SUM(B28:AY28)</f>
        <v>100.77</v>
      </c>
    </row>
    <row r="29" spans="1:52" x14ac:dyDescent="0.35">
      <c r="A29" s="13" t="s">
        <v>333</v>
      </c>
      <c r="B29" s="20">
        <f>SUMPRODUCT(Oxides_typical!$C29:$BB29,Factors!$C$9:$BB$9)</f>
        <v>48.706101845561356</v>
      </c>
      <c r="C29" s="20">
        <f>SUMPRODUCT(Oxides_typical!$C29:$BB29,Factors!$C$10:$BB$10)</f>
        <v>21.441322004560359</v>
      </c>
      <c r="D29" s="20">
        <f>SUMPRODUCT(Oxides_typical!$C29:$BB29,Factors!$C$11:$BB$11)</f>
        <v>0</v>
      </c>
      <c r="E29" s="20">
        <f>SUMPRODUCT(Oxides_typical!$C29:$BB29,Factors!$C$12:$BB$12)</f>
        <v>0</v>
      </c>
      <c r="F29" s="20">
        <f>SUMPRODUCT(Oxides_typical!$C29:$BB29,Factors!$C$13:$BB$13)</f>
        <v>0</v>
      </c>
      <c r="G29" s="20">
        <f>SUMPRODUCT(Oxides_typical!$C29:$BB29,Factors!$C$14:$BB$14)</f>
        <v>0</v>
      </c>
      <c r="H29" s="20">
        <f>SUMPRODUCT(Oxides_typical!$C29:$BB29,Factors!$C$15:$BB$15)</f>
        <v>20.47695049435869</v>
      </c>
      <c r="I29" s="20">
        <f>SUMPRODUCT(Oxides_typical!$C29:$BB29,Factors!$C$16:$BB$16)</f>
        <v>0</v>
      </c>
      <c r="J29" s="20">
        <f>SUMPRODUCT(Oxides_typical!$C29:$BB29,Factors!$C$17:$BB$17)</f>
        <v>0</v>
      </c>
      <c r="K29" s="20">
        <f>SUMPRODUCT(Oxides_typical!$C29:$BB29,Factors!$C$18:$BB$18)</f>
        <v>0</v>
      </c>
      <c r="L29" s="20">
        <f>SUMPRODUCT(Oxides_typical!$C29:$BB29,Factors!$C$19:$BB$19)</f>
        <v>0</v>
      </c>
      <c r="M29" s="20">
        <f>SUMPRODUCT(Oxides_typical!$C29:$BB29,Factors!$C$20:$BB$20)</f>
        <v>6.0304188169908693E-2</v>
      </c>
      <c r="N29" s="20">
        <f>SUMPRODUCT(Oxides_typical!$C29:$BB29,Factors!$C$21:$BB$21)</f>
        <v>0</v>
      </c>
      <c r="O29" s="20">
        <f>SUMPRODUCT(Oxides_typical!$C29:$BB29,Factors!$C$22:$BB$22)</f>
        <v>0</v>
      </c>
      <c r="P29" s="20">
        <f>SUMPRODUCT(Oxides_typical!$C29:$BB29,Factors!$C$23:$BB$23)</f>
        <v>0</v>
      </c>
      <c r="Q29" s="20">
        <f>SUMPRODUCT(Oxides_typical!$C29:$BB29,Factors!$C$24:$BB$24)</f>
        <v>0</v>
      </c>
      <c r="R29" s="20">
        <f>SUMPRODUCT(Oxides_typical!$C29:$BB29,Factors!$C$25:$BB$25)</f>
        <v>0.47479184508218902</v>
      </c>
      <c r="S29" s="20">
        <f>SUMPRODUCT(Oxides_typical!$C29:$BB29,Factors!$C$26:$BB$26)</f>
        <v>8.367925126014379</v>
      </c>
      <c r="T29" s="20">
        <f>SUMPRODUCT(Oxides_typical!$C29:$BB29,Factors!$C$27:$BB$27)</f>
        <v>0</v>
      </c>
      <c r="U29" s="20">
        <f>SUMPRODUCT(Oxides_typical!$C29:$BB29,Factors!$C$28:$BB$28)</f>
        <v>0</v>
      </c>
      <c r="V29" s="20">
        <f>SUMPRODUCT(Oxides_typical!$C29:$BB29,Factors!$C$29:$BB$29)</f>
        <v>0</v>
      </c>
      <c r="W29" s="20">
        <f>SUMPRODUCT(Oxides_typical!$C29:$BB29,Factors!$C$30:$BB$30)</f>
        <v>0</v>
      </c>
      <c r="X29" s="20">
        <f>SUMPRODUCT(Oxides_typical!$C29:$BB29,Factors!$C$31:$BB$31)</f>
        <v>0</v>
      </c>
      <c r="Y29" s="20">
        <f>SUMPRODUCT(Oxides_typical!$C29:$BB29,Factors!$C$32:$BB$32)</f>
        <v>0</v>
      </c>
      <c r="Z29" s="20">
        <f>SUMPRODUCT(Oxides_typical!$C29:$BB29,Factors!$C$33:$BB$33)</f>
        <v>0</v>
      </c>
      <c r="AA29" s="20">
        <f>SUMPRODUCT(Oxides_typical!$C29:$BB29,Factors!$C$34:$BB$34)</f>
        <v>0</v>
      </c>
      <c r="AB29" s="20">
        <f>SUMPRODUCT(Oxides_typical!$C29:$BB29,Factors!$C$35:$BB$35)</f>
        <v>0</v>
      </c>
      <c r="AC29" s="20">
        <f>SUMPRODUCT(Oxides_typical!$C29:$BB29,Factors!$C$36:$BB$36)</f>
        <v>0</v>
      </c>
      <c r="AD29" s="20">
        <f>SUMPRODUCT(Oxides_typical!$C29:$BB29,Factors!$C$37:$BB$37)</f>
        <v>0.52260449625312233</v>
      </c>
      <c r="AE29" s="20">
        <f>SUMPRODUCT(Oxides_typical!$C29:$BB29,Factors!$C$38:$BB$38)</f>
        <v>0</v>
      </c>
      <c r="AF29" s="20">
        <f>SUMPRODUCT(Oxides_typical!$C29:$BB29,Factors!$C$39:$BB$39)</f>
        <v>0</v>
      </c>
      <c r="AG29" s="20">
        <f>SUMPRODUCT(Oxides_typical!$C29:$BB29,Factors!$C$40:$BB$40)</f>
        <v>0</v>
      </c>
      <c r="AH29" s="20">
        <f>SUMPRODUCT(Oxides_typical!$C29:$BB29,Factors!$C$41:$BB$41)</f>
        <v>0</v>
      </c>
      <c r="AI29" s="20">
        <f>SUMPRODUCT(Oxides_typical!$C29:$BB29,Factors!$C$42:$BB$42)</f>
        <v>0</v>
      </c>
      <c r="AJ29" s="20">
        <f>SUMPRODUCT(Oxides_typical!$C29:$BB29,Factors!$C$43:$BB$43)</f>
        <v>0</v>
      </c>
      <c r="AK29" s="20">
        <f>SUMPRODUCT(Oxides_typical!$C29:$BB29,Factors!$C$44:$BB$44)</f>
        <v>0</v>
      </c>
      <c r="AL29" s="20">
        <f>SUMPRODUCT(Oxides_typical!$C29:$BB29,Factors!$C$45:$BB$45)</f>
        <v>0</v>
      </c>
      <c r="AM29" s="20">
        <f>SUMPRODUCT(Oxides_typical!$C29:$BB29,Factors!$C$46:$BB$46)</f>
        <v>0</v>
      </c>
      <c r="AN29" s="20">
        <f>SUMPRODUCT(Oxides_typical!$C29:$BB29,Factors!$C$47:$BB$47)</f>
        <v>0</v>
      </c>
      <c r="AO29" s="20">
        <f>SUMPRODUCT(Oxides_typical!$C29:$BB29,Factors!$C$48:$BB$48)</f>
        <v>0</v>
      </c>
      <c r="AP29" s="20">
        <f>SUMPRODUCT(Oxides_typical!$C29:$BB29,Factors!$C$49:$BB$49)</f>
        <v>0</v>
      </c>
      <c r="AQ29" s="20">
        <f>SUMPRODUCT(Oxides_typical!$C29:$BB29,Factors!$C$50:$BB$50)</f>
        <v>0</v>
      </c>
      <c r="AR29" s="20">
        <f>SUMPRODUCT(Oxides_typical!$C29:$BB29,Factors!$C$51:$BB$51)</f>
        <v>0</v>
      </c>
      <c r="AS29" s="20">
        <f>SUMPRODUCT(Oxides_typical!$C29:$BB29,Factors!$C$52:$BB$52)</f>
        <v>0</v>
      </c>
      <c r="AT29" s="20">
        <f>SUMPRODUCT(Oxides_typical!$C29:$BB29,Factors!$C$53:$BB$53)</f>
        <v>0</v>
      </c>
      <c r="AU29" s="20">
        <f>SUMPRODUCT(Oxides_typical!$C29:$BB29,Factors!$C$54:$BB$54)</f>
        <v>0</v>
      </c>
      <c r="AV29" s="20">
        <f>SUMPRODUCT(Oxides_typical!$C29:$BB29,Factors!$C$55:$BB$55)</f>
        <v>0</v>
      </c>
      <c r="AW29" s="20">
        <f>SUMPRODUCT(Oxides_typical!$C29:$BB29,Factors!$C$56:$BB$56)</f>
        <v>0</v>
      </c>
      <c r="AX29" s="20">
        <f>SUMPRODUCT(Oxides_typical!$C29:$BB29,Factors!$C$57:$BB$57)</f>
        <v>0</v>
      </c>
      <c r="AY29" s="20">
        <f>SUMPRODUCT(Oxides_typical!$C29:$BB29,Factors!$C$58:$BB$58)</f>
        <v>0</v>
      </c>
      <c r="AZ29" s="18">
        <f t="shared" si="2"/>
        <v>100.05000000000001</v>
      </c>
    </row>
    <row r="30" spans="1:52" x14ac:dyDescent="0.35">
      <c r="A30" s="13" t="s">
        <v>335</v>
      </c>
      <c r="B30" s="20">
        <f>SUMPRODUCT(Oxides_typical!$C30:$BB30,Factors!$C$9:$BB$9)</f>
        <v>53.256328745235763</v>
      </c>
      <c r="C30" s="20">
        <f>SUMPRODUCT(Oxides_typical!$C30:$BB30,Factors!$C$10:$BB$10)</f>
        <v>46.743671254764244</v>
      </c>
      <c r="D30" s="20">
        <f>SUMPRODUCT(Oxides_typical!$C30:$BB30,Factors!$C$11:$BB$11)</f>
        <v>0</v>
      </c>
      <c r="E30" s="20">
        <f>SUMPRODUCT(Oxides_typical!$C30:$BB30,Factors!$C$12:$BB$12)</f>
        <v>0</v>
      </c>
      <c r="F30" s="20">
        <f>SUMPRODUCT(Oxides_typical!$C30:$BB30,Factors!$C$13:$BB$13)</f>
        <v>0</v>
      </c>
      <c r="G30" s="20">
        <f>SUMPRODUCT(Oxides_typical!$C30:$BB30,Factors!$C$14:$BB$14)</f>
        <v>0</v>
      </c>
      <c r="H30" s="20">
        <f>SUMPRODUCT(Oxides_typical!$C30:$BB30,Factors!$C$15:$BB$15)</f>
        <v>0</v>
      </c>
      <c r="I30" s="20">
        <f>SUMPRODUCT(Oxides_typical!$C30:$BB30,Factors!$C$16:$BB$16)</f>
        <v>0</v>
      </c>
      <c r="J30" s="20">
        <f>SUMPRODUCT(Oxides_typical!$C30:$BB30,Factors!$C$17:$BB$17)</f>
        <v>0</v>
      </c>
      <c r="K30" s="20">
        <f>SUMPRODUCT(Oxides_typical!$C30:$BB30,Factors!$C$18:$BB$18)</f>
        <v>0</v>
      </c>
      <c r="L30" s="20">
        <f>SUMPRODUCT(Oxides_typical!$C30:$BB30,Factors!$C$19:$BB$19)</f>
        <v>0</v>
      </c>
      <c r="M30" s="20">
        <f>SUMPRODUCT(Oxides_typical!$C30:$BB30,Factors!$C$20:$BB$20)</f>
        <v>0</v>
      </c>
      <c r="N30" s="20">
        <f>SUMPRODUCT(Oxides_typical!$C30:$BB30,Factors!$C$21:$BB$21)</f>
        <v>0</v>
      </c>
      <c r="O30" s="20">
        <f>SUMPRODUCT(Oxides_typical!$C30:$BB30,Factors!$C$22:$BB$22)</f>
        <v>0</v>
      </c>
      <c r="P30" s="20">
        <f>SUMPRODUCT(Oxides_typical!$C30:$BB30,Factors!$C$23:$BB$23)</f>
        <v>0</v>
      </c>
      <c r="Q30" s="20">
        <f>SUMPRODUCT(Oxides_typical!$C30:$BB30,Factors!$C$24:$BB$24)</f>
        <v>0</v>
      </c>
      <c r="R30" s="20">
        <f>SUMPRODUCT(Oxides_typical!$C30:$BB30,Factors!$C$25:$BB$25)</f>
        <v>0</v>
      </c>
      <c r="S30" s="20">
        <f>SUMPRODUCT(Oxides_typical!$C30:$BB30,Factors!$C$26:$BB$26)</f>
        <v>0</v>
      </c>
      <c r="T30" s="20">
        <f>SUMPRODUCT(Oxides_typical!$C30:$BB30,Factors!$C$27:$BB$27)</f>
        <v>0</v>
      </c>
      <c r="U30" s="20">
        <f>SUMPRODUCT(Oxides_typical!$C30:$BB30,Factors!$C$28:$BB$28)</f>
        <v>0</v>
      </c>
      <c r="V30" s="20">
        <f>SUMPRODUCT(Oxides_typical!$C30:$BB30,Factors!$C$29:$BB$29)</f>
        <v>0</v>
      </c>
      <c r="W30" s="20">
        <f>SUMPRODUCT(Oxides_typical!$C30:$BB30,Factors!$C$30:$BB$30)</f>
        <v>0</v>
      </c>
      <c r="X30" s="20">
        <f>SUMPRODUCT(Oxides_typical!$C30:$BB30,Factors!$C$31:$BB$31)</f>
        <v>0</v>
      </c>
      <c r="Y30" s="20">
        <f>SUMPRODUCT(Oxides_typical!$C30:$BB30,Factors!$C$32:$BB$32)</f>
        <v>0</v>
      </c>
      <c r="Z30" s="20">
        <f>SUMPRODUCT(Oxides_typical!$C30:$BB30,Factors!$C$33:$BB$33)</f>
        <v>0</v>
      </c>
      <c r="AA30" s="20">
        <f>SUMPRODUCT(Oxides_typical!$C30:$BB30,Factors!$C$34:$BB$34)</f>
        <v>0</v>
      </c>
      <c r="AB30" s="20">
        <f>SUMPRODUCT(Oxides_typical!$C30:$BB30,Factors!$C$35:$BB$35)</f>
        <v>0</v>
      </c>
      <c r="AC30" s="20">
        <f>SUMPRODUCT(Oxides_typical!$C30:$BB30,Factors!$C$36:$BB$36)</f>
        <v>0</v>
      </c>
      <c r="AD30" s="20">
        <f>SUMPRODUCT(Oxides_typical!$C30:$BB30,Factors!$C$37:$BB$37)</f>
        <v>0</v>
      </c>
      <c r="AE30" s="20">
        <f>SUMPRODUCT(Oxides_typical!$C30:$BB30,Factors!$C$38:$BB$38)</f>
        <v>0</v>
      </c>
      <c r="AF30" s="20">
        <f>SUMPRODUCT(Oxides_typical!$C30:$BB30,Factors!$C$39:$BB$39)</f>
        <v>0</v>
      </c>
      <c r="AG30" s="20">
        <f>SUMPRODUCT(Oxides_typical!$C30:$BB30,Factors!$C$40:$BB$40)</f>
        <v>0</v>
      </c>
      <c r="AH30" s="20">
        <f>SUMPRODUCT(Oxides_typical!$C30:$BB30,Factors!$C$41:$BB$41)</f>
        <v>0</v>
      </c>
      <c r="AI30" s="20">
        <f>SUMPRODUCT(Oxides_typical!$C30:$BB30,Factors!$C$42:$BB$42)</f>
        <v>0</v>
      </c>
      <c r="AJ30" s="20">
        <f>SUMPRODUCT(Oxides_typical!$C30:$BB30,Factors!$C$43:$BB$43)</f>
        <v>0</v>
      </c>
      <c r="AK30" s="20">
        <f>SUMPRODUCT(Oxides_typical!$C30:$BB30,Factors!$C$44:$BB$44)</f>
        <v>0</v>
      </c>
      <c r="AL30" s="20">
        <f>SUMPRODUCT(Oxides_typical!$C30:$BB30,Factors!$C$45:$BB$45)</f>
        <v>0</v>
      </c>
      <c r="AM30" s="20">
        <f>SUMPRODUCT(Oxides_typical!$C30:$BB30,Factors!$C$46:$BB$46)</f>
        <v>0</v>
      </c>
      <c r="AN30" s="20">
        <f>SUMPRODUCT(Oxides_typical!$C30:$BB30,Factors!$C$47:$BB$47)</f>
        <v>0</v>
      </c>
      <c r="AO30" s="20">
        <f>SUMPRODUCT(Oxides_typical!$C30:$BB30,Factors!$C$48:$BB$48)</f>
        <v>0</v>
      </c>
      <c r="AP30" s="20">
        <f>SUMPRODUCT(Oxides_typical!$C30:$BB30,Factors!$C$49:$BB$49)</f>
        <v>0</v>
      </c>
      <c r="AQ30" s="20">
        <f>SUMPRODUCT(Oxides_typical!$C30:$BB30,Factors!$C$50:$BB$50)</f>
        <v>0</v>
      </c>
      <c r="AR30" s="20">
        <f>SUMPRODUCT(Oxides_typical!$C30:$BB30,Factors!$C$51:$BB$51)</f>
        <v>0</v>
      </c>
      <c r="AS30" s="20">
        <f>SUMPRODUCT(Oxides_typical!$C30:$BB30,Factors!$C$52:$BB$52)</f>
        <v>0</v>
      </c>
      <c r="AT30" s="20">
        <f>SUMPRODUCT(Oxides_typical!$C30:$BB30,Factors!$C$53:$BB$53)</f>
        <v>0</v>
      </c>
      <c r="AU30" s="20">
        <f>SUMPRODUCT(Oxides_typical!$C30:$BB30,Factors!$C$54:$BB$54)</f>
        <v>0</v>
      </c>
      <c r="AV30" s="20">
        <f>SUMPRODUCT(Oxides_typical!$C30:$BB30,Factors!$C$55:$BB$55)</f>
        <v>0</v>
      </c>
      <c r="AW30" s="20">
        <f>SUMPRODUCT(Oxides_typical!$C30:$BB30,Factors!$C$56:$BB$56)</f>
        <v>0</v>
      </c>
      <c r="AX30" s="20">
        <f>SUMPRODUCT(Oxides_typical!$C30:$BB30,Factors!$C$57:$BB$57)</f>
        <v>0</v>
      </c>
      <c r="AY30" s="20">
        <f>SUMPRODUCT(Oxides_typical!$C30:$BB30,Factors!$C$58:$BB$58)</f>
        <v>0</v>
      </c>
      <c r="AZ30" s="18">
        <f t="shared" si="2"/>
        <v>100</v>
      </c>
    </row>
    <row r="31" spans="1:52" x14ac:dyDescent="0.35">
      <c r="A31" s="13" t="s">
        <v>336</v>
      </c>
      <c r="B31" s="20">
        <f>SUMPRODUCT(Oxides_typical!$C31:$BB31,Factors!$C$9:$BB$9)</f>
        <v>41.860454608185414</v>
      </c>
      <c r="C31" s="20">
        <f>SUMPRODUCT(Oxides_typical!$C31:$BB31,Factors!$C$10:$BB$10)</f>
        <v>24.00287518932144</v>
      </c>
      <c r="D31" s="20">
        <f>SUMPRODUCT(Oxides_typical!$C31:$BB31,Factors!$C$11:$BB$11)</f>
        <v>0.65928379139798421</v>
      </c>
      <c r="E31" s="20">
        <f>SUMPRODUCT(Oxides_typical!$C31:$BB31,Factors!$C$12:$BB$12)</f>
        <v>0</v>
      </c>
      <c r="F31" s="20">
        <f>SUMPRODUCT(Oxides_typical!$C31:$BB31,Factors!$C$13:$BB$13)</f>
        <v>0</v>
      </c>
      <c r="G31" s="20">
        <f>SUMPRODUCT(Oxides_typical!$C31:$BB31,Factors!$C$14:$BB$14)</f>
        <v>0</v>
      </c>
      <c r="H31" s="20">
        <f>SUMPRODUCT(Oxides_typical!$C31:$BB31,Factors!$C$15:$BB$15)</f>
        <v>1.1379023924236542</v>
      </c>
      <c r="I31" s="20">
        <f>SUMPRODUCT(Oxides_typical!$C31:$BB31,Factors!$C$16:$BB$16)</f>
        <v>21.786858163003441</v>
      </c>
      <c r="J31" s="20">
        <f>SUMPRODUCT(Oxides_typical!$C31:$BB31,Factors!$C$17:$BB$17)</f>
        <v>0</v>
      </c>
      <c r="K31" s="20">
        <f>SUMPRODUCT(Oxides_typical!$C31:$BB31,Factors!$C$18:$BB$18)</f>
        <v>0</v>
      </c>
      <c r="L31" s="20">
        <f>SUMPRODUCT(Oxides_typical!$C31:$BB31,Factors!$C$19:$BB$19)</f>
        <v>0</v>
      </c>
      <c r="M31" s="20">
        <f>SUMPRODUCT(Oxides_typical!$C31:$BB31,Factors!$C$20:$BB$20)</f>
        <v>6.0304188169908693E-2</v>
      </c>
      <c r="N31" s="20">
        <f>SUMPRODUCT(Oxides_typical!$C31:$BB31,Factors!$C$21:$BB$21)</f>
        <v>0.8933698307684077</v>
      </c>
      <c r="O31" s="20">
        <f>SUMPRODUCT(Oxides_typical!$C31:$BB31,Factors!$C$22:$BB$22)</f>
        <v>0</v>
      </c>
      <c r="P31" s="20">
        <f>SUMPRODUCT(Oxides_typical!$C31:$BB31,Factors!$C$23:$BB$23)</f>
        <v>0</v>
      </c>
      <c r="Q31" s="20">
        <f>SUMPRODUCT(Oxides_typical!$C31:$BB31,Factors!$C$24:$BB$24)</f>
        <v>0</v>
      </c>
      <c r="R31" s="20">
        <f>SUMPRODUCT(Oxides_typical!$C31:$BB31,Factors!$C$25:$BB$25)</f>
        <v>9.3919761855320516</v>
      </c>
      <c r="S31" s="20">
        <f>SUMPRODUCT(Oxides_typical!$C31:$BB31,Factors!$C$26:$BB$26)</f>
        <v>0.12452269532759491</v>
      </c>
      <c r="T31" s="20">
        <f>SUMPRODUCT(Oxides_typical!$C31:$BB31,Factors!$C$27:$BB$27)</f>
        <v>0</v>
      </c>
      <c r="U31" s="20">
        <f>SUMPRODUCT(Oxides_typical!$C31:$BB31,Factors!$C$28:$BB$28)</f>
        <v>0</v>
      </c>
      <c r="V31" s="20">
        <f>SUMPRODUCT(Oxides_typical!$C31:$BB31,Factors!$C$29:$BB$29)</f>
        <v>0</v>
      </c>
      <c r="W31" s="20">
        <f>SUMPRODUCT(Oxides_typical!$C31:$BB31,Factors!$C$30:$BB$30)</f>
        <v>0</v>
      </c>
      <c r="X31" s="20">
        <f>SUMPRODUCT(Oxides_typical!$C31:$BB31,Factors!$C$31:$BB$31)</f>
        <v>0</v>
      </c>
      <c r="Y31" s="20">
        <f>SUMPRODUCT(Oxides_typical!$C31:$BB31,Factors!$C$32:$BB$32)</f>
        <v>0</v>
      </c>
      <c r="Z31" s="20">
        <f>SUMPRODUCT(Oxides_typical!$C31:$BB31,Factors!$C$33:$BB$33)</f>
        <v>0</v>
      </c>
      <c r="AA31" s="20">
        <f>SUMPRODUCT(Oxides_typical!$C31:$BB31,Factors!$C$34:$BB$34)</f>
        <v>0</v>
      </c>
      <c r="AB31" s="20">
        <f>SUMPRODUCT(Oxides_typical!$C31:$BB31,Factors!$C$35:$BB$35)</f>
        <v>0</v>
      </c>
      <c r="AC31" s="20">
        <f>SUMPRODUCT(Oxides_typical!$C31:$BB31,Factors!$C$36:$BB$36)</f>
        <v>0</v>
      </c>
      <c r="AD31" s="20">
        <f>SUMPRODUCT(Oxides_typical!$C31:$BB31,Factors!$C$37:$BB$37)</f>
        <v>3.2452955870108241E-2</v>
      </c>
      <c r="AE31" s="20">
        <f>SUMPRODUCT(Oxides_typical!$C31:$BB31,Factors!$C$38:$BB$38)</f>
        <v>0</v>
      </c>
      <c r="AF31" s="20">
        <f>SUMPRODUCT(Oxides_typical!$C31:$BB31,Factors!$C$39:$BB$39)</f>
        <v>0</v>
      </c>
      <c r="AG31" s="20">
        <f>SUMPRODUCT(Oxides_typical!$C31:$BB31,Factors!$C$40:$BB$40)</f>
        <v>0</v>
      </c>
      <c r="AH31" s="20">
        <f>SUMPRODUCT(Oxides_typical!$C31:$BB31,Factors!$C$41:$BB$41)</f>
        <v>0</v>
      </c>
      <c r="AI31" s="20">
        <f>SUMPRODUCT(Oxides_typical!$C31:$BB31,Factors!$C$42:$BB$42)</f>
        <v>0</v>
      </c>
      <c r="AJ31" s="20">
        <f>SUMPRODUCT(Oxides_typical!$C31:$BB31,Factors!$C$43:$BB$43)</f>
        <v>0</v>
      </c>
      <c r="AK31" s="20">
        <f>SUMPRODUCT(Oxides_typical!$C31:$BB31,Factors!$C$44:$BB$44)</f>
        <v>0</v>
      </c>
      <c r="AL31" s="20">
        <f>SUMPRODUCT(Oxides_typical!$C31:$BB31,Factors!$C$45:$BB$45)</f>
        <v>0</v>
      </c>
      <c r="AM31" s="20">
        <f>SUMPRODUCT(Oxides_typical!$C31:$BB31,Factors!$C$46:$BB$46)</f>
        <v>0</v>
      </c>
      <c r="AN31" s="20">
        <f>SUMPRODUCT(Oxides_typical!$C31:$BB31,Factors!$C$47:$BB$47)</f>
        <v>0</v>
      </c>
      <c r="AO31" s="20">
        <f>SUMPRODUCT(Oxides_typical!$C31:$BB31,Factors!$C$48:$BB$48)</f>
        <v>0</v>
      </c>
      <c r="AP31" s="20">
        <f>SUMPRODUCT(Oxides_typical!$C31:$BB31,Factors!$C$49:$BB$49)</f>
        <v>0</v>
      </c>
      <c r="AQ31" s="20">
        <f>SUMPRODUCT(Oxides_typical!$C31:$BB31,Factors!$C$50:$BB$50)</f>
        <v>0</v>
      </c>
      <c r="AR31" s="20">
        <f>SUMPRODUCT(Oxides_typical!$C31:$BB31,Factors!$C$51:$BB$51)</f>
        <v>0</v>
      </c>
      <c r="AS31" s="20">
        <f>SUMPRODUCT(Oxides_typical!$C31:$BB31,Factors!$C$52:$BB$52)</f>
        <v>0</v>
      </c>
      <c r="AT31" s="20">
        <f>SUMPRODUCT(Oxides_typical!$C31:$BB31,Factors!$C$53:$BB$53)</f>
        <v>0</v>
      </c>
      <c r="AU31" s="20">
        <f>SUMPRODUCT(Oxides_typical!$C31:$BB31,Factors!$C$54:$BB$54)</f>
        <v>0</v>
      </c>
      <c r="AV31" s="20">
        <f>SUMPRODUCT(Oxides_typical!$C31:$BB31,Factors!$C$55:$BB$55)</f>
        <v>0</v>
      </c>
      <c r="AW31" s="20">
        <f>SUMPRODUCT(Oxides_typical!$C31:$BB31,Factors!$C$56:$BB$56)</f>
        <v>0</v>
      </c>
      <c r="AX31" s="20">
        <f>SUMPRODUCT(Oxides_typical!$C31:$BB31,Factors!$C$57:$BB$57)</f>
        <v>0</v>
      </c>
      <c r="AY31" s="20">
        <f>SUMPRODUCT(Oxides_typical!$C31:$BB31,Factors!$C$58:$BB$58)</f>
        <v>0</v>
      </c>
      <c r="AZ31" s="18">
        <f t="shared" si="2"/>
        <v>99.950000000000017</v>
      </c>
    </row>
    <row r="32" spans="1:52" x14ac:dyDescent="0.35">
      <c r="A32" s="13" t="s">
        <v>338</v>
      </c>
      <c r="B32" s="20">
        <f>SUMPRODUCT(Oxides_typical!$C32:$BB32,Factors!$C$9:$BB$9)</f>
        <v>7.2011933686147174</v>
      </c>
      <c r="C32" s="20">
        <f>SUMPRODUCT(Oxides_typical!$C32:$BB32,Factors!$C$10:$BB$10)</f>
        <v>0</v>
      </c>
      <c r="D32" s="20">
        <f>SUMPRODUCT(Oxides_typical!$C32:$BB32,Factors!$C$11:$BB$11)</f>
        <v>0</v>
      </c>
      <c r="E32" s="20">
        <f>SUMPRODUCT(Oxides_typical!$C32:$BB32,Factors!$C$12:$BB$12)</f>
        <v>0</v>
      </c>
      <c r="F32" s="20">
        <f>SUMPRODUCT(Oxides_typical!$C32:$BB32,Factors!$C$13:$BB$13)</f>
        <v>0</v>
      </c>
      <c r="G32" s="20">
        <f>SUMPRODUCT(Oxides_typical!$C32:$BB32,Factors!$C$14:$BB$14)</f>
        <v>0</v>
      </c>
      <c r="H32" s="20">
        <f>SUMPRODUCT(Oxides_typical!$C32:$BB32,Factors!$C$15:$BB$15)</f>
        <v>12.151739037231211</v>
      </c>
      <c r="I32" s="20">
        <f>SUMPRODUCT(Oxides_typical!$C32:$BB32,Factors!$C$16:$BB$16)</f>
        <v>0</v>
      </c>
      <c r="J32" s="20">
        <f>SUMPRODUCT(Oxides_typical!$C32:$BB32,Factors!$C$17:$BB$17)</f>
        <v>0</v>
      </c>
      <c r="K32" s="20">
        <f>SUMPRODUCT(Oxides_typical!$C32:$BB32,Factors!$C$18:$BB$18)</f>
        <v>0</v>
      </c>
      <c r="L32" s="20">
        <f>SUMPRODUCT(Oxides_typical!$C32:$BB32,Factors!$C$19:$BB$19)</f>
        <v>0</v>
      </c>
      <c r="M32" s="20">
        <f>SUMPRODUCT(Oxides_typical!$C32:$BB32,Factors!$C$20:$BB$20)</f>
        <v>0</v>
      </c>
      <c r="N32" s="20">
        <f>SUMPRODUCT(Oxides_typical!$C32:$BB32,Factors!$C$21:$BB$21)</f>
        <v>18.053217540167982</v>
      </c>
      <c r="O32" s="20">
        <f>SUMPRODUCT(Oxides_typical!$C32:$BB32,Factors!$C$22:$BB$22)</f>
        <v>0</v>
      </c>
      <c r="P32" s="20">
        <f>SUMPRODUCT(Oxides_typical!$C32:$BB32,Factors!$C$23:$BB$23)</f>
        <v>0</v>
      </c>
      <c r="Q32" s="20">
        <f>SUMPRODUCT(Oxides_typical!$C32:$BB32,Factors!$C$24:$BB$24)</f>
        <v>0</v>
      </c>
      <c r="R32" s="20">
        <f>SUMPRODUCT(Oxides_typical!$C32:$BB32,Factors!$C$25:$BB$25)</f>
        <v>10.348978498275837</v>
      </c>
      <c r="S32" s="20">
        <f>SUMPRODUCT(Oxides_typical!$C32:$BB32,Factors!$C$26:$BB$26)</f>
        <v>0</v>
      </c>
      <c r="T32" s="20">
        <f>SUMPRODUCT(Oxides_typical!$C32:$BB32,Factors!$C$27:$BB$27)</f>
        <v>0</v>
      </c>
      <c r="U32" s="20">
        <f>SUMPRODUCT(Oxides_typical!$C32:$BB32,Factors!$C$28:$BB$28)</f>
        <v>0</v>
      </c>
      <c r="V32" s="20">
        <f>SUMPRODUCT(Oxides_typical!$C32:$BB32,Factors!$C$29:$BB$29)</f>
        <v>0</v>
      </c>
      <c r="W32" s="20">
        <f>SUMPRODUCT(Oxides_typical!$C32:$BB32,Factors!$C$30:$BB$30)</f>
        <v>0</v>
      </c>
      <c r="X32" s="20">
        <f>SUMPRODUCT(Oxides_typical!$C32:$BB32,Factors!$C$31:$BB$31)</f>
        <v>0</v>
      </c>
      <c r="Y32" s="20">
        <f>SUMPRODUCT(Oxides_typical!$C32:$BB32,Factors!$C$32:$BB$32)</f>
        <v>0</v>
      </c>
      <c r="Z32" s="20">
        <f>SUMPRODUCT(Oxides_typical!$C32:$BB32,Factors!$C$33:$BB$33)</f>
        <v>0</v>
      </c>
      <c r="AA32" s="20">
        <f>SUMPRODUCT(Oxides_typical!$C32:$BB32,Factors!$C$34:$BB$34)</f>
        <v>0</v>
      </c>
      <c r="AB32" s="20">
        <f>SUMPRODUCT(Oxides_typical!$C32:$BB32,Factors!$C$35:$BB$35)</f>
        <v>0</v>
      </c>
      <c r="AC32" s="20">
        <f>SUMPRODUCT(Oxides_typical!$C32:$BB32,Factors!$C$36:$BB$36)</f>
        <v>0</v>
      </c>
      <c r="AD32" s="20">
        <f>SUMPRODUCT(Oxides_typical!$C32:$BB32,Factors!$C$37:$BB$37)</f>
        <v>0.90756369691923389</v>
      </c>
      <c r="AE32" s="20">
        <f>SUMPRODUCT(Oxides_typical!$C32:$BB32,Factors!$C$38:$BB$38)</f>
        <v>51.34</v>
      </c>
      <c r="AF32" s="20">
        <f>SUMPRODUCT(Oxides_typical!$C32:$BB32,Factors!$C$39:$BB$39)</f>
        <v>0</v>
      </c>
      <c r="AG32" s="20">
        <f>SUMPRODUCT(Oxides_typical!$C32:$BB32,Factors!$C$40:$BB$40)</f>
        <v>0</v>
      </c>
      <c r="AH32" s="20">
        <f>SUMPRODUCT(Oxides_typical!$C32:$BB32,Factors!$C$41:$BB$41)</f>
        <v>0</v>
      </c>
      <c r="AI32" s="20">
        <f>SUMPRODUCT(Oxides_typical!$C32:$BB32,Factors!$C$42:$BB$42)</f>
        <v>0</v>
      </c>
      <c r="AJ32" s="20">
        <f>SUMPRODUCT(Oxides_typical!$C32:$BB32,Factors!$C$43:$BB$43)</f>
        <v>0</v>
      </c>
      <c r="AK32" s="20">
        <f>SUMPRODUCT(Oxides_typical!$C32:$BB32,Factors!$C$44:$BB$44)</f>
        <v>0</v>
      </c>
      <c r="AL32" s="20">
        <f>SUMPRODUCT(Oxides_typical!$C32:$BB32,Factors!$C$45:$BB$45)</f>
        <v>0</v>
      </c>
      <c r="AM32" s="20">
        <f>SUMPRODUCT(Oxides_typical!$C32:$BB32,Factors!$C$46:$BB$46)</f>
        <v>0</v>
      </c>
      <c r="AN32" s="20">
        <f>SUMPRODUCT(Oxides_typical!$C32:$BB32,Factors!$C$47:$BB$47)</f>
        <v>0</v>
      </c>
      <c r="AO32" s="20">
        <f>SUMPRODUCT(Oxides_typical!$C32:$BB32,Factors!$C$48:$BB$48)</f>
        <v>0</v>
      </c>
      <c r="AP32" s="20">
        <f>SUMPRODUCT(Oxides_typical!$C32:$BB32,Factors!$C$49:$BB$49)</f>
        <v>0</v>
      </c>
      <c r="AQ32" s="20">
        <f>SUMPRODUCT(Oxides_typical!$C32:$BB32,Factors!$C$50:$BB$50)</f>
        <v>0</v>
      </c>
      <c r="AR32" s="20">
        <f>SUMPRODUCT(Oxides_typical!$C32:$BB32,Factors!$C$51:$BB$51)</f>
        <v>0</v>
      </c>
      <c r="AS32" s="20">
        <f>SUMPRODUCT(Oxides_typical!$C32:$BB32,Factors!$C$52:$BB$52)</f>
        <v>0</v>
      </c>
      <c r="AT32" s="20">
        <f>SUMPRODUCT(Oxides_typical!$C32:$BB32,Factors!$C$53:$BB$53)</f>
        <v>0</v>
      </c>
      <c r="AU32" s="20">
        <f>SUMPRODUCT(Oxides_typical!$C32:$BB32,Factors!$C$54:$BB$54)</f>
        <v>0</v>
      </c>
      <c r="AV32" s="20">
        <f>SUMPRODUCT(Oxides_typical!$C32:$BB32,Factors!$C$55:$BB$55)</f>
        <v>0</v>
      </c>
      <c r="AW32" s="20">
        <f>SUMPRODUCT(Oxides_typical!$C32:$BB32,Factors!$C$56:$BB$56)</f>
        <v>0</v>
      </c>
      <c r="AX32" s="20">
        <f>SUMPRODUCT(Oxides_typical!$C32:$BB32,Factors!$C$57:$BB$57)</f>
        <v>0</v>
      </c>
      <c r="AY32" s="20">
        <f>SUMPRODUCT(Oxides_typical!$C32:$BB32,Factors!$C$58:$BB$58)</f>
        <v>0</v>
      </c>
      <c r="AZ32" s="18">
        <f t="shared" si="2"/>
        <v>100.002692141209</v>
      </c>
    </row>
    <row r="33" spans="1:52" x14ac:dyDescent="0.35">
      <c r="A33" s="13" t="s">
        <v>340</v>
      </c>
      <c r="B33" s="20">
        <f>SUMPRODUCT(Oxides_typical!$C33:$BB33,Factors!$C$9:$BB$9)</f>
        <v>46.297365535819502</v>
      </c>
      <c r="C33" s="20">
        <f>SUMPRODUCT(Oxides_typical!$C33:$BB33,Factors!$C$10:$BB$10)</f>
        <v>30.565686633490341</v>
      </c>
      <c r="D33" s="20">
        <f>SUMPRODUCT(Oxides_typical!$C33:$BB33,Factors!$C$11:$BB$11)</f>
        <v>0</v>
      </c>
      <c r="E33" s="20">
        <f>SUMPRODUCT(Oxides_typical!$C33:$BB33,Factors!$C$12:$BB$12)</f>
        <v>0</v>
      </c>
      <c r="F33" s="20">
        <f>SUMPRODUCT(Oxides_typical!$C33:$BB33,Factors!$C$13:$BB$13)</f>
        <v>0</v>
      </c>
      <c r="G33" s="20">
        <f>SUMPRODUCT(Oxides_typical!$C33:$BB33,Factors!$C$14:$BB$14)</f>
        <v>0</v>
      </c>
      <c r="H33" s="20">
        <f>SUMPRODUCT(Oxides_typical!$C33:$BB33,Factors!$C$15:$BB$15)</f>
        <v>9.7647902977750789</v>
      </c>
      <c r="I33" s="20">
        <f>SUMPRODUCT(Oxides_typical!$C33:$BB33,Factors!$C$16:$BB$16)</f>
        <v>0</v>
      </c>
      <c r="J33" s="20">
        <f>SUMPRODUCT(Oxides_typical!$C33:$BB33,Factors!$C$17:$BB$17)</f>
        <v>0</v>
      </c>
      <c r="K33" s="20">
        <f>SUMPRODUCT(Oxides_typical!$C33:$BB33,Factors!$C$18:$BB$18)</f>
        <v>0</v>
      </c>
      <c r="L33" s="20">
        <f>SUMPRODUCT(Oxides_typical!$C33:$BB33,Factors!$C$19:$BB$19)</f>
        <v>0</v>
      </c>
      <c r="M33" s="20">
        <f>SUMPRODUCT(Oxides_typical!$C33:$BB33,Factors!$C$20:$BB$20)</f>
        <v>0</v>
      </c>
      <c r="N33" s="20">
        <f>SUMPRODUCT(Oxides_typical!$C33:$BB33,Factors!$C$21:$BB$21)</f>
        <v>0</v>
      </c>
      <c r="O33" s="20">
        <f>SUMPRODUCT(Oxides_typical!$C33:$BB33,Factors!$C$22:$BB$22)</f>
        <v>0</v>
      </c>
      <c r="P33" s="20">
        <f>SUMPRODUCT(Oxides_typical!$C33:$BB33,Factors!$C$23:$BB$23)</f>
        <v>1.7913074103544084E-2</v>
      </c>
      <c r="Q33" s="20">
        <f>SUMPRODUCT(Oxides_typical!$C33:$BB33,Factors!$C$24:$BB$24)</f>
        <v>0</v>
      </c>
      <c r="R33" s="20">
        <f>SUMPRODUCT(Oxides_typical!$C33:$BB33,Factors!$C$25:$BB$25)</f>
        <v>0.80121123857619403</v>
      </c>
      <c r="S33" s="20">
        <f>SUMPRODUCT(Oxides_typical!$C33:$BB33,Factors!$C$26:$BB$26)</f>
        <v>12.25303322023534</v>
      </c>
      <c r="T33" s="20">
        <f>SUMPRODUCT(Oxides_typical!$C33:$BB33,Factors!$C$27:$BB$27)</f>
        <v>0</v>
      </c>
      <c r="U33" s="20">
        <f>SUMPRODUCT(Oxides_typical!$C33:$BB33,Factors!$C$28:$BB$28)</f>
        <v>0</v>
      </c>
      <c r="V33" s="20">
        <f>SUMPRODUCT(Oxides_typical!$C33:$BB33,Factors!$C$29:$BB$29)</f>
        <v>0</v>
      </c>
      <c r="W33" s="20">
        <f>SUMPRODUCT(Oxides_typical!$C33:$BB33,Factors!$C$30:$BB$30)</f>
        <v>0</v>
      </c>
      <c r="X33" s="20">
        <f>SUMPRODUCT(Oxides_typical!$C33:$BB33,Factors!$C$31:$BB$31)</f>
        <v>0</v>
      </c>
      <c r="Y33" s="20">
        <f>SUMPRODUCT(Oxides_typical!$C33:$BB33,Factors!$C$32:$BB$32)</f>
        <v>0</v>
      </c>
      <c r="Z33" s="20">
        <f>SUMPRODUCT(Oxides_typical!$C33:$BB33,Factors!$C$33:$BB$33)</f>
        <v>0</v>
      </c>
      <c r="AA33" s="20">
        <f>SUMPRODUCT(Oxides_typical!$C33:$BB33,Factors!$C$34:$BB$34)</f>
        <v>0</v>
      </c>
      <c r="AB33" s="20">
        <f>SUMPRODUCT(Oxides_typical!$C33:$BB33,Factors!$C$35:$BB$35)</f>
        <v>0</v>
      </c>
      <c r="AC33" s="20">
        <f>SUMPRODUCT(Oxides_typical!$C33:$BB33,Factors!$C$36:$BB$36)</f>
        <v>0</v>
      </c>
      <c r="AD33" s="20">
        <f>SUMPRODUCT(Oxides_typical!$C33:$BB33,Factors!$C$37:$BB$37)</f>
        <v>0</v>
      </c>
      <c r="AE33" s="20">
        <f>SUMPRODUCT(Oxides_typical!$C33:$BB33,Factors!$C$38:$BB$38)</f>
        <v>0</v>
      </c>
      <c r="AF33" s="20">
        <f>SUMPRODUCT(Oxides_typical!$C33:$BB33,Factors!$C$39:$BB$39)</f>
        <v>0</v>
      </c>
      <c r="AG33" s="20">
        <f>SUMPRODUCT(Oxides_typical!$C33:$BB33,Factors!$C$40:$BB$40)</f>
        <v>0</v>
      </c>
      <c r="AH33" s="20">
        <f>SUMPRODUCT(Oxides_typical!$C33:$BB33,Factors!$C$41:$BB$41)</f>
        <v>0</v>
      </c>
      <c r="AI33" s="20">
        <f>SUMPRODUCT(Oxides_typical!$C33:$BB33,Factors!$C$42:$BB$42)</f>
        <v>0</v>
      </c>
      <c r="AJ33" s="20">
        <f>SUMPRODUCT(Oxides_typical!$C33:$BB33,Factors!$C$43:$BB$43)</f>
        <v>0</v>
      </c>
      <c r="AK33" s="20">
        <f>SUMPRODUCT(Oxides_typical!$C33:$BB33,Factors!$C$44:$BB$44)</f>
        <v>0</v>
      </c>
      <c r="AL33" s="20">
        <f>SUMPRODUCT(Oxides_typical!$C33:$BB33,Factors!$C$45:$BB$45)</f>
        <v>0</v>
      </c>
      <c r="AM33" s="20">
        <f>SUMPRODUCT(Oxides_typical!$C33:$BB33,Factors!$C$46:$BB$46)</f>
        <v>0</v>
      </c>
      <c r="AN33" s="20">
        <f>SUMPRODUCT(Oxides_typical!$C33:$BB33,Factors!$C$47:$BB$47)</f>
        <v>0</v>
      </c>
      <c r="AO33" s="20">
        <f>SUMPRODUCT(Oxides_typical!$C33:$BB33,Factors!$C$48:$BB$48)</f>
        <v>0</v>
      </c>
      <c r="AP33" s="20">
        <f>SUMPRODUCT(Oxides_typical!$C33:$BB33,Factors!$C$49:$BB$49)</f>
        <v>0</v>
      </c>
      <c r="AQ33" s="20">
        <f>SUMPRODUCT(Oxides_typical!$C33:$BB33,Factors!$C$50:$BB$50)</f>
        <v>0</v>
      </c>
      <c r="AR33" s="20">
        <f>SUMPRODUCT(Oxides_typical!$C33:$BB33,Factors!$C$51:$BB$51)</f>
        <v>0</v>
      </c>
      <c r="AS33" s="20">
        <f>SUMPRODUCT(Oxides_typical!$C33:$BB33,Factors!$C$52:$BB$52)</f>
        <v>0</v>
      </c>
      <c r="AT33" s="20">
        <f>SUMPRODUCT(Oxides_typical!$C33:$BB33,Factors!$C$53:$BB$53)</f>
        <v>0</v>
      </c>
      <c r="AU33" s="20">
        <f>SUMPRODUCT(Oxides_typical!$C33:$BB33,Factors!$C$54:$BB$54)</f>
        <v>0</v>
      </c>
      <c r="AV33" s="20">
        <f>SUMPRODUCT(Oxides_typical!$C33:$BB33,Factors!$C$55:$BB$55)</f>
        <v>0</v>
      </c>
      <c r="AW33" s="20">
        <f>SUMPRODUCT(Oxides_typical!$C33:$BB33,Factors!$C$56:$BB$56)</f>
        <v>0</v>
      </c>
      <c r="AX33" s="20">
        <f>SUMPRODUCT(Oxides_typical!$C33:$BB33,Factors!$C$57:$BB$57)</f>
        <v>0</v>
      </c>
      <c r="AY33" s="20">
        <f>SUMPRODUCT(Oxides_typical!$C33:$BB33,Factors!$C$58:$BB$58)</f>
        <v>0</v>
      </c>
      <c r="AZ33" s="18">
        <f t="shared" si="2"/>
        <v>99.7</v>
      </c>
    </row>
    <row r="34" spans="1:52" x14ac:dyDescent="0.35">
      <c r="A34" s="13" t="s">
        <v>342</v>
      </c>
      <c r="B34" s="20">
        <f>SUMPRODUCT(Oxides_typical!$C34:$BB34,Factors!$C$9:$BB$9)</f>
        <v>29.981354316320832</v>
      </c>
      <c r="C34" s="20">
        <f>SUMPRODUCT(Oxides_typical!$C34:$BB34,Factors!$C$10:$BB$10)</f>
        <v>0</v>
      </c>
      <c r="D34" s="20">
        <f>SUMPRODUCT(Oxides_typical!$C34:$BB34,Factors!$C$11:$BB$11)</f>
        <v>0</v>
      </c>
      <c r="E34" s="20">
        <f>SUMPRODUCT(Oxides_typical!$C34:$BB34,Factors!$C$12:$BB$12)</f>
        <v>0</v>
      </c>
      <c r="F34" s="20">
        <f>SUMPRODUCT(Oxides_typical!$C34:$BB34,Factors!$C$13:$BB$13)</f>
        <v>0</v>
      </c>
      <c r="G34" s="20">
        <f>SUMPRODUCT(Oxides_typical!$C34:$BB34,Factors!$C$14:$BB$14)</f>
        <v>0</v>
      </c>
      <c r="H34" s="20">
        <f>SUMPRODUCT(Oxides_typical!$C34:$BB34,Factors!$C$15:$BB$15)</f>
        <v>0</v>
      </c>
      <c r="I34" s="20">
        <f>SUMPRODUCT(Oxides_typical!$C34:$BB34,Factors!$C$16:$BB$16)</f>
        <v>69.644863755579649</v>
      </c>
      <c r="J34" s="20">
        <f>SUMPRODUCT(Oxides_typical!$C34:$BB34,Factors!$C$17:$BB$17)</f>
        <v>0.67378192809951321</v>
      </c>
      <c r="K34" s="20">
        <f>SUMPRODUCT(Oxides_typical!$C34:$BB34,Factors!$C$18:$BB$18)</f>
        <v>0</v>
      </c>
      <c r="L34" s="20">
        <f>SUMPRODUCT(Oxides_typical!$C34:$BB34,Factors!$C$19:$BB$19)</f>
        <v>0</v>
      </c>
      <c r="M34" s="20">
        <f>SUMPRODUCT(Oxides_typical!$C34:$BB34,Factors!$C$20:$BB$20)</f>
        <v>0</v>
      </c>
      <c r="N34" s="20">
        <f>SUMPRODUCT(Oxides_typical!$C34:$BB34,Factors!$C$21:$BB$21)</f>
        <v>0</v>
      </c>
      <c r="O34" s="20">
        <f>SUMPRODUCT(Oxides_typical!$C34:$BB34,Factors!$C$22:$BB$22)</f>
        <v>0</v>
      </c>
      <c r="P34" s="20">
        <f>SUMPRODUCT(Oxides_typical!$C34:$BB34,Factors!$C$23:$BB$23)</f>
        <v>0</v>
      </c>
      <c r="Q34" s="20">
        <f>SUMPRODUCT(Oxides_typical!$C34:$BB34,Factors!$C$24:$BB$24)</f>
        <v>0</v>
      </c>
      <c r="R34" s="20">
        <f>SUMPRODUCT(Oxides_typical!$C34:$BB34,Factors!$C$25:$BB$25)</f>
        <v>0</v>
      </c>
      <c r="S34" s="20">
        <f>SUMPRODUCT(Oxides_typical!$C34:$BB34,Factors!$C$26:$BB$26)</f>
        <v>0</v>
      </c>
      <c r="T34" s="20">
        <f>SUMPRODUCT(Oxides_typical!$C34:$BB34,Factors!$C$27:$BB$27)</f>
        <v>0</v>
      </c>
      <c r="U34" s="20">
        <f>SUMPRODUCT(Oxides_typical!$C34:$BB34,Factors!$C$28:$BB$28)</f>
        <v>0</v>
      </c>
      <c r="V34" s="20">
        <f>SUMPRODUCT(Oxides_typical!$C34:$BB34,Factors!$C$29:$BB$29)</f>
        <v>0</v>
      </c>
      <c r="W34" s="20">
        <f>SUMPRODUCT(Oxides_typical!$C34:$BB34,Factors!$C$30:$BB$30)</f>
        <v>0</v>
      </c>
      <c r="X34" s="20">
        <f>SUMPRODUCT(Oxides_typical!$C34:$BB34,Factors!$C$31:$BB$31)</f>
        <v>0</v>
      </c>
      <c r="Y34" s="20">
        <f>SUMPRODUCT(Oxides_typical!$C34:$BB34,Factors!$C$32:$BB$32)</f>
        <v>0</v>
      </c>
      <c r="Z34" s="20">
        <f>SUMPRODUCT(Oxides_typical!$C34:$BB34,Factors!$C$33:$BB$33)</f>
        <v>0</v>
      </c>
      <c r="AA34" s="20">
        <f>SUMPRODUCT(Oxides_typical!$C34:$BB34,Factors!$C$34:$BB$34)</f>
        <v>0</v>
      </c>
      <c r="AB34" s="20">
        <f>SUMPRODUCT(Oxides_typical!$C34:$BB34,Factors!$C$35:$BB$35)</f>
        <v>0</v>
      </c>
      <c r="AC34" s="20">
        <f>SUMPRODUCT(Oxides_typical!$C34:$BB34,Factors!$C$36:$BB$36)</f>
        <v>0</v>
      </c>
      <c r="AD34" s="20">
        <f>SUMPRODUCT(Oxides_typical!$C34:$BB34,Factors!$C$37:$BB$37)</f>
        <v>0</v>
      </c>
      <c r="AE34" s="20">
        <f>SUMPRODUCT(Oxides_typical!$C34:$BB34,Factors!$C$38:$BB$38)</f>
        <v>0</v>
      </c>
      <c r="AF34" s="20">
        <f>SUMPRODUCT(Oxides_typical!$C34:$BB34,Factors!$C$39:$BB$39)</f>
        <v>0</v>
      </c>
      <c r="AG34" s="20">
        <f>SUMPRODUCT(Oxides_typical!$C34:$BB34,Factors!$C$40:$BB$40)</f>
        <v>0</v>
      </c>
      <c r="AH34" s="20">
        <f>SUMPRODUCT(Oxides_typical!$C34:$BB34,Factors!$C$41:$BB$41)</f>
        <v>0</v>
      </c>
      <c r="AI34" s="20">
        <f>SUMPRODUCT(Oxides_typical!$C34:$BB34,Factors!$C$42:$BB$42)</f>
        <v>0</v>
      </c>
      <c r="AJ34" s="20">
        <f>SUMPRODUCT(Oxides_typical!$C34:$BB34,Factors!$C$43:$BB$43)</f>
        <v>0</v>
      </c>
      <c r="AK34" s="20">
        <f>SUMPRODUCT(Oxides_typical!$C34:$BB34,Factors!$C$44:$BB$44)</f>
        <v>0</v>
      </c>
      <c r="AL34" s="20">
        <f>SUMPRODUCT(Oxides_typical!$C34:$BB34,Factors!$C$45:$BB$45)</f>
        <v>0</v>
      </c>
      <c r="AM34" s="20">
        <f>SUMPRODUCT(Oxides_typical!$C34:$BB34,Factors!$C$46:$BB$46)</f>
        <v>0</v>
      </c>
      <c r="AN34" s="20">
        <f>SUMPRODUCT(Oxides_typical!$C34:$BB34,Factors!$C$47:$BB$47)</f>
        <v>0</v>
      </c>
      <c r="AO34" s="20">
        <f>SUMPRODUCT(Oxides_typical!$C34:$BB34,Factors!$C$48:$BB$48)</f>
        <v>0</v>
      </c>
      <c r="AP34" s="20">
        <f>SUMPRODUCT(Oxides_typical!$C34:$BB34,Factors!$C$49:$BB$49)</f>
        <v>0</v>
      </c>
      <c r="AQ34" s="20">
        <f>SUMPRODUCT(Oxides_typical!$C34:$BB34,Factors!$C$50:$BB$50)</f>
        <v>0</v>
      </c>
      <c r="AR34" s="20">
        <f>SUMPRODUCT(Oxides_typical!$C34:$BB34,Factors!$C$51:$BB$51)</f>
        <v>0</v>
      </c>
      <c r="AS34" s="20">
        <f>SUMPRODUCT(Oxides_typical!$C34:$BB34,Factors!$C$52:$BB$52)</f>
        <v>0</v>
      </c>
      <c r="AT34" s="20">
        <f>SUMPRODUCT(Oxides_typical!$C34:$BB34,Factors!$C$53:$BB$53)</f>
        <v>0</v>
      </c>
      <c r="AU34" s="20">
        <f>SUMPRODUCT(Oxides_typical!$C34:$BB34,Factors!$C$54:$BB$54)</f>
        <v>0</v>
      </c>
      <c r="AV34" s="20">
        <f>SUMPRODUCT(Oxides_typical!$C34:$BB34,Factors!$C$55:$BB$55)</f>
        <v>0</v>
      </c>
      <c r="AW34" s="20">
        <f>SUMPRODUCT(Oxides_typical!$C34:$BB34,Factors!$C$56:$BB$56)</f>
        <v>0</v>
      </c>
      <c r="AX34" s="20">
        <f>SUMPRODUCT(Oxides_typical!$C34:$BB34,Factors!$C$57:$BB$57)</f>
        <v>0</v>
      </c>
      <c r="AY34" s="20">
        <f>SUMPRODUCT(Oxides_typical!$C34:$BB34,Factors!$C$58:$BB$58)</f>
        <v>0</v>
      </c>
      <c r="AZ34" s="18">
        <f t="shared" si="2"/>
        <v>100.3</v>
      </c>
    </row>
    <row r="35" spans="1:52" x14ac:dyDescent="0.35">
      <c r="A35" s="13" t="s">
        <v>344</v>
      </c>
      <c r="B35" s="20">
        <f>SUMPRODUCT(Oxides_typical!$C35:$BB35,Factors!$C$9:$BB$9)</f>
        <v>27.791263960212991</v>
      </c>
      <c r="C35" s="20">
        <f>SUMPRODUCT(Oxides_typical!$C35:$BB35,Factors!$C$10:$BB$10)</f>
        <v>0.12620791238786347</v>
      </c>
      <c r="D35" s="20">
        <f>SUMPRODUCT(Oxides_typical!$C35:$BB35,Factors!$C$11:$BB$11)</f>
        <v>0</v>
      </c>
      <c r="E35" s="20">
        <f>SUMPRODUCT(Oxides_typical!$C35:$BB35,Factors!$C$12:$BB$12)</f>
        <v>0</v>
      </c>
      <c r="F35" s="20">
        <f>SUMPRODUCT(Oxides_typical!$C35:$BB35,Factors!$C$13:$BB$13)</f>
        <v>0</v>
      </c>
      <c r="G35" s="20">
        <f>SUMPRODUCT(Oxides_typical!$C35:$BB35,Factors!$C$14:$BB$14)</f>
        <v>0</v>
      </c>
      <c r="H35" s="20">
        <f>SUMPRODUCT(Oxides_typical!$C35:$BB35,Factors!$C$15:$BB$15)</f>
        <v>0.11114395460882204</v>
      </c>
      <c r="I35" s="20">
        <f>SUMPRODUCT(Oxides_typical!$C35:$BB35,Factors!$C$16:$BB$16)</f>
        <v>72.081384172790308</v>
      </c>
      <c r="J35" s="20">
        <f>SUMPRODUCT(Oxides_typical!$C35:$BB35,Factors!$C$17:$BB$17)</f>
        <v>0</v>
      </c>
      <c r="K35" s="20">
        <f>SUMPRODUCT(Oxides_typical!$C35:$BB35,Factors!$C$18:$BB$18)</f>
        <v>0</v>
      </c>
      <c r="L35" s="20">
        <f>SUMPRODUCT(Oxides_typical!$C35:$BB35,Factors!$C$19:$BB$19)</f>
        <v>0</v>
      </c>
      <c r="M35" s="20">
        <f>SUMPRODUCT(Oxides_typical!$C35:$BB35,Factors!$C$20:$BB$20)</f>
        <v>0</v>
      </c>
      <c r="N35" s="20">
        <f>SUMPRODUCT(Oxides_typical!$C35:$BB35,Factors!$C$21:$BB$21)</f>
        <v>0</v>
      </c>
      <c r="O35" s="20">
        <f>SUMPRODUCT(Oxides_typical!$C35:$BB35,Factors!$C$22:$BB$22)</f>
        <v>0</v>
      </c>
      <c r="P35" s="20">
        <f>SUMPRODUCT(Oxides_typical!$C35:$BB35,Factors!$C$23:$BB$23)</f>
        <v>0</v>
      </c>
      <c r="Q35" s="20">
        <f>SUMPRODUCT(Oxides_typical!$C35:$BB35,Factors!$C$24:$BB$24)</f>
        <v>0</v>
      </c>
      <c r="R35" s="20">
        <f>SUMPRODUCT(Oxides_typical!$C35:$BB35,Factors!$C$25:$BB$25)</f>
        <v>0</v>
      </c>
      <c r="S35" s="20">
        <f>SUMPRODUCT(Oxides_typical!$C35:$BB35,Factors!$C$26:$BB$26)</f>
        <v>0</v>
      </c>
      <c r="T35" s="20">
        <f>SUMPRODUCT(Oxides_typical!$C35:$BB35,Factors!$C$27:$BB$27)</f>
        <v>0</v>
      </c>
      <c r="U35" s="20">
        <f>SUMPRODUCT(Oxides_typical!$C35:$BB35,Factors!$C$28:$BB$28)</f>
        <v>0</v>
      </c>
      <c r="V35" s="20">
        <f>SUMPRODUCT(Oxides_typical!$C35:$BB35,Factors!$C$29:$BB$29)</f>
        <v>0</v>
      </c>
      <c r="W35" s="20">
        <f>SUMPRODUCT(Oxides_typical!$C35:$BB35,Factors!$C$30:$BB$30)</f>
        <v>0</v>
      </c>
      <c r="X35" s="20">
        <f>SUMPRODUCT(Oxides_typical!$C35:$BB35,Factors!$C$31:$BB$31)</f>
        <v>0</v>
      </c>
      <c r="Y35" s="20">
        <f>SUMPRODUCT(Oxides_typical!$C35:$BB35,Factors!$C$32:$BB$32)</f>
        <v>0</v>
      </c>
      <c r="Z35" s="20">
        <f>SUMPRODUCT(Oxides_typical!$C35:$BB35,Factors!$C$33:$BB$33)</f>
        <v>0</v>
      </c>
      <c r="AA35" s="20">
        <f>SUMPRODUCT(Oxides_typical!$C35:$BB35,Factors!$C$34:$BB$34)</f>
        <v>0</v>
      </c>
      <c r="AB35" s="20">
        <f>SUMPRODUCT(Oxides_typical!$C35:$BB35,Factors!$C$35:$BB$35)</f>
        <v>0</v>
      </c>
      <c r="AC35" s="20">
        <f>SUMPRODUCT(Oxides_typical!$C35:$BB35,Factors!$C$36:$BB$36)</f>
        <v>0</v>
      </c>
      <c r="AD35" s="20">
        <f>SUMPRODUCT(Oxides_typical!$C35:$BB35,Factors!$C$37:$BB$37)</f>
        <v>0</v>
      </c>
      <c r="AE35" s="20">
        <f>SUMPRODUCT(Oxides_typical!$C35:$BB35,Factors!$C$38:$BB$38)</f>
        <v>0</v>
      </c>
      <c r="AF35" s="20">
        <f>SUMPRODUCT(Oxides_typical!$C35:$BB35,Factors!$C$39:$BB$39)</f>
        <v>0</v>
      </c>
      <c r="AG35" s="20">
        <f>SUMPRODUCT(Oxides_typical!$C35:$BB35,Factors!$C$40:$BB$40)</f>
        <v>0</v>
      </c>
      <c r="AH35" s="20">
        <f>SUMPRODUCT(Oxides_typical!$C35:$BB35,Factors!$C$41:$BB$41)</f>
        <v>0</v>
      </c>
      <c r="AI35" s="20">
        <f>SUMPRODUCT(Oxides_typical!$C35:$BB35,Factors!$C$42:$BB$42)</f>
        <v>0</v>
      </c>
      <c r="AJ35" s="20">
        <f>SUMPRODUCT(Oxides_typical!$C35:$BB35,Factors!$C$43:$BB$43)</f>
        <v>0</v>
      </c>
      <c r="AK35" s="20">
        <f>SUMPRODUCT(Oxides_typical!$C35:$BB35,Factors!$C$44:$BB$44)</f>
        <v>0</v>
      </c>
      <c r="AL35" s="20">
        <f>SUMPRODUCT(Oxides_typical!$C35:$BB35,Factors!$C$45:$BB$45)</f>
        <v>0</v>
      </c>
      <c r="AM35" s="20">
        <f>SUMPRODUCT(Oxides_typical!$C35:$BB35,Factors!$C$46:$BB$46)</f>
        <v>0</v>
      </c>
      <c r="AN35" s="20">
        <f>SUMPRODUCT(Oxides_typical!$C35:$BB35,Factors!$C$47:$BB$47)</f>
        <v>0</v>
      </c>
      <c r="AO35" s="20">
        <f>SUMPRODUCT(Oxides_typical!$C35:$BB35,Factors!$C$48:$BB$48)</f>
        <v>0</v>
      </c>
      <c r="AP35" s="20">
        <f>SUMPRODUCT(Oxides_typical!$C35:$BB35,Factors!$C$49:$BB$49)</f>
        <v>0</v>
      </c>
      <c r="AQ35" s="20">
        <f>SUMPRODUCT(Oxides_typical!$C35:$BB35,Factors!$C$50:$BB$50)</f>
        <v>0</v>
      </c>
      <c r="AR35" s="20">
        <f>SUMPRODUCT(Oxides_typical!$C35:$BB35,Factors!$C$51:$BB$51)</f>
        <v>0</v>
      </c>
      <c r="AS35" s="20">
        <f>SUMPRODUCT(Oxides_typical!$C35:$BB35,Factors!$C$52:$BB$52)</f>
        <v>0</v>
      </c>
      <c r="AT35" s="20">
        <f>SUMPRODUCT(Oxides_typical!$C35:$BB35,Factors!$C$53:$BB$53)</f>
        <v>0</v>
      </c>
      <c r="AU35" s="20">
        <f>SUMPRODUCT(Oxides_typical!$C35:$BB35,Factors!$C$54:$BB$54)</f>
        <v>0</v>
      </c>
      <c r="AV35" s="20">
        <f>SUMPRODUCT(Oxides_typical!$C35:$BB35,Factors!$C$55:$BB$55)</f>
        <v>0</v>
      </c>
      <c r="AW35" s="20">
        <f>SUMPRODUCT(Oxides_typical!$C35:$BB35,Factors!$C$56:$BB$56)</f>
        <v>0</v>
      </c>
      <c r="AX35" s="20">
        <f>SUMPRODUCT(Oxides_typical!$C35:$BB35,Factors!$C$57:$BB$57)</f>
        <v>0</v>
      </c>
      <c r="AY35" s="20">
        <f>SUMPRODUCT(Oxides_typical!$C35:$BB35,Factors!$C$58:$BB$58)</f>
        <v>0</v>
      </c>
      <c r="AZ35" s="18">
        <f t="shared" si="2"/>
        <v>100.10999999999999</v>
      </c>
    </row>
    <row r="36" spans="1:52" x14ac:dyDescent="0.35">
      <c r="A36" s="13" t="s">
        <v>346</v>
      </c>
      <c r="B36" s="20">
        <f>SUMPRODUCT(Oxides_typical!$C36:$BB36,Factors!$C$9:$BB$9)</f>
        <v>20.072828866082748</v>
      </c>
      <c r="C36" s="20">
        <f>SUMPRODUCT(Oxides_typical!$C36:$BB36,Factors!$C$10:$BB$10)</f>
        <v>7.6986826556596712</v>
      </c>
      <c r="D36" s="20">
        <f>SUMPRODUCT(Oxides_typical!$C36:$BB36,Factors!$C$11:$BB$11)</f>
        <v>5.9934890127089469E-2</v>
      </c>
      <c r="E36" s="20">
        <f>SUMPRODUCT(Oxides_typical!$C36:$BB36,Factors!$C$12:$BB$12)</f>
        <v>0</v>
      </c>
      <c r="F36" s="20">
        <f>SUMPRODUCT(Oxides_typical!$C36:$BB36,Factors!$C$13:$BB$13)</f>
        <v>0</v>
      </c>
      <c r="G36" s="20">
        <f>SUMPRODUCT(Oxides_typical!$C36:$BB36,Factors!$C$14:$BB$14)</f>
        <v>0</v>
      </c>
      <c r="H36" s="20">
        <f>SUMPRODUCT(Oxides_typical!$C36:$BB36,Factors!$C$15:$BB$15)</f>
        <v>0.68274143545419264</v>
      </c>
      <c r="I36" s="20">
        <f>SUMPRODUCT(Oxides_typical!$C36:$BB36,Factors!$C$16:$BB$16)</f>
        <v>0.45861241022214794</v>
      </c>
      <c r="J36" s="20">
        <f>SUMPRODUCT(Oxides_typical!$C36:$BB36,Factors!$C$17:$BB$17)</f>
        <v>0</v>
      </c>
      <c r="K36" s="20">
        <f>SUMPRODUCT(Oxides_typical!$C36:$BB36,Factors!$C$18:$BB$18)</f>
        <v>0</v>
      </c>
      <c r="L36" s="20">
        <f>SUMPRODUCT(Oxides_typical!$C36:$BB36,Factors!$C$19:$BB$19)</f>
        <v>0</v>
      </c>
      <c r="M36" s="20">
        <f>SUMPRODUCT(Oxides_typical!$C36:$BB36,Factors!$C$20:$BB$20)</f>
        <v>6.0304188169908691E-3</v>
      </c>
      <c r="N36" s="20">
        <f>SUMPRODUCT(Oxides_typical!$C36:$BB36,Factors!$C$21:$BB$21)</f>
        <v>0</v>
      </c>
      <c r="O36" s="20">
        <f>SUMPRODUCT(Oxides_typical!$C36:$BB36,Factors!$C$22:$BB$22)</f>
        <v>0</v>
      </c>
      <c r="P36" s="20">
        <f>SUMPRODUCT(Oxides_typical!$C36:$BB36,Factors!$C$23:$BB$23)</f>
        <v>0</v>
      </c>
      <c r="Q36" s="20">
        <f>SUMPRODUCT(Oxides_typical!$C36:$BB36,Factors!$C$24:$BB$24)</f>
        <v>9.2831957132424425E-2</v>
      </c>
      <c r="R36" s="20">
        <f>SUMPRODUCT(Oxides_typical!$C36:$BB36,Factors!$C$25:$BB$25)</f>
        <v>0</v>
      </c>
      <c r="S36" s="20">
        <f>SUMPRODUCT(Oxides_typical!$C36:$BB36,Factors!$C$26:$BB$26)</f>
        <v>0</v>
      </c>
      <c r="T36" s="20">
        <f>SUMPRODUCT(Oxides_typical!$C36:$BB36,Factors!$C$27:$BB$27)</f>
        <v>0</v>
      </c>
      <c r="U36" s="20">
        <f>SUMPRODUCT(Oxides_typical!$C36:$BB36,Factors!$C$28:$BB$28)</f>
        <v>0</v>
      </c>
      <c r="V36" s="20">
        <f>SUMPRODUCT(Oxides_typical!$C36:$BB36,Factors!$C$29:$BB$29)</f>
        <v>0</v>
      </c>
      <c r="W36" s="20">
        <f>SUMPRODUCT(Oxides_typical!$C36:$BB36,Factors!$C$30:$BB$30)</f>
        <v>0</v>
      </c>
      <c r="X36" s="20">
        <f>SUMPRODUCT(Oxides_typical!$C36:$BB36,Factors!$C$31:$BB$31)</f>
        <v>0</v>
      </c>
      <c r="Y36" s="20">
        <f>SUMPRODUCT(Oxides_typical!$C36:$BB36,Factors!$C$32:$BB$32)</f>
        <v>0</v>
      </c>
      <c r="Z36" s="20">
        <f>SUMPRODUCT(Oxides_typical!$C36:$BB36,Factors!$C$33:$BB$33)</f>
        <v>0</v>
      </c>
      <c r="AA36" s="20">
        <f>SUMPRODUCT(Oxides_typical!$C36:$BB36,Factors!$C$34:$BB$34)</f>
        <v>0</v>
      </c>
      <c r="AB36" s="20">
        <f>SUMPRODUCT(Oxides_typical!$C36:$BB36,Factors!$C$35:$BB$35)</f>
        <v>0</v>
      </c>
      <c r="AC36" s="20">
        <f>SUMPRODUCT(Oxides_typical!$C36:$BB36,Factors!$C$36:$BB$36)</f>
        <v>0</v>
      </c>
      <c r="AD36" s="20">
        <f>SUMPRODUCT(Oxides_typical!$C36:$BB36,Factors!$C$37:$BB$37)</f>
        <v>9.6239800166527889E-2</v>
      </c>
      <c r="AE36" s="20">
        <f>SUMPRODUCT(Oxides_typical!$C36:$BB36,Factors!$C$38:$BB$38)</f>
        <v>0</v>
      </c>
      <c r="AF36" s="20">
        <f>SUMPRODUCT(Oxides_typical!$C36:$BB36,Factors!$C$39:$BB$39)</f>
        <v>0</v>
      </c>
      <c r="AG36" s="20">
        <f>SUMPRODUCT(Oxides_typical!$C36:$BB36,Factors!$C$40:$BB$40)</f>
        <v>62.931716040671773</v>
      </c>
      <c r="AH36" s="20">
        <f>SUMPRODUCT(Oxides_typical!$C36:$BB36,Factors!$C$41:$BB$41)</f>
        <v>7.3693458463084287</v>
      </c>
      <c r="AI36" s="20">
        <f>SUMPRODUCT(Oxides_typical!$C36:$BB36,Factors!$C$42:$BB$42)</f>
        <v>0</v>
      </c>
      <c r="AJ36" s="20">
        <f>SUMPRODUCT(Oxides_typical!$C36:$BB36,Factors!$C$43:$BB$43)</f>
        <v>0</v>
      </c>
      <c r="AK36" s="20">
        <f>SUMPRODUCT(Oxides_typical!$C36:$BB36,Factors!$C$44:$BB$44)</f>
        <v>0</v>
      </c>
      <c r="AL36" s="20">
        <f>SUMPRODUCT(Oxides_typical!$C36:$BB36,Factors!$C$45:$BB$45)</f>
        <v>0.46103567935800921</v>
      </c>
      <c r="AM36" s="20">
        <f>SUMPRODUCT(Oxides_typical!$C36:$BB36,Factors!$C$46:$BB$46)</f>
        <v>0</v>
      </c>
      <c r="AN36" s="20">
        <f>SUMPRODUCT(Oxides_typical!$C36:$BB36,Factors!$C$47:$BB$47)</f>
        <v>0</v>
      </c>
      <c r="AO36" s="20">
        <f>SUMPRODUCT(Oxides_typical!$C36:$BB36,Factors!$C$48:$BB$48)</f>
        <v>0</v>
      </c>
      <c r="AP36" s="20">
        <f>SUMPRODUCT(Oxides_typical!$C36:$BB36,Factors!$C$49:$BB$49)</f>
        <v>0</v>
      </c>
      <c r="AQ36" s="20">
        <f>SUMPRODUCT(Oxides_typical!$C36:$BB36,Factors!$C$50:$BB$50)</f>
        <v>0</v>
      </c>
      <c r="AR36" s="20">
        <f>SUMPRODUCT(Oxides_typical!$C36:$BB36,Factors!$C$51:$BB$51)</f>
        <v>0</v>
      </c>
      <c r="AS36" s="20">
        <f>SUMPRODUCT(Oxides_typical!$C36:$BB36,Factors!$C$52:$BB$52)</f>
        <v>0</v>
      </c>
      <c r="AT36" s="20">
        <f>SUMPRODUCT(Oxides_typical!$C36:$BB36,Factors!$C$53:$BB$53)</f>
        <v>0</v>
      </c>
      <c r="AU36" s="20">
        <f>SUMPRODUCT(Oxides_typical!$C36:$BB36,Factors!$C$54:$BB$54)</f>
        <v>0</v>
      </c>
      <c r="AV36" s="20">
        <f>SUMPRODUCT(Oxides_typical!$C36:$BB36,Factors!$C$55:$BB$55)</f>
        <v>0</v>
      </c>
      <c r="AW36" s="20">
        <f>SUMPRODUCT(Oxides_typical!$C36:$BB36,Factors!$C$56:$BB$56)</f>
        <v>0</v>
      </c>
      <c r="AX36" s="20">
        <f>SUMPRODUCT(Oxides_typical!$C36:$BB36,Factors!$C$57:$BB$57)</f>
        <v>0</v>
      </c>
      <c r="AY36" s="20">
        <f>SUMPRODUCT(Oxides_typical!$C36:$BB36,Factors!$C$58:$BB$58)</f>
        <v>0</v>
      </c>
      <c r="AZ36" s="18">
        <f t="shared" si="2"/>
        <v>99.93</v>
      </c>
    </row>
    <row r="37" spans="1:52" x14ac:dyDescent="0.35">
      <c r="A37" s="13" t="s">
        <v>348</v>
      </c>
      <c r="B37" s="20">
        <f>SUMPRODUCT(Oxides_typical!$C37:$BB37,Factors!$C$9:$BB$9)</f>
        <v>-6.3265750821450695E-3</v>
      </c>
      <c r="C37" s="20">
        <f>SUMPRODUCT(Oxides_typical!$C37:$BB37,Factors!$C$10:$BB$10)</f>
        <v>0</v>
      </c>
      <c r="D37" s="20">
        <f>SUMPRODUCT(Oxides_typical!$C37:$BB37,Factors!$C$11:$BB$11)</f>
        <v>0</v>
      </c>
      <c r="E37" s="20">
        <f>SUMPRODUCT(Oxides_typical!$C37:$BB37,Factors!$C$12:$BB$12)</f>
        <v>0</v>
      </c>
      <c r="F37" s="20">
        <f>SUMPRODUCT(Oxides_typical!$C37:$BB37,Factors!$C$13:$BB$13)</f>
        <v>0</v>
      </c>
      <c r="G37" s="20">
        <f>SUMPRODUCT(Oxides_typical!$C37:$BB37,Factors!$C$14:$BB$14)</f>
        <v>0</v>
      </c>
      <c r="H37" s="20">
        <f>SUMPRODUCT(Oxides_typical!$C37:$BB37,Factors!$C$15:$BB$15)</f>
        <v>13.009135258499265</v>
      </c>
      <c r="I37" s="20">
        <f>SUMPRODUCT(Oxides_typical!$C37:$BB37,Factors!$C$16:$BB$16)</f>
        <v>0</v>
      </c>
      <c r="J37" s="20">
        <f>SUMPRODUCT(Oxides_typical!$C37:$BB37,Factors!$C$17:$BB$17)</f>
        <v>0</v>
      </c>
      <c r="K37" s="20">
        <f>SUMPRODUCT(Oxides_typical!$C37:$BB37,Factors!$C$18:$BB$18)</f>
        <v>0</v>
      </c>
      <c r="L37" s="20">
        <f>SUMPRODUCT(Oxides_typical!$C37:$BB37,Factors!$C$19:$BB$19)</f>
        <v>0</v>
      </c>
      <c r="M37" s="20">
        <f>SUMPRODUCT(Oxides_typical!$C37:$BB37,Factors!$C$20:$BB$20)</f>
        <v>0</v>
      </c>
      <c r="N37" s="20">
        <f>SUMPRODUCT(Oxides_typical!$C37:$BB37,Factors!$C$21:$BB$21)</f>
        <v>0</v>
      </c>
      <c r="O37" s="20">
        <f>SUMPRODUCT(Oxides_typical!$C37:$BB37,Factors!$C$22:$BB$22)</f>
        <v>0</v>
      </c>
      <c r="P37" s="20">
        <f>SUMPRODUCT(Oxides_typical!$C37:$BB37,Factors!$C$23:$BB$23)</f>
        <v>0</v>
      </c>
      <c r="Q37" s="20">
        <f>SUMPRODUCT(Oxides_typical!$C37:$BB37,Factors!$C$24:$BB$24)</f>
        <v>0</v>
      </c>
      <c r="R37" s="20">
        <f>SUMPRODUCT(Oxides_typical!$C37:$BB37,Factors!$C$25:$BB$25)</f>
        <v>32.411962049438806</v>
      </c>
      <c r="S37" s="20">
        <f>SUMPRODUCT(Oxides_typical!$C37:$BB37,Factors!$C$26:$BB$26)</f>
        <v>0</v>
      </c>
      <c r="T37" s="20">
        <f>SUMPRODUCT(Oxides_typical!$C37:$BB37,Factors!$C$27:$BB$27)</f>
        <v>0</v>
      </c>
      <c r="U37" s="20">
        <f>SUMPRODUCT(Oxides_typical!$C37:$BB37,Factors!$C$28:$BB$28)</f>
        <v>0</v>
      </c>
      <c r="V37" s="20">
        <f>SUMPRODUCT(Oxides_typical!$C37:$BB37,Factors!$C$29:$BB$29)</f>
        <v>0</v>
      </c>
      <c r="W37" s="20">
        <f>SUMPRODUCT(Oxides_typical!$C37:$BB37,Factors!$C$30:$BB$30)</f>
        <v>0</v>
      </c>
      <c r="X37" s="20">
        <f>SUMPRODUCT(Oxides_typical!$C37:$BB37,Factors!$C$31:$BB$31)</f>
        <v>0</v>
      </c>
      <c r="Y37" s="20">
        <f>SUMPRODUCT(Oxides_typical!$C37:$BB37,Factors!$C$32:$BB$32)</f>
        <v>0</v>
      </c>
      <c r="Z37" s="20">
        <f>SUMPRODUCT(Oxides_typical!$C37:$BB37,Factors!$C$33:$BB$33)</f>
        <v>0</v>
      </c>
      <c r="AA37" s="20">
        <f>SUMPRODUCT(Oxides_typical!$C37:$BB37,Factors!$C$34:$BB$34)</f>
        <v>0</v>
      </c>
      <c r="AB37" s="20">
        <f>SUMPRODUCT(Oxides_typical!$C37:$BB37,Factors!$C$35:$BB$35)</f>
        <v>0</v>
      </c>
      <c r="AC37" s="20">
        <f>SUMPRODUCT(Oxides_typical!$C37:$BB37,Factors!$C$36:$BB$36)</f>
        <v>0</v>
      </c>
      <c r="AD37" s="20">
        <f>SUMPRODUCT(Oxides_typical!$C37:$BB37,Factors!$C$37:$BB$37)</f>
        <v>0</v>
      </c>
      <c r="AE37" s="20">
        <f>SUMPRODUCT(Oxides_typical!$C37:$BB37,Factors!$C$38:$BB$38)</f>
        <v>54.28</v>
      </c>
      <c r="AF37" s="20">
        <f>SUMPRODUCT(Oxides_typical!$C37:$BB37,Factors!$C$39:$BB$39)</f>
        <v>0</v>
      </c>
      <c r="AG37" s="20">
        <f>SUMPRODUCT(Oxides_typical!$C37:$BB37,Factors!$C$40:$BB$40)</f>
        <v>0</v>
      </c>
      <c r="AH37" s="20">
        <f>SUMPRODUCT(Oxides_typical!$C37:$BB37,Factors!$C$41:$BB$41)</f>
        <v>0</v>
      </c>
      <c r="AI37" s="20">
        <f>SUMPRODUCT(Oxides_typical!$C37:$BB37,Factors!$C$42:$BB$42)</f>
        <v>0</v>
      </c>
      <c r="AJ37" s="20">
        <f>SUMPRODUCT(Oxides_typical!$C37:$BB37,Factors!$C$43:$BB$43)</f>
        <v>0</v>
      </c>
      <c r="AK37" s="20">
        <f>SUMPRODUCT(Oxides_typical!$C37:$BB37,Factors!$C$44:$BB$44)</f>
        <v>0</v>
      </c>
      <c r="AL37" s="20">
        <f>SUMPRODUCT(Oxides_typical!$C37:$BB37,Factors!$C$45:$BB$45)</f>
        <v>0</v>
      </c>
      <c r="AM37" s="20">
        <f>SUMPRODUCT(Oxides_typical!$C37:$BB37,Factors!$C$46:$BB$46)</f>
        <v>0</v>
      </c>
      <c r="AN37" s="20">
        <f>SUMPRODUCT(Oxides_typical!$C37:$BB37,Factors!$C$47:$BB$47)</f>
        <v>0</v>
      </c>
      <c r="AO37" s="20">
        <f>SUMPRODUCT(Oxides_typical!$C37:$BB37,Factors!$C$48:$BB$48)</f>
        <v>0</v>
      </c>
      <c r="AP37" s="20">
        <f>SUMPRODUCT(Oxides_typical!$C37:$BB37,Factors!$C$49:$BB$49)</f>
        <v>0</v>
      </c>
      <c r="AQ37" s="20">
        <f>SUMPRODUCT(Oxides_typical!$C37:$BB37,Factors!$C$50:$BB$50)</f>
        <v>0</v>
      </c>
      <c r="AR37" s="20">
        <f>SUMPRODUCT(Oxides_typical!$C37:$BB37,Factors!$C$51:$BB$51)</f>
        <v>0</v>
      </c>
      <c r="AS37" s="20">
        <f>SUMPRODUCT(Oxides_typical!$C37:$BB37,Factors!$C$52:$BB$52)</f>
        <v>0</v>
      </c>
      <c r="AT37" s="20">
        <f>SUMPRODUCT(Oxides_typical!$C37:$BB37,Factors!$C$53:$BB$53)</f>
        <v>0</v>
      </c>
      <c r="AU37" s="20">
        <f>SUMPRODUCT(Oxides_typical!$C37:$BB37,Factors!$C$54:$BB$54)</f>
        <v>0</v>
      </c>
      <c r="AV37" s="20">
        <f>SUMPRODUCT(Oxides_typical!$C37:$BB37,Factors!$C$55:$BB$55)</f>
        <v>0</v>
      </c>
      <c r="AW37" s="20">
        <f>SUMPRODUCT(Oxides_typical!$C37:$BB37,Factors!$C$56:$BB$56)</f>
        <v>0</v>
      </c>
      <c r="AX37" s="20">
        <f>SUMPRODUCT(Oxides_typical!$C37:$BB37,Factors!$C$57:$BB$57)</f>
        <v>0</v>
      </c>
      <c r="AY37" s="20">
        <f>SUMPRODUCT(Oxides_typical!$C37:$BB37,Factors!$C$58:$BB$58)</f>
        <v>0</v>
      </c>
      <c r="AZ37" s="18">
        <f t="shared" si="2"/>
        <v>99.694770732855929</v>
      </c>
    </row>
    <row r="38" spans="1:52" x14ac:dyDescent="0.35">
      <c r="A38" s="13" t="s">
        <v>350</v>
      </c>
      <c r="B38" s="20">
        <f>SUMPRODUCT(Oxides_typical!$C38:$BB38,Factors!$C$9:$BB$9)</f>
        <v>21.211943746020644</v>
      </c>
      <c r="C38" s="20">
        <f>SUMPRODUCT(Oxides_typical!$C38:$BB38,Factors!$C$10:$BB$10)</f>
        <v>8.4138608258575637E-2</v>
      </c>
      <c r="D38" s="20">
        <f>SUMPRODUCT(Oxides_typical!$C38:$BB38,Factors!$C$11:$BB$11)</f>
        <v>5.993489012708947E-3</v>
      </c>
      <c r="E38" s="20">
        <f>SUMPRODUCT(Oxides_typical!$C38:$BB38,Factors!$C$12:$BB$12)</f>
        <v>0</v>
      </c>
      <c r="F38" s="20">
        <f>SUMPRODUCT(Oxides_typical!$C38:$BB38,Factors!$C$13:$BB$13)</f>
        <v>0</v>
      </c>
      <c r="G38" s="20">
        <f>SUMPRODUCT(Oxides_typical!$C38:$BB38,Factors!$C$14:$BB$14)</f>
        <v>78.185329245959068</v>
      </c>
      <c r="H38" s="20">
        <f>SUMPRODUCT(Oxides_typical!$C38:$BB38,Factors!$C$15:$BB$15)</f>
        <v>0</v>
      </c>
      <c r="I38" s="20">
        <f>SUMPRODUCT(Oxides_typical!$C38:$BB38,Factors!$C$16:$BB$16)</f>
        <v>8.5504008685485217E-2</v>
      </c>
      <c r="J38" s="20">
        <f>SUMPRODUCT(Oxides_typical!$C38:$BB38,Factors!$C$17:$BB$17)</f>
        <v>0</v>
      </c>
      <c r="K38" s="20">
        <f>SUMPRODUCT(Oxides_typical!$C38:$BB38,Factors!$C$18:$BB$18)</f>
        <v>0</v>
      </c>
      <c r="L38" s="20">
        <f>SUMPRODUCT(Oxides_typical!$C38:$BB38,Factors!$C$19:$BB$19)</f>
        <v>0</v>
      </c>
      <c r="M38" s="20">
        <f>SUMPRODUCT(Oxides_typical!$C38:$BB38,Factors!$C$20:$BB$20)</f>
        <v>0</v>
      </c>
      <c r="N38" s="20">
        <f>SUMPRODUCT(Oxides_typical!$C38:$BB38,Factors!$C$21:$BB$21)</f>
        <v>0</v>
      </c>
      <c r="O38" s="20">
        <f>SUMPRODUCT(Oxides_typical!$C38:$BB38,Factors!$C$22:$BB$22)</f>
        <v>0</v>
      </c>
      <c r="P38" s="20">
        <f>SUMPRODUCT(Oxides_typical!$C38:$BB38,Factors!$C$23:$BB$23)</f>
        <v>0</v>
      </c>
      <c r="Q38" s="20">
        <f>SUMPRODUCT(Oxides_typical!$C38:$BB38,Factors!$C$24:$BB$24)</f>
        <v>0</v>
      </c>
      <c r="R38" s="20">
        <f>SUMPRODUCT(Oxides_typical!$C38:$BB38,Factors!$C$25:$BB$25)</f>
        <v>0</v>
      </c>
      <c r="S38" s="20">
        <f>SUMPRODUCT(Oxides_typical!$C38:$BB38,Factors!$C$26:$BB$26)</f>
        <v>0</v>
      </c>
      <c r="T38" s="20">
        <f>SUMPRODUCT(Oxides_typical!$C38:$BB38,Factors!$C$27:$BB$27)</f>
        <v>0</v>
      </c>
      <c r="U38" s="20">
        <f>SUMPRODUCT(Oxides_typical!$C38:$BB38,Factors!$C$28:$BB$28)</f>
        <v>0</v>
      </c>
      <c r="V38" s="20">
        <f>SUMPRODUCT(Oxides_typical!$C38:$BB38,Factors!$C$29:$BB$29)</f>
        <v>0</v>
      </c>
      <c r="W38" s="20">
        <f>SUMPRODUCT(Oxides_typical!$C38:$BB38,Factors!$C$30:$BB$30)</f>
        <v>2.0971481868812401E-2</v>
      </c>
      <c r="X38" s="20">
        <f>SUMPRODUCT(Oxides_typical!$C38:$BB38,Factors!$C$31:$BB$31)</f>
        <v>8.1897109593330273E-3</v>
      </c>
      <c r="Y38" s="20">
        <f>SUMPRODUCT(Oxides_typical!$C38:$BB38,Factors!$C$32:$BB$32)</f>
        <v>7.9297092353679526E-3</v>
      </c>
      <c r="Z38" s="20">
        <f>SUMPRODUCT(Oxides_typical!$C38:$BB38,Factors!$C$33:$BB$33)</f>
        <v>0</v>
      </c>
      <c r="AA38" s="20">
        <f>SUMPRODUCT(Oxides_typical!$C38:$BB38,Factors!$C$34:$BB$34)</f>
        <v>0</v>
      </c>
      <c r="AB38" s="20">
        <f>SUMPRODUCT(Oxides_typical!$C38:$BB38,Factors!$C$35:$BB$35)</f>
        <v>0</v>
      </c>
      <c r="AC38" s="20">
        <f>SUMPRODUCT(Oxides_typical!$C38:$BB38,Factors!$C$36:$BB$36)</f>
        <v>0</v>
      </c>
      <c r="AD38" s="20">
        <f>SUMPRODUCT(Oxides_typical!$C38:$BB38,Factors!$C$37:$BB$37)</f>
        <v>0</v>
      </c>
      <c r="AE38" s="20">
        <f>SUMPRODUCT(Oxides_typical!$C38:$BB38,Factors!$C$38:$BB$38)</f>
        <v>0</v>
      </c>
      <c r="AF38" s="20">
        <f>SUMPRODUCT(Oxides_typical!$C38:$BB38,Factors!$C$39:$BB$39)</f>
        <v>0</v>
      </c>
      <c r="AG38" s="20">
        <f>SUMPRODUCT(Oxides_typical!$C38:$BB38,Factors!$C$40:$BB$40)</f>
        <v>0</v>
      </c>
      <c r="AH38" s="20">
        <f>SUMPRODUCT(Oxides_typical!$C38:$BB38,Factors!$C$41:$BB$41)</f>
        <v>0</v>
      </c>
      <c r="AI38" s="20">
        <f>SUMPRODUCT(Oxides_typical!$C38:$BB38,Factors!$C$42:$BB$42)</f>
        <v>0</v>
      </c>
      <c r="AJ38" s="20">
        <f>SUMPRODUCT(Oxides_typical!$C38:$BB38,Factors!$C$43:$BB$43)</f>
        <v>0</v>
      </c>
      <c r="AK38" s="20">
        <f>SUMPRODUCT(Oxides_typical!$C38:$BB38,Factors!$C$44:$BB$44)</f>
        <v>0</v>
      </c>
      <c r="AL38" s="20">
        <f>SUMPRODUCT(Oxides_typical!$C38:$BB38,Factors!$C$45:$BB$45)</f>
        <v>0</v>
      </c>
      <c r="AM38" s="20">
        <f>SUMPRODUCT(Oxides_typical!$C38:$BB38,Factors!$C$46:$BB$46)</f>
        <v>0</v>
      </c>
      <c r="AN38" s="20">
        <f>SUMPRODUCT(Oxides_typical!$C38:$BB38,Factors!$C$47:$BB$47)</f>
        <v>0</v>
      </c>
      <c r="AO38" s="20">
        <f>SUMPRODUCT(Oxides_typical!$C38:$BB38,Factors!$C$48:$BB$48)</f>
        <v>0</v>
      </c>
      <c r="AP38" s="20">
        <f>SUMPRODUCT(Oxides_typical!$C38:$BB38,Factors!$C$49:$BB$49)</f>
        <v>0</v>
      </c>
      <c r="AQ38" s="20">
        <f>SUMPRODUCT(Oxides_typical!$C38:$BB38,Factors!$C$50:$BB$50)</f>
        <v>0</v>
      </c>
      <c r="AR38" s="20">
        <f>SUMPRODUCT(Oxides_typical!$C38:$BB38,Factors!$C$51:$BB$51)</f>
        <v>0</v>
      </c>
      <c r="AS38" s="20">
        <f>SUMPRODUCT(Oxides_typical!$C38:$BB38,Factors!$C$52:$BB$52)</f>
        <v>0</v>
      </c>
      <c r="AT38" s="20">
        <f>SUMPRODUCT(Oxides_typical!$C38:$BB38,Factors!$C$53:$BB$53)</f>
        <v>0</v>
      </c>
      <c r="AU38" s="20">
        <f>SUMPRODUCT(Oxides_typical!$C38:$BB38,Factors!$C$54:$BB$54)</f>
        <v>0</v>
      </c>
      <c r="AV38" s="20">
        <f>SUMPRODUCT(Oxides_typical!$C38:$BB38,Factors!$C$55:$BB$55)</f>
        <v>0</v>
      </c>
      <c r="AW38" s="20">
        <f>SUMPRODUCT(Oxides_typical!$C38:$BB38,Factors!$C$56:$BB$56)</f>
        <v>0</v>
      </c>
      <c r="AX38" s="20">
        <f>SUMPRODUCT(Oxides_typical!$C38:$BB38,Factors!$C$57:$BB$57)</f>
        <v>0</v>
      </c>
      <c r="AY38" s="20">
        <f>SUMPRODUCT(Oxides_typical!$C38:$BB38,Factors!$C$58:$BB$58)</f>
        <v>0</v>
      </c>
      <c r="AZ38" s="18">
        <f t="shared" si="2"/>
        <v>99.61</v>
      </c>
    </row>
    <row r="39" spans="1:52" x14ac:dyDescent="0.35">
      <c r="A39" s="13" t="s">
        <v>351</v>
      </c>
      <c r="B39" s="20">
        <f>SUMPRODUCT(Oxides_typical!$C39:$BB39,Factors!$C$9:$BB$9)</f>
        <v>45.187779443521627</v>
      </c>
      <c r="C39" s="20">
        <f>SUMPRODUCT(Oxides_typical!$C39:$BB39,Factors!$C$10:$BB$10)</f>
        <v>20.356868831449827</v>
      </c>
      <c r="D39" s="20">
        <f>SUMPRODUCT(Oxides_typical!$C39:$BB39,Factors!$C$11:$BB$11)</f>
        <v>0</v>
      </c>
      <c r="E39" s="20">
        <f>SUMPRODUCT(Oxides_typical!$C39:$BB39,Factors!$C$12:$BB$12)</f>
        <v>0</v>
      </c>
      <c r="F39" s="20">
        <f>SUMPRODUCT(Oxides_typical!$C39:$BB39,Factors!$C$13:$BB$13)</f>
        <v>0</v>
      </c>
      <c r="G39" s="20">
        <f>SUMPRODUCT(Oxides_typical!$C39:$BB39,Factors!$C$14:$BB$14)</f>
        <v>0</v>
      </c>
      <c r="H39" s="20">
        <f>SUMPRODUCT(Oxides_typical!$C39:$BB39,Factors!$C$15:$BB$15)</f>
        <v>18.344045079722722</v>
      </c>
      <c r="I39" s="20">
        <f>SUMPRODUCT(Oxides_typical!$C39:$BB39,Factors!$C$16:$BB$16)</f>
        <v>0</v>
      </c>
      <c r="J39" s="20">
        <f>SUMPRODUCT(Oxides_typical!$C39:$BB39,Factors!$C$17:$BB$17)</f>
        <v>0</v>
      </c>
      <c r="K39" s="20">
        <f>SUMPRODUCT(Oxides_typical!$C39:$BB39,Factors!$C$18:$BB$18)</f>
        <v>0</v>
      </c>
      <c r="L39" s="20">
        <f>SUMPRODUCT(Oxides_typical!$C39:$BB39,Factors!$C$19:$BB$19)</f>
        <v>0</v>
      </c>
      <c r="M39" s="20">
        <f>SUMPRODUCT(Oxides_typical!$C39:$BB39,Factors!$C$20:$BB$20)</f>
        <v>3.0152094084954346E-2</v>
      </c>
      <c r="N39" s="20">
        <f>SUMPRODUCT(Oxides_typical!$C39:$BB39,Factors!$C$21:$BB$21)</f>
        <v>3.1732496388893843</v>
      </c>
      <c r="O39" s="20">
        <f>SUMPRODUCT(Oxides_typical!$C39:$BB39,Factors!$C$22:$BB$22)</f>
        <v>0</v>
      </c>
      <c r="P39" s="20">
        <f>SUMPRODUCT(Oxides_typical!$C39:$BB39,Factors!$C$23:$BB$23)</f>
        <v>0</v>
      </c>
      <c r="Q39" s="20">
        <f>SUMPRODUCT(Oxides_typical!$C39:$BB39,Factors!$C$24:$BB$24)</f>
        <v>0</v>
      </c>
      <c r="R39" s="20">
        <f>SUMPRODUCT(Oxides_typical!$C39:$BB39,Factors!$C$25:$BB$25)</f>
        <v>8.9691146985057273</v>
      </c>
      <c r="S39" s="20">
        <f>SUMPRODUCT(Oxides_typical!$C39:$BB39,Factors!$C$26:$BB$26)</f>
        <v>4.0428368416359151</v>
      </c>
      <c r="T39" s="20">
        <f>SUMPRODUCT(Oxides_typical!$C39:$BB39,Factors!$C$27:$BB$27)</f>
        <v>0</v>
      </c>
      <c r="U39" s="20">
        <f>SUMPRODUCT(Oxides_typical!$C39:$BB39,Factors!$C$28:$BB$28)</f>
        <v>0</v>
      </c>
      <c r="V39" s="20">
        <f>SUMPRODUCT(Oxides_typical!$C39:$BB39,Factors!$C$29:$BB$29)</f>
        <v>0</v>
      </c>
      <c r="W39" s="20">
        <f>SUMPRODUCT(Oxides_typical!$C39:$BB39,Factors!$C$30:$BB$30)</f>
        <v>0</v>
      </c>
      <c r="X39" s="20">
        <f>SUMPRODUCT(Oxides_typical!$C39:$BB39,Factors!$C$31:$BB$31)</f>
        <v>0</v>
      </c>
      <c r="Y39" s="20">
        <f>SUMPRODUCT(Oxides_typical!$C39:$BB39,Factors!$C$32:$BB$32)</f>
        <v>0</v>
      </c>
      <c r="Z39" s="20">
        <f>SUMPRODUCT(Oxides_typical!$C39:$BB39,Factors!$C$33:$BB$33)</f>
        <v>0</v>
      </c>
      <c r="AA39" s="20">
        <f>SUMPRODUCT(Oxides_typical!$C39:$BB39,Factors!$C$34:$BB$34)</f>
        <v>0</v>
      </c>
      <c r="AB39" s="20">
        <f>SUMPRODUCT(Oxides_typical!$C39:$BB39,Factors!$C$35:$BB$35)</f>
        <v>0</v>
      </c>
      <c r="AC39" s="20">
        <f>SUMPRODUCT(Oxides_typical!$C39:$BB39,Factors!$C$36:$BB$36)</f>
        <v>0</v>
      </c>
      <c r="AD39" s="20">
        <f>SUMPRODUCT(Oxides_typical!$C39:$BB39,Factors!$C$37:$BB$37)</f>
        <v>5.5953372189841796E-2</v>
      </c>
      <c r="AE39" s="20">
        <f>SUMPRODUCT(Oxides_typical!$C39:$BB39,Factors!$C$38:$BB$38)</f>
        <v>0</v>
      </c>
      <c r="AF39" s="20">
        <f>SUMPRODUCT(Oxides_typical!$C39:$BB39,Factors!$C$39:$BB$39)</f>
        <v>0</v>
      </c>
      <c r="AG39" s="20">
        <f>SUMPRODUCT(Oxides_typical!$C39:$BB39,Factors!$C$40:$BB$40)</f>
        <v>0</v>
      </c>
      <c r="AH39" s="20">
        <f>SUMPRODUCT(Oxides_typical!$C39:$BB39,Factors!$C$41:$BB$41)</f>
        <v>0</v>
      </c>
      <c r="AI39" s="20">
        <f>SUMPRODUCT(Oxides_typical!$C39:$BB39,Factors!$C$42:$BB$42)</f>
        <v>0</v>
      </c>
      <c r="AJ39" s="20">
        <f>SUMPRODUCT(Oxides_typical!$C39:$BB39,Factors!$C$43:$BB$43)</f>
        <v>0</v>
      </c>
      <c r="AK39" s="20">
        <f>SUMPRODUCT(Oxides_typical!$C39:$BB39,Factors!$C$44:$BB$44)</f>
        <v>0</v>
      </c>
      <c r="AL39" s="20">
        <f>SUMPRODUCT(Oxides_typical!$C39:$BB39,Factors!$C$45:$BB$45)</f>
        <v>0</v>
      </c>
      <c r="AM39" s="20">
        <f>SUMPRODUCT(Oxides_typical!$C39:$BB39,Factors!$C$46:$BB$46)</f>
        <v>0</v>
      </c>
      <c r="AN39" s="20">
        <f>SUMPRODUCT(Oxides_typical!$C39:$BB39,Factors!$C$47:$BB$47)</f>
        <v>0</v>
      </c>
      <c r="AO39" s="20">
        <f>SUMPRODUCT(Oxides_typical!$C39:$BB39,Factors!$C$48:$BB$48)</f>
        <v>0</v>
      </c>
      <c r="AP39" s="20">
        <f>SUMPRODUCT(Oxides_typical!$C39:$BB39,Factors!$C$49:$BB$49)</f>
        <v>0</v>
      </c>
      <c r="AQ39" s="20">
        <f>SUMPRODUCT(Oxides_typical!$C39:$BB39,Factors!$C$50:$BB$50)</f>
        <v>0</v>
      </c>
      <c r="AR39" s="20">
        <f>SUMPRODUCT(Oxides_typical!$C39:$BB39,Factors!$C$51:$BB$51)</f>
        <v>0</v>
      </c>
      <c r="AS39" s="20">
        <f>SUMPRODUCT(Oxides_typical!$C39:$BB39,Factors!$C$52:$BB$52)</f>
        <v>0</v>
      </c>
      <c r="AT39" s="20">
        <f>SUMPRODUCT(Oxides_typical!$C39:$BB39,Factors!$C$53:$BB$53)</f>
        <v>0</v>
      </c>
      <c r="AU39" s="20">
        <f>SUMPRODUCT(Oxides_typical!$C39:$BB39,Factors!$C$54:$BB$54)</f>
        <v>0</v>
      </c>
      <c r="AV39" s="20">
        <f>SUMPRODUCT(Oxides_typical!$C39:$BB39,Factors!$C$55:$BB$55)</f>
        <v>0</v>
      </c>
      <c r="AW39" s="20">
        <f>SUMPRODUCT(Oxides_typical!$C39:$BB39,Factors!$C$56:$BB$56)</f>
        <v>0</v>
      </c>
      <c r="AX39" s="20">
        <f>SUMPRODUCT(Oxides_typical!$C39:$BB39,Factors!$C$57:$BB$57)</f>
        <v>0</v>
      </c>
      <c r="AY39" s="20">
        <f>SUMPRODUCT(Oxides_typical!$C39:$BB39,Factors!$C$58:$BB$58)</f>
        <v>0</v>
      </c>
      <c r="AZ39" s="18">
        <f t="shared" si="2"/>
        <v>100.16</v>
      </c>
    </row>
    <row r="40" spans="1:52" x14ac:dyDescent="0.35">
      <c r="A40" s="13" t="s">
        <v>353</v>
      </c>
      <c r="B40" s="20">
        <f>SUMPRODUCT(Oxides_typical!$C40:$BB40,Factors!$C$9:$BB$9)</f>
        <v>37.894356216582601</v>
      </c>
      <c r="C40" s="20">
        <f>SUMPRODUCT(Oxides_typical!$C40:$BB40,Factors!$C$10:$BB$10)</f>
        <v>14.761651382254549</v>
      </c>
      <c r="D40" s="20">
        <f>SUMPRODUCT(Oxides_typical!$C40:$BB40,Factors!$C$11:$BB$11)</f>
        <v>0.1917916484066863</v>
      </c>
      <c r="E40" s="20">
        <f>SUMPRODUCT(Oxides_typical!$C40:$BB40,Factors!$C$12:$BB$12)</f>
        <v>0</v>
      </c>
      <c r="F40" s="20">
        <f>SUMPRODUCT(Oxides_typical!$C40:$BB40,Factors!$C$13:$BB$13)</f>
        <v>0</v>
      </c>
      <c r="G40" s="20">
        <f>SUMPRODUCT(Oxides_typical!$C40:$BB40,Factors!$C$14:$BB$14)</f>
        <v>0</v>
      </c>
      <c r="H40" s="20">
        <f>SUMPRODUCT(Oxides_typical!$C40:$BB40,Factors!$C$15:$BB$15)</f>
        <v>7.2614050344430403</v>
      </c>
      <c r="I40" s="20">
        <f>SUMPRODUCT(Oxides_typical!$C40:$BB40,Factors!$C$16:$BB$16)</f>
        <v>1.8380043309659799</v>
      </c>
      <c r="J40" s="20">
        <f>SUMPRODUCT(Oxides_typical!$C40:$BB40,Factors!$C$17:$BB$17)</f>
        <v>9.5103931920253117</v>
      </c>
      <c r="K40" s="20">
        <f>SUMPRODUCT(Oxides_typical!$C40:$BB40,Factors!$C$18:$BB$18)</f>
        <v>18.454129443713981</v>
      </c>
      <c r="L40" s="20">
        <f>SUMPRODUCT(Oxides_typical!$C40:$BB40,Factors!$C$19:$BB$19)</f>
        <v>0</v>
      </c>
      <c r="M40" s="20">
        <f>SUMPRODUCT(Oxides_typical!$C40:$BB40,Factors!$C$20:$BB$20)</f>
        <v>2.2252245434696305</v>
      </c>
      <c r="N40" s="20">
        <f>SUMPRODUCT(Oxides_typical!$C40:$BB40,Factors!$C$21:$BB$21)</f>
        <v>1.4293917292294523E-2</v>
      </c>
      <c r="O40" s="20">
        <f>SUMPRODUCT(Oxides_typical!$C40:$BB40,Factors!$C$22:$BB$22)</f>
        <v>0</v>
      </c>
      <c r="P40" s="20">
        <f>SUMPRODUCT(Oxides_typical!$C40:$BB40,Factors!$C$23:$BB$23)</f>
        <v>0.58217490836518271</v>
      </c>
      <c r="Q40" s="20">
        <f>SUMPRODUCT(Oxides_typical!$C40:$BB40,Factors!$C$24:$BB$24)</f>
        <v>0</v>
      </c>
      <c r="R40" s="20">
        <f>SUMPRODUCT(Oxides_typical!$C40:$BB40,Factors!$C$25:$BB$25)</f>
        <v>0.17804694190582088</v>
      </c>
      <c r="S40" s="20">
        <f>SUMPRODUCT(Oxides_typical!$C40:$BB40,Factors!$C$26:$BB$26)</f>
        <v>6.5664968002751722</v>
      </c>
      <c r="T40" s="20">
        <f>SUMPRODUCT(Oxides_typical!$C40:$BB40,Factors!$C$27:$BB$27)</f>
        <v>0</v>
      </c>
      <c r="U40" s="20">
        <f>SUMPRODUCT(Oxides_typical!$C40:$BB40,Factors!$C$28:$BB$28)</f>
        <v>0</v>
      </c>
      <c r="V40" s="20">
        <f>SUMPRODUCT(Oxides_typical!$C40:$BB40,Factors!$C$29:$BB$29)</f>
        <v>0</v>
      </c>
      <c r="W40" s="20">
        <f>SUMPRODUCT(Oxides_typical!$C40:$BB40,Factors!$C$30:$BB$30)</f>
        <v>0</v>
      </c>
      <c r="X40" s="20">
        <f>SUMPRODUCT(Oxides_typical!$C40:$BB40,Factors!$C$31:$BB$31)</f>
        <v>0</v>
      </c>
      <c r="Y40" s="20">
        <f>SUMPRODUCT(Oxides_typical!$C40:$BB40,Factors!$C$32:$BB$32)</f>
        <v>0</v>
      </c>
      <c r="Z40" s="20">
        <f>SUMPRODUCT(Oxides_typical!$C40:$BB40,Factors!$C$33:$BB$33)</f>
        <v>0</v>
      </c>
      <c r="AA40" s="20">
        <f>SUMPRODUCT(Oxides_typical!$C40:$BB40,Factors!$C$34:$BB$34)</f>
        <v>0</v>
      </c>
      <c r="AB40" s="20">
        <f>SUMPRODUCT(Oxides_typical!$C40:$BB40,Factors!$C$35:$BB$35)</f>
        <v>0</v>
      </c>
      <c r="AC40" s="20">
        <f>SUMPRODUCT(Oxides_typical!$C40:$BB40,Factors!$C$36:$BB$36)</f>
        <v>0</v>
      </c>
      <c r="AD40" s="20">
        <f>SUMPRODUCT(Oxides_typical!$C40:$BB40,Factors!$C$37:$BB$37)</f>
        <v>0.44203164029975023</v>
      </c>
      <c r="AE40" s="20">
        <f>SUMPRODUCT(Oxides_typical!$C40:$BB40,Factors!$C$38:$BB$38)</f>
        <v>0</v>
      </c>
      <c r="AF40" s="20">
        <f>SUMPRODUCT(Oxides_typical!$C40:$BB40,Factors!$C$39:$BB$39)</f>
        <v>0</v>
      </c>
      <c r="AG40" s="20">
        <f>SUMPRODUCT(Oxides_typical!$C40:$BB40,Factors!$C$40:$BB$40)</f>
        <v>0</v>
      </c>
      <c r="AH40" s="20">
        <f>SUMPRODUCT(Oxides_typical!$C40:$BB40,Factors!$C$41:$BB$41)</f>
        <v>0</v>
      </c>
      <c r="AI40" s="20">
        <f>SUMPRODUCT(Oxides_typical!$C40:$BB40,Factors!$C$42:$BB$42)</f>
        <v>0</v>
      </c>
      <c r="AJ40" s="20">
        <f>SUMPRODUCT(Oxides_typical!$C40:$BB40,Factors!$C$43:$BB$43)</f>
        <v>0</v>
      </c>
      <c r="AK40" s="20">
        <f>SUMPRODUCT(Oxides_typical!$C40:$BB40,Factors!$C$44:$BB$44)</f>
        <v>0</v>
      </c>
      <c r="AL40" s="20">
        <f>SUMPRODUCT(Oxides_typical!$C40:$BB40,Factors!$C$45:$BB$45)</f>
        <v>0</v>
      </c>
      <c r="AM40" s="20">
        <f>SUMPRODUCT(Oxides_typical!$C40:$BB40,Factors!$C$46:$BB$46)</f>
        <v>0</v>
      </c>
      <c r="AN40" s="20">
        <f>SUMPRODUCT(Oxides_typical!$C40:$BB40,Factors!$C$47:$BB$47)</f>
        <v>0</v>
      </c>
      <c r="AO40" s="20">
        <f>SUMPRODUCT(Oxides_typical!$C40:$BB40,Factors!$C$48:$BB$48)</f>
        <v>0</v>
      </c>
      <c r="AP40" s="20">
        <f>SUMPRODUCT(Oxides_typical!$C40:$BB40,Factors!$C$49:$BB$49)</f>
        <v>0</v>
      </c>
      <c r="AQ40" s="20">
        <f>SUMPRODUCT(Oxides_typical!$C40:$BB40,Factors!$C$50:$BB$50)</f>
        <v>0</v>
      </c>
      <c r="AR40" s="20">
        <f>SUMPRODUCT(Oxides_typical!$C40:$BB40,Factors!$C$51:$BB$51)</f>
        <v>0</v>
      </c>
      <c r="AS40" s="20">
        <f>SUMPRODUCT(Oxides_typical!$C40:$BB40,Factors!$C$52:$BB$52)</f>
        <v>0</v>
      </c>
      <c r="AT40" s="20">
        <f>SUMPRODUCT(Oxides_typical!$C40:$BB40,Factors!$C$53:$BB$53)</f>
        <v>0</v>
      </c>
      <c r="AU40" s="20">
        <f>SUMPRODUCT(Oxides_typical!$C40:$BB40,Factors!$C$54:$BB$54)</f>
        <v>0</v>
      </c>
      <c r="AV40" s="20">
        <f>SUMPRODUCT(Oxides_typical!$C40:$BB40,Factors!$C$55:$BB$55)</f>
        <v>0</v>
      </c>
      <c r="AW40" s="20">
        <f>SUMPRODUCT(Oxides_typical!$C40:$BB40,Factors!$C$56:$BB$56)</f>
        <v>0</v>
      </c>
      <c r="AX40" s="20">
        <f>SUMPRODUCT(Oxides_typical!$C40:$BB40,Factors!$C$57:$BB$57)</f>
        <v>0</v>
      </c>
      <c r="AY40" s="20">
        <f>SUMPRODUCT(Oxides_typical!$C40:$BB40,Factors!$C$58:$BB$58)</f>
        <v>0</v>
      </c>
      <c r="AZ40" s="18">
        <f t="shared" si="2"/>
        <v>99.92</v>
      </c>
    </row>
    <row r="41" spans="1:52" x14ac:dyDescent="0.35">
      <c r="A41" s="13" t="s">
        <v>355</v>
      </c>
      <c r="B41" s="20">
        <f>SUMPRODUCT(Oxides_typical!$C41:$BB41,Factors!$C$9:$BB$9)</f>
        <v>18.329735971863112</v>
      </c>
      <c r="C41" s="20">
        <f>SUMPRODUCT(Oxides_typical!$C41:$BB41,Factors!$C$10:$BB$10)</f>
        <v>2.3371835627382126E-2</v>
      </c>
      <c r="D41" s="20">
        <f>SUMPRODUCT(Oxides_typical!$C41:$BB41,Factors!$C$11:$BB$11)</f>
        <v>1.006906154135103</v>
      </c>
      <c r="E41" s="20">
        <f>SUMPRODUCT(Oxides_typical!$C41:$BB41,Factors!$C$12:$BB$12)</f>
        <v>0</v>
      </c>
      <c r="F41" s="20">
        <f>SUMPRODUCT(Oxides_typical!$C41:$BB41,Factors!$C$13:$BB$13)</f>
        <v>0</v>
      </c>
      <c r="G41" s="20">
        <f>SUMPRODUCT(Oxides_typical!$C41:$BB41,Factors!$C$14:$BB$14)</f>
        <v>0</v>
      </c>
      <c r="H41" s="20">
        <f>SUMPRODUCT(Oxides_typical!$C41:$BB41,Factors!$C$15:$BB$15)</f>
        <v>0</v>
      </c>
      <c r="I41" s="20">
        <f>SUMPRODUCT(Oxides_typical!$C41:$BB41,Factors!$C$16:$BB$16)</f>
        <v>0.13214255887756807</v>
      </c>
      <c r="J41" s="20">
        <f>SUMPRODUCT(Oxides_typical!$C41:$BB41,Factors!$C$17:$BB$17)</f>
        <v>0</v>
      </c>
      <c r="K41" s="20">
        <f>SUMPRODUCT(Oxides_typical!$C41:$BB41,Factors!$C$18:$BB$18)</f>
        <v>0</v>
      </c>
      <c r="L41" s="20">
        <f>SUMPRODUCT(Oxides_typical!$C41:$BB41,Factors!$C$19:$BB$19)</f>
        <v>0</v>
      </c>
      <c r="M41" s="20">
        <f>SUMPRODUCT(Oxides_typical!$C41:$BB41,Factors!$C$20:$BB$20)</f>
        <v>0</v>
      </c>
      <c r="N41" s="20">
        <f>SUMPRODUCT(Oxides_typical!$C41:$BB41,Factors!$C$21:$BB$21)</f>
        <v>0.22870267667671237</v>
      </c>
      <c r="O41" s="20">
        <f>SUMPRODUCT(Oxides_typical!$C41:$BB41,Factors!$C$22:$BB$22)</f>
        <v>0.13529565041160407</v>
      </c>
      <c r="P41" s="20">
        <f>SUMPRODUCT(Oxides_typical!$C41:$BB41,Factors!$C$23:$BB$23)</f>
        <v>0</v>
      </c>
      <c r="Q41" s="20">
        <f>SUMPRODUCT(Oxides_typical!$C41:$BB41,Factors!$C$24:$BB$24)</f>
        <v>47.98483864175018</v>
      </c>
      <c r="R41" s="20">
        <f>SUMPRODUCT(Oxides_typical!$C41:$BB41,Factors!$C$25:$BB$25)</f>
        <v>0</v>
      </c>
      <c r="S41" s="20">
        <f>SUMPRODUCT(Oxides_typical!$C41:$BB41,Factors!$C$26:$BB$26)</f>
        <v>0</v>
      </c>
      <c r="T41" s="20">
        <f>SUMPRODUCT(Oxides_typical!$C41:$BB41,Factors!$C$27:$BB$27)</f>
        <v>0</v>
      </c>
      <c r="U41" s="20">
        <f>SUMPRODUCT(Oxides_typical!$C41:$BB41,Factors!$C$28:$BB$28)</f>
        <v>0</v>
      </c>
      <c r="V41" s="20">
        <f>SUMPRODUCT(Oxides_typical!$C41:$BB41,Factors!$C$29:$BB$29)</f>
        <v>0</v>
      </c>
      <c r="W41" s="20">
        <f>SUMPRODUCT(Oxides_typical!$C41:$BB41,Factors!$C$30:$BB$30)</f>
        <v>28.003918788820826</v>
      </c>
      <c r="X41" s="20">
        <f>SUMPRODUCT(Oxides_typical!$C41:$BB41,Factors!$C$31:$BB$31)</f>
        <v>3.8819229947238547</v>
      </c>
      <c r="Y41" s="20">
        <f>SUMPRODUCT(Oxides_typical!$C41:$BB41,Factors!$C$32:$BB$32)</f>
        <v>0</v>
      </c>
      <c r="Z41" s="20">
        <f>SUMPRODUCT(Oxides_typical!$C41:$BB41,Factors!$C$33:$BB$33)</f>
        <v>0</v>
      </c>
      <c r="AA41" s="20">
        <f>SUMPRODUCT(Oxides_typical!$C41:$BB41,Factors!$C$34:$BB$34)</f>
        <v>0</v>
      </c>
      <c r="AB41" s="20">
        <f>SUMPRODUCT(Oxides_typical!$C41:$BB41,Factors!$C$35:$BB$35)</f>
        <v>0</v>
      </c>
      <c r="AC41" s="20">
        <f>SUMPRODUCT(Oxides_typical!$C41:$BB41,Factors!$C$36:$BB$36)</f>
        <v>0</v>
      </c>
      <c r="AD41" s="20">
        <f>SUMPRODUCT(Oxides_typical!$C41:$BB41,Factors!$C$37:$BB$37)</f>
        <v>0.10631140716069941</v>
      </c>
      <c r="AE41" s="20">
        <f>SUMPRODUCT(Oxides_typical!$C41:$BB41,Factors!$C$38:$BB$38)</f>
        <v>0</v>
      </c>
      <c r="AF41" s="20">
        <f>SUMPRODUCT(Oxides_typical!$C41:$BB41,Factors!$C$39:$BB$39)</f>
        <v>0</v>
      </c>
      <c r="AG41" s="20">
        <f>SUMPRODUCT(Oxides_typical!$C41:$BB41,Factors!$C$40:$BB$40)</f>
        <v>0</v>
      </c>
      <c r="AH41" s="20">
        <f>SUMPRODUCT(Oxides_typical!$C41:$BB41,Factors!$C$41:$BB$41)</f>
        <v>0</v>
      </c>
      <c r="AI41" s="20">
        <f>SUMPRODUCT(Oxides_typical!$C41:$BB41,Factors!$C$42:$BB$42)</f>
        <v>0</v>
      </c>
      <c r="AJ41" s="20">
        <f>SUMPRODUCT(Oxides_typical!$C41:$BB41,Factors!$C$43:$BB$43)</f>
        <v>0</v>
      </c>
      <c r="AK41" s="20">
        <f>SUMPRODUCT(Oxides_typical!$C41:$BB41,Factors!$C$44:$BB$44)</f>
        <v>0</v>
      </c>
      <c r="AL41" s="20">
        <f>SUMPRODUCT(Oxides_typical!$C41:$BB41,Factors!$C$45:$BB$45)</f>
        <v>5.9763884361223416E-2</v>
      </c>
      <c r="AM41" s="20">
        <f>SUMPRODUCT(Oxides_typical!$C41:$BB41,Factors!$C$46:$BB$46)</f>
        <v>1.7089435591732899E-2</v>
      </c>
      <c r="AN41" s="20">
        <f>SUMPRODUCT(Oxides_typical!$C41:$BB41,Factors!$C$47:$BB$47)</f>
        <v>0</v>
      </c>
      <c r="AO41" s="20">
        <f>SUMPRODUCT(Oxides_typical!$C41:$BB41,Factors!$C$48:$BB$48)</f>
        <v>0</v>
      </c>
      <c r="AP41" s="20">
        <f>SUMPRODUCT(Oxides_typical!$C41:$BB41,Factors!$C$49:$BB$49)</f>
        <v>0</v>
      </c>
      <c r="AQ41" s="20">
        <f>SUMPRODUCT(Oxides_typical!$C41:$BB41,Factors!$C$50:$BB$50)</f>
        <v>0</v>
      </c>
      <c r="AR41" s="20">
        <f>SUMPRODUCT(Oxides_typical!$C41:$BB41,Factors!$C$51:$BB$51)</f>
        <v>0</v>
      </c>
      <c r="AS41" s="20">
        <f>SUMPRODUCT(Oxides_typical!$C41:$BB41,Factors!$C$52:$BB$52)</f>
        <v>0</v>
      </c>
      <c r="AT41" s="20">
        <f>SUMPRODUCT(Oxides_typical!$C41:$BB41,Factors!$C$53:$BB$53)</f>
        <v>0</v>
      </c>
      <c r="AU41" s="20">
        <f>SUMPRODUCT(Oxides_typical!$C41:$BB41,Factors!$C$54:$BB$54)</f>
        <v>0</v>
      </c>
      <c r="AV41" s="20">
        <f>SUMPRODUCT(Oxides_typical!$C41:$BB41,Factors!$C$55:$BB$55)</f>
        <v>0</v>
      </c>
      <c r="AW41" s="20">
        <f>SUMPRODUCT(Oxides_typical!$C41:$BB41,Factors!$C$56:$BB$56)</f>
        <v>0</v>
      </c>
      <c r="AX41" s="20">
        <f>SUMPRODUCT(Oxides_typical!$C41:$BB41,Factors!$C$57:$BB$57)</f>
        <v>0</v>
      </c>
      <c r="AY41" s="20">
        <f>SUMPRODUCT(Oxides_typical!$C41:$BB41,Factors!$C$58:$BB$58)</f>
        <v>0</v>
      </c>
      <c r="AZ41" s="18">
        <f t="shared" si="2"/>
        <v>99.909999999999982</v>
      </c>
    </row>
    <row r="42" spans="1:52" x14ac:dyDescent="0.35">
      <c r="A42" s="13" t="s">
        <v>357</v>
      </c>
      <c r="B42" s="20">
        <f>SUMPRODUCT(Oxides_typical!$C42:$BB42,Factors!$C$9:$BB$9)</f>
        <v>33.955254945877087</v>
      </c>
      <c r="C42" s="20">
        <f>SUMPRODUCT(Oxides_typical!$C42:$BB42,Factors!$C$10:$BB$10)</f>
        <v>16.313541267912722</v>
      </c>
      <c r="D42" s="20">
        <f>SUMPRODUCT(Oxides_typical!$C42:$BB42,Factors!$C$11:$BB$11)</f>
        <v>0</v>
      </c>
      <c r="E42" s="20">
        <f>SUMPRODUCT(Oxides_typical!$C42:$BB42,Factors!$C$12:$BB$12)</f>
        <v>0</v>
      </c>
      <c r="F42" s="20">
        <f>SUMPRODUCT(Oxides_typical!$C42:$BB42,Factors!$C$13:$BB$13)</f>
        <v>0</v>
      </c>
      <c r="G42" s="20">
        <f>SUMPRODUCT(Oxides_typical!$C42:$BB42,Factors!$C$14:$BB$14)</f>
        <v>0</v>
      </c>
      <c r="H42" s="20">
        <f>SUMPRODUCT(Oxides_typical!$C42:$BB42,Factors!$C$15:$BB$15)</f>
        <v>5.7689005011245733</v>
      </c>
      <c r="I42" s="20">
        <f>SUMPRODUCT(Oxides_typical!$C42:$BB42,Factors!$C$16:$BB$16)</f>
        <v>28.130818857524634</v>
      </c>
      <c r="J42" s="20">
        <f>SUMPRODUCT(Oxides_typical!$C42:$BB42,Factors!$C$17:$BB$17)</f>
        <v>1.3707977157886648</v>
      </c>
      <c r="K42" s="20">
        <f>SUMPRODUCT(Oxides_typical!$C42:$BB42,Factors!$C$18:$BB$18)</f>
        <v>0</v>
      </c>
      <c r="L42" s="20">
        <f>SUMPRODUCT(Oxides_typical!$C42:$BB42,Factors!$C$19:$BB$19)</f>
        <v>0</v>
      </c>
      <c r="M42" s="20">
        <f>SUMPRODUCT(Oxides_typical!$C42:$BB42,Factors!$C$20:$BB$20)</f>
        <v>2.0503423977768955</v>
      </c>
      <c r="N42" s="20">
        <f>SUMPRODUCT(Oxides_typical!$C42:$BB42,Factors!$C$21:$BB$21)</f>
        <v>0.10720437969220892</v>
      </c>
      <c r="O42" s="20">
        <f>SUMPRODUCT(Oxides_typical!$C42:$BB42,Factors!$C$22:$BB$22)</f>
        <v>0</v>
      </c>
      <c r="P42" s="20">
        <f>SUMPRODUCT(Oxides_typical!$C42:$BB42,Factors!$C$23:$BB$23)</f>
        <v>0</v>
      </c>
      <c r="Q42" s="20">
        <f>SUMPRODUCT(Oxides_typical!$C42:$BB42,Factors!$C$24:$BB$24)</f>
        <v>0</v>
      </c>
      <c r="R42" s="20">
        <f>SUMPRODUCT(Oxides_typical!$C42:$BB42,Factors!$C$25:$BB$25)</f>
        <v>0</v>
      </c>
      <c r="S42" s="20">
        <f>SUMPRODUCT(Oxides_typical!$C42:$BB42,Factors!$C$26:$BB$26)</f>
        <v>6.7242255476901258</v>
      </c>
      <c r="T42" s="20">
        <f>SUMPRODUCT(Oxides_typical!$C42:$BB42,Factors!$C$27:$BB$27)</f>
        <v>0</v>
      </c>
      <c r="U42" s="20">
        <f>SUMPRODUCT(Oxides_typical!$C42:$BB42,Factors!$C$28:$BB$28)</f>
        <v>0</v>
      </c>
      <c r="V42" s="20">
        <f>SUMPRODUCT(Oxides_typical!$C42:$BB42,Factors!$C$29:$BB$29)</f>
        <v>0</v>
      </c>
      <c r="W42" s="20">
        <f>SUMPRODUCT(Oxides_typical!$C42:$BB42,Factors!$C$30:$BB$30)</f>
        <v>0</v>
      </c>
      <c r="X42" s="20">
        <f>SUMPRODUCT(Oxides_typical!$C42:$BB42,Factors!$C$31:$BB$31)</f>
        <v>0</v>
      </c>
      <c r="Y42" s="20">
        <f>SUMPRODUCT(Oxides_typical!$C42:$BB42,Factors!$C$32:$BB$32)</f>
        <v>0</v>
      </c>
      <c r="Z42" s="20">
        <f>SUMPRODUCT(Oxides_typical!$C42:$BB42,Factors!$C$33:$BB$33)</f>
        <v>0</v>
      </c>
      <c r="AA42" s="20">
        <f>SUMPRODUCT(Oxides_typical!$C42:$BB42,Factors!$C$34:$BB$34)</f>
        <v>0</v>
      </c>
      <c r="AB42" s="20">
        <f>SUMPRODUCT(Oxides_typical!$C42:$BB42,Factors!$C$35:$BB$35)</f>
        <v>0</v>
      </c>
      <c r="AC42" s="20">
        <f>SUMPRODUCT(Oxides_typical!$C42:$BB42,Factors!$C$36:$BB$36)</f>
        <v>0</v>
      </c>
      <c r="AD42" s="20">
        <f>SUMPRODUCT(Oxides_typical!$C42:$BB42,Factors!$C$37:$BB$37)</f>
        <v>0</v>
      </c>
      <c r="AE42" s="20">
        <f>SUMPRODUCT(Oxides_typical!$C42:$BB42,Factors!$C$38:$BB$38)</f>
        <v>2.2200000000000002</v>
      </c>
      <c r="AF42" s="20">
        <f>SUMPRODUCT(Oxides_typical!$C42:$BB42,Factors!$C$39:$BB$39)</f>
        <v>0.24</v>
      </c>
      <c r="AG42" s="20">
        <f>SUMPRODUCT(Oxides_typical!$C42:$BB42,Factors!$C$40:$BB$40)</f>
        <v>0</v>
      </c>
      <c r="AH42" s="20">
        <f>SUMPRODUCT(Oxides_typical!$C42:$BB42,Factors!$C$41:$BB$41)</f>
        <v>0</v>
      </c>
      <c r="AI42" s="20">
        <f>SUMPRODUCT(Oxides_typical!$C42:$BB42,Factors!$C$42:$BB$42)</f>
        <v>0</v>
      </c>
      <c r="AJ42" s="20">
        <f>SUMPRODUCT(Oxides_typical!$C42:$BB42,Factors!$C$43:$BB$43)</f>
        <v>0</v>
      </c>
      <c r="AK42" s="20">
        <f>SUMPRODUCT(Oxides_typical!$C42:$BB42,Factors!$C$44:$BB$44)</f>
        <v>0</v>
      </c>
      <c r="AL42" s="20">
        <f>SUMPRODUCT(Oxides_typical!$C42:$BB42,Factors!$C$45:$BB$45)</f>
        <v>0</v>
      </c>
      <c r="AM42" s="20">
        <f>SUMPRODUCT(Oxides_typical!$C42:$BB42,Factors!$C$46:$BB$46)</f>
        <v>0</v>
      </c>
      <c r="AN42" s="20">
        <f>SUMPRODUCT(Oxides_typical!$C42:$BB42,Factors!$C$47:$BB$47)</f>
        <v>0</v>
      </c>
      <c r="AO42" s="20">
        <f>SUMPRODUCT(Oxides_typical!$C42:$BB42,Factors!$C$48:$BB$48)</f>
        <v>0</v>
      </c>
      <c r="AP42" s="20">
        <f>SUMPRODUCT(Oxides_typical!$C42:$BB42,Factors!$C$49:$BB$49)</f>
        <v>0</v>
      </c>
      <c r="AQ42" s="20">
        <f>SUMPRODUCT(Oxides_typical!$C42:$BB42,Factors!$C$50:$BB$50)</f>
        <v>0</v>
      </c>
      <c r="AR42" s="20">
        <f>SUMPRODUCT(Oxides_typical!$C42:$BB42,Factors!$C$51:$BB$51)</f>
        <v>0</v>
      </c>
      <c r="AS42" s="20">
        <f>SUMPRODUCT(Oxides_typical!$C42:$BB42,Factors!$C$52:$BB$52)</f>
        <v>0</v>
      </c>
      <c r="AT42" s="20">
        <f>SUMPRODUCT(Oxides_typical!$C42:$BB42,Factors!$C$53:$BB$53)</f>
        <v>0</v>
      </c>
      <c r="AU42" s="20">
        <f>SUMPRODUCT(Oxides_typical!$C42:$BB42,Factors!$C$54:$BB$54)</f>
        <v>0</v>
      </c>
      <c r="AV42" s="20">
        <f>SUMPRODUCT(Oxides_typical!$C42:$BB42,Factors!$C$55:$BB$55)</f>
        <v>0</v>
      </c>
      <c r="AW42" s="20">
        <f>SUMPRODUCT(Oxides_typical!$C42:$BB42,Factors!$C$56:$BB$56)</f>
        <v>0</v>
      </c>
      <c r="AX42" s="20">
        <f>SUMPRODUCT(Oxides_typical!$C42:$BB42,Factors!$C$57:$BB$57)</f>
        <v>0</v>
      </c>
      <c r="AY42" s="20">
        <f>SUMPRODUCT(Oxides_typical!$C42:$BB42,Factors!$C$58:$BB$58)</f>
        <v>0</v>
      </c>
      <c r="AZ42" s="18">
        <f t="shared" si="2"/>
        <v>96.881085613386915</v>
      </c>
    </row>
    <row r="43" spans="1:52" x14ac:dyDescent="0.35">
      <c r="A43" s="13" t="s">
        <v>359</v>
      </c>
      <c r="B43" s="20">
        <f>SUMPRODUCT(Oxides_typical!$C43:$BB43,Factors!$C$9:$BB$9)</f>
        <v>27.735468665229522</v>
      </c>
      <c r="C43" s="20">
        <f>SUMPRODUCT(Oxides_typical!$C43:$BB43,Factors!$C$10:$BB$10)</f>
        <v>0</v>
      </c>
      <c r="D43" s="20">
        <f>SUMPRODUCT(Oxides_typical!$C43:$BB43,Factors!$C$11:$BB$11)</f>
        <v>0</v>
      </c>
      <c r="E43" s="20">
        <f>SUMPRODUCT(Oxides_typical!$C43:$BB43,Factors!$C$12:$BB$12)</f>
        <v>0</v>
      </c>
      <c r="F43" s="20">
        <f>SUMPRODUCT(Oxides_typical!$C43:$BB43,Factors!$C$13:$BB$13)</f>
        <v>0</v>
      </c>
      <c r="G43" s="20">
        <f>SUMPRODUCT(Oxides_typical!$C43:$BB43,Factors!$C$14:$BB$14)</f>
        <v>0.52774703399952227</v>
      </c>
      <c r="H43" s="20">
        <f>SUMPRODUCT(Oxides_typical!$C43:$BB43,Factors!$C$15:$BB$15)</f>
        <v>0</v>
      </c>
      <c r="I43" s="20">
        <f>SUMPRODUCT(Oxides_typical!$C43:$BB43,Factors!$C$16:$BB$16)</f>
        <v>11.690729914815433</v>
      </c>
      <c r="J43" s="20">
        <f>SUMPRODUCT(Oxides_typical!$C43:$BB43,Factors!$C$17:$BB$17)</f>
        <v>4.6235380583380383</v>
      </c>
      <c r="K43" s="20">
        <f>SUMPRODUCT(Oxides_typical!$C43:$BB43,Factors!$C$18:$BB$18)</f>
        <v>0</v>
      </c>
      <c r="L43" s="20">
        <f>SUMPRODUCT(Oxides_typical!$C43:$BB43,Factors!$C$19:$BB$19)</f>
        <v>0</v>
      </c>
      <c r="M43" s="20">
        <f>SUMPRODUCT(Oxides_typical!$C43:$BB43,Factors!$C$20:$BB$20)</f>
        <v>0</v>
      </c>
      <c r="N43" s="20">
        <f>SUMPRODUCT(Oxides_typical!$C43:$BB43,Factors!$C$21:$BB$21)</f>
        <v>0.4145236014765411</v>
      </c>
      <c r="O43" s="20">
        <f>SUMPRODUCT(Oxides_typical!$C43:$BB43,Factors!$C$22:$BB$22)</f>
        <v>0</v>
      </c>
      <c r="P43" s="20">
        <f>SUMPRODUCT(Oxides_typical!$C43:$BB43,Factors!$C$23:$BB$23)</f>
        <v>0</v>
      </c>
      <c r="Q43" s="20">
        <f>SUMPRODUCT(Oxides_typical!$C43:$BB43,Factors!$C$24:$BB$24)</f>
        <v>0</v>
      </c>
      <c r="R43" s="20">
        <f>SUMPRODUCT(Oxides_typical!$C43:$BB43,Factors!$C$25:$BB$25)</f>
        <v>0</v>
      </c>
      <c r="S43" s="20">
        <f>SUMPRODUCT(Oxides_typical!$C43:$BB43,Factors!$C$26:$BB$26)</f>
        <v>0</v>
      </c>
      <c r="T43" s="20">
        <f>SUMPRODUCT(Oxides_typical!$C43:$BB43,Factors!$C$27:$BB$27)</f>
        <v>0</v>
      </c>
      <c r="U43" s="20">
        <f>SUMPRODUCT(Oxides_typical!$C43:$BB43,Factors!$C$28:$BB$28)</f>
        <v>0</v>
      </c>
      <c r="V43" s="20">
        <f>SUMPRODUCT(Oxides_typical!$C43:$BB43,Factors!$C$29:$BB$29)</f>
        <v>0</v>
      </c>
      <c r="W43" s="20">
        <f>SUMPRODUCT(Oxides_typical!$C43:$BB43,Factors!$C$30:$BB$30)</f>
        <v>50.590204761531787</v>
      </c>
      <c r="X43" s="20">
        <f>SUMPRODUCT(Oxides_typical!$C43:$BB43,Factors!$C$31:$BB$31)</f>
        <v>4.3077879646091715</v>
      </c>
      <c r="Y43" s="20">
        <f>SUMPRODUCT(Oxides_typical!$C43:$BB43,Factors!$C$32:$BB$32)</f>
        <v>0</v>
      </c>
      <c r="Z43" s="20">
        <f>SUMPRODUCT(Oxides_typical!$C43:$BB43,Factors!$C$33:$BB$33)</f>
        <v>0</v>
      </c>
      <c r="AA43" s="20">
        <f>SUMPRODUCT(Oxides_typical!$C43:$BB43,Factors!$C$34:$BB$34)</f>
        <v>0</v>
      </c>
      <c r="AB43" s="20">
        <f>SUMPRODUCT(Oxides_typical!$C43:$BB43,Factors!$C$35:$BB$35)</f>
        <v>0</v>
      </c>
      <c r="AC43" s="20">
        <f>SUMPRODUCT(Oxides_typical!$C43:$BB43,Factors!$C$36:$BB$36)</f>
        <v>0</v>
      </c>
      <c r="AD43" s="20">
        <f>SUMPRODUCT(Oxides_typical!$C43:$BB43,Factors!$C$37:$BB$37)</f>
        <v>0</v>
      </c>
      <c r="AE43" s="20">
        <f>SUMPRODUCT(Oxides_typical!$C43:$BB43,Factors!$C$38:$BB$38)</f>
        <v>0</v>
      </c>
      <c r="AF43" s="20">
        <f>SUMPRODUCT(Oxides_typical!$C43:$BB43,Factors!$C$39:$BB$39)</f>
        <v>0</v>
      </c>
      <c r="AG43" s="20">
        <f>SUMPRODUCT(Oxides_typical!$C43:$BB43,Factors!$C$40:$BB$40)</f>
        <v>0</v>
      </c>
      <c r="AH43" s="20">
        <f>SUMPRODUCT(Oxides_typical!$C43:$BB43,Factors!$C$41:$BB$41)</f>
        <v>0</v>
      </c>
      <c r="AI43" s="20">
        <f>SUMPRODUCT(Oxides_typical!$C43:$BB43,Factors!$C$42:$BB$42)</f>
        <v>0</v>
      </c>
      <c r="AJ43" s="20">
        <f>SUMPRODUCT(Oxides_typical!$C43:$BB43,Factors!$C$43:$BB$43)</f>
        <v>0</v>
      </c>
      <c r="AK43" s="20">
        <f>SUMPRODUCT(Oxides_typical!$C43:$BB43,Factors!$C$44:$BB$44)</f>
        <v>0</v>
      </c>
      <c r="AL43" s="20">
        <f>SUMPRODUCT(Oxides_typical!$C43:$BB43,Factors!$C$45:$BB$45)</f>
        <v>0</v>
      </c>
      <c r="AM43" s="20">
        <f>SUMPRODUCT(Oxides_typical!$C43:$BB43,Factors!$C$46:$BB$46)</f>
        <v>0</v>
      </c>
      <c r="AN43" s="20">
        <f>SUMPRODUCT(Oxides_typical!$C43:$BB43,Factors!$C$47:$BB$47)</f>
        <v>0</v>
      </c>
      <c r="AO43" s="20">
        <f>SUMPRODUCT(Oxides_typical!$C43:$BB43,Factors!$C$48:$BB$48)</f>
        <v>0</v>
      </c>
      <c r="AP43" s="20">
        <f>SUMPRODUCT(Oxides_typical!$C43:$BB43,Factors!$C$49:$BB$49)</f>
        <v>0</v>
      </c>
      <c r="AQ43" s="20">
        <f>SUMPRODUCT(Oxides_typical!$C43:$BB43,Factors!$C$50:$BB$50)</f>
        <v>0</v>
      </c>
      <c r="AR43" s="20">
        <f>SUMPRODUCT(Oxides_typical!$C43:$BB43,Factors!$C$51:$BB$51)</f>
        <v>0</v>
      </c>
      <c r="AS43" s="20">
        <f>SUMPRODUCT(Oxides_typical!$C43:$BB43,Factors!$C$52:$BB$52)</f>
        <v>0</v>
      </c>
      <c r="AT43" s="20">
        <f>SUMPRODUCT(Oxides_typical!$C43:$BB43,Factors!$C$53:$BB$53)</f>
        <v>0</v>
      </c>
      <c r="AU43" s="20">
        <f>SUMPRODUCT(Oxides_typical!$C43:$BB43,Factors!$C$54:$BB$54)</f>
        <v>0</v>
      </c>
      <c r="AV43" s="20">
        <f>SUMPRODUCT(Oxides_typical!$C43:$BB43,Factors!$C$55:$BB$55)</f>
        <v>0</v>
      </c>
      <c r="AW43" s="20">
        <f>SUMPRODUCT(Oxides_typical!$C43:$BB43,Factors!$C$56:$BB$56)</f>
        <v>0</v>
      </c>
      <c r="AX43" s="20">
        <f>SUMPRODUCT(Oxides_typical!$C43:$BB43,Factors!$C$57:$BB$57)</f>
        <v>0</v>
      </c>
      <c r="AY43" s="20">
        <f>SUMPRODUCT(Oxides_typical!$C43:$BB43,Factors!$C$58:$BB$58)</f>
        <v>0</v>
      </c>
      <c r="AZ43" s="18">
        <f t="shared" si="2"/>
        <v>99.890000000000015</v>
      </c>
    </row>
    <row r="44" spans="1:52" x14ac:dyDescent="0.35">
      <c r="A44" s="13" t="s">
        <v>361</v>
      </c>
      <c r="B44" s="20">
        <f>SUMPRODUCT(Oxides_typical!$C44:$BB44,Factors!$C$9:$BB$9)</f>
        <v>27.206926469770504</v>
      </c>
      <c r="C44" s="20">
        <f>SUMPRODUCT(Oxides_typical!$C44:$BB44,Factors!$C$10:$BB$10)</f>
        <v>0</v>
      </c>
      <c r="D44" s="20">
        <f>SUMPRODUCT(Oxides_typical!$C44:$BB44,Factors!$C$11:$BB$11)</f>
        <v>0.31765491767357418</v>
      </c>
      <c r="E44" s="20">
        <f>SUMPRODUCT(Oxides_typical!$C44:$BB44,Factors!$C$12:$BB$12)</f>
        <v>0</v>
      </c>
      <c r="F44" s="20">
        <f>SUMPRODUCT(Oxides_typical!$C44:$BB44,Factors!$C$13:$BB$13)</f>
        <v>0</v>
      </c>
      <c r="G44" s="20">
        <f>SUMPRODUCT(Oxides_typical!$C44:$BB44,Factors!$C$14:$BB$14)</f>
        <v>0.69316028346205905</v>
      </c>
      <c r="H44" s="20">
        <f>SUMPRODUCT(Oxides_typical!$C44:$BB44,Factors!$C$15:$BB$15)</f>
        <v>0</v>
      </c>
      <c r="I44" s="20">
        <f>SUMPRODUCT(Oxides_typical!$C44:$BB44,Factors!$C$16:$BB$16)</f>
        <v>4.236334975780859</v>
      </c>
      <c r="J44" s="20">
        <f>SUMPRODUCT(Oxides_typical!$C44:$BB44,Factors!$C$17:$BB$17)</f>
        <v>11.454292777691723</v>
      </c>
      <c r="K44" s="20">
        <f>SUMPRODUCT(Oxides_typical!$C44:$BB44,Factors!$C$18:$BB$18)</f>
        <v>0</v>
      </c>
      <c r="L44" s="20">
        <f>SUMPRODUCT(Oxides_typical!$C44:$BB44,Factors!$C$19:$BB$19)</f>
        <v>0</v>
      </c>
      <c r="M44" s="20">
        <f>SUMPRODUCT(Oxides_typical!$C44:$BB44,Factors!$C$20:$BB$20)</f>
        <v>0</v>
      </c>
      <c r="N44" s="20">
        <f>SUMPRODUCT(Oxides_typical!$C44:$BB44,Factors!$C$21:$BB$21)</f>
        <v>0</v>
      </c>
      <c r="O44" s="20">
        <f>SUMPRODUCT(Oxides_typical!$C44:$BB44,Factors!$C$22:$BB$22)</f>
        <v>0</v>
      </c>
      <c r="P44" s="20">
        <f>SUMPRODUCT(Oxides_typical!$C44:$BB44,Factors!$C$23:$BB$23)</f>
        <v>0</v>
      </c>
      <c r="Q44" s="20">
        <f>SUMPRODUCT(Oxides_typical!$C44:$BB44,Factors!$C$24:$BB$24)</f>
        <v>0</v>
      </c>
      <c r="R44" s="20">
        <f>SUMPRODUCT(Oxides_typical!$C44:$BB44,Factors!$C$25:$BB$25)</f>
        <v>1.4837245158818407E-2</v>
      </c>
      <c r="S44" s="20">
        <f>SUMPRODUCT(Oxides_typical!$C44:$BB44,Factors!$C$26:$BB$26)</f>
        <v>0</v>
      </c>
      <c r="T44" s="20">
        <f>SUMPRODUCT(Oxides_typical!$C44:$BB44,Factors!$C$27:$BB$27)</f>
        <v>0</v>
      </c>
      <c r="U44" s="20">
        <f>SUMPRODUCT(Oxides_typical!$C44:$BB44,Factors!$C$28:$BB$28)</f>
        <v>0</v>
      </c>
      <c r="V44" s="20">
        <f>SUMPRODUCT(Oxides_typical!$C44:$BB44,Factors!$C$29:$BB$29)</f>
        <v>0</v>
      </c>
      <c r="W44" s="20">
        <f>SUMPRODUCT(Oxides_typical!$C44:$BB44,Factors!$C$30:$BB$30)</f>
        <v>47.535358902641441</v>
      </c>
      <c r="X44" s="20">
        <f>SUMPRODUCT(Oxides_typical!$C44:$BB44,Factors!$C$31:$BB$31)</f>
        <v>8.0914344278210315</v>
      </c>
      <c r="Y44" s="20">
        <f>SUMPRODUCT(Oxides_typical!$C44:$BB44,Factors!$C$32:$BB$32)</f>
        <v>0</v>
      </c>
      <c r="Z44" s="20">
        <f>SUMPRODUCT(Oxides_typical!$C44:$BB44,Factors!$C$33:$BB$33)</f>
        <v>0</v>
      </c>
      <c r="AA44" s="20">
        <f>SUMPRODUCT(Oxides_typical!$C44:$BB44,Factors!$C$34:$BB$34)</f>
        <v>0</v>
      </c>
      <c r="AB44" s="20">
        <f>SUMPRODUCT(Oxides_typical!$C44:$BB44,Factors!$C$35:$BB$35)</f>
        <v>0</v>
      </c>
      <c r="AC44" s="20">
        <f>SUMPRODUCT(Oxides_typical!$C44:$BB44,Factors!$C$36:$BB$36)</f>
        <v>0</v>
      </c>
      <c r="AD44" s="20">
        <f>SUMPRODUCT(Oxides_typical!$C44:$BB44,Factors!$C$37:$BB$37)</f>
        <v>0</v>
      </c>
      <c r="AE44" s="20">
        <f>SUMPRODUCT(Oxides_typical!$C44:$BB44,Factors!$C$38:$BB$38)</f>
        <v>0</v>
      </c>
      <c r="AF44" s="20">
        <f>SUMPRODUCT(Oxides_typical!$C44:$BB44,Factors!$C$39:$BB$39)</f>
        <v>0</v>
      </c>
      <c r="AG44" s="20">
        <f>SUMPRODUCT(Oxides_typical!$C44:$BB44,Factors!$C$40:$BB$40)</f>
        <v>0</v>
      </c>
      <c r="AH44" s="20">
        <f>SUMPRODUCT(Oxides_typical!$C44:$BB44,Factors!$C$41:$BB$41)</f>
        <v>0</v>
      </c>
      <c r="AI44" s="20">
        <f>SUMPRODUCT(Oxides_typical!$C44:$BB44,Factors!$C$42:$BB$42)</f>
        <v>0</v>
      </c>
      <c r="AJ44" s="20">
        <f>SUMPRODUCT(Oxides_typical!$C44:$BB44,Factors!$C$43:$BB$43)</f>
        <v>0</v>
      </c>
      <c r="AK44" s="20">
        <f>SUMPRODUCT(Oxides_typical!$C44:$BB44,Factors!$C$44:$BB$44)</f>
        <v>0</v>
      </c>
      <c r="AL44" s="20">
        <f>SUMPRODUCT(Oxides_typical!$C44:$BB44,Factors!$C$45:$BB$45)</f>
        <v>0</v>
      </c>
      <c r="AM44" s="20">
        <f>SUMPRODUCT(Oxides_typical!$C44:$BB44,Factors!$C$46:$BB$46)</f>
        <v>0</v>
      </c>
      <c r="AN44" s="20">
        <f>SUMPRODUCT(Oxides_typical!$C44:$BB44,Factors!$C$47:$BB$47)</f>
        <v>0</v>
      </c>
      <c r="AO44" s="20">
        <f>SUMPRODUCT(Oxides_typical!$C44:$BB44,Factors!$C$48:$BB$48)</f>
        <v>0</v>
      </c>
      <c r="AP44" s="20">
        <f>SUMPRODUCT(Oxides_typical!$C44:$BB44,Factors!$C$49:$BB$49)</f>
        <v>0</v>
      </c>
      <c r="AQ44" s="20">
        <f>SUMPRODUCT(Oxides_typical!$C44:$BB44,Factors!$C$50:$BB$50)</f>
        <v>0</v>
      </c>
      <c r="AR44" s="20">
        <f>SUMPRODUCT(Oxides_typical!$C44:$BB44,Factors!$C$51:$BB$51)</f>
        <v>0</v>
      </c>
      <c r="AS44" s="20">
        <f>SUMPRODUCT(Oxides_typical!$C44:$BB44,Factors!$C$52:$BB$52)</f>
        <v>0</v>
      </c>
      <c r="AT44" s="20">
        <f>SUMPRODUCT(Oxides_typical!$C44:$BB44,Factors!$C$53:$BB$53)</f>
        <v>0</v>
      </c>
      <c r="AU44" s="20">
        <f>SUMPRODUCT(Oxides_typical!$C44:$BB44,Factors!$C$54:$BB$54)</f>
        <v>0</v>
      </c>
      <c r="AV44" s="20">
        <f>SUMPRODUCT(Oxides_typical!$C44:$BB44,Factors!$C$55:$BB$55)</f>
        <v>0</v>
      </c>
      <c r="AW44" s="20">
        <f>SUMPRODUCT(Oxides_typical!$C44:$BB44,Factors!$C$56:$BB$56)</f>
        <v>0</v>
      </c>
      <c r="AX44" s="20">
        <f>SUMPRODUCT(Oxides_typical!$C44:$BB44,Factors!$C$57:$BB$57)</f>
        <v>0</v>
      </c>
      <c r="AY44" s="20">
        <f>SUMPRODUCT(Oxides_typical!$C44:$BB44,Factors!$C$58:$BB$58)</f>
        <v>0</v>
      </c>
      <c r="AZ44" s="18">
        <f t="shared" si="2"/>
        <v>99.55</v>
      </c>
    </row>
    <row r="45" spans="1:52" x14ac:dyDescent="0.35">
      <c r="A45" s="13" t="s">
        <v>432</v>
      </c>
      <c r="B45" s="20">
        <f>SUMPRODUCT(Oxides_typical!$C45:$BB45,Factors!$C$9:$BB$9)</f>
        <v>39.251798281029963</v>
      </c>
      <c r="C45" s="20">
        <f>SUMPRODUCT(Oxides_typical!$C45:$BB45,Factors!$C$10:$BB$10)</f>
        <v>16.514539054308209</v>
      </c>
      <c r="D45" s="20">
        <f>SUMPRODUCT(Oxides_typical!$C45:$BB45,Factors!$C$11:$BB$11)</f>
        <v>0</v>
      </c>
      <c r="E45" s="20">
        <f>SUMPRODUCT(Oxides_typical!$C45:$BB45,Factors!$C$12:$BB$12)</f>
        <v>0</v>
      </c>
      <c r="F45" s="20">
        <f>SUMPRODUCT(Oxides_typical!$C45:$BB45,Factors!$C$13:$BB$13)</f>
        <v>0</v>
      </c>
      <c r="G45" s="20">
        <f>SUMPRODUCT(Oxides_typical!$C45:$BB45,Factors!$C$14:$BB$14)</f>
        <v>0</v>
      </c>
      <c r="H45" s="20">
        <f>SUMPRODUCT(Oxides_typical!$C45:$BB45,Factors!$C$15:$BB$15)</f>
        <v>11.379023924236543</v>
      </c>
      <c r="I45" s="20">
        <f>SUMPRODUCT(Oxides_typical!$C45:$BB45,Factors!$C$16:$BB$16)</f>
        <v>0</v>
      </c>
      <c r="J45" s="20">
        <f>SUMPRODUCT(Oxides_typical!$C45:$BB45,Factors!$C$17:$BB$17)</f>
        <v>31.79940915835174</v>
      </c>
      <c r="K45" s="20">
        <f>SUMPRODUCT(Oxides_typical!$C45:$BB45,Factors!$C$18:$BB$18)</f>
        <v>0</v>
      </c>
      <c r="L45" s="20">
        <f>SUMPRODUCT(Oxides_typical!$C45:$BB45,Factors!$C$19:$BB$19)</f>
        <v>0</v>
      </c>
      <c r="M45" s="20">
        <f>SUMPRODUCT(Oxides_typical!$C45:$BB45,Factors!$C$20:$BB$20)</f>
        <v>0</v>
      </c>
      <c r="N45" s="20">
        <f>SUMPRODUCT(Oxides_typical!$C45:$BB45,Factors!$C$21:$BB$21)</f>
        <v>0.72898978190702068</v>
      </c>
      <c r="O45" s="20">
        <f>SUMPRODUCT(Oxides_typical!$C45:$BB45,Factors!$C$22:$BB$22)</f>
        <v>0</v>
      </c>
      <c r="P45" s="20">
        <f>SUMPRODUCT(Oxides_typical!$C45:$BB45,Factors!$C$23:$BB$23)</f>
        <v>0</v>
      </c>
      <c r="Q45" s="20">
        <f>SUMPRODUCT(Oxides_typical!$C45:$BB45,Factors!$C$24:$BB$24)</f>
        <v>0</v>
      </c>
      <c r="R45" s="20">
        <f>SUMPRODUCT(Oxides_typical!$C45:$BB45,Factors!$C$25:$BB$25)</f>
        <v>0</v>
      </c>
      <c r="S45" s="20">
        <f>SUMPRODUCT(Oxides_typical!$C45:$BB45,Factors!$C$26:$BB$26)</f>
        <v>0</v>
      </c>
      <c r="T45" s="20">
        <f>SUMPRODUCT(Oxides_typical!$C45:$BB45,Factors!$C$27:$BB$27)</f>
        <v>0</v>
      </c>
      <c r="U45" s="20">
        <f>SUMPRODUCT(Oxides_typical!$C45:$BB45,Factors!$C$28:$BB$28)</f>
        <v>0</v>
      </c>
      <c r="V45" s="20">
        <f>SUMPRODUCT(Oxides_typical!$C45:$BB45,Factors!$C$29:$BB$29)</f>
        <v>0</v>
      </c>
      <c r="W45" s="20">
        <f>SUMPRODUCT(Oxides_typical!$C45:$BB45,Factors!$C$30:$BB$30)</f>
        <v>0</v>
      </c>
      <c r="X45" s="20">
        <f>SUMPRODUCT(Oxides_typical!$C45:$BB45,Factors!$C$31:$BB$31)</f>
        <v>0</v>
      </c>
      <c r="Y45" s="20">
        <f>SUMPRODUCT(Oxides_typical!$C45:$BB45,Factors!$C$32:$BB$32)</f>
        <v>0</v>
      </c>
      <c r="Z45" s="20">
        <f>SUMPRODUCT(Oxides_typical!$C45:$BB45,Factors!$C$33:$BB$33)</f>
        <v>0</v>
      </c>
      <c r="AA45" s="20">
        <f>SUMPRODUCT(Oxides_typical!$C45:$BB45,Factors!$C$34:$BB$34)</f>
        <v>0</v>
      </c>
      <c r="AB45" s="20">
        <f>SUMPRODUCT(Oxides_typical!$C45:$BB45,Factors!$C$35:$BB$35)</f>
        <v>0</v>
      </c>
      <c r="AC45" s="20">
        <f>SUMPRODUCT(Oxides_typical!$C45:$BB45,Factors!$C$36:$BB$36)</f>
        <v>0</v>
      </c>
      <c r="AD45" s="20">
        <f>SUMPRODUCT(Oxides_typical!$C45:$BB45,Factors!$C$37:$BB$37)</f>
        <v>9.6239800166527889E-2</v>
      </c>
      <c r="AE45" s="20">
        <f>SUMPRODUCT(Oxides_typical!$C45:$BB45,Factors!$C$38:$BB$38)</f>
        <v>0</v>
      </c>
      <c r="AF45" s="20">
        <f>SUMPRODUCT(Oxides_typical!$C45:$BB45,Factors!$C$39:$BB$39)</f>
        <v>0</v>
      </c>
      <c r="AG45" s="20">
        <f>SUMPRODUCT(Oxides_typical!$C45:$BB45,Factors!$C$40:$BB$40)</f>
        <v>0</v>
      </c>
      <c r="AH45" s="20">
        <f>SUMPRODUCT(Oxides_typical!$C45:$BB45,Factors!$C$41:$BB$41)</f>
        <v>0</v>
      </c>
      <c r="AI45" s="20">
        <f>SUMPRODUCT(Oxides_typical!$C45:$BB45,Factors!$C$42:$BB$42)</f>
        <v>0</v>
      </c>
      <c r="AJ45" s="20">
        <f>SUMPRODUCT(Oxides_typical!$C45:$BB45,Factors!$C$43:$BB$43)</f>
        <v>0</v>
      </c>
      <c r="AK45" s="20">
        <f>SUMPRODUCT(Oxides_typical!$C45:$BB45,Factors!$C$44:$BB$44)</f>
        <v>0</v>
      </c>
      <c r="AL45" s="20">
        <f>SUMPRODUCT(Oxides_typical!$C45:$BB45,Factors!$C$45:$BB$45)</f>
        <v>0</v>
      </c>
      <c r="AM45" s="20">
        <f>SUMPRODUCT(Oxides_typical!$C45:$BB45,Factors!$C$46:$BB$46)</f>
        <v>0</v>
      </c>
      <c r="AN45" s="20">
        <f>SUMPRODUCT(Oxides_typical!$C45:$BB45,Factors!$C$47:$BB$47)</f>
        <v>0</v>
      </c>
      <c r="AO45" s="20">
        <f>SUMPRODUCT(Oxides_typical!$C45:$BB45,Factors!$C$48:$BB$48)</f>
        <v>0</v>
      </c>
      <c r="AP45" s="20">
        <f>SUMPRODUCT(Oxides_typical!$C45:$BB45,Factors!$C$49:$BB$49)</f>
        <v>0</v>
      </c>
      <c r="AQ45" s="20">
        <f>SUMPRODUCT(Oxides_typical!$C45:$BB45,Factors!$C$50:$BB$50)</f>
        <v>0</v>
      </c>
      <c r="AR45" s="20">
        <f>SUMPRODUCT(Oxides_typical!$C45:$BB45,Factors!$C$51:$BB$51)</f>
        <v>0</v>
      </c>
      <c r="AS45" s="20">
        <f>SUMPRODUCT(Oxides_typical!$C45:$BB45,Factors!$C$52:$BB$52)</f>
        <v>0</v>
      </c>
      <c r="AT45" s="20">
        <f>SUMPRODUCT(Oxides_typical!$C45:$BB45,Factors!$C$53:$BB$53)</f>
        <v>0</v>
      </c>
      <c r="AU45" s="20">
        <f>SUMPRODUCT(Oxides_typical!$C45:$BB45,Factors!$C$54:$BB$54)</f>
        <v>0</v>
      </c>
      <c r="AV45" s="20">
        <f>SUMPRODUCT(Oxides_typical!$C45:$BB45,Factors!$C$55:$BB$55)</f>
        <v>0</v>
      </c>
      <c r="AW45" s="20">
        <f>SUMPRODUCT(Oxides_typical!$C45:$BB45,Factors!$C$56:$BB$56)</f>
        <v>0</v>
      </c>
      <c r="AX45" s="20">
        <f>SUMPRODUCT(Oxides_typical!$C45:$BB45,Factors!$C$57:$BB$57)</f>
        <v>0</v>
      </c>
      <c r="AY45" s="20">
        <f>SUMPRODUCT(Oxides_typical!$C45:$BB45,Factors!$C$58:$BB$58)</f>
        <v>0</v>
      </c>
      <c r="AZ45" s="18">
        <f t="shared" ref="AZ45:AZ55" si="3">SUM(B45:AY45)</f>
        <v>99.77</v>
      </c>
    </row>
    <row r="46" spans="1:52" x14ac:dyDescent="0.35">
      <c r="A46" s="13" t="s">
        <v>434</v>
      </c>
      <c r="B46" s="20">
        <f>SUMPRODUCT(Oxides_typical!$C46:$BB46,Factors!$C$9:$BB$9)</f>
        <v>46.22128646784779</v>
      </c>
      <c r="C46" s="20">
        <f>SUMPRODUCT(Oxides_typical!$C46:$BB46,Factors!$C$10:$BB$10)</f>
        <v>16.846419120217035</v>
      </c>
      <c r="D46" s="20">
        <f>SUMPRODUCT(Oxides_typical!$C46:$BB46,Factors!$C$11:$BB$11)</f>
        <v>0.32364840668628314</v>
      </c>
      <c r="E46" s="20">
        <f>SUMPRODUCT(Oxides_typical!$C46:$BB46,Factors!$C$12:$BB$12)</f>
        <v>0</v>
      </c>
      <c r="F46" s="20">
        <f>SUMPRODUCT(Oxides_typical!$C46:$BB46,Factors!$C$13:$BB$13)</f>
        <v>0</v>
      </c>
      <c r="G46" s="20">
        <f>SUMPRODUCT(Oxides_typical!$C46:$BB46,Factors!$C$14:$BB$14)</f>
        <v>0</v>
      </c>
      <c r="H46" s="20">
        <f>SUMPRODUCT(Oxides_typical!$C46:$BB46,Factors!$C$15:$BB$15)</f>
        <v>16.316991050428491</v>
      </c>
      <c r="I46" s="20">
        <f>SUMPRODUCT(Oxides_typical!$C46:$BB46,Factors!$C$16:$BB$16)</f>
        <v>13.672868297978955</v>
      </c>
      <c r="J46" s="20">
        <f>SUMPRODUCT(Oxides_typical!$C46:$BB46,Factors!$C$17:$BB$17)</f>
        <v>8.5190818495340742E-2</v>
      </c>
      <c r="K46" s="20">
        <f>SUMPRODUCT(Oxides_typical!$C46:$BB46,Factors!$C$18:$BB$18)</f>
        <v>0</v>
      </c>
      <c r="L46" s="20">
        <f>SUMPRODUCT(Oxides_typical!$C46:$BB46,Factors!$C$19:$BB$19)</f>
        <v>0</v>
      </c>
      <c r="M46" s="20">
        <f>SUMPRODUCT(Oxides_typical!$C46:$BB46,Factors!$C$20:$BB$20)</f>
        <v>0.25327759031361646</v>
      </c>
      <c r="N46" s="20">
        <f>SUMPRODUCT(Oxides_typical!$C46:$BB46,Factors!$C$21:$BB$21)</f>
        <v>0.72184282326087335</v>
      </c>
      <c r="O46" s="20">
        <f>SUMPRODUCT(Oxides_typical!$C46:$BB46,Factors!$C$22:$BB$22)</f>
        <v>0</v>
      </c>
      <c r="P46" s="20">
        <f>SUMPRODUCT(Oxides_typical!$C46:$BB46,Factors!$C$23:$BB$23)</f>
        <v>0</v>
      </c>
      <c r="Q46" s="20">
        <f>SUMPRODUCT(Oxides_typical!$C46:$BB46,Factors!$C$24:$BB$24)</f>
        <v>0</v>
      </c>
      <c r="R46" s="20">
        <f>SUMPRODUCT(Oxides_typical!$C46:$BB46,Factors!$C$25:$BB$25)</f>
        <v>2.0178653415993035</v>
      </c>
      <c r="S46" s="20">
        <f>SUMPRODUCT(Oxides_typical!$C46:$BB46,Factors!$C$26:$BB$26)</f>
        <v>4.1507565109198313E-2</v>
      </c>
      <c r="T46" s="20">
        <f>SUMPRODUCT(Oxides_typical!$C46:$BB46,Factors!$C$27:$BB$27)</f>
        <v>0</v>
      </c>
      <c r="U46" s="20">
        <f>SUMPRODUCT(Oxides_typical!$C46:$BB46,Factors!$C$28:$BB$28)</f>
        <v>3.2391025180631168</v>
      </c>
      <c r="V46" s="20">
        <f>SUMPRODUCT(Oxides_typical!$C46:$BB46,Factors!$C$29:$BB$29)</f>
        <v>0</v>
      </c>
      <c r="W46" s="20">
        <f>SUMPRODUCT(Oxides_typical!$C46:$BB46,Factors!$C$30:$BB$30)</f>
        <v>0</v>
      </c>
      <c r="X46" s="20">
        <f>SUMPRODUCT(Oxides_typical!$C46:$BB46,Factors!$C$31:$BB$31)</f>
        <v>0</v>
      </c>
      <c r="Y46" s="20">
        <f>SUMPRODUCT(Oxides_typical!$C46:$BB46,Factors!$C$32:$BB$32)</f>
        <v>0</v>
      </c>
      <c r="Z46" s="20">
        <f>SUMPRODUCT(Oxides_typical!$C46:$BB46,Factors!$C$33:$BB$33)</f>
        <v>0</v>
      </c>
      <c r="AA46" s="20">
        <f>SUMPRODUCT(Oxides_typical!$C46:$BB46,Factors!$C$34:$BB$34)</f>
        <v>0</v>
      </c>
      <c r="AB46" s="20">
        <f>SUMPRODUCT(Oxides_typical!$C46:$BB46,Factors!$C$35:$BB$35)</f>
        <v>0</v>
      </c>
      <c r="AC46" s="20">
        <f>SUMPRODUCT(Oxides_typical!$C46:$BB46,Factors!$C$36:$BB$36)</f>
        <v>0</v>
      </c>
      <c r="AD46" s="20">
        <f>SUMPRODUCT(Oxides_typical!$C46:$BB46,Factors!$C$37:$BB$37)</f>
        <v>0</v>
      </c>
      <c r="AE46" s="20">
        <f>SUMPRODUCT(Oxides_typical!$C46:$BB46,Factors!$C$38:$BB$38)</f>
        <v>0</v>
      </c>
      <c r="AF46" s="20">
        <f>SUMPRODUCT(Oxides_typical!$C46:$BB46,Factors!$C$39:$BB$39)</f>
        <v>0</v>
      </c>
      <c r="AG46" s="20">
        <f>SUMPRODUCT(Oxides_typical!$C46:$BB46,Factors!$C$40:$BB$40)</f>
        <v>0</v>
      </c>
      <c r="AH46" s="20">
        <f>SUMPRODUCT(Oxides_typical!$C46:$BB46,Factors!$C$41:$BB$41)</f>
        <v>0</v>
      </c>
      <c r="AI46" s="20">
        <f>SUMPRODUCT(Oxides_typical!$C46:$BB46,Factors!$C$42:$BB$42)</f>
        <v>0</v>
      </c>
      <c r="AJ46" s="20">
        <f>SUMPRODUCT(Oxides_typical!$C46:$BB46,Factors!$C$43:$BB$43)</f>
        <v>0</v>
      </c>
      <c r="AK46" s="20">
        <f>SUMPRODUCT(Oxides_typical!$C46:$BB46,Factors!$C$44:$BB$44)</f>
        <v>0</v>
      </c>
      <c r="AL46" s="20">
        <f>SUMPRODUCT(Oxides_typical!$C46:$BB46,Factors!$C$45:$BB$45)</f>
        <v>0</v>
      </c>
      <c r="AM46" s="20">
        <f>SUMPRODUCT(Oxides_typical!$C46:$BB46,Factors!$C$46:$BB$46)</f>
        <v>0</v>
      </c>
      <c r="AN46" s="20">
        <f>SUMPRODUCT(Oxides_typical!$C46:$BB46,Factors!$C$47:$BB$47)</f>
        <v>0</v>
      </c>
      <c r="AO46" s="20">
        <f>SUMPRODUCT(Oxides_typical!$C46:$BB46,Factors!$C$48:$BB$48)</f>
        <v>0</v>
      </c>
      <c r="AP46" s="20">
        <f>SUMPRODUCT(Oxides_typical!$C46:$BB46,Factors!$C$49:$BB$49)</f>
        <v>0</v>
      </c>
      <c r="AQ46" s="20">
        <f>SUMPRODUCT(Oxides_typical!$C46:$BB46,Factors!$C$50:$BB$50)</f>
        <v>0</v>
      </c>
      <c r="AR46" s="20">
        <f>SUMPRODUCT(Oxides_typical!$C46:$BB46,Factors!$C$51:$BB$51)</f>
        <v>0</v>
      </c>
      <c r="AS46" s="20">
        <f>SUMPRODUCT(Oxides_typical!$C46:$BB46,Factors!$C$52:$BB$52)</f>
        <v>0</v>
      </c>
      <c r="AT46" s="20">
        <f>SUMPRODUCT(Oxides_typical!$C46:$BB46,Factors!$C$53:$BB$53)</f>
        <v>0</v>
      </c>
      <c r="AU46" s="20">
        <f>SUMPRODUCT(Oxides_typical!$C46:$BB46,Factors!$C$54:$BB$54)</f>
        <v>0</v>
      </c>
      <c r="AV46" s="20">
        <f>SUMPRODUCT(Oxides_typical!$C46:$BB46,Factors!$C$55:$BB$55)</f>
        <v>0</v>
      </c>
      <c r="AW46" s="20">
        <f>SUMPRODUCT(Oxides_typical!$C46:$BB46,Factors!$C$56:$BB$56)</f>
        <v>0</v>
      </c>
      <c r="AX46" s="20">
        <f>SUMPRODUCT(Oxides_typical!$C46:$BB46,Factors!$C$57:$BB$57)</f>
        <v>0</v>
      </c>
      <c r="AY46" s="20">
        <f>SUMPRODUCT(Oxides_typical!$C46:$BB46,Factors!$C$58:$BB$58)</f>
        <v>0</v>
      </c>
      <c r="AZ46" s="18">
        <f t="shared" si="3"/>
        <v>99.74</v>
      </c>
    </row>
    <row r="47" spans="1:52" x14ac:dyDescent="0.35">
      <c r="A47" s="13" t="s">
        <v>436</v>
      </c>
      <c r="B47" s="20">
        <f>SUMPRODUCT(Oxides_typical!$C47:$BB47,Factors!$C$9:$BB$9)</f>
        <v>55.911574194094996</v>
      </c>
      <c r="C47" s="20">
        <f>SUMPRODUCT(Oxides_typical!$C47:$BB47,Factors!$C$10:$BB$10)</f>
        <v>21.408601434682023</v>
      </c>
      <c r="D47" s="20">
        <f>SUMPRODUCT(Oxides_typical!$C47:$BB47,Factors!$C$11:$BB$11)</f>
        <v>0</v>
      </c>
      <c r="E47" s="20">
        <f>SUMPRODUCT(Oxides_typical!$C47:$BB47,Factors!$C$12:$BB$12)</f>
        <v>0</v>
      </c>
      <c r="F47" s="20">
        <f>SUMPRODUCT(Oxides_typical!$C47:$BB47,Factors!$C$13:$BB$13)</f>
        <v>0</v>
      </c>
      <c r="G47" s="20">
        <f>SUMPRODUCT(Oxides_typical!$C47:$BB47,Factors!$C$14:$BB$14)</f>
        <v>0</v>
      </c>
      <c r="H47" s="20">
        <f>SUMPRODUCT(Oxides_typical!$C47:$BB47,Factors!$C$15:$BB$15)</f>
        <v>20.932111451328151</v>
      </c>
      <c r="I47" s="20">
        <f>SUMPRODUCT(Oxides_typical!$C47:$BB47,Factors!$C$16:$BB$16)</f>
        <v>0.53859118458966226</v>
      </c>
      <c r="J47" s="20">
        <f>SUMPRODUCT(Oxides_typical!$C47:$BB47,Factors!$C$17:$BB$17)</f>
        <v>0</v>
      </c>
      <c r="K47" s="20">
        <f>SUMPRODUCT(Oxides_typical!$C47:$BB47,Factors!$C$18:$BB$18)</f>
        <v>0</v>
      </c>
      <c r="L47" s="20">
        <f>SUMPRODUCT(Oxides_typical!$C47:$BB47,Factors!$C$19:$BB$19)</f>
        <v>0</v>
      </c>
      <c r="M47" s="20">
        <f>SUMPRODUCT(Oxides_typical!$C47:$BB47,Factors!$C$20:$BB$20)</f>
        <v>8.4425863437872173E-2</v>
      </c>
      <c r="N47" s="20">
        <f>SUMPRODUCT(Oxides_typical!$C47:$BB47,Factors!$C$21:$BB$21)</f>
        <v>0.29302530449203767</v>
      </c>
      <c r="O47" s="20">
        <f>SUMPRODUCT(Oxides_typical!$C47:$BB47,Factors!$C$22:$BB$22)</f>
        <v>0</v>
      </c>
      <c r="P47" s="20">
        <f>SUMPRODUCT(Oxides_typical!$C47:$BB47,Factors!$C$23:$BB$23)</f>
        <v>0</v>
      </c>
      <c r="Q47" s="20">
        <f>SUMPRODUCT(Oxides_typical!$C47:$BB47,Factors!$C$24:$BB$24)</f>
        <v>0</v>
      </c>
      <c r="R47" s="20">
        <f>SUMPRODUCT(Oxides_typical!$C47:$BB47,Factors!$C$25:$BB$25)</f>
        <v>0</v>
      </c>
      <c r="S47" s="20">
        <f>SUMPRODUCT(Oxides_typical!$C47:$BB47,Factors!$C$26:$BB$26)</f>
        <v>2.4904539065518982E-2</v>
      </c>
      <c r="T47" s="20">
        <f>SUMPRODUCT(Oxides_typical!$C47:$BB47,Factors!$C$27:$BB$27)</f>
        <v>0</v>
      </c>
      <c r="U47" s="20">
        <f>SUMPRODUCT(Oxides_typical!$C47:$BB47,Factors!$C$28:$BB$28)</f>
        <v>0</v>
      </c>
      <c r="V47" s="20">
        <f>SUMPRODUCT(Oxides_typical!$C47:$BB47,Factors!$C$29:$BB$29)</f>
        <v>0</v>
      </c>
      <c r="W47" s="20">
        <f>SUMPRODUCT(Oxides_typical!$C47:$BB47,Factors!$C$30:$BB$30)</f>
        <v>0</v>
      </c>
      <c r="X47" s="20">
        <f>SUMPRODUCT(Oxides_typical!$C47:$BB47,Factors!$C$31:$BB$31)</f>
        <v>0</v>
      </c>
      <c r="Y47" s="20">
        <f>SUMPRODUCT(Oxides_typical!$C47:$BB47,Factors!$C$32:$BB$32)</f>
        <v>0</v>
      </c>
      <c r="Z47" s="20">
        <f>SUMPRODUCT(Oxides_typical!$C47:$BB47,Factors!$C$33:$BB$33)</f>
        <v>0</v>
      </c>
      <c r="AA47" s="20">
        <f>SUMPRODUCT(Oxides_typical!$C47:$BB47,Factors!$C$34:$BB$34)</f>
        <v>0</v>
      </c>
      <c r="AB47" s="20">
        <f>SUMPRODUCT(Oxides_typical!$C47:$BB47,Factors!$C$35:$BB$35)</f>
        <v>0</v>
      </c>
      <c r="AC47" s="20">
        <f>SUMPRODUCT(Oxides_typical!$C47:$BB47,Factors!$C$36:$BB$36)</f>
        <v>0</v>
      </c>
      <c r="AD47" s="20">
        <f>SUMPRODUCT(Oxides_typical!$C47:$BB47,Factors!$C$37:$BB$37)</f>
        <v>1.5767660283097418</v>
      </c>
      <c r="AE47" s="20">
        <f>SUMPRODUCT(Oxides_typical!$C47:$BB47,Factors!$C$38:$BB$38)</f>
        <v>0</v>
      </c>
      <c r="AF47" s="20">
        <f>SUMPRODUCT(Oxides_typical!$C47:$BB47,Factors!$C$39:$BB$39)</f>
        <v>0</v>
      </c>
      <c r="AG47" s="20">
        <f>SUMPRODUCT(Oxides_typical!$C47:$BB47,Factors!$C$40:$BB$40)</f>
        <v>0</v>
      </c>
      <c r="AH47" s="20">
        <f>SUMPRODUCT(Oxides_typical!$C47:$BB47,Factors!$C$41:$BB$41)</f>
        <v>0</v>
      </c>
      <c r="AI47" s="20">
        <f>SUMPRODUCT(Oxides_typical!$C47:$BB47,Factors!$C$42:$BB$42)</f>
        <v>0</v>
      </c>
      <c r="AJ47" s="20">
        <f>SUMPRODUCT(Oxides_typical!$C47:$BB47,Factors!$C$43:$BB$43)</f>
        <v>0</v>
      </c>
      <c r="AK47" s="20">
        <f>SUMPRODUCT(Oxides_typical!$C47:$BB47,Factors!$C$44:$BB$44)</f>
        <v>0</v>
      </c>
      <c r="AL47" s="20">
        <f>SUMPRODUCT(Oxides_typical!$C47:$BB47,Factors!$C$45:$BB$45)</f>
        <v>0</v>
      </c>
      <c r="AM47" s="20">
        <f>SUMPRODUCT(Oxides_typical!$C47:$BB47,Factors!$C$46:$BB$46)</f>
        <v>0</v>
      </c>
      <c r="AN47" s="20">
        <f>SUMPRODUCT(Oxides_typical!$C47:$BB47,Factors!$C$47:$BB$47)</f>
        <v>0</v>
      </c>
      <c r="AO47" s="20">
        <f>SUMPRODUCT(Oxides_typical!$C47:$BB47,Factors!$C$48:$BB$48)</f>
        <v>0</v>
      </c>
      <c r="AP47" s="20">
        <f>SUMPRODUCT(Oxides_typical!$C47:$BB47,Factors!$C$49:$BB$49)</f>
        <v>0</v>
      </c>
      <c r="AQ47" s="20">
        <f>SUMPRODUCT(Oxides_typical!$C47:$BB47,Factors!$C$50:$BB$50)</f>
        <v>0</v>
      </c>
      <c r="AR47" s="20">
        <f>SUMPRODUCT(Oxides_typical!$C47:$BB47,Factors!$C$51:$BB$51)</f>
        <v>0</v>
      </c>
      <c r="AS47" s="20">
        <f>SUMPRODUCT(Oxides_typical!$C47:$BB47,Factors!$C$52:$BB$52)</f>
        <v>0</v>
      </c>
      <c r="AT47" s="20">
        <f>SUMPRODUCT(Oxides_typical!$C47:$BB47,Factors!$C$53:$BB$53)</f>
        <v>0</v>
      </c>
      <c r="AU47" s="20">
        <f>SUMPRODUCT(Oxides_typical!$C47:$BB47,Factors!$C$54:$BB$54)</f>
        <v>0</v>
      </c>
      <c r="AV47" s="20">
        <f>SUMPRODUCT(Oxides_typical!$C47:$BB47,Factors!$C$55:$BB$55)</f>
        <v>0</v>
      </c>
      <c r="AW47" s="20">
        <f>SUMPRODUCT(Oxides_typical!$C47:$BB47,Factors!$C$56:$BB$56)</f>
        <v>0</v>
      </c>
      <c r="AX47" s="20">
        <f>SUMPRODUCT(Oxides_typical!$C47:$BB47,Factors!$C$57:$BB$57)</f>
        <v>0</v>
      </c>
      <c r="AY47" s="20">
        <f>SUMPRODUCT(Oxides_typical!$C47:$BB47,Factors!$C$58:$BB$58)</f>
        <v>0</v>
      </c>
      <c r="AZ47" s="18">
        <f t="shared" si="3"/>
        <v>100.77000000000001</v>
      </c>
    </row>
    <row r="48" spans="1:52" x14ac:dyDescent="0.35">
      <c r="A48" s="13" t="s">
        <v>438</v>
      </c>
      <c r="B48" s="20">
        <f>SUMPRODUCT(Oxides_typical!$C48:$BB48,Factors!$C$9:$BB$9)</f>
        <v>52.549405383969045</v>
      </c>
      <c r="C48" s="20">
        <f>SUMPRODUCT(Oxides_typical!$C48:$BB48,Factors!$C$10:$BB$10)</f>
        <v>17.711177038430172</v>
      </c>
      <c r="D48" s="20">
        <f>SUMPRODUCT(Oxides_typical!$C48:$BB48,Factors!$C$11:$BB$11)</f>
        <v>2.3973956050835788E-2</v>
      </c>
      <c r="E48" s="20">
        <f>SUMPRODUCT(Oxides_typical!$C48:$BB48,Factors!$C$12:$BB$12)</f>
        <v>0</v>
      </c>
      <c r="F48" s="20">
        <f>SUMPRODUCT(Oxides_typical!$C48:$BB48,Factors!$C$13:$BB$13)</f>
        <v>0</v>
      </c>
      <c r="G48" s="20">
        <f>SUMPRODUCT(Oxides_typical!$C48:$BB48,Factors!$C$14:$BB$14)</f>
        <v>0</v>
      </c>
      <c r="H48" s="20">
        <f>SUMPRODUCT(Oxides_typical!$C48:$BB48,Factors!$C$15:$BB$15)</f>
        <v>23.207916236175461</v>
      </c>
      <c r="I48" s="20">
        <f>SUMPRODUCT(Oxides_typical!$C48:$BB48,Factors!$C$16:$BB$16)</f>
        <v>8.5504008685485217E-2</v>
      </c>
      <c r="J48" s="20">
        <f>SUMPRODUCT(Oxides_typical!$C48:$BB48,Factors!$C$17:$BB$17)</f>
        <v>8.5190818495340742E-2</v>
      </c>
      <c r="K48" s="20">
        <f>SUMPRODUCT(Oxides_typical!$C48:$BB48,Factors!$C$18:$BB$18)</f>
        <v>0</v>
      </c>
      <c r="L48" s="20">
        <f>SUMPRODUCT(Oxides_typical!$C48:$BB48,Factors!$C$19:$BB$19)</f>
        <v>0</v>
      </c>
      <c r="M48" s="20">
        <f>SUMPRODUCT(Oxides_typical!$C48:$BB48,Factors!$C$20:$BB$20)</f>
        <v>0</v>
      </c>
      <c r="N48" s="20">
        <f>SUMPRODUCT(Oxides_typical!$C48:$BB48,Factors!$C$21:$BB$21)</f>
        <v>5.0028710523030831E-2</v>
      </c>
      <c r="O48" s="20">
        <f>SUMPRODUCT(Oxides_typical!$C48:$BB48,Factors!$C$22:$BB$22)</f>
        <v>0</v>
      </c>
      <c r="P48" s="20">
        <f>SUMPRODUCT(Oxides_typical!$C48:$BB48,Factors!$C$23:$BB$23)</f>
        <v>0</v>
      </c>
      <c r="Q48" s="20">
        <f>SUMPRODUCT(Oxides_typical!$C48:$BB48,Factors!$C$24:$BB$24)</f>
        <v>0</v>
      </c>
      <c r="R48" s="20">
        <f>SUMPRODUCT(Oxides_typical!$C48:$BB48,Factors!$C$25:$BB$25)</f>
        <v>1.8027252867964365</v>
      </c>
      <c r="S48" s="20">
        <f>SUMPRODUCT(Oxides_typical!$C48:$BB48,Factors!$C$26:$BB$26)</f>
        <v>0</v>
      </c>
      <c r="T48" s="20">
        <f>SUMPRODUCT(Oxides_typical!$C48:$BB48,Factors!$C$27:$BB$27)</f>
        <v>0.77113691890625513</v>
      </c>
      <c r="U48" s="20">
        <f>SUMPRODUCT(Oxides_typical!$C48:$BB48,Factors!$C$28:$BB$28)</f>
        <v>3.1925190686182972</v>
      </c>
      <c r="V48" s="20">
        <f>SUMPRODUCT(Oxides_typical!$C48:$BB48,Factors!$C$29:$BB$29)</f>
        <v>0</v>
      </c>
      <c r="W48" s="20">
        <f>SUMPRODUCT(Oxides_typical!$C48:$BB48,Factors!$C$30:$BB$30)</f>
        <v>0</v>
      </c>
      <c r="X48" s="20">
        <f>SUMPRODUCT(Oxides_typical!$C48:$BB48,Factors!$C$31:$BB$31)</f>
        <v>0</v>
      </c>
      <c r="Y48" s="20">
        <f>SUMPRODUCT(Oxides_typical!$C48:$BB48,Factors!$C$32:$BB$32)</f>
        <v>0</v>
      </c>
      <c r="Z48" s="20">
        <f>SUMPRODUCT(Oxides_typical!$C48:$BB48,Factors!$C$33:$BB$33)</f>
        <v>0</v>
      </c>
      <c r="AA48" s="20">
        <f>SUMPRODUCT(Oxides_typical!$C48:$BB48,Factors!$C$34:$BB$34)</f>
        <v>0</v>
      </c>
      <c r="AB48" s="20">
        <f>SUMPRODUCT(Oxides_typical!$C48:$BB48,Factors!$C$35:$BB$35)</f>
        <v>0</v>
      </c>
      <c r="AC48" s="20">
        <f>SUMPRODUCT(Oxides_typical!$C48:$BB48,Factors!$C$36:$BB$36)</f>
        <v>0</v>
      </c>
      <c r="AD48" s="20">
        <f>SUMPRODUCT(Oxides_typical!$C48:$BB48,Factors!$C$37:$BB$37)</f>
        <v>0.38831640299750209</v>
      </c>
      <c r="AE48" s="20">
        <f>SUMPRODUCT(Oxides_typical!$C48:$BB48,Factors!$C$38:$BB$38)</f>
        <v>0.1</v>
      </c>
      <c r="AF48" s="20">
        <f>SUMPRODUCT(Oxides_typical!$C48:$BB48,Factors!$C$39:$BB$39)</f>
        <v>0</v>
      </c>
      <c r="AG48" s="20">
        <f>SUMPRODUCT(Oxides_typical!$C48:$BB48,Factors!$C$40:$BB$40)</f>
        <v>0</v>
      </c>
      <c r="AH48" s="20">
        <f>SUMPRODUCT(Oxides_typical!$C48:$BB48,Factors!$C$41:$BB$41)</f>
        <v>0</v>
      </c>
      <c r="AI48" s="20">
        <f>SUMPRODUCT(Oxides_typical!$C48:$BB48,Factors!$C$42:$BB$42)</f>
        <v>0</v>
      </c>
      <c r="AJ48" s="20">
        <f>SUMPRODUCT(Oxides_typical!$C48:$BB48,Factors!$C$43:$BB$43)</f>
        <v>0</v>
      </c>
      <c r="AK48" s="20">
        <f>SUMPRODUCT(Oxides_typical!$C48:$BB48,Factors!$C$44:$BB$44)</f>
        <v>0</v>
      </c>
      <c r="AL48" s="20">
        <f>SUMPRODUCT(Oxides_typical!$C48:$BB48,Factors!$C$45:$BB$45)</f>
        <v>0</v>
      </c>
      <c r="AM48" s="20">
        <f>SUMPRODUCT(Oxides_typical!$C48:$BB48,Factors!$C$46:$BB$46)</f>
        <v>0</v>
      </c>
      <c r="AN48" s="20">
        <f>SUMPRODUCT(Oxides_typical!$C48:$BB48,Factors!$C$47:$BB$47)</f>
        <v>0</v>
      </c>
      <c r="AO48" s="20">
        <f>SUMPRODUCT(Oxides_typical!$C48:$BB48,Factors!$C$48:$BB$48)</f>
        <v>0</v>
      </c>
      <c r="AP48" s="20">
        <f>SUMPRODUCT(Oxides_typical!$C48:$BB48,Factors!$C$49:$BB$49)</f>
        <v>0</v>
      </c>
      <c r="AQ48" s="20">
        <f>SUMPRODUCT(Oxides_typical!$C48:$BB48,Factors!$C$50:$BB$50)</f>
        <v>0</v>
      </c>
      <c r="AR48" s="20">
        <f>SUMPRODUCT(Oxides_typical!$C48:$BB48,Factors!$C$51:$BB$51)</f>
        <v>0</v>
      </c>
      <c r="AS48" s="20">
        <f>SUMPRODUCT(Oxides_typical!$C48:$BB48,Factors!$C$52:$BB$52)</f>
        <v>0</v>
      </c>
      <c r="AT48" s="20">
        <f>SUMPRODUCT(Oxides_typical!$C48:$BB48,Factors!$C$53:$BB$53)</f>
        <v>0</v>
      </c>
      <c r="AU48" s="20">
        <f>SUMPRODUCT(Oxides_typical!$C48:$BB48,Factors!$C$54:$BB$54)</f>
        <v>0</v>
      </c>
      <c r="AV48" s="20">
        <f>SUMPRODUCT(Oxides_typical!$C48:$BB48,Factors!$C$55:$BB$55)</f>
        <v>0</v>
      </c>
      <c r="AW48" s="20">
        <f>SUMPRODUCT(Oxides_typical!$C48:$BB48,Factors!$C$56:$BB$56)</f>
        <v>0</v>
      </c>
      <c r="AX48" s="20">
        <f>SUMPRODUCT(Oxides_typical!$C48:$BB48,Factors!$C$57:$BB$57)</f>
        <v>0</v>
      </c>
      <c r="AY48" s="20">
        <f>SUMPRODUCT(Oxides_typical!$C48:$BB48,Factors!$C$58:$BB$58)</f>
        <v>0</v>
      </c>
      <c r="AZ48" s="18">
        <f t="shared" si="3"/>
        <v>99.967893829647849</v>
      </c>
    </row>
    <row r="49" spans="1:52" x14ac:dyDescent="0.35">
      <c r="A49" s="13" t="s">
        <v>440</v>
      </c>
      <c r="B49" s="20">
        <f>SUMPRODUCT(Oxides_typical!$C49:$BB49,Factors!$C$9:$BB$9)</f>
        <v>50.974165142039801</v>
      </c>
      <c r="C49" s="20">
        <f>SUMPRODUCT(Oxides_typical!$C49:$BB49,Factors!$C$10:$BB$10)</f>
        <v>15.813383985486745</v>
      </c>
      <c r="D49" s="20">
        <f>SUMPRODUCT(Oxides_typical!$C49:$BB49,Factors!$C$11:$BB$11)</f>
        <v>0</v>
      </c>
      <c r="E49" s="20">
        <f>SUMPRODUCT(Oxides_typical!$C49:$BB49,Factors!$C$12:$BB$12)</f>
        <v>0</v>
      </c>
      <c r="F49" s="20">
        <f>SUMPRODUCT(Oxides_typical!$C49:$BB49,Factors!$C$13:$BB$13)</f>
        <v>0</v>
      </c>
      <c r="G49" s="20">
        <f>SUMPRODUCT(Oxides_typical!$C49:$BB49,Factors!$C$14:$BB$14)</f>
        <v>0</v>
      </c>
      <c r="H49" s="20">
        <f>SUMPRODUCT(Oxides_typical!$C49:$BB49,Factors!$C$15:$BB$15)</f>
        <v>6.853877200877359</v>
      </c>
      <c r="I49" s="20">
        <f>SUMPRODUCT(Oxides_typical!$C49:$BB49,Factors!$C$16:$BB$16)</f>
        <v>3.921192906212347</v>
      </c>
      <c r="J49" s="20">
        <f>SUMPRODUCT(Oxides_typical!$C49:$BB49,Factors!$C$17:$BB$17)</f>
        <v>0</v>
      </c>
      <c r="K49" s="20">
        <f>SUMPRODUCT(Oxides_typical!$C49:$BB49,Factors!$C$18:$BB$18)</f>
        <v>0</v>
      </c>
      <c r="L49" s="20">
        <f>SUMPRODUCT(Oxides_typical!$C49:$BB49,Factors!$C$19:$BB$19)</f>
        <v>0</v>
      </c>
      <c r="M49" s="20">
        <f>SUMPRODUCT(Oxides_typical!$C49:$BB49,Factors!$C$20:$BB$20)</f>
        <v>21.070283346566097</v>
      </c>
      <c r="N49" s="20">
        <f>SUMPRODUCT(Oxides_typical!$C49:$BB49,Factors!$C$21:$BB$21)</f>
        <v>0</v>
      </c>
      <c r="O49" s="20">
        <f>SUMPRODUCT(Oxides_typical!$C49:$BB49,Factors!$C$22:$BB$22)</f>
        <v>0</v>
      </c>
      <c r="P49" s="20">
        <f>SUMPRODUCT(Oxides_typical!$C49:$BB49,Factors!$C$23:$BB$23)</f>
        <v>0</v>
      </c>
      <c r="Q49" s="20">
        <f>SUMPRODUCT(Oxides_typical!$C49:$BB49,Factors!$C$24:$BB$24)</f>
        <v>0</v>
      </c>
      <c r="R49" s="20">
        <f>SUMPRODUCT(Oxides_typical!$C49:$BB49,Factors!$C$25:$BB$25)</f>
        <v>0</v>
      </c>
      <c r="S49" s="20">
        <f>SUMPRODUCT(Oxides_typical!$C49:$BB49,Factors!$C$26:$BB$26)</f>
        <v>0</v>
      </c>
      <c r="T49" s="20">
        <f>SUMPRODUCT(Oxides_typical!$C49:$BB49,Factors!$C$27:$BB$27)</f>
        <v>0</v>
      </c>
      <c r="U49" s="20">
        <f>SUMPRODUCT(Oxides_typical!$C49:$BB49,Factors!$C$28:$BB$28)</f>
        <v>0</v>
      </c>
      <c r="V49" s="20">
        <f>SUMPRODUCT(Oxides_typical!$C49:$BB49,Factors!$C$29:$BB$29)</f>
        <v>0</v>
      </c>
      <c r="W49" s="20">
        <f>SUMPRODUCT(Oxides_typical!$C49:$BB49,Factors!$C$30:$BB$30)</f>
        <v>0</v>
      </c>
      <c r="X49" s="20">
        <f>SUMPRODUCT(Oxides_typical!$C49:$BB49,Factors!$C$31:$BB$31)</f>
        <v>0</v>
      </c>
      <c r="Y49" s="20">
        <f>SUMPRODUCT(Oxides_typical!$C49:$BB49,Factors!$C$32:$BB$32)</f>
        <v>0</v>
      </c>
      <c r="Z49" s="20">
        <f>SUMPRODUCT(Oxides_typical!$C49:$BB49,Factors!$C$33:$BB$33)</f>
        <v>0</v>
      </c>
      <c r="AA49" s="20">
        <f>SUMPRODUCT(Oxides_typical!$C49:$BB49,Factors!$C$34:$BB$34)</f>
        <v>0</v>
      </c>
      <c r="AB49" s="20">
        <f>SUMPRODUCT(Oxides_typical!$C49:$BB49,Factors!$C$35:$BB$35)</f>
        <v>0</v>
      </c>
      <c r="AC49" s="20">
        <f>SUMPRODUCT(Oxides_typical!$C49:$BB49,Factors!$C$36:$BB$36)</f>
        <v>0</v>
      </c>
      <c r="AD49" s="20">
        <f>SUMPRODUCT(Oxides_typical!$C49:$BB49,Factors!$C$37:$BB$37)</f>
        <v>1.4670974188176518</v>
      </c>
      <c r="AE49" s="20">
        <f>SUMPRODUCT(Oxides_typical!$C49:$BB49,Factors!$C$38:$BB$38)</f>
        <v>0</v>
      </c>
      <c r="AF49" s="20">
        <f>SUMPRODUCT(Oxides_typical!$C49:$BB49,Factors!$C$39:$BB$39)</f>
        <v>0</v>
      </c>
      <c r="AG49" s="20">
        <f>SUMPRODUCT(Oxides_typical!$C49:$BB49,Factors!$C$40:$BB$40)</f>
        <v>0</v>
      </c>
      <c r="AH49" s="20">
        <f>SUMPRODUCT(Oxides_typical!$C49:$BB49,Factors!$C$41:$BB$41)</f>
        <v>0</v>
      </c>
      <c r="AI49" s="20">
        <f>SUMPRODUCT(Oxides_typical!$C49:$BB49,Factors!$C$42:$BB$42)</f>
        <v>0</v>
      </c>
      <c r="AJ49" s="20">
        <f>SUMPRODUCT(Oxides_typical!$C49:$BB49,Factors!$C$43:$BB$43)</f>
        <v>0</v>
      </c>
      <c r="AK49" s="20">
        <f>SUMPRODUCT(Oxides_typical!$C49:$BB49,Factors!$C$44:$BB$44)</f>
        <v>0</v>
      </c>
      <c r="AL49" s="20">
        <f>SUMPRODUCT(Oxides_typical!$C49:$BB49,Factors!$C$45:$BB$45)</f>
        <v>0</v>
      </c>
      <c r="AM49" s="20">
        <f>SUMPRODUCT(Oxides_typical!$C49:$BB49,Factors!$C$46:$BB$46)</f>
        <v>0</v>
      </c>
      <c r="AN49" s="20">
        <f>SUMPRODUCT(Oxides_typical!$C49:$BB49,Factors!$C$47:$BB$47)</f>
        <v>0</v>
      </c>
      <c r="AO49" s="20">
        <f>SUMPRODUCT(Oxides_typical!$C49:$BB49,Factors!$C$48:$BB$48)</f>
        <v>0</v>
      </c>
      <c r="AP49" s="20">
        <f>SUMPRODUCT(Oxides_typical!$C49:$BB49,Factors!$C$49:$BB$49)</f>
        <v>0</v>
      </c>
      <c r="AQ49" s="20">
        <f>SUMPRODUCT(Oxides_typical!$C49:$BB49,Factors!$C$50:$BB$50)</f>
        <v>0</v>
      </c>
      <c r="AR49" s="20">
        <f>SUMPRODUCT(Oxides_typical!$C49:$BB49,Factors!$C$51:$BB$51)</f>
        <v>0</v>
      </c>
      <c r="AS49" s="20">
        <f>SUMPRODUCT(Oxides_typical!$C49:$BB49,Factors!$C$52:$BB$52)</f>
        <v>0</v>
      </c>
      <c r="AT49" s="20">
        <f>SUMPRODUCT(Oxides_typical!$C49:$BB49,Factors!$C$53:$BB$53)</f>
        <v>0</v>
      </c>
      <c r="AU49" s="20">
        <f>SUMPRODUCT(Oxides_typical!$C49:$BB49,Factors!$C$54:$BB$54)</f>
        <v>0</v>
      </c>
      <c r="AV49" s="20">
        <f>SUMPRODUCT(Oxides_typical!$C49:$BB49,Factors!$C$55:$BB$55)</f>
        <v>0</v>
      </c>
      <c r="AW49" s="20">
        <f>SUMPRODUCT(Oxides_typical!$C49:$BB49,Factors!$C$56:$BB$56)</f>
        <v>0</v>
      </c>
      <c r="AX49" s="20">
        <f>SUMPRODUCT(Oxides_typical!$C49:$BB49,Factors!$C$57:$BB$57)</f>
        <v>0</v>
      </c>
      <c r="AY49" s="20">
        <f>SUMPRODUCT(Oxides_typical!$C49:$BB49,Factors!$C$58:$BB$58)</f>
        <v>0</v>
      </c>
      <c r="AZ49" s="18">
        <f t="shared" si="3"/>
        <v>100.10000000000001</v>
      </c>
    </row>
    <row r="50" spans="1:52" x14ac:dyDescent="0.35">
      <c r="A50" s="13" t="s">
        <v>442</v>
      </c>
      <c r="B50" s="20">
        <f>SUMPRODUCT(Oxides_typical!$C50:$BB50,Factors!$C$9:$BB$9)</f>
        <v>45.159919952555178</v>
      </c>
      <c r="C50" s="20">
        <f>SUMPRODUCT(Oxides_typical!$C50:$BB50,Factors!$C$10:$BB$10)</f>
        <v>12.34032921125776</v>
      </c>
      <c r="D50" s="20">
        <f>SUMPRODUCT(Oxides_typical!$C50:$BB50,Factors!$C$11:$BB$11)</f>
        <v>0</v>
      </c>
      <c r="E50" s="20">
        <f>SUMPRODUCT(Oxides_typical!$C50:$BB50,Factors!$C$12:$BB$12)</f>
        <v>0</v>
      </c>
      <c r="F50" s="20">
        <f>SUMPRODUCT(Oxides_typical!$C50:$BB50,Factors!$C$13:$BB$13)</f>
        <v>0</v>
      </c>
      <c r="G50" s="20">
        <f>SUMPRODUCT(Oxides_typical!$C50:$BB50,Factors!$C$14:$BB$14)</f>
        <v>0</v>
      </c>
      <c r="H50" s="20">
        <f>SUMPRODUCT(Oxides_typical!$C50:$BB50,Factors!$C$15:$BB$15)</f>
        <v>9.6483537738991707</v>
      </c>
      <c r="I50" s="20">
        <f>SUMPRODUCT(Oxides_typical!$C50:$BB50,Factors!$C$16:$BB$16)</f>
        <v>24.095743564620527</v>
      </c>
      <c r="J50" s="20">
        <f>SUMPRODUCT(Oxides_typical!$C50:$BB50,Factors!$C$17:$BB$17)</f>
        <v>0</v>
      </c>
      <c r="K50" s="20">
        <f>SUMPRODUCT(Oxides_typical!$C50:$BB50,Factors!$C$18:$BB$18)</f>
        <v>0</v>
      </c>
      <c r="L50" s="20">
        <f>SUMPRODUCT(Oxides_typical!$C50:$BB50,Factors!$C$19:$BB$19)</f>
        <v>0</v>
      </c>
      <c r="M50" s="20">
        <f>SUMPRODUCT(Oxides_typical!$C50:$BB50,Factors!$C$20:$BB$20)</f>
        <v>6.8445253572846365</v>
      </c>
      <c r="N50" s="20">
        <f>SUMPRODUCT(Oxides_typical!$C50:$BB50,Factors!$C$21:$BB$21)</f>
        <v>0.30017226313818496</v>
      </c>
      <c r="O50" s="20">
        <f>SUMPRODUCT(Oxides_typical!$C50:$BB50,Factors!$C$22:$BB$22)</f>
        <v>0</v>
      </c>
      <c r="P50" s="20">
        <f>SUMPRODUCT(Oxides_typical!$C50:$BB50,Factors!$C$23:$BB$23)</f>
        <v>0</v>
      </c>
      <c r="Q50" s="20">
        <f>SUMPRODUCT(Oxides_typical!$C50:$BB50,Factors!$C$24:$BB$24)</f>
        <v>0</v>
      </c>
      <c r="R50" s="20">
        <f>SUMPRODUCT(Oxides_typical!$C50:$BB50,Factors!$C$25:$BB$25)</f>
        <v>0.12611658384995647</v>
      </c>
      <c r="S50" s="20">
        <f>SUMPRODUCT(Oxides_typical!$C50:$BB50,Factors!$C$26:$BB$26)</f>
        <v>0.14112572137127424</v>
      </c>
      <c r="T50" s="20">
        <f>SUMPRODUCT(Oxides_typical!$C50:$BB50,Factors!$C$27:$BB$27)</f>
        <v>0</v>
      </c>
      <c r="U50" s="20">
        <f>SUMPRODUCT(Oxides_typical!$C50:$BB50,Factors!$C$28:$BB$28)</f>
        <v>0</v>
      </c>
      <c r="V50" s="20">
        <f>SUMPRODUCT(Oxides_typical!$C50:$BB50,Factors!$C$29:$BB$29)</f>
        <v>0</v>
      </c>
      <c r="W50" s="20">
        <f>SUMPRODUCT(Oxides_typical!$C50:$BB50,Factors!$C$30:$BB$30)</f>
        <v>0</v>
      </c>
      <c r="X50" s="20">
        <f>SUMPRODUCT(Oxides_typical!$C50:$BB50,Factors!$C$31:$BB$31)</f>
        <v>0</v>
      </c>
      <c r="Y50" s="20">
        <f>SUMPRODUCT(Oxides_typical!$C50:$BB50,Factors!$C$32:$BB$32)</f>
        <v>0</v>
      </c>
      <c r="Z50" s="20">
        <f>SUMPRODUCT(Oxides_typical!$C50:$BB50,Factors!$C$33:$BB$33)</f>
        <v>0</v>
      </c>
      <c r="AA50" s="20">
        <f>SUMPRODUCT(Oxides_typical!$C50:$BB50,Factors!$C$34:$BB$34)</f>
        <v>0</v>
      </c>
      <c r="AB50" s="20">
        <f>SUMPRODUCT(Oxides_typical!$C50:$BB50,Factors!$C$35:$BB$35)</f>
        <v>0</v>
      </c>
      <c r="AC50" s="20">
        <f>SUMPRODUCT(Oxides_typical!$C50:$BB50,Factors!$C$36:$BB$36)</f>
        <v>0</v>
      </c>
      <c r="AD50" s="20">
        <f>SUMPRODUCT(Oxides_typical!$C50:$BB50,Factors!$C$37:$BB$37)</f>
        <v>1.3037135720233139</v>
      </c>
      <c r="AE50" s="20">
        <f>SUMPRODUCT(Oxides_typical!$C50:$BB50,Factors!$C$38:$BB$38)</f>
        <v>0</v>
      </c>
      <c r="AF50" s="20">
        <f>SUMPRODUCT(Oxides_typical!$C50:$BB50,Factors!$C$39:$BB$39)</f>
        <v>0</v>
      </c>
      <c r="AG50" s="20">
        <f>SUMPRODUCT(Oxides_typical!$C50:$BB50,Factors!$C$40:$BB$40)</f>
        <v>0</v>
      </c>
      <c r="AH50" s="20">
        <f>SUMPRODUCT(Oxides_typical!$C50:$BB50,Factors!$C$41:$BB$41)</f>
        <v>0</v>
      </c>
      <c r="AI50" s="20">
        <f>SUMPRODUCT(Oxides_typical!$C50:$BB50,Factors!$C$42:$BB$42)</f>
        <v>0</v>
      </c>
      <c r="AJ50" s="20">
        <f>SUMPRODUCT(Oxides_typical!$C50:$BB50,Factors!$C$43:$BB$43)</f>
        <v>0</v>
      </c>
      <c r="AK50" s="20">
        <f>SUMPRODUCT(Oxides_typical!$C50:$BB50,Factors!$C$44:$BB$44)</f>
        <v>0</v>
      </c>
      <c r="AL50" s="20">
        <f>SUMPRODUCT(Oxides_typical!$C50:$BB50,Factors!$C$45:$BB$45)</f>
        <v>0</v>
      </c>
      <c r="AM50" s="20">
        <f>SUMPRODUCT(Oxides_typical!$C50:$BB50,Factors!$C$46:$BB$46)</f>
        <v>0</v>
      </c>
      <c r="AN50" s="20">
        <f>SUMPRODUCT(Oxides_typical!$C50:$BB50,Factors!$C$47:$BB$47)</f>
        <v>0</v>
      </c>
      <c r="AO50" s="20">
        <f>SUMPRODUCT(Oxides_typical!$C50:$BB50,Factors!$C$48:$BB$48)</f>
        <v>0</v>
      </c>
      <c r="AP50" s="20">
        <f>SUMPRODUCT(Oxides_typical!$C50:$BB50,Factors!$C$49:$BB$49)</f>
        <v>0</v>
      </c>
      <c r="AQ50" s="20">
        <f>SUMPRODUCT(Oxides_typical!$C50:$BB50,Factors!$C$50:$BB$50)</f>
        <v>0</v>
      </c>
      <c r="AR50" s="20">
        <f>SUMPRODUCT(Oxides_typical!$C50:$BB50,Factors!$C$51:$BB$51)</f>
        <v>0</v>
      </c>
      <c r="AS50" s="20">
        <f>SUMPRODUCT(Oxides_typical!$C50:$BB50,Factors!$C$52:$BB$52)</f>
        <v>0</v>
      </c>
      <c r="AT50" s="20">
        <f>SUMPRODUCT(Oxides_typical!$C50:$BB50,Factors!$C$53:$BB$53)</f>
        <v>0</v>
      </c>
      <c r="AU50" s="20">
        <f>SUMPRODUCT(Oxides_typical!$C50:$BB50,Factors!$C$54:$BB$54)</f>
        <v>0</v>
      </c>
      <c r="AV50" s="20">
        <f>SUMPRODUCT(Oxides_typical!$C50:$BB50,Factors!$C$55:$BB$55)</f>
        <v>0</v>
      </c>
      <c r="AW50" s="20">
        <f>SUMPRODUCT(Oxides_typical!$C50:$BB50,Factors!$C$56:$BB$56)</f>
        <v>0</v>
      </c>
      <c r="AX50" s="20">
        <f>SUMPRODUCT(Oxides_typical!$C50:$BB50,Factors!$C$57:$BB$57)</f>
        <v>0</v>
      </c>
      <c r="AY50" s="20">
        <f>SUMPRODUCT(Oxides_typical!$C50:$BB50,Factors!$C$58:$BB$58)</f>
        <v>0</v>
      </c>
      <c r="AZ50" s="18">
        <f t="shared" si="3"/>
        <v>99.95999999999998</v>
      </c>
    </row>
    <row r="51" spans="1:52" x14ac:dyDescent="0.35">
      <c r="A51" s="13" t="s">
        <v>444</v>
      </c>
      <c r="B51" s="20">
        <f>SUMPRODUCT(Oxides_typical!$C51:$BB51,Factors!$C$9:$BB$9)</f>
        <v>44.291843745715255</v>
      </c>
      <c r="C51" s="20">
        <f>SUMPRODUCT(Oxides_typical!$C51:$BB51,Factors!$C$10:$BB$10)</f>
        <v>22.708075495564469</v>
      </c>
      <c r="D51" s="20">
        <f>SUMPRODUCT(Oxides_typical!$C51:$BB51,Factors!$C$11:$BB$11)</f>
        <v>0</v>
      </c>
      <c r="E51" s="20">
        <f>SUMPRODUCT(Oxides_typical!$C51:$BB51,Factors!$C$12:$BB$12)</f>
        <v>0</v>
      </c>
      <c r="F51" s="20">
        <f>SUMPRODUCT(Oxides_typical!$C51:$BB51,Factors!$C$13:$BB$13)</f>
        <v>0</v>
      </c>
      <c r="G51" s="20">
        <f>SUMPRODUCT(Oxides_typical!$C51:$BB51,Factors!$C$14:$BB$14)</f>
        <v>0</v>
      </c>
      <c r="H51" s="20">
        <f>SUMPRODUCT(Oxides_typical!$C51:$BB51,Factors!$C$15:$BB$15)</f>
        <v>15.311402889682009</v>
      </c>
      <c r="I51" s="20">
        <f>SUMPRODUCT(Oxides_typical!$C51:$BB51,Factors!$C$16:$BB$16)</f>
        <v>3.1092366794721899E-2</v>
      </c>
      <c r="J51" s="20">
        <f>SUMPRODUCT(Oxides_typical!$C51:$BB51,Factors!$C$17:$BB$17)</f>
        <v>0.7125050274155772</v>
      </c>
      <c r="K51" s="20">
        <f>SUMPRODUCT(Oxides_typical!$C51:$BB51,Factors!$C$18:$BB$18)</f>
        <v>0</v>
      </c>
      <c r="L51" s="20">
        <f>SUMPRODUCT(Oxides_typical!$C51:$BB51,Factors!$C$19:$BB$19)</f>
        <v>0</v>
      </c>
      <c r="M51" s="20">
        <f>SUMPRODUCT(Oxides_typical!$C51:$BB51,Factors!$C$20:$BB$20)</f>
        <v>0</v>
      </c>
      <c r="N51" s="20">
        <f>SUMPRODUCT(Oxides_typical!$C51:$BB51,Factors!$C$21:$BB$21)</f>
        <v>0</v>
      </c>
      <c r="O51" s="20">
        <f>SUMPRODUCT(Oxides_typical!$C51:$BB51,Factors!$C$22:$BB$22)</f>
        <v>0</v>
      </c>
      <c r="P51" s="20">
        <f>SUMPRODUCT(Oxides_typical!$C51:$BB51,Factors!$C$23:$BB$23)</f>
        <v>0</v>
      </c>
      <c r="Q51" s="20">
        <f>SUMPRODUCT(Oxides_typical!$C51:$BB51,Factors!$C$24:$BB$24)</f>
        <v>0</v>
      </c>
      <c r="R51" s="20">
        <f>SUMPRODUCT(Oxides_typical!$C51:$BB51,Factors!$C$25:$BB$25)</f>
        <v>0.64542016440860062</v>
      </c>
      <c r="S51" s="20">
        <f>SUMPRODUCT(Oxides_typical!$C51:$BB51,Factors!$C$26:$BB$26)</f>
        <v>8.3181160478833398</v>
      </c>
      <c r="T51" s="20">
        <f>SUMPRODUCT(Oxides_typical!$C51:$BB51,Factors!$C$27:$BB$27)</f>
        <v>1.7187991565982799</v>
      </c>
      <c r="U51" s="20">
        <f>SUMPRODUCT(Oxides_typical!$C51:$BB51,Factors!$C$28:$BB$28)</f>
        <v>0</v>
      </c>
      <c r="V51" s="20">
        <f>SUMPRODUCT(Oxides_typical!$C51:$BB51,Factors!$C$29:$BB$29)</f>
        <v>0</v>
      </c>
      <c r="W51" s="20">
        <f>SUMPRODUCT(Oxides_typical!$C51:$BB51,Factors!$C$30:$BB$30)</f>
        <v>0</v>
      </c>
      <c r="X51" s="20">
        <f>SUMPRODUCT(Oxides_typical!$C51:$BB51,Factors!$C$31:$BB$31)</f>
        <v>0</v>
      </c>
      <c r="Y51" s="20">
        <f>SUMPRODUCT(Oxides_typical!$C51:$BB51,Factors!$C$32:$BB$32)</f>
        <v>0</v>
      </c>
      <c r="Z51" s="20">
        <f>SUMPRODUCT(Oxides_typical!$C51:$BB51,Factors!$C$33:$BB$33)</f>
        <v>0</v>
      </c>
      <c r="AA51" s="20">
        <f>SUMPRODUCT(Oxides_typical!$C51:$BB51,Factors!$C$34:$BB$34)</f>
        <v>0</v>
      </c>
      <c r="AB51" s="20">
        <f>SUMPRODUCT(Oxides_typical!$C51:$BB51,Factors!$C$35:$BB$35)</f>
        <v>0</v>
      </c>
      <c r="AC51" s="20">
        <f>SUMPRODUCT(Oxides_typical!$C51:$BB51,Factors!$C$36:$BB$36)</f>
        <v>0</v>
      </c>
      <c r="AD51" s="20">
        <f>SUMPRODUCT(Oxides_typical!$C51:$BB51,Factors!$C$37:$BB$37)</f>
        <v>0.34691090757701915</v>
      </c>
      <c r="AE51" s="20">
        <f>SUMPRODUCT(Oxides_typical!$C51:$BB51,Factors!$C$38:$BB$38)</f>
        <v>4.93</v>
      </c>
      <c r="AF51" s="20">
        <f>SUMPRODUCT(Oxides_typical!$C51:$BB51,Factors!$C$39:$BB$39)</f>
        <v>0</v>
      </c>
      <c r="AG51" s="20">
        <f>SUMPRODUCT(Oxides_typical!$C51:$BB51,Factors!$C$40:$BB$40)</f>
        <v>0</v>
      </c>
      <c r="AH51" s="20">
        <f>SUMPRODUCT(Oxides_typical!$C51:$BB51,Factors!$C$41:$BB$41)</f>
        <v>0</v>
      </c>
      <c r="AI51" s="20">
        <f>SUMPRODUCT(Oxides_typical!$C51:$BB51,Factors!$C$42:$BB$42)</f>
        <v>0</v>
      </c>
      <c r="AJ51" s="20">
        <f>SUMPRODUCT(Oxides_typical!$C51:$BB51,Factors!$C$43:$BB$43)</f>
        <v>0</v>
      </c>
      <c r="AK51" s="20">
        <f>SUMPRODUCT(Oxides_typical!$C51:$BB51,Factors!$C$44:$BB$44)</f>
        <v>0</v>
      </c>
      <c r="AL51" s="20">
        <f>SUMPRODUCT(Oxides_typical!$C51:$BB51,Factors!$C$45:$BB$45)</f>
        <v>0</v>
      </c>
      <c r="AM51" s="20">
        <f>SUMPRODUCT(Oxides_typical!$C51:$BB51,Factors!$C$46:$BB$46)</f>
        <v>0</v>
      </c>
      <c r="AN51" s="20">
        <f>SUMPRODUCT(Oxides_typical!$C51:$BB51,Factors!$C$47:$BB$47)</f>
        <v>0</v>
      </c>
      <c r="AO51" s="20">
        <f>SUMPRODUCT(Oxides_typical!$C51:$BB51,Factors!$C$48:$BB$48)</f>
        <v>0</v>
      </c>
      <c r="AP51" s="20">
        <f>SUMPRODUCT(Oxides_typical!$C51:$BB51,Factors!$C$49:$BB$49)</f>
        <v>0</v>
      </c>
      <c r="AQ51" s="20">
        <f>SUMPRODUCT(Oxides_typical!$C51:$BB51,Factors!$C$50:$BB$50)</f>
        <v>0</v>
      </c>
      <c r="AR51" s="20">
        <f>SUMPRODUCT(Oxides_typical!$C51:$BB51,Factors!$C$51:$BB$51)</f>
        <v>0</v>
      </c>
      <c r="AS51" s="20">
        <f>SUMPRODUCT(Oxides_typical!$C51:$BB51,Factors!$C$52:$BB$52)</f>
        <v>0</v>
      </c>
      <c r="AT51" s="20">
        <f>SUMPRODUCT(Oxides_typical!$C51:$BB51,Factors!$C$53:$BB$53)</f>
        <v>0</v>
      </c>
      <c r="AU51" s="20">
        <f>SUMPRODUCT(Oxides_typical!$C51:$BB51,Factors!$C$54:$BB$54)</f>
        <v>0</v>
      </c>
      <c r="AV51" s="20">
        <f>SUMPRODUCT(Oxides_typical!$C51:$BB51,Factors!$C$55:$BB$55)</f>
        <v>0</v>
      </c>
      <c r="AW51" s="20">
        <f>SUMPRODUCT(Oxides_typical!$C51:$BB51,Factors!$C$56:$BB$56)</f>
        <v>0</v>
      </c>
      <c r="AX51" s="20">
        <f>SUMPRODUCT(Oxides_typical!$C51:$BB51,Factors!$C$57:$BB$57)</f>
        <v>0</v>
      </c>
      <c r="AY51" s="20">
        <f>SUMPRODUCT(Oxides_typical!$C51:$BB51,Factors!$C$58:$BB$58)</f>
        <v>0</v>
      </c>
      <c r="AZ51" s="18">
        <f t="shared" si="3"/>
        <v>99.01416580163928</v>
      </c>
    </row>
    <row r="52" spans="1:52" x14ac:dyDescent="0.35">
      <c r="A52" s="13" t="s">
        <v>446</v>
      </c>
      <c r="B52" s="20">
        <f>SUMPRODUCT(Oxides_typical!$C52:$BB52,Factors!$C$9:$BB$9)</f>
        <v>37.922931188761495</v>
      </c>
      <c r="C52" s="20">
        <f>SUMPRODUCT(Oxides_typical!$C52:$BB52,Factors!$C$10:$BB$10)</f>
        <v>0</v>
      </c>
      <c r="D52" s="20">
        <f>SUMPRODUCT(Oxides_typical!$C52:$BB52,Factors!$C$11:$BB$11)</f>
        <v>0</v>
      </c>
      <c r="E52" s="20">
        <f>SUMPRODUCT(Oxides_typical!$C52:$BB52,Factors!$C$12:$BB$12)</f>
        <v>0</v>
      </c>
      <c r="F52" s="20">
        <f>SUMPRODUCT(Oxides_typical!$C52:$BB52,Factors!$C$13:$BB$13)</f>
        <v>0</v>
      </c>
      <c r="G52" s="20">
        <f>SUMPRODUCT(Oxides_typical!$C52:$BB52,Factors!$C$14:$BB$14)</f>
        <v>0</v>
      </c>
      <c r="H52" s="20">
        <f>SUMPRODUCT(Oxides_typical!$C52:$BB52,Factors!$C$15:$BB$15)</f>
        <v>0</v>
      </c>
      <c r="I52" s="20">
        <f>SUMPRODUCT(Oxides_typical!$C52:$BB52,Factors!$C$16:$BB$16)</f>
        <v>0</v>
      </c>
      <c r="J52" s="20">
        <f>SUMPRODUCT(Oxides_typical!$C52:$BB52,Factors!$C$17:$BB$17)</f>
        <v>0</v>
      </c>
      <c r="K52" s="20">
        <f>SUMPRODUCT(Oxides_typical!$C52:$BB52,Factors!$C$18:$BB$18)</f>
        <v>0</v>
      </c>
      <c r="L52" s="20">
        <f>SUMPRODUCT(Oxides_typical!$C52:$BB52,Factors!$C$19:$BB$19)</f>
        <v>0</v>
      </c>
      <c r="M52" s="20">
        <f>SUMPRODUCT(Oxides_typical!$C52:$BB52,Factors!$C$20:$BB$20)</f>
        <v>0</v>
      </c>
      <c r="N52" s="20">
        <f>SUMPRODUCT(Oxides_typical!$C52:$BB52,Factors!$C$21:$BB$21)</f>
        <v>39.679914403409597</v>
      </c>
      <c r="O52" s="20">
        <f>SUMPRODUCT(Oxides_typical!$C52:$BB52,Factors!$C$22:$BB$22)</f>
        <v>0</v>
      </c>
      <c r="P52" s="20">
        <f>SUMPRODUCT(Oxides_typical!$C52:$BB52,Factors!$C$23:$BB$23)</f>
        <v>0</v>
      </c>
      <c r="Q52" s="20">
        <f>SUMPRODUCT(Oxides_typical!$C52:$BB52,Factors!$C$24:$BB$24)</f>
        <v>0</v>
      </c>
      <c r="R52" s="20">
        <f>SUMPRODUCT(Oxides_typical!$C52:$BB52,Factors!$C$25:$BB$25)</f>
        <v>0</v>
      </c>
      <c r="S52" s="20">
        <f>SUMPRODUCT(Oxides_typical!$C52:$BB52,Factors!$C$26:$BB$26)</f>
        <v>0</v>
      </c>
      <c r="T52" s="20">
        <f>SUMPRODUCT(Oxides_typical!$C52:$BB52,Factors!$C$27:$BB$27)</f>
        <v>0</v>
      </c>
      <c r="U52" s="20">
        <f>SUMPRODUCT(Oxides_typical!$C52:$BB52,Factors!$C$28:$BB$28)</f>
        <v>0</v>
      </c>
      <c r="V52" s="20">
        <f>SUMPRODUCT(Oxides_typical!$C52:$BB52,Factors!$C$29:$BB$29)</f>
        <v>0</v>
      </c>
      <c r="W52" s="20">
        <f>SUMPRODUCT(Oxides_typical!$C52:$BB52,Factors!$C$30:$BB$30)</f>
        <v>0</v>
      </c>
      <c r="X52" s="20">
        <f>SUMPRODUCT(Oxides_typical!$C52:$BB52,Factors!$C$31:$BB$31)</f>
        <v>0</v>
      </c>
      <c r="Y52" s="20">
        <f>SUMPRODUCT(Oxides_typical!$C52:$BB52,Factors!$C$32:$BB$32)</f>
        <v>0</v>
      </c>
      <c r="Z52" s="20">
        <f>SUMPRODUCT(Oxides_typical!$C52:$BB52,Factors!$C$33:$BB$33)</f>
        <v>18.334290597406152</v>
      </c>
      <c r="AA52" s="20">
        <f>SUMPRODUCT(Oxides_typical!$C52:$BB52,Factors!$C$34:$BB$34)</f>
        <v>0</v>
      </c>
      <c r="AB52" s="20">
        <f>SUMPRODUCT(Oxides_typical!$C52:$BB52,Factors!$C$35:$BB$35)</f>
        <v>0</v>
      </c>
      <c r="AC52" s="20">
        <f>SUMPRODUCT(Oxides_typical!$C52:$BB52,Factors!$C$36:$BB$36)</f>
        <v>0</v>
      </c>
      <c r="AD52" s="20">
        <f>SUMPRODUCT(Oxides_typical!$C52:$BB52,Factors!$C$37:$BB$37)</f>
        <v>0</v>
      </c>
      <c r="AE52" s="20">
        <f>SUMPRODUCT(Oxides_typical!$C52:$BB52,Factors!$C$38:$BB$38)</f>
        <v>3.89</v>
      </c>
      <c r="AF52" s="20">
        <f>SUMPRODUCT(Oxides_typical!$C52:$BB52,Factors!$C$39:$BB$39)</f>
        <v>0</v>
      </c>
      <c r="AG52" s="20">
        <f>SUMPRODUCT(Oxides_typical!$C52:$BB52,Factors!$C$40:$BB$40)</f>
        <v>0</v>
      </c>
      <c r="AH52" s="20">
        <f>SUMPRODUCT(Oxides_typical!$C52:$BB52,Factors!$C$41:$BB$41)</f>
        <v>0</v>
      </c>
      <c r="AI52" s="20">
        <f>SUMPRODUCT(Oxides_typical!$C52:$BB52,Factors!$C$42:$BB$42)</f>
        <v>0</v>
      </c>
      <c r="AJ52" s="20">
        <f>SUMPRODUCT(Oxides_typical!$C52:$BB52,Factors!$C$43:$BB$43)</f>
        <v>7.8744395476737228E-2</v>
      </c>
      <c r="AK52" s="20">
        <f>SUMPRODUCT(Oxides_typical!$C52:$BB52,Factors!$C$44:$BB$44)</f>
        <v>0</v>
      </c>
      <c r="AL52" s="20">
        <f>SUMPRODUCT(Oxides_typical!$C52:$BB52,Factors!$C$45:$BB$45)</f>
        <v>0</v>
      </c>
      <c r="AM52" s="20">
        <f>SUMPRODUCT(Oxides_typical!$C52:$BB52,Factors!$C$46:$BB$46)</f>
        <v>0</v>
      </c>
      <c r="AN52" s="20">
        <f>SUMPRODUCT(Oxides_typical!$C52:$BB52,Factors!$C$47:$BB$47)</f>
        <v>5.1441359244652742E-2</v>
      </c>
      <c r="AO52" s="20">
        <f>SUMPRODUCT(Oxides_typical!$C52:$BB52,Factors!$C$48:$BB$48)</f>
        <v>0</v>
      </c>
      <c r="AP52" s="20">
        <f>SUMPRODUCT(Oxides_typical!$C52:$BB52,Factors!$C$49:$BB$49)</f>
        <v>0</v>
      </c>
      <c r="AQ52" s="20">
        <f>SUMPRODUCT(Oxides_typical!$C52:$BB52,Factors!$C$50:$BB$50)</f>
        <v>5.2055603218785253E-2</v>
      </c>
      <c r="AR52" s="20">
        <f>SUMPRODUCT(Oxides_typical!$C52:$BB52,Factors!$C$51:$BB$51)</f>
        <v>0</v>
      </c>
      <c r="AS52" s="20">
        <f>SUMPRODUCT(Oxides_typical!$C52:$BB52,Factors!$C$52:$BB$52)</f>
        <v>0</v>
      </c>
      <c r="AT52" s="20">
        <f>SUMPRODUCT(Oxides_typical!$C52:$BB52,Factors!$C$53:$BB$53)</f>
        <v>0</v>
      </c>
      <c r="AU52" s="20">
        <f>SUMPRODUCT(Oxides_typical!$C52:$BB52,Factors!$C$54:$BB$54)</f>
        <v>0</v>
      </c>
      <c r="AV52" s="20">
        <f>SUMPRODUCT(Oxides_typical!$C52:$BB52,Factors!$C$55:$BB$55)</f>
        <v>0</v>
      </c>
      <c r="AW52" s="20">
        <f>SUMPRODUCT(Oxides_typical!$C52:$BB52,Factors!$C$56:$BB$56)</f>
        <v>5.2692425784154256E-2</v>
      </c>
      <c r="AX52" s="20">
        <f>SUMPRODUCT(Oxides_typical!$C52:$BB52,Factors!$C$57:$BB$57)</f>
        <v>0</v>
      </c>
      <c r="AY52" s="20">
        <f>SUMPRODUCT(Oxides_typical!$C52:$BB52,Factors!$C$58:$BB$58)</f>
        <v>0</v>
      </c>
      <c r="AZ52" s="18">
        <f t="shared" si="3"/>
        <v>100.06206997330158</v>
      </c>
    </row>
    <row r="53" spans="1:52" x14ac:dyDescent="0.35">
      <c r="A53" s="13" t="s">
        <v>447</v>
      </c>
      <c r="B53" s="20">
        <f>SUMPRODUCT(Oxides_typical!$C53:$BB53,Factors!$C$9:$BB$9)</f>
        <v>53.078999702215441</v>
      </c>
      <c r="C53" s="20">
        <f>SUMPRODUCT(Oxides_typical!$C53:$BB53,Factors!$C$10:$BB$10)</f>
        <v>30.65917397599987</v>
      </c>
      <c r="D53" s="20">
        <f>SUMPRODUCT(Oxides_typical!$C53:$BB53,Factors!$C$11:$BB$11)</f>
        <v>0</v>
      </c>
      <c r="E53" s="20">
        <f>SUMPRODUCT(Oxides_typical!$C53:$BB53,Factors!$C$12:$BB$12)</f>
        <v>0</v>
      </c>
      <c r="F53" s="20">
        <f>SUMPRODUCT(Oxides_typical!$C53:$BB53,Factors!$C$13:$BB$13)</f>
        <v>0</v>
      </c>
      <c r="G53" s="20">
        <f>SUMPRODUCT(Oxides_typical!$C53:$BB53,Factors!$C$14:$BB$14)</f>
        <v>0</v>
      </c>
      <c r="H53" s="20">
        <f>SUMPRODUCT(Oxides_typical!$C53:$BB53,Factors!$C$15:$BB$15)</f>
        <v>9.658938912433344</v>
      </c>
      <c r="I53" s="20">
        <f>SUMPRODUCT(Oxides_typical!$C53:$BB53,Factors!$C$16:$BB$16)</f>
        <v>0.90167863704693496</v>
      </c>
      <c r="J53" s="20">
        <f>SUMPRODUCT(Oxides_typical!$C53:$BB53,Factors!$C$17:$BB$17)</f>
        <v>0</v>
      </c>
      <c r="K53" s="20">
        <f>SUMPRODUCT(Oxides_typical!$C53:$BB53,Factors!$C$18:$BB$18)</f>
        <v>0</v>
      </c>
      <c r="L53" s="20">
        <f>SUMPRODUCT(Oxides_typical!$C53:$BB53,Factors!$C$19:$BB$19)</f>
        <v>0</v>
      </c>
      <c r="M53" s="20">
        <f>SUMPRODUCT(Oxides_typical!$C53:$BB53,Factors!$C$20:$BB$20)</f>
        <v>0</v>
      </c>
      <c r="N53" s="20">
        <f>SUMPRODUCT(Oxides_typical!$C53:$BB53,Factors!$C$21:$BB$21)</f>
        <v>0</v>
      </c>
      <c r="O53" s="20">
        <f>SUMPRODUCT(Oxides_typical!$C53:$BB53,Factors!$C$22:$BB$22)</f>
        <v>0</v>
      </c>
      <c r="P53" s="20">
        <f>SUMPRODUCT(Oxides_typical!$C53:$BB53,Factors!$C$23:$BB$23)</f>
        <v>0</v>
      </c>
      <c r="Q53" s="20">
        <f>SUMPRODUCT(Oxides_typical!$C53:$BB53,Factors!$C$24:$BB$24)</f>
        <v>0</v>
      </c>
      <c r="R53" s="20">
        <f>SUMPRODUCT(Oxides_typical!$C53:$BB53,Factors!$C$25:$BB$25)</f>
        <v>0.19288418706463928</v>
      </c>
      <c r="S53" s="20">
        <f>SUMPRODUCT(Oxides_typical!$C53:$BB53,Factors!$C$26:$BB$26)</f>
        <v>0</v>
      </c>
      <c r="T53" s="20">
        <f>SUMPRODUCT(Oxides_typical!$C53:$BB53,Factors!$C$27:$BB$27)</f>
        <v>0</v>
      </c>
      <c r="U53" s="20">
        <f>SUMPRODUCT(Oxides_typical!$C53:$BB53,Factors!$C$28:$BB$28)</f>
        <v>0</v>
      </c>
      <c r="V53" s="20">
        <f>SUMPRODUCT(Oxides_typical!$C53:$BB53,Factors!$C$29:$BB$29)</f>
        <v>4.8499898641739989</v>
      </c>
      <c r="W53" s="20">
        <f>SUMPRODUCT(Oxides_typical!$C53:$BB53,Factors!$C$30:$BB$30)</f>
        <v>0</v>
      </c>
      <c r="X53" s="20">
        <f>SUMPRODUCT(Oxides_typical!$C53:$BB53,Factors!$C$31:$BB$31)</f>
        <v>0</v>
      </c>
      <c r="Y53" s="20">
        <f>SUMPRODUCT(Oxides_typical!$C53:$BB53,Factors!$C$32:$BB$32)</f>
        <v>0</v>
      </c>
      <c r="Z53" s="20">
        <f>SUMPRODUCT(Oxides_typical!$C53:$BB53,Factors!$C$33:$BB$33)</f>
        <v>0</v>
      </c>
      <c r="AA53" s="20">
        <f>SUMPRODUCT(Oxides_typical!$C53:$BB53,Factors!$C$34:$BB$34)</f>
        <v>0</v>
      </c>
      <c r="AB53" s="20">
        <f>SUMPRODUCT(Oxides_typical!$C53:$BB53,Factors!$C$35:$BB$35)</f>
        <v>0</v>
      </c>
      <c r="AC53" s="20">
        <f>SUMPRODUCT(Oxides_typical!$C53:$BB53,Factors!$C$36:$BB$36)</f>
        <v>0</v>
      </c>
      <c r="AD53" s="20">
        <f>SUMPRODUCT(Oxides_typical!$C53:$BB53,Factors!$C$37:$BB$37)</f>
        <v>7.8334721065778504E-2</v>
      </c>
      <c r="AE53" s="20">
        <f>SUMPRODUCT(Oxides_typical!$C53:$BB53,Factors!$C$38:$BB$38)</f>
        <v>0</v>
      </c>
      <c r="AF53" s="20">
        <f>SUMPRODUCT(Oxides_typical!$C53:$BB53,Factors!$C$39:$BB$39)</f>
        <v>0</v>
      </c>
      <c r="AG53" s="20">
        <f>SUMPRODUCT(Oxides_typical!$C53:$BB53,Factors!$C$40:$BB$40)</f>
        <v>0</v>
      </c>
      <c r="AH53" s="20">
        <f>SUMPRODUCT(Oxides_typical!$C53:$BB53,Factors!$C$41:$BB$41)</f>
        <v>0</v>
      </c>
      <c r="AI53" s="20">
        <f>SUMPRODUCT(Oxides_typical!$C53:$BB53,Factors!$C$42:$BB$42)</f>
        <v>0</v>
      </c>
      <c r="AJ53" s="20">
        <f>SUMPRODUCT(Oxides_typical!$C53:$BB53,Factors!$C$43:$BB$43)</f>
        <v>0</v>
      </c>
      <c r="AK53" s="20">
        <f>SUMPRODUCT(Oxides_typical!$C53:$BB53,Factors!$C$44:$BB$44)</f>
        <v>0</v>
      </c>
      <c r="AL53" s="20">
        <f>SUMPRODUCT(Oxides_typical!$C53:$BB53,Factors!$C$45:$BB$45)</f>
        <v>0</v>
      </c>
      <c r="AM53" s="20">
        <f>SUMPRODUCT(Oxides_typical!$C53:$BB53,Factors!$C$46:$BB$46)</f>
        <v>0</v>
      </c>
      <c r="AN53" s="20">
        <f>SUMPRODUCT(Oxides_typical!$C53:$BB53,Factors!$C$47:$BB$47)</f>
        <v>0</v>
      </c>
      <c r="AO53" s="20">
        <f>SUMPRODUCT(Oxides_typical!$C53:$BB53,Factors!$C$48:$BB$48)</f>
        <v>0</v>
      </c>
      <c r="AP53" s="20">
        <f>SUMPRODUCT(Oxides_typical!$C53:$BB53,Factors!$C$49:$BB$49)</f>
        <v>0</v>
      </c>
      <c r="AQ53" s="20">
        <f>SUMPRODUCT(Oxides_typical!$C53:$BB53,Factors!$C$50:$BB$50)</f>
        <v>0</v>
      </c>
      <c r="AR53" s="20">
        <f>SUMPRODUCT(Oxides_typical!$C53:$BB53,Factors!$C$51:$BB$51)</f>
        <v>0</v>
      </c>
      <c r="AS53" s="20">
        <f>SUMPRODUCT(Oxides_typical!$C53:$BB53,Factors!$C$52:$BB$52)</f>
        <v>0</v>
      </c>
      <c r="AT53" s="20">
        <f>SUMPRODUCT(Oxides_typical!$C53:$BB53,Factors!$C$53:$BB$53)</f>
        <v>0</v>
      </c>
      <c r="AU53" s="20">
        <f>SUMPRODUCT(Oxides_typical!$C53:$BB53,Factors!$C$54:$BB$54)</f>
        <v>0</v>
      </c>
      <c r="AV53" s="20">
        <f>SUMPRODUCT(Oxides_typical!$C53:$BB53,Factors!$C$55:$BB$55)</f>
        <v>0</v>
      </c>
      <c r="AW53" s="20">
        <f>SUMPRODUCT(Oxides_typical!$C53:$BB53,Factors!$C$56:$BB$56)</f>
        <v>0</v>
      </c>
      <c r="AX53" s="20">
        <f>SUMPRODUCT(Oxides_typical!$C53:$BB53,Factors!$C$57:$BB$57)</f>
        <v>0</v>
      </c>
      <c r="AY53" s="20">
        <f>SUMPRODUCT(Oxides_typical!$C53:$BB53,Factors!$C$58:$BB$58)</f>
        <v>0</v>
      </c>
      <c r="AZ53" s="18">
        <f t="shared" si="3"/>
        <v>99.419999999999987</v>
      </c>
    </row>
    <row r="54" spans="1:52" x14ac:dyDescent="0.35">
      <c r="A54" s="13" t="s">
        <v>449</v>
      </c>
      <c r="B54" s="20">
        <f>SUMPRODUCT(Oxides_typical!$C54:$BB54,Factors!$C$9:$BB$9)</f>
        <v>53.493568932615482</v>
      </c>
      <c r="C54" s="20">
        <f>SUMPRODUCT(Oxides_typical!$C54:$BB54,Factors!$C$10:$BB$10)</f>
        <v>0</v>
      </c>
      <c r="D54" s="20">
        <f>SUMPRODUCT(Oxides_typical!$C54:$BB54,Factors!$C$11:$BB$11)</f>
        <v>0</v>
      </c>
      <c r="E54" s="20">
        <f>SUMPRODUCT(Oxides_typical!$C54:$BB54,Factors!$C$12:$BB$12)</f>
        <v>0</v>
      </c>
      <c r="F54" s="20">
        <f>SUMPRODUCT(Oxides_typical!$C54:$BB54,Factors!$C$13:$BB$13)</f>
        <v>0</v>
      </c>
      <c r="G54" s="20">
        <f>SUMPRODUCT(Oxides_typical!$C54:$BB54,Factors!$C$14:$BB$14)</f>
        <v>0</v>
      </c>
      <c r="H54" s="20">
        <f>SUMPRODUCT(Oxides_typical!$C54:$BB54,Factors!$C$15:$BB$15)</f>
        <v>18.576918127474542</v>
      </c>
      <c r="I54" s="20">
        <f>SUMPRODUCT(Oxides_typical!$C54:$BB54,Factors!$C$16:$BB$16)</f>
        <v>0</v>
      </c>
      <c r="J54" s="20">
        <f>SUMPRODUCT(Oxides_typical!$C54:$BB54,Factors!$C$17:$BB$17)</f>
        <v>0</v>
      </c>
      <c r="K54" s="20">
        <f>SUMPRODUCT(Oxides_typical!$C54:$BB54,Factors!$C$18:$BB$18)</f>
        <v>0</v>
      </c>
      <c r="L54" s="20">
        <f>SUMPRODUCT(Oxides_typical!$C54:$BB54,Factors!$C$19:$BB$19)</f>
        <v>0</v>
      </c>
      <c r="M54" s="20">
        <f>SUMPRODUCT(Oxides_typical!$C54:$BB54,Factors!$C$20:$BB$20)</f>
        <v>0</v>
      </c>
      <c r="N54" s="20">
        <f>SUMPRODUCT(Oxides_typical!$C54:$BB54,Factors!$C$21:$BB$21)</f>
        <v>5.7175669169178094E-2</v>
      </c>
      <c r="O54" s="20">
        <f>SUMPRODUCT(Oxides_typical!$C54:$BB54,Factors!$C$22:$BB$22)</f>
        <v>0</v>
      </c>
      <c r="P54" s="20">
        <f>SUMPRODUCT(Oxides_typical!$C54:$BB54,Factors!$C$23:$BB$23)</f>
        <v>0</v>
      </c>
      <c r="Q54" s="20">
        <f>SUMPRODUCT(Oxides_typical!$C54:$BB54,Factors!$C$24:$BB$24)</f>
        <v>0</v>
      </c>
      <c r="R54" s="20">
        <f>SUMPRODUCT(Oxides_typical!$C54:$BB54,Factors!$C$25:$BB$25)</f>
        <v>0.10386071611172885</v>
      </c>
      <c r="S54" s="20">
        <f>SUMPRODUCT(Oxides_typical!$C54:$BB54,Factors!$C$26:$BB$26)</f>
        <v>8.301513021839662E-3</v>
      </c>
      <c r="T54" s="20">
        <f>SUMPRODUCT(Oxides_typical!$C54:$BB54,Factors!$C$27:$BB$27)</f>
        <v>4.4224237758961138</v>
      </c>
      <c r="U54" s="20">
        <f>SUMPRODUCT(Oxides_typical!$C54:$BB54,Factors!$C$28:$BB$28)</f>
        <v>0</v>
      </c>
      <c r="V54" s="20">
        <f>SUMPRODUCT(Oxides_typical!$C54:$BB54,Factors!$C$29:$BB$29)</f>
        <v>0</v>
      </c>
      <c r="W54" s="20">
        <f>SUMPRODUCT(Oxides_typical!$C54:$BB54,Factors!$C$30:$BB$30)</f>
        <v>0</v>
      </c>
      <c r="X54" s="20">
        <f>SUMPRODUCT(Oxides_typical!$C54:$BB54,Factors!$C$31:$BB$31)</f>
        <v>0</v>
      </c>
      <c r="Y54" s="20">
        <f>SUMPRODUCT(Oxides_typical!$C54:$BB54,Factors!$C$32:$BB$32)</f>
        <v>0</v>
      </c>
      <c r="Z54" s="20">
        <f>SUMPRODUCT(Oxides_typical!$C54:$BB54,Factors!$C$33:$BB$33)</f>
        <v>21.432921000681176</v>
      </c>
      <c r="AA54" s="20">
        <f>SUMPRODUCT(Oxides_typical!$C54:$BB54,Factors!$C$34:$BB$34)</f>
        <v>0</v>
      </c>
      <c r="AB54" s="20">
        <f>SUMPRODUCT(Oxides_typical!$C54:$BB54,Factors!$C$35:$BB$35)</f>
        <v>0</v>
      </c>
      <c r="AC54" s="20">
        <f>SUMPRODUCT(Oxides_typical!$C54:$BB54,Factors!$C$36:$BB$36)</f>
        <v>0</v>
      </c>
      <c r="AD54" s="20">
        <f>SUMPRODUCT(Oxides_typical!$C54:$BB54,Factors!$C$37:$BB$37)</f>
        <v>0.59534388009991679</v>
      </c>
      <c r="AE54" s="20">
        <f>SUMPRODUCT(Oxides_typical!$C54:$BB54,Factors!$C$38:$BB$38)</f>
        <v>1.4</v>
      </c>
      <c r="AF54" s="20">
        <f>SUMPRODUCT(Oxides_typical!$C54:$BB54,Factors!$C$39:$BB$39)</f>
        <v>0</v>
      </c>
      <c r="AG54" s="20">
        <f>SUMPRODUCT(Oxides_typical!$C54:$BB54,Factors!$C$40:$BB$40)</f>
        <v>0</v>
      </c>
      <c r="AH54" s="20">
        <f>SUMPRODUCT(Oxides_typical!$C54:$BB54,Factors!$C$41:$BB$41)</f>
        <v>0</v>
      </c>
      <c r="AI54" s="20">
        <f>SUMPRODUCT(Oxides_typical!$C54:$BB54,Factors!$C$42:$BB$42)</f>
        <v>0</v>
      </c>
      <c r="AJ54" s="20">
        <f>SUMPRODUCT(Oxides_typical!$C54:$BB54,Factors!$C$43:$BB$43)</f>
        <v>0</v>
      </c>
      <c r="AK54" s="20">
        <f>SUMPRODUCT(Oxides_typical!$C54:$BB54,Factors!$C$44:$BB$44)</f>
        <v>0</v>
      </c>
      <c r="AL54" s="20">
        <f>SUMPRODUCT(Oxides_typical!$C54:$BB54,Factors!$C$45:$BB$45)</f>
        <v>0</v>
      </c>
      <c r="AM54" s="20">
        <f>SUMPRODUCT(Oxides_typical!$C54:$BB54,Factors!$C$46:$BB$46)</f>
        <v>0</v>
      </c>
      <c r="AN54" s="20">
        <f>SUMPRODUCT(Oxides_typical!$C54:$BB54,Factors!$C$47:$BB$47)</f>
        <v>0</v>
      </c>
      <c r="AO54" s="20">
        <f>SUMPRODUCT(Oxides_typical!$C54:$BB54,Factors!$C$48:$BB$48)</f>
        <v>0</v>
      </c>
      <c r="AP54" s="20">
        <f>SUMPRODUCT(Oxides_typical!$C54:$BB54,Factors!$C$49:$BB$49)</f>
        <v>0</v>
      </c>
      <c r="AQ54" s="20">
        <f>SUMPRODUCT(Oxides_typical!$C54:$BB54,Factors!$C$50:$BB$50)</f>
        <v>0</v>
      </c>
      <c r="AR54" s="20">
        <f>SUMPRODUCT(Oxides_typical!$C54:$BB54,Factors!$C$51:$BB$51)</f>
        <v>0</v>
      </c>
      <c r="AS54" s="20">
        <f>SUMPRODUCT(Oxides_typical!$C54:$BB54,Factors!$C$52:$BB$52)</f>
        <v>0</v>
      </c>
      <c r="AT54" s="20">
        <f>SUMPRODUCT(Oxides_typical!$C54:$BB54,Factors!$C$53:$BB$53)</f>
        <v>0</v>
      </c>
      <c r="AU54" s="20">
        <f>SUMPRODUCT(Oxides_typical!$C54:$BB54,Factors!$C$54:$BB$54)</f>
        <v>0</v>
      </c>
      <c r="AV54" s="20">
        <f>SUMPRODUCT(Oxides_typical!$C54:$BB54,Factors!$C$55:$BB$55)</f>
        <v>0</v>
      </c>
      <c r="AW54" s="20">
        <f>SUMPRODUCT(Oxides_typical!$C54:$BB54,Factors!$C$56:$BB$56)</f>
        <v>0</v>
      </c>
      <c r="AX54" s="20">
        <f>SUMPRODUCT(Oxides_typical!$C54:$BB54,Factors!$C$57:$BB$57)</f>
        <v>0</v>
      </c>
      <c r="AY54" s="20">
        <f>SUMPRODUCT(Oxides_typical!$C54:$BB54,Factors!$C$58:$BB$58)</f>
        <v>0</v>
      </c>
      <c r="AZ54" s="18">
        <f t="shared" si="3"/>
        <v>100.09051361506998</v>
      </c>
    </row>
    <row r="55" spans="1:52" x14ac:dyDescent="0.35">
      <c r="A55" s="13" t="s">
        <v>451</v>
      </c>
      <c r="B55" s="20">
        <f>SUMPRODUCT(Oxides_typical!$C55:$BB55,Factors!$C$9:$BB$9)</f>
        <v>48.482232126226542</v>
      </c>
      <c r="C55" s="20">
        <f>SUMPRODUCT(Oxides_typical!$C55:$BB55,Factors!$C$10:$BB$10)</f>
        <v>30.345991378592949</v>
      </c>
      <c r="D55" s="20">
        <f>SUMPRODUCT(Oxides_typical!$C55:$BB55,Factors!$C$11:$BB$11)</f>
        <v>0</v>
      </c>
      <c r="E55" s="20">
        <f>SUMPRODUCT(Oxides_typical!$C55:$BB55,Factors!$C$12:$BB$12)</f>
        <v>0</v>
      </c>
      <c r="F55" s="20">
        <f>SUMPRODUCT(Oxides_typical!$C55:$BB55,Factors!$C$13:$BB$13)</f>
        <v>0</v>
      </c>
      <c r="G55" s="20">
        <f>SUMPRODUCT(Oxides_typical!$C55:$BB55,Factors!$C$14:$BB$14)</f>
        <v>0</v>
      </c>
      <c r="H55" s="20">
        <f>SUMPRODUCT(Oxides_typical!$C55:$BB55,Factors!$C$15:$BB$15)</f>
        <v>11.749503772932616</v>
      </c>
      <c r="I55" s="20">
        <f>SUMPRODUCT(Oxides_typical!$C55:$BB55,Factors!$C$16:$BB$16)</f>
        <v>0</v>
      </c>
      <c r="J55" s="20">
        <f>SUMPRODUCT(Oxides_typical!$C55:$BB55,Factors!$C$17:$BB$17)</f>
        <v>0</v>
      </c>
      <c r="K55" s="20">
        <f>SUMPRODUCT(Oxides_typical!$C55:$BB55,Factors!$C$18:$BB$18)</f>
        <v>0</v>
      </c>
      <c r="L55" s="20">
        <f>SUMPRODUCT(Oxides_typical!$C55:$BB55,Factors!$C$19:$BB$19)</f>
        <v>0</v>
      </c>
      <c r="M55" s="20">
        <f>SUMPRODUCT(Oxides_typical!$C55:$BB55,Factors!$C$20:$BB$20)</f>
        <v>0</v>
      </c>
      <c r="N55" s="20">
        <f>SUMPRODUCT(Oxides_typical!$C55:$BB55,Factors!$C$21:$BB$21)</f>
        <v>1.886797082582877</v>
      </c>
      <c r="O55" s="20">
        <f>SUMPRODUCT(Oxides_typical!$C55:$BB55,Factors!$C$22:$BB$22)</f>
        <v>0</v>
      </c>
      <c r="P55" s="20">
        <f>SUMPRODUCT(Oxides_typical!$C55:$BB55,Factors!$C$23:$BB$23)</f>
        <v>0</v>
      </c>
      <c r="Q55" s="20">
        <f>SUMPRODUCT(Oxides_typical!$C55:$BB55,Factors!$C$24:$BB$24)</f>
        <v>0</v>
      </c>
      <c r="R55" s="20">
        <f>SUMPRODUCT(Oxides_typical!$C55:$BB55,Factors!$C$25:$BB$25)</f>
        <v>7.210901147185746</v>
      </c>
      <c r="S55" s="20">
        <f>SUMPRODUCT(Oxides_typical!$C55:$BB55,Factors!$C$26:$BB$26)</f>
        <v>0.56450288548509697</v>
      </c>
      <c r="T55" s="20">
        <f>SUMPRODUCT(Oxides_typical!$C55:$BB55,Factors!$C$27:$BB$27)</f>
        <v>0</v>
      </c>
      <c r="U55" s="20">
        <f>SUMPRODUCT(Oxides_typical!$C55:$BB55,Factors!$C$28:$BB$28)</f>
        <v>0</v>
      </c>
      <c r="V55" s="20">
        <f>SUMPRODUCT(Oxides_typical!$C55:$BB55,Factors!$C$29:$BB$29)</f>
        <v>0</v>
      </c>
      <c r="W55" s="20">
        <f>SUMPRODUCT(Oxides_typical!$C55:$BB55,Factors!$C$30:$BB$30)</f>
        <v>0</v>
      </c>
      <c r="X55" s="20">
        <f>SUMPRODUCT(Oxides_typical!$C55:$BB55,Factors!$C$31:$BB$31)</f>
        <v>0</v>
      </c>
      <c r="Y55" s="20">
        <f>SUMPRODUCT(Oxides_typical!$C55:$BB55,Factors!$C$32:$BB$32)</f>
        <v>0</v>
      </c>
      <c r="Z55" s="20">
        <f>SUMPRODUCT(Oxides_typical!$C55:$BB55,Factors!$C$33:$BB$33)</f>
        <v>0</v>
      </c>
      <c r="AA55" s="20">
        <f>SUMPRODUCT(Oxides_typical!$C55:$BB55,Factors!$C$34:$BB$34)</f>
        <v>0</v>
      </c>
      <c r="AB55" s="20">
        <f>SUMPRODUCT(Oxides_typical!$C55:$BB55,Factors!$C$35:$BB$35)</f>
        <v>0</v>
      </c>
      <c r="AC55" s="20">
        <f>SUMPRODUCT(Oxides_typical!$C55:$BB55,Factors!$C$36:$BB$36)</f>
        <v>0</v>
      </c>
      <c r="AD55" s="20">
        <f>SUMPRODUCT(Oxides_typical!$C55:$BB55,Factors!$C$37:$BB$37)</f>
        <v>1.0071606994171523E-2</v>
      </c>
      <c r="AE55" s="20">
        <f>SUMPRODUCT(Oxides_typical!$C55:$BB55,Factors!$C$38:$BB$38)</f>
        <v>0</v>
      </c>
      <c r="AF55" s="20">
        <f>SUMPRODUCT(Oxides_typical!$C55:$BB55,Factors!$C$39:$BB$39)</f>
        <v>0</v>
      </c>
      <c r="AG55" s="20">
        <f>SUMPRODUCT(Oxides_typical!$C55:$BB55,Factors!$C$40:$BB$40)</f>
        <v>0</v>
      </c>
      <c r="AH55" s="20">
        <f>SUMPRODUCT(Oxides_typical!$C55:$BB55,Factors!$C$41:$BB$41)</f>
        <v>0</v>
      </c>
      <c r="AI55" s="20">
        <f>SUMPRODUCT(Oxides_typical!$C55:$BB55,Factors!$C$42:$BB$42)</f>
        <v>0</v>
      </c>
      <c r="AJ55" s="20">
        <f>SUMPRODUCT(Oxides_typical!$C55:$BB55,Factors!$C$43:$BB$43)</f>
        <v>0</v>
      </c>
      <c r="AK55" s="20">
        <f>SUMPRODUCT(Oxides_typical!$C55:$BB55,Factors!$C$44:$BB$44)</f>
        <v>0</v>
      </c>
      <c r="AL55" s="20">
        <f>SUMPRODUCT(Oxides_typical!$C55:$BB55,Factors!$C$45:$BB$45)</f>
        <v>0</v>
      </c>
      <c r="AM55" s="20">
        <f>SUMPRODUCT(Oxides_typical!$C55:$BB55,Factors!$C$46:$BB$46)</f>
        <v>0</v>
      </c>
      <c r="AN55" s="20">
        <f>SUMPRODUCT(Oxides_typical!$C55:$BB55,Factors!$C$47:$BB$47)</f>
        <v>0</v>
      </c>
      <c r="AO55" s="20">
        <f>SUMPRODUCT(Oxides_typical!$C55:$BB55,Factors!$C$48:$BB$48)</f>
        <v>0</v>
      </c>
      <c r="AP55" s="20">
        <f>SUMPRODUCT(Oxides_typical!$C55:$BB55,Factors!$C$49:$BB$49)</f>
        <v>0</v>
      </c>
      <c r="AQ55" s="20">
        <f>SUMPRODUCT(Oxides_typical!$C55:$BB55,Factors!$C$50:$BB$50)</f>
        <v>0</v>
      </c>
      <c r="AR55" s="20">
        <f>SUMPRODUCT(Oxides_typical!$C55:$BB55,Factors!$C$51:$BB$51)</f>
        <v>0</v>
      </c>
      <c r="AS55" s="20">
        <f>SUMPRODUCT(Oxides_typical!$C55:$BB55,Factors!$C$52:$BB$52)</f>
        <v>0</v>
      </c>
      <c r="AT55" s="20">
        <f>SUMPRODUCT(Oxides_typical!$C55:$BB55,Factors!$C$53:$BB$53)</f>
        <v>0</v>
      </c>
      <c r="AU55" s="20">
        <f>SUMPRODUCT(Oxides_typical!$C55:$BB55,Factors!$C$54:$BB$54)</f>
        <v>0</v>
      </c>
      <c r="AV55" s="20">
        <f>SUMPRODUCT(Oxides_typical!$C55:$BB55,Factors!$C$55:$BB$55)</f>
        <v>0</v>
      </c>
      <c r="AW55" s="20">
        <f>SUMPRODUCT(Oxides_typical!$C55:$BB55,Factors!$C$56:$BB$56)</f>
        <v>0</v>
      </c>
      <c r="AX55" s="20">
        <f>SUMPRODUCT(Oxides_typical!$C55:$BB55,Factors!$C$57:$BB$57)</f>
        <v>0</v>
      </c>
      <c r="AY55" s="20">
        <f>SUMPRODUCT(Oxides_typical!$C55:$BB55,Factors!$C$58:$BB$58)</f>
        <v>0</v>
      </c>
      <c r="AZ55" s="18">
        <f t="shared" si="3"/>
        <v>100.25</v>
      </c>
    </row>
    <row r="56" spans="1:52" x14ac:dyDescent="0.35">
      <c r="A56" s="13" t="s">
        <v>495</v>
      </c>
      <c r="B56" s="20">
        <f>SUMPRODUCT(Oxides_typical!$C56:$BB56,Factors!$C$9:$BB$9)</f>
        <v>47.074307329132367</v>
      </c>
      <c r="C56" s="20">
        <f>SUMPRODUCT(Oxides_typical!$C56:$BB56,Factors!$C$10:$BB$10)</f>
        <v>0</v>
      </c>
      <c r="D56" s="20">
        <f>SUMPRODUCT(Oxides_typical!$C56:$BB56,Factors!$C$11:$BB$11)</f>
        <v>0</v>
      </c>
      <c r="E56" s="20">
        <f>SUMPRODUCT(Oxides_typical!$C56:$BB56,Factors!$C$12:$BB$12)</f>
        <v>0</v>
      </c>
      <c r="F56" s="20">
        <f>SUMPRODUCT(Oxides_typical!$C56:$BB56,Factors!$C$13:$BB$13)</f>
        <v>0</v>
      </c>
      <c r="G56" s="20">
        <f>SUMPRODUCT(Oxides_typical!$C56:$BB56,Factors!$C$14:$BB$14)</f>
        <v>0</v>
      </c>
      <c r="H56" s="20">
        <f>SUMPRODUCT(Oxides_typical!$C56:$BB56,Factors!$C$15:$BB$15)</f>
        <v>52.92569267086764</v>
      </c>
      <c r="I56" s="20">
        <f>SUMPRODUCT(Oxides_typical!$C56:$BB56,Factors!$C$16:$BB$16)</f>
        <v>0</v>
      </c>
      <c r="J56" s="20">
        <f>SUMPRODUCT(Oxides_typical!$C56:$BB56,Factors!$C$17:$BB$17)</f>
        <v>0</v>
      </c>
      <c r="K56" s="20">
        <f>SUMPRODUCT(Oxides_typical!$C56:$BB56,Factors!$C$18:$BB$18)</f>
        <v>0</v>
      </c>
      <c r="L56" s="20">
        <f>SUMPRODUCT(Oxides_typical!$C56:$BB56,Factors!$C$19:$BB$19)</f>
        <v>0</v>
      </c>
      <c r="M56" s="20">
        <f>SUMPRODUCT(Oxides_typical!$C56:$BB56,Factors!$C$20:$BB$20)</f>
        <v>0</v>
      </c>
      <c r="N56" s="20">
        <f>SUMPRODUCT(Oxides_typical!$C56:$BB56,Factors!$C$21:$BB$21)</f>
        <v>0</v>
      </c>
      <c r="O56" s="20">
        <f>SUMPRODUCT(Oxides_typical!$C56:$BB56,Factors!$C$22:$BB$22)</f>
        <v>0</v>
      </c>
      <c r="P56" s="20">
        <f>SUMPRODUCT(Oxides_typical!$C56:$BB56,Factors!$C$23:$BB$23)</f>
        <v>0</v>
      </c>
      <c r="Q56" s="20">
        <f>SUMPRODUCT(Oxides_typical!$C56:$BB56,Factors!$C$24:$BB$24)</f>
        <v>0</v>
      </c>
      <c r="R56" s="20">
        <f>SUMPRODUCT(Oxides_typical!$C56:$BB56,Factors!$C$25:$BB$25)</f>
        <v>0</v>
      </c>
      <c r="S56" s="20">
        <f>SUMPRODUCT(Oxides_typical!$C56:$BB56,Factors!$C$26:$BB$26)</f>
        <v>0</v>
      </c>
      <c r="T56" s="20">
        <f>SUMPRODUCT(Oxides_typical!$C56:$BB56,Factors!$C$27:$BB$27)</f>
        <v>0</v>
      </c>
      <c r="U56" s="20">
        <f>SUMPRODUCT(Oxides_typical!$C56:$BB56,Factors!$C$28:$BB$28)</f>
        <v>0</v>
      </c>
      <c r="V56" s="20">
        <f>SUMPRODUCT(Oxides_typical!$C56:$BB56,Factors!$C$29:$BB$29)</f>
        <v>0</v>
      </c>
      <c r="W56" s="20">
        <f>SUMPRODUCT(Oxides_typical!$C56:$BB56,Factors!$C$30:$BB$30)</f>
        <v>0</v>
      </c>
      <c r="X56" s="20">
        <f>SUMPRODUCT(Oxides_typical!$C56:$BB56,Factors!$C$31:$BB$31)</f>
        <v>0</v>
      </c>
      <c r="Y56" s="20">
        <f>SUMPRODUCT(Oxides_typical!$C56:$BB56,Factors!$C$32:$BB$32)</f>
        <v>0</v>
      </c>
      <c r="Z56" s="20">
        <f>SUMPRODUCT(Oxides_typical!$C56:$BB56,Factors!$C$33:$BB$33)</f>
        <v>0</v>
      </c>
      <c r="AA56" s="20">
        <f>SUMPRODUCT(Oxides_typical!$C56:$BB56,Factors!$C$34:$BB$34)</f>
        <v>0</v>
      </c>
      <c r="AB56" s="20">
        <f>SUMPRODUCT(Oxides_typical!$C56:$BB56,Factors!$C$35:$BB$35)</f>
        <v>0</v>
      </c>
      <c r="AC56" s="20">
        <f>SUMPRODUCT(Oxides_typical!$C56:$BB56,Factors!$C$36:$BB$36)</f>
        <v>0</v>
      </c>
      <c r="AD56" s="20">
        <f>SUMPRODUCT(Oxides_typical!$C56:$BB56,Factors!$C$37:$BB$37)</f>
        <v>0</v>
      </c>
      <c r="AE56" s="20">
        <f>SUMPRODUCT(Oxides_typical!$C56:$BB56,Factors!$C$38:$BB$38)</f>
        <v>0</v>
      </c>
      <c r="AF56" s="20">
        <f>SUMPRODUCT(Oxides_typical!$C56:$BB56,Factors!$C$39:$BB$39)</f>
        <v>0</v>
      </c>
      <c r="AG56" s="20">
        <f>SUMPRODUCT(Oxides_typical!$C56:$BB56,Factors!$C$40:$BB$40)</f>
        <v>0</v>
      </c>
      <c r="AH56" s="20">
        <f>SUMPRODUCT(Oxides_typical!$C56:$BB56,Factors!$C$41:$BB$41)</f>
        <v>0</v>
      </c>
      <c r="AI56" s="20">
        <f>SUMPRODUCT(Oxides_typical!$C56:$BB56,Factors!$C$42:$BB$42)</f>
        <v>0</v>
      </c>
      <c r="AJ56" s="20">
        <f>SUMPRODUCT(Oxides_typical!$C56:$BB56,Factors!$C$43:$BB$43)</f>
        <v>0</v>
      </c>
      <c r="AK56" s="20">
        <f>SUMPRODUCT(Oxides_typical!$C56:$BB56,Factors!$C$44:$BB$44)</f>
        <v>0</v>
      </c>
      <c r="AL56" s="20">
        <f>SUMPRODUCT(Oxides_typical!$C56:$BB56,Factors!$C$45:$BB$45)</f>
        <v>0</v>
      </c>
      <c r="AM56" s="20">
        <f>SUMPRODUCT(Oxides_typical!$C56:$BB56,Factors!$C$46:$BB$46)</f>
        <v>0</v>
      </c>
      <c r="AN56" s="20">
        <f>SUMPRODUCT(Oxides_typical!$C56:$BB56,Factors!$C$47:$BB$47)</f>
        <v>0</v>
      </c>
      <c r="AO56" s="20">
        <f>SUMPRODUCT(Oxides_typical!$C56:$BB56,Factors!$C$48:$BB$48)</f>
        <v>0</v>
      </c>
      <c r="AP56" s="20">
        <f>SUMPRODUCT(Oxides_typical!$C56:$BB56,Factors!$C$49:$BB$49)</f>
        <v>0</v>
      </c>
      <c r="AQ56" s="20">
        <f>SUMPRODUCT(Oxides_typical!$C56:$BB56,Factors!$C$50:$BB$50)</f>
        <v>0</v>
      </c>
      <c r="AR56" s="20">
        <f>SUMPRODUCT(Oxides_typical!$C56:$BB56,Factors!$C$51:$BB$51)</f>
        <v>0</v>
      </c>
      <c r="AS56" s="20">
        <f>SUMPRODUCT(Oxides_typical!$C56:$BB56,Factors!$C$52:$BB$52)</f>
        <v>0</v>
      </c>
      <c r="AT56" s="20">
        <f>SUMPRODUCT(Oxides_typical!$C56:$BB56,Factors!$C$53:$BB$53)</f>
        <v>0</v>
      </c>
      <c r="AU56" s="20">
        <f>SUMPRODUCT(Oxides_typical!$C56:$BB56,Factors!$C$54:$BB$54)</f>
        <v>0</v>
      </c>
      <c r="AV56" s="20">
        <f>SUMPRODUCT(Oxides_typical!$C56:$BB56,Factors!$C$55:$BB$55)</f>
        <v>0</v>
      </c>
      <c r="AW56" s="20">
        <f>SUMPRODUCT(Oxides_typical!$C56:$BB56,Factors!$C$56:$BB$56)</f>
        <v>0</v>
      </c>
      <c r="AX56" s="20">
        <f>SUMPRODUCT(Oxides_typical!$C56:$BB56,Factors!$C$57:$BB$57)</f>
        <v>0</v>
      </c>
      <c r="AY56" s="20">
        <f>SUMPRODUCT(Oxides_typical!$C56:$BB56,Factors!$C$58:$BB$58)</f>
        <v>0</v>
      </c>
      <c r="AZ56" s="18">
        <f t="shared" ref="AZ56:AZ59" si="4">SUM(B56:AY56)</f>
        <v>100</v>
      </c>
    </row>
    <row r="57" spans="1:52" x14ac:dyDescent="0.35">
      <c r="A57" s="13" t="s">
        <v>496</v>
      </c>
      <c r="B57" s="20">
        <f>SUMPRODUCT(Oxides_typical!$C57:$BB57,Factors!$C$9:$BB$9)</f>
        <v>51.229639949073636</v>
      </c>
      <c r="C57" s="20">
        <f>SUMPRODUCT(Oxides_typical!$C57:$BB57,Factors!$C$10:$BB$10)</f>
        <v>29.728974918030062</v>
      </c>
      <c r="D57" s="20">
        <f>SUMPRODUCT(Oxides_typical!$C57:$BB57,Factors!$C$11:$BB$11)</f>
        <v>0</v>
      </c>
      <c r="E57" s="20">
        <f>SUMPRODUCT(Oxides_typical!$C57:$BB57,Factors!$C$12:$BB$12)</f>
        <v>0</v>
      </c>
      <c r="F57" s="20">
        <f>SUMPRODUCT(Oxides_typical!$C57:$BB57,Factors!$C$13:$BB$13)</f>
        <v>0</v>
      </c>
      <c r="G57" s="20">
        <f>SUMPRODUCT(Oxides_typical!$C57:$BB57,Factors!$C$14:$BB$14)</f>
        <v>0</v>
      </c>
      <c r="H57" s="20">
        <f>SUMPRODUCT(Oxides_typical!$C57:$BB57,Factors!$C$15:$BB$15)</f>
        <v>14.543980345954427</v>
      </c>
      <c r="I57" s="20">
        <f>SUMPRODUCT(Oxides_typical!$C57:$BB57,Factors!$C$16:$BB$16)</f>
        <v>2.7977230457081666E-2</v>
      </c>
      <c r="J57" s="20">
        <f>SUMPRODUCT(Oxides_typical!$C57:$BB57,Factors!$C$17:$BB$17)</f>
        <v>0.10842467808497915</v>
      </c>
      <c r="K57" s="20">
        <f>SUMPRODUCT(Oxides_typical!$C57:$BB57,Factors!$C$18:$BB$18)</f>
        <v>0</v>
      </c>
      <c r="L57" s="20">
        <f>SUMPRODUCT(Oxides_typical!$C57:$BB57,Factors!$C$19:$BB$19)</f>
        <v>0</v>
      </c>
      <c r="M57" s="20">
        <f>SUMPRODUCT(Oxides_typical!$C57:$BB57,Factors!$C$20:$BB$20)</f>
        <v>0</v>
      </c>
      <c r="N57" s="20">
        <f>SUMPRODUCT(Oxides_typical!$C57:$BB57,Factors!$C$21:$BB$21)</f>
        <v>0</v>
      </c>
      <c r="O57" s="20">
        <f>SUMPRODUCT(Oxides_typical!$C57:$BB57,Factors!$C$22:$BB$22)</f>
        <v>0</v>
      </c>
      <c r="P57" s="20">
        <f>SUMPRODUCT(Oxides_typical!$C57:$BB57,Factors!$C$23:$BB$23)</f>
        <v>0</v>
      </c>
      <c r="Q57" s="20">
        <f>SUMPRODUCT(Oxides_typical!$C57:$BB57,Factors!$C$24:$BB$24)</f>
        <v>0</v>
      </c>
      <c r="R57" s="20">
        <f>SUMPRODUCT(Oxides_typical!$C57:$BB57,Factors!$C$25:$BB$25)</f>
        <v>0.16320969674700248</v>
      </c>
      <c r="S57" s="20">
        <f>SUMPRODUCT(Oxides_typical!$C57:$BB57,Factors!$C$26:$BB$26)</f>
        <v>0</v>
      </c>
      <c r="T57" s="20">
        <f>SUMPRODUCT(Oxides_typical!$C57:$BB57,Factors!$C$27:$BB$27)</f>
        <v>3.61876903510827</v>
      </c>
      <c r="U57" s="20">
        <f>SUMPRODUCT(Oxides_typical!$C57:$BB57,Factors!$C$28:$BB$28)</f>
        <v>0</v>
      </c>
      <c r="V57" s="20">
        <f>SUMPRODUCT(Oxides_typical!$C57:$BB57,Factors!$C$29:$BB$29)</f>
        <v>0</v>
      </c>
      <c r="W57" s="20">
        <f>SUMPRODUCT(Oxides_typical!$C57:$BB57,Factors!$C$30:$BB$30)</f>
        <v>0</v>
      </c>
      <c r="X57" s="20">
        <f>SUMPRODUCT(Oxides_typical!$C57:$BB57,Factors!$C$31:$BB$31)</f>
        <v>0</v>
      </c>
      <c r="Y57" s="20">
        <f>SUMPRODUCT(Oxides_typical!$C57:$BB57,Factors!$C$32:$BB$32)</f>
        <v>0</v>
      </c>
      <c r="Z57" s="20">
        <f>SUMPRODUCT(Oxides_typical!$C57:$BB57,Factors!$C$33:$BB$33)</f>
        <v>0</v>
      </c>
      <c r="AA57" s="20">
        <f>SUMPRODUCT(Oxides_typical!$C57:$BB57,Factors!$C$34:$BB$34)</f>
        <v>0</v>
      </c>
      <c r="AB57" s="20">
        <f>SUMPRODUCT(Oxides_typical!$C57:$BB57,Factors!$C$35:$BB$35)</f>
        <v>0</v>
      </c>
      <c r="AC57" s="20">
        <f>SUMPRODUCT(Oxides_typical!$C57:$BB57,Factors!$C$36:$BB$36)</f>
        <v>0</v>
      </c>
      <c r="AD57" s="20">
        <f>SUMPRODUCT(Oxides_typical!$C57:$BB57,Factors!$C$37:$BB$37)</f>
        <v>1.9024146544546212E-2</v>
      </c>
      <c r="AE57" s="20">
        <f>SUMPRODUCT(Oxides_typical!$C57:$BB57,Factors!$C$38:$BB$38)</f>
        <v>0</v>
      </c>
      <c r="AF57" s="20">
        <f>SUMPRODUCT(Oxides_typical!$C57:$BB57,Factors!$C$39:$BB$39)</f>
        <v>0</v>
      </c>
      <c r="AG57" s="20">
        <f>SUMPRODUCT(Oxides_typical!$C57:$BB57,Factors!$C$40:$BB$40)</f>
        <v>0</v>
      </c>
      <c r="AH57" s="20">
        <f>SUMPRODUCT(Oxides_typical!$C57:$BB57,Factors!$C$41:$BB$41)</f>
        <v>0</v>
      </c>
      <c r="AI57" s="20">
        <f>SUMPRODUCT(Oxides_typical!$C57:$BB57,Factors!$C$42:$BB$42)</f>
        <v>0</v>
      </c>
      <c r="AJ57" s="20">
        <f>SUMPRODUCT(Oxides_typical!$C57:$BB57,Factors!$C$43:$BB$43)</f>
        <v>0</v>
      </c>
      <c r="AK57" s="20">
        <f>SUMPRODUCT(Oxides_typical!$C57:$BB57,Factors!$C$44:$BB$44)</f>
        <v>0</v>
      </c>
      <c r="AL57" s="20">
        <f>SUMPRODUCT(Oxides_typical!$C57:$BB57,Factors!$C$45:$BB$45)</f>
        <v>0</v>
      </c>
      <c r="AM57" s="20">
        <f>SUMPRODUCT(Oxides_typical!$C57:$BB57,Factors!$C$46:$BB$46)</f>
        <v>0</v>
      </c>
      <c r="AN57" s="20">
        <f>SUMPRODUCT(Oxides_typical!$C57:$BB57,Factors!$C$47:$BB$47)</f>
        <v>0</v>
      </c>
      <c r="AO57" s="20">
        <f>SUMPRODUCT(Oxides_typical!$C57:$BB57,Factors!$C$48:$BB$48)</f>
        <v>0</v>
      </c>
      <c r="AP57" s="20">
        <f>SUMPRODUCT(Oxides_typical!$C57:$BB57,Factors!$C$49:$BB$49)</f>
        <v>0</v>
      </c>
      <c r="AQ57" s="20">
        <f>SUMPRODUCT(Oxides_typical!$C57:$BB57,Factors!$C$50:$BB$50)</f>
        <v>0</v>
      </c>
      <c r="AR57" s="20">
        <f>SUMPRODUCT(Oxides_typical!$C57:$BB57,Factors!$C$51:$BB$51)</f>
        <v>0</v>
      </c>
      <c r="AS57" s="20">
        <f>SUMPRODUCT(Oxides_typical!$C57:$BB57,Factors!$C$52:$BB$52)</f>
        <v>0</v>
      </c>
      <c r="AT57" s="20">
        <f>SUMPRODUCT(Oxides_typical!$C57:$BB57,Factors!$C$53:$BB$53)</f>
        <v>0</v>
      </c>
      <c r="AU57" s="20">
        <f>SUMPRODUCT(Oxides_typical!$C57:$BB57,Factors!$C$54:$BB$54)</f>
        <v>0</v>
      </c>
      <c r="AV57" s="20">
        <f>SUMPRODUCT(Oxides_typical!$C57:$BB57,Factors!$C$55:$BB$55)</f>
        <v>0</v>
      </c>
      <c r="AW57" s="20">
        <f>SUMPRODUCT(Oxides_typical!$C57:$BB57,Factors!$C$56:$BB$56)</f>
        <v>0</v>
      </c>
      <c r="AX57" s="20">
        <f>SUMPRODUCT(Oxides_typical!$C57:$BB57,Factors!$C$57:$BB$57)</f>
        <v>0</v>
      </c>
      <c r="AY57" s="20">
        <f>SUMPRODUCT(Oxides_typical!$C57:$BB57,Factors!$C$58:$BB$58)</f>
        <v>0</v>
      </c>
      <c r="AZ57" s="18">
        <f t="shared" si="4"/>
        <v>99.440000000000012</v>
      </c>
    </row>
    <row r="58" spans="1:52" x14ac:dyDescent="0.35">
      <c r="A58" s="13" t="s">
        <v>498</v>
      </c>
      <c r="B58" s="20">
        <f>SUMPRODUCT(Oxides_typical!$C58:$BB58,Factors!$C$9:$BB$9)</f>
        <v>48.230179413947127</v>
      </c>
      <c r="C58" s="20">
        <f>SUMPRODUCT(Oxides_typical!$C58:$BB58,Factors!$C$10:$BB$10)</f>
        <v>0</v>
      </c>
      <c r="D58" s="20">
        <f>SUMPRODUCT(Oxides_typical!$C58:$BB58,Factors!$C$11:$BB$11)</f>
        <v>0</v>
      </c>
      <c r="E58" s="20">
        <f>SUMPRODUCT(Oxides_typical!$C58:$BB58,Factors!$C$12:$BB$12)</f>
        <v>0</v>
      </c>
      <c r="F58" s="20">
        <f>SUMPRODUCT(Oxides_typical!$C58:$BB58,Factors!$C$13:$BB$13)</f>
        <v>0</v>
      </c>
      <c r="G58" s="20">
        <f>SUMPRODUCT(Oxides_typical!$C58:$BB58,Factors!$C$14:$BB$14)</f>
        <v>0</v>
      </c>
      <c r="H58" s="20">
        <f>SUMPRODUCT(Oxides_typical!$C58:$BB58,Factors!$C$15:$BB$15)</f>
        <v>0</v>
      </c>
      <c r="I58" s="20">
        <f>SUMPRODUCT(Oxides_typical!$C58:$BB58,Factors!$C$16:$BB$16)</f>
        <v>0.33424294304326041</v>
      </c>
      <c r="J58" s="20">
        <f>SUMPRODUCT(Oxides_typical!$C58:$BB58,Factors!$C$17:$BB$17)</f>
        <v>0</v>
      </c>
      <c r="K58" s="20">
        <f>SUMPRODUCT(Oxides_typical!$C58:$BB58,Factors!$C$18:$BB$18)</f>
        <v>0</v>
      </c>
      <c r="L58" s="20">
        <f>SUMPRODUCT(Oxides_typical!$C58:$BB58,Factors!$C$19:$BB$19)</f>
        <v>0</v>
      </c>
      <c r="M58" s="20">
        <f>SUMPRODUCT(Oxides_typical!$C58:$BB58,Factors!$C$20:$BB$20)</f>
        <v>1.0492928741564111</v>
      </c>
      <c r="N58" s="20">
        <f>SUMPRODUCT(Oxides_typical!$C58:$BB58,Factors!$C$21:$BB$21)</f>
        <v>38.307698343349323</v>
      </c>
      <c r="O58" s="20">
        <f>SUMPRODUCT(Oxides_typical!$C58:$BB58,Factors!$C$22:$BB$22)</f>
        <v>0</v>
      </c>
      <c r="P58" s="20">
        <f>SUMPRODUCT(Oxides_typical!$C58:$BB58,Factors!$C$23:$BB$23)</f>
        <v>0</v>
      </c>
      <c r="Q58" s="20">
        <f>SUMPRODUCT(Oxides_typical!$C58:$BB58,Factors!$C$24:$BB$24)</f>
        <v>0</v>
      </c>
      <c r="R58" s="20">
        <f>SUMPRODUCT(Oxides_typical!$C58:$BB58,Factors!$C$25:$BB$25)</f>
        <v>0</v>
      </c>
      <c r="S58" s="20">
        <f>SUMPRODUCT(Oxides_typical!$C58:$BB58,Factors!$C$26:$BB$26)</f>
        <v>0</v>
      </c>
      <c r="T58" s="20">
        <f>SUMPRODUCT(Oxides_typical!$C58:$BB58,Factors!$C$27:$BB$27)</f>
        <v>0</v>
      </c>
      <c r="U58" s="20">
        <f>SUMPRODUCT(Oxides_typical!$C58:$BB58,Factors!$C$28:$BB$28)</f>
        <v>0</v>
      </c>
      <c r="V58" s="20">
        <f>SUMPRODUCT(Oxides_typical!$C58:$BB58,Factors!$C$29:$BB$29)</f>
        <v>0</v>
      </c>
      <c r="W58" s="20">
        <f>SUMPRODUCT(Oxides_typical!$C58:$BB58,Factors!$C$30:$BB$30)</f>
        <v>0</v>
      </c>
      <c r="X58" s="20">
        <f>SUMPRODUCT(Oxides_typical!$C58:$BB58,Factors!$C$31:$BB$31)</f>
        <v>0</v>
      </c>
      <c r="Y58" s="20">
        <f>SUMPRODUCT(Oxides_typical!$C58:$BB58,Factors!$C$32:$BB$32)</f>
        <v>0</v>
      </c>
      <c r="Z58" s="20">
        <f>SUMPRODUCT(Oxides_typical!$C58:$BB58,Factors!$C$33:$BB$33)</f>
        <v>0</v>
      </c>
      <c r="AA58" s="20">
        <f>SUMPRODUCT(Oxides_typical!$C58:$BB58,Factors!$C$34:$BB$34)</f>
        <v>0</v>
      </c>
      <c r="AB58" s="20">
        <f>SUMPRODUCT(Oxides_typical!$C58:$BB58,Factors!$C$35:$BB$35)</f>
        <v>0</v>
      </c>
      <c r="AC58" s="20">
        <f>SUMPRODUCT(Oxides_typical!$C58:$BB58,Factors!$C$36:$BB$36)</f>
        <v>12.068586425503874</v>
      </c>
      <c r="AD58" s="20">
        <f>SUMPRODUCT(Oxides_typical!$C58:$BB58,Factors!$C$37:$BB$37)</f>
        <v>0</v>
      </c>
      <c r="AE58" s="20">
        <f>SUMPRODUCT(Oxides_typical!$C58:$BB58,Factors!$C$38:$BB$38)</f>
        <v>0</v>
      </c>
      <c r="AF58" s="20">
        <f>SUMPRODUCT(Oxides_typical!$C58:$BB58,Factors!$C$39:$BB$39)</f>
        <v>0</v>
      </c>
      <c r="AG58" s="20">
        <f>SUMPRODUCT(Oxides_typical!$C58:$BB58,Factors!$C$40:$BB$40)</f>
        <v>0</v>
      </c>
      <c r="AH58" s="20">
        <f>SUMPRODUCT(Oxides_typical!$C58:$BB58,Factors!$C$41:$BB$41)</f>
        <v>0</v>
      </c>
      <c r="AI58" s="20">
        <f>SUMPRODUCT(Oxides_typical!$C58:$BB58,Factors!$C$42:$BB$42)</f>
        <v>0</v>
      </c>
      <c r="AJ58" s="20">
        <f>SUMPRODUCT(Oxides_typical!$C58:$BB58,Factors!$C$43:$BB$43)</f>
        <v>0</v>
      </c>
      <c r="AK58" s="20">
        <f>SUMPRODUCT(Oxides_typical!$C58:$BB58,Factors!$C$44:$BB$44)</f>
        <v>0</v>
      </c>
      <c r="AL58" s="20">
        <f>SUMPRODUCT(Oxides_typical!$C58:$BB58,Factors!$C$45:$BB$45)</f>
        <v>0</v>
      </c>
      <c r="AM58" s="20">
        <f>SUMPRODUCT(Oxides_typical!$C58:$BB58,Factors!$C$46:$BB$46)</f>
        <v>0</v>
      </c>
      <c r="AN58" s="20">
        <f>SUMPRODUCT(Oxides_typical!$C58:$BB58,Factors!$C$47:$BB$47)</f>
        <v>0</v>
      </c>
      <c r="AO58" s="20">
        <f>SUMPRODUCT(Oxides_typical!$C58:$BB58,Factors!$C$48:$BB$48)</f>
        <v>0</v>
      </c>
      <c r="AP58" s="20">
        <f>SUMPRODUCT(Oxides_typical!$C58:$BB58,Factors!$C$49:$BB$49)</f>
        <v>0</v>
      </c>
      <c r="AQ58" s="20">
        <f>SUMPRODUCT(Oxides_typical!$C58:$BB58,Factors!$C$50:$BB$50)</f>
        <v>0</v>
      </c>
      <c r="AR58" s="20">
        <f>SUMPRODUCT(Oxides_typical!$C58:$BB58,Factors!$C$51:$BB$51)</f>
        <v>0</v>
      </c>
      <c r="AS58" s="20">
        <f>SUMPRODUCT(Oxides_typical!$C58:$BB58,Factors!$C$52:$BB$52)</f>
        <v>0</v>
      </c>
      <c r="AT58" s="20">
        <f>SUMPRODUCT(Oxides_typical!$C58:$BB58,Factors!$C$53:$BB$53)</f>
        <v>0</v>
      </c>
      <c r="AU58" s="20">
        <f>SUMPRODUCT(Oxides_typical!$C58:$BB58,Factors!$C$54:$BB$54)</f>
        <v>0</v>
      </c>
      <c r="AV58" s="20">
        <f>SUMPRODUCT(Oxides_typical!$C58:$BB58,Factors!$C$55:$BB$55)</f>
        <v>0</v>
      </c>
      <c r="AW58" s="20">
        <f>SUMPRODUCT(Oxides_typical!$C58:$BB58,Factors!$C$56:$BB$56)</f>
        <v>0</v>
      </c>
      <c r="AX58" s="20">
        <f>SUMPRODUCT(Oxides_typical!$C58:$BB58,Factors!$C$57:$BB$57)</f>
        <v>0</v>
      </c>
      <c r="AY58" s="20">
        <f>SUMPRODUCT(Oxides_typical!$C58:$BB58,Factors!$C$58:$BB$58)</f>
        <v>0</v>
      </c>
      <c r="AZ58" s="18">
        <f t="shared" si="4"/>
        <v>99.989999999999981</v>
      </c>
    </row>
    <row r="59" spans="1:52" x14ac:dyDescent="0.35">
      <c r="A59" s="13" t="s">
        <v>500</v>
      </c>
      <c r="B59" s="20">
        <f>SUMPRODUCT(Oxides_typical!$C59:$BB59,Factors!$C$9:$BB$9)</f>
        <v>7.443532687321408E-2</v>
      </c>
      <c r="C59" s="20">
        <f>SUMPRODUCT(Oxides_typical!$C59:$BB59,Factors!$C$10:$BB$10)</f>
        <v>0</v>
      </c>
      <c r="D59" s="20">
        <f>SUMPRODUCT(Oxides_typical!$C59:$BB59,Factors!$C$11:$BB$11)</f>
        <v>0</v>
      </c>
      <c r="E59" s="20">
        <f>SUMPRODUCT(Oxides_typical!$C59:$BB59,Factors!$C$12:$BB$12)</f>
        <v>0</v>
      </c>
      <c r="F59" s="20">
        <f>SUMPRODUCT(Oxides_typical!$C59:$BB59,Factors!$C$13:$BB$13)</f>
        <v>0</v>
      </c>
      <c r="G59" s="20">
        <f>SUMPRODUCT(Oxides_typical!$C59:$BB59,Factors!$C$14:$BB$14)</f>
        <v>0</v>
      </c>
      <c r="H59" s="20">
        <f>SUMPRODUCT(Oxides_typical!$C59:$BB59,Factors!$C$15:$BB$15)</f>
        <v>0</v>
      </c>
      <c r="I59" s="20">
        <f>SUMPRODUCT(Oxides_typical!$C59:$BB59,Factors!$C$16:$BB$16)</f>
        <v>0.14768874227492901</v>
      </c>
      <c r="J59" s="20">
        <f>SUMPRODUCT(Oxides_typical!$C59:$BB59,Factors!$C$17:$BB$17)</f>
        <v>0</v>
      </c>
      <c r="K59" s="20">
        <f>SUMPRODUCT(Oxides_typical!$C59:$BB59,Factors!$C$18:$BB$18)</f>
        <v>66.979572125486925</v>
      </c>
      <c r="L59" s="20">
        <f>SUMPRODUCT(Oxides_typical!$C59:$BB59,Factors!$C$19:$BB$19)</f>
        <v>0</v>
      </c>
      <c r="M59" s="20">
        <f>SUMPRODUCT(Oxides_typical!$C59:$BB59,Factors!$C$20:$BB$20)</f>
        <v>0</v>
      </c>
      <c r="N59" s="20">
        <f>SUMPRODUCT(Oxides_typical!$C59:$BB59,Factors!$C$21:$BB$21)</f>
        <v>0</v>
      </c>
      <c r="O59" s="20">
        <f>SUMPRODUCT(Oxides_typical!$C59:$BB59,Factors!$C$22:$BB$22)</f>
        <v>0</v>
      </c>
      <c r="P59" s="20">
        <f>SUMPRODUCT(Oxides_typical!$C59:$BB59,Factors!$C$23:$BB$23)</f>
        <v>0</v>
      </c>
      <c r="Q59" s="20">
        <f>SUMPRODUCT(Oxides_typical!$C59:$BB59,Factors!$C$24:$BB$24)</f>
        <v>0</v>
      </c>
      <c r="R59" s="20">
        <f>SUMPRODUCT(Oxides_typical!$C59:$BB59,Factors!$C$25:$BB$25)</f>
        <v>0</v>
      </c>
      <c r="S59" s="20">
        <f>SUMPRODUCT(Oxides_typical!$C59:$BB59,Factors!$C$26:$BB$26)</f>
        <v>0</v>
      </c>
      <c r="T59" s="20">
        <f>SUMPRODUCT(Oxides_typical!$C59:$BB59,Factors!$C$27:$BB$27)</f>
        <v>0</v>
      </c>
      <c r="U59" s="20">
        <f>SUMPRODUCT(Oxides_typical!$C59:$BB59,Factors!$C$28:$BB$28)</f>
        <v>0</v>
      </c>
      <c r="V59" s="20">
        <f>SUMPRODUCT(Oxides_typical!$C59:$BB59,Factors!$C$29:$BB$29)</f>
        <v>0</v>
      </c>
      <c r="W59" s="20">
        <f>SUMPRODUCT(Oxides_typical!$C59:$BB59,Factors!$C$30:$BB$30)</f>
        <v>0</v>
      </c>
      <c r="X59" s="20">
        <f>SUMPRODUCT(Oxides_typical!$C59:$BB59,Factors!$C$31:$BB$31)</f>
        <v>0</v>
      </c>
      <c r="Y59" s="20">
        <f>SUMPRODUCT(Oxides_typical!$C59:$BB59,Factors!$C$32:$BB$32)</f>
        <v>0</v>
      </c>
      <c r="Z59" s="20">
        <f>SUMPRODUCT(Oxides_typical!$C59:$BB59,Factors!$C$33:$BB$33)</f>
        <v>0</v>
      </c>
      <c r="AA59" s="20">
        <f>SUMPRODUCT(Oxides_typical!$C59:$BB59,Factors!$C$34:$BB$34)</f>
        <v>0</v>
      </c>
      <c r="AB59" s="20">
        <f>SUMPRODUCT(Oxides_typical!$C59:$BB59,Factors!$C$35:$BB$35)</f>
        <v>32.78</v>
      </c>
      <c r="AC59" s="20">
        <f>SUMPRODUCT(Oxides_typical!$C59:$BB59,Factors!$C$36:$BB$36)</f>
        <v>0</v>
      </c>
      <c r="AD59" s="20">
        <f>SUMPRODUCT(Oxides_typical!$C59:$BB59,Factors!$C$37:$BB$37)</f>
        <v>0</v>
      </c>
      <c r="AE59" s="20">
        <f>SUMPRODUCT(Oxides_typical!$C59:$BB59,Factors!$C$38:$BB$38)</f>
        <v>0</v>
      </c>
      <c r="AF59" s="20">
        <f>SUMPRODUCT(Oxides_typical!$C59:$BB59,Factors!$C$39:$BB$39)</f>
        <v>0</v>
      </c>
      <c r="AG59" s="20">
        <f>SUMPRODUCT(Oxides_typical!$C59:$BB59,Factors!$C$40:$BB$40)</f>
        <v>0</v>
      </c>
      <c r="AH59" s="20">
        <f>SUMPRODUCT(Oxides_typical!$C59:$BB59,Factors!$C$41:$BB$41)</f>
        <v>0</v>
      </c>
      <c r="AI59" s="20">
        <f>SUMPRODUCT(Oxides_typical!$C59:$BB59,Factors!$C$42:$BB$42)</f>
        <v>0</v>
      </c>
      <c r="AJ59" s="20">
        <f>SUMPRODUCT(Oxides_typical!$C59:$BB59,Factors!$C$43:$BB$43)</f>
        <v>0</v>
      </c>
      <c r="AK59" s="20">
        <f>SUMPRODUCT(Oxides_typical!$C59:$BB59,Factors!$C$44:$BB$44)</f>
        <v>0</v>
      </c>
      <c r="AL59" s="20">
        <f>SUMPRODUCT(Oxides_typical!$C59:$BB59,Factors!$C$45:$BB$45)</f>
        <v>0</v>
      </c>
      <c r="AM59" s="20">
        <f>SUMPRODUCT(Oxides_typical!$C59:$BB59,Factors!$C$46:$BB$46)</f>
        <v>0</v>
      </c>
      <c r="AN59" s="20">
        <f>SUMPRODUCT(Oxides_typical!$C59:$BB59,Factors!$C$47:$BB$47)</f>
        <v>0</v>
      </c>
      <c r="AO59" s="20">
        <f>SUMPRODUCT(Oxides_typical!$C59:$BB59,Factors!$C$48:$BB$48)</f>
        <v>0</v>
      </c>
      <c r="AP59" s="20">
        <f>SUMPRODUCT(Oxides_typical!$C59:$BB59,Factors!$C$49:$BB$49)</f>
        <v>0</v>
      </c>
      <c r="AQ59" s="20">
        <f>SUMPRODUCT(Oxides_typical!$C59:$BB59,Factors!$C$50:$BB$50)</f>
        <v>0</v>
      </c>
      <c r="AR59" s="20">
        <f>SUMPRODUCT(Oxides_typical!$C59:$BB59,Factors!$C$51:$BB$51)</f>
        <v>0</v>
      </c>
      <c r="AS59" s="20">
        <f>SUMPRODUCT(Oxides_typical!$C59:$BB59,Factors!$C$52:$BB$52)</f>
        <v>0</v>
      </c>
      <c r="AT59" s="20">
        <f>SUMPRODUCT(Oxides_typical!$C59:$BB59,Factors!$C$53:$BB$53)</f>
        <v>0</v>
      </c>
      <c r="AU59" s="20">
        <f>SUMPRODUCT(Oxides_typical!$C59:$BB59,Factors!$C$54:$BB$54)</f>
        <v>0</v>
      </c>
      <c r="AV59" s="20">
        <f>SUMPRODUCT(Oxides_typical!$C59:$BB59,Factors!$C$55:$BB$55)</f>
        <v>0</v>
      </c>
      <c r="AW59" s="20">
        <f>SUMPRODUCT(Oxides_typical!$C59:$BB59,Factors!$C$56:$BB$56)</f>
        <v>0</v>
      </c>
      <c r="AX59" s="20">
        <f>SUMPRODUCT(Oxides_typical!$C59:$BB59,Factors!$C$57:$BB$57)</f>
        <v>0</v>
      </c>
      <c r="AY59" s="20">
        <f>SUMPRODUCT(Oxides_typical!$C59:$BB59,Factors!$C$58:$BB$58)</f>
        <v>0</v>
      </c>
      <c r="AZ59" s="18">
        <f t="shared" si="4"/>
        <v>99.981696194635063</v>
      </c>
    </row>
    <row r="60" spans="1:52" x14ac:dyDescent="0.35">
      <c r="A60" s="13" t="s">
        <v>519</v>
      </c>
      <c r="B60" s="20">
        <f>SUMPRODUCT(Oxides_typical!$C60:$BB60,Factors!$C$9:$BB$9)</f>
        <v>56.51712571887478</v>
      </c>
      <c r="C60" s="20">
        <f>SUMPRODUCT(Oxides_typical!$C60:$BB60,Factors!$C$10:$BB$10)</f>
        <v>0</v>
      </c>
      <c r="D60" s="20">
        <f>SUMPRODUCT(Oxides_typical!$C60:$BB60,Factors!$C$11:$BB$11)</f>
        <v>0</v>
      </c>
      <c r="E60" s="20">
        <f>SUMPRODUCT(Oxides_typical!$C60:$BB60,Factors!$C$12:$BB$12)</f>
        <v>0</v>
      </c>
      <c r="F60" s="20">
        <f>SUMPRODUCT(Oxides_typical!$C60:$BB60,Factors!$C$13:$BB$13)</f>
        <v>0</v>
      </c>
      <c r="G60" s="20">
        <f>SUMPRODUCT(Oxides_typical!$C60:$BB60,Factors!$C$14:$BB$14)</f>
        <v>0</v>
      </c>
      <c r="H60" s="20">
        <f>SUMPRODUCT(Oxides_typical!$C60:$BB60,Factors!$C$15:$BB$15)</f>
        <v>20.487535632892865</v>
      </c>
      <c r="I60" s="20">
        <f>SUMPRODUCT(Oxides_typical!$C60:$BB60,Factors!$C$16:$BB$16)</f>
        <v>0</v>
      </c>
      <c r="J60" s="20">
        <f>SUMPRODUCT(Oxides_typical!$C60:$BB60,Factors!$C$17:$BB$17)</f>
        <v>0</v>
      </c>
      <c r="K60" s="20">
        <f>SUMPRODUCT(Oxides_typical!$C60:$BB60,Factors!$C$18:$BB$18)</f>
        <v>0</v>
      </c>
      <c r="L60" s="20">
        <f>SUMPRODUCT(Oxides_typical!$C60:$BB60,Factors!$C$19:$BB$19)</f>
        <v>0</v>
      </c>
      <c r="M60" s="20">
        <f>SUMPRODUCT(Oxides_typical!$C60:$BB60,Factors!$C$20:$BB$20)</f>
        <v>0.56685936879714161</v>
      </c>
      <c r="N60" s="20">
        <f>SUMPRODUCT(Oxides_typical!$C60:$BB60,Factors!$C$21:$BB$21)</f>
        <v>5.3602189846104462</v>
      </c>
      <c r="O60" s="20">
        <f>SUMPRODUCT(Oxides_typical!$C60:$BB60,Factors!$C$22:$BB$22)</f>
        <v>1.868771171310281</v>
      </c>
      <c r="P60" s="20">
        <f>SUMPRODUCT(Oxides_typical!$C60:$BB60,Factors!$C$23:$BB$23)</f>
        <v>0</v>
      </c>
      <c r="Q60" s="20">
        <f>SUMPRODUCT(Oxides_typical!$C60:$BB60,Factors!$C$24:$BB$24)</f>
        <v>0</v>
      </c>
      <c r="R60" s="20">
        <f>SUMPRODUCT(Oxides_typical!$C60:$BB60,Factors!$C$25:$BB$25)</f>
        <v>0</v>
      </c>
      <c r="S60" s="20">
        <f>SUMPRODUCT(Oxides_typical!$C60:$BB60,Factors!$C$26:$BB$26)</f>
        <v>0</v>
      </c>
      <c r="T60" s="20">
        <f>SUMPRODUCT(Oxides_typical!$C60:$BB60,Factors!$C$27:$BB$27)</f>
        <v>0</v>
      </c>
      <c r="U60" s="20">
        <f>SUMPRODUCT(Oxides_typical!$C60:$BB60,Factors!$C$28:$BB$28)</f>
        <v>0</v>
      </c>
      <c r="V60" s="20">
        <f>SUMPRODUCT(Oxides_typical!$C60:$BB60,Factors!$C$29:$BB$29)</f>
        <v>0</v>
      </c>
      <c r="W60" s="20">
        <f>SUMPRODUCT(Oxides_typical!$C60:$BB60,Factors!$C$30:$BB$30)</f>
        <v>0</v>
      </c>
      <c r="X60" s="20">
        <f>SUMPRODUCT(Oxides_typical!$C60:$BB60,Factors!$C$31:$BB$31)</f>
        <v>0</v>
      </c>
      <c r="Y60" s="20">
        <f>SUMPRODUCT(Oxides_typical!$C60:$BB60,Factors!$C$32:$BB$32)</f>
        <v>0</v>
      </c>
      <c r="Z60" s="20">
        <f>SUMPRODUCT(Oxides_typical!$C60:$BB60,Factors!$C$33:$BB$33)</f>
        <v>11.822802482354978</v>
      </c>
      <c r="AA60" s="20">
        <f>SUMPRODUCT(Oxides_typical!$C60:$BB60,Factors!$C$34:$BB$34)</f>
        <v>0</v>
      </c>
      <c r="AB60" s="20">
        <f>SUMPRODUCT(Oxides_typical!$C60:$BB60,Factors!$C$35:$BB$35)</f>
        <v>1.5217657419088899</v>
      </c>
      <c r="AC60" s="20">
        <f>SUMPRODUCT(Oxides_typical!$C60:$BB60,Factors!$C$36:$BB$36)</f>
        <v>0</v>
      </c>
      <c r="AD60" s="20">
        <f>SUMPRODUCT(Oxides_typical!$C60:$BB60,Factors!$C$37:$BB$37)</f>
        <v>2.2549208992506244</v>
      </c>
      <c r="AE60" s="20">
        <f>SUMPRODUCT(Oxides_typical!$C60:$BB60,Factors!$C$38:$BB$38)</f>
        <v>0</v>
      </c>
      <c r="AF60" s="20">
        <f>SUMPRODUCT(Oxides_typical!$C60:$BB60,Factors!$C$39:$BB$39)</f>
        <v>0</v>
      </c>
      <c r="AG60" s="20">
        <f>SUMPRODUCT(Oxides_typical!$C60:$BB60,Factors!$C$40:$BB$40)</f>
        <v>0</v>
      </c>
      <c r="AH60" s="20">
        <f>SUMPRODUCT(Oxides_typical!$C60:$BB60,Factors!$C$41:$BB$41)</f>
        <v>0</v>
      </c>
      <c r="AI60" s="20">
        <f>SUMPRODUCT(Oxides_typical!$C60:$BB60,Factors!$C$42:$BB$42)</f>
        <v>0</v>
      </c>
      <c r="AJ60" s="20">
        <f>SUMPRODUCT(Oxides_typical!$C60:$BB60,Factors!$C$43:$BB$43)</f>
        <v>0</v>
      </c>
      <c r="AK60" s="20">
        <f>SUMPRODUCT(Oxides_typical!$C60:$BB60,Factors!$C$44:$BB$44)</f>
        <v>0</v>
      </c>
      <c r="AL60" s="20">
        <f>SUMPRODUCT(Oxides_typical!$C60:$BB60,Factors!$C$45:$BB$45)</f>
        <v>0</v>
      </c>
      <c r="AM60" s="20">
        <f>SUMPRODUCT(Oxides_typical!$C60:$BB60,Factors!$C$46:$BB$46)</f>
        <v>0</v>
      </c>
      <c r="AN60" s="20">
        <f>SUMPRODUCT(Oxides_typical!$C60:$BB60,Factors!$C$47:$BB$47)</f>
        <v>0</v>
      </c>
      <c r="AO60" s="20">
        <f>SUMPRODUCT(Oxides_typical!$C60:$BB60,Factors!$C$48:$BB$48)</f>
        <v>0</v>
      </c>
      <c r="AP60" s="20">
        <f>SUMPRODUCT(Oxides_typical!$C60:$BB60,Factors!$C$49:$BB$49)</f>
        <v>0</v>
      </c>
      <c r="AQ60" s="20">
        <f>SUMPRODUCT(Oxides_typical!$C60:$BB60,Factors!$C$50:$BB$50)</f>
        <v>0</v>
      </c>
      <c r="AR60" s="20">
        <f>SUMPRODUCT(Oxides_typical!$C60:$BB60,Factors!$C$51:$BB$51)</f>
        <v>0</v>
      </c>
      <c r="AS60" s="20">
        <f>SUMPRODUCT(Oxides_typical!$C60:$BB60,Factors!$C$52:$BB$52)</f>
        <v>0</v>
      </c>
      <c r="AT60" s="20">
        <f>SUMPRODUCT(Oxides_typical!$C60:$BB60,Factors!$C$53:$BB$53)</f>
        <v>0</v>
      </c>
      <c r="AU60" s="20">
        <f>SUMPRODUCT(Oxides_typical!$C60:$BB60,Factors!$C$54:$BB$54)</f>
        <v>0</v>
      </c>
      <c r="AV60" s="20">
        <f>SUMPRODUCT(Oxides_typical!$C60:$BB60,Factors!$C$55:$BB$55)</f>
        <v>0</v>
      </c>
      <c r="AW60" s="20">
        <f>SUMPRODUCT(Oxides_typical!$C60:$BB60,Factors!$C$56:$BB$56)</f>
        <v>0</v>
      </c>
      <c r="AX60" s="20">
        <f>SUMPRODUCT(Oxides_typical!$C60:$BB60,Factors!$C$57:$BB$57)</f>
        <v>0</v>
      </c>
      <c r="AY60" s="20">
        <f>SUMPRODUCT(Oxides_typical!$C60:$BB60,Factors!$C$58:$BB$58)</f>
        <v>0</v>
      </c>
      <c r="AZ60" s="18">
        <f t="shared" ref="AZ60:AZ61" si="5">SUM(B60:AY60)</f>
        <v>100.4</v>
      </c>
    </row>
    <row r="61" spans="1:52" x14ac:dyDescent="0.35">
      <c r="A61" s="13" t="s">
        <v>521</v>
      </c>
      <c r="B61" s="20">
        <f>SUMPRODUCT(Oxides_typical!$C61:$BB61,Factors!$C$9:$BB$9)</f>
        <v>-0.30648026097068382</v>
      </c>
      <c r="C61" s="20">
        <f>SUMPRODUCT(Oxides_typical!$C61:$BB61,Factors!$C$10:$BB$10)</f>
        <v>0</v>
      </c>
      <c r="D61" s="20">
        <f>SUMPRODUCT(Oxides_typical!$C61:$BB61,Factors!$C$11:$BB$11)</f>
        <v>0</v>
      </c>
      <c r="E61" s="20">
        <f>SUMPRODUCT(Oxides_typical!$C61:$BB61,Factors!$C$12:$BB$12)</f>
        <v>0</v>
      </c>
      <c r="F61" s="20">
        <f>SUMPRODUCT(Oxides_typical!$C61:$BB61,Factors!$C$13:$BB$13)</f>
        <v>0</v>
      </c>
      <c r="G61" s="20">
        <f>SUMPRODUCT(Oxides_typical!$C61:$BB61,Factors!$C$14:$BB$14)</f>
        <v>25.25308941794729</v>
      </c>
      <c r="H61" s="20">
        <f>SUMPRODUCT(Oxides_typical!$C61:$BB61,Factors!$C$15:$BB$15)</f>
        <v>0</v>
      </c>
      <c r="I61" s="20">
        <f>SUMPRODUCT(Oxides_typical!$C61:$BB61,Factors!$C$16:$BB$16)</f>
        <v>1.6789878069149826</v>
      </c>
      <c r="J61" s="20">
        <f>SUMPRODUCT(Oxides_typical!$C61:$BB61,Factors!$C$17:$BB$17)</f>
        <v>0</v>
      </c>
      <c r="K61" s="20">
        <f>SUMPRODUCT(Oxides_typical!$C61:$BB61,Factors!$C$18:$BB$18)</f>
        <v>11.15924501406997</v>
      </c>
      <c r="L61" s="20">
        <f>SUMPRODUCT(Oxides_typical!$C61:$BB61,Factors!$C$19:$BB$19)</f>
        <v>30.562619032643561</v>
      </c>
      <c r="M61" s="20">
        <f>SUMPRODUCT(Oxides_typical!$C61:$BB61,Factors!$C$20:$BB$20)</f>
        <v>0</v>
      </c>
      <c r="N61" s="20">
        <f>SUMPRODUCT(Oxides_typical!$C61:$BB61,Factors!$C$21:$BB$21)</f>
        <v>0</v>
      </c>
      <c r="O61" s="20">
        <f>SUMPRODUCT(Oxides_typical!$C61:$BB61,Factors!$C$22:$BB$22)</f>
        <v>0</v>
      </c>
      <c r="P61" s="20">
        <f>SUMPRODUCT(Oxides_typical!$C61:$BB61,Factors!$C$23:$BB$23)</f>
        <v>0</v>
      </c>
      <c r="Q61" s="20">
        <f>SUMPRODUCT(Oxides_typical!$C61:$BB61,Factors!$C$24:$BB$24)</f>
        <v>0</v>
      </c>
      <c r="R61" s="20">
        <f>SUMPRODUCT(Oxides_typical!$C61:$BB61,Factors!$C$25:$BB$25)</f>
        <v>0</v>
      </c>
      <c r="S61" s="20">
        <f>SUMPRODUCT(Oxides_typical!$C61:$BB61,Factors!$C$26:$BB$26)</f>
        <v>0</v>
      </c>
      <c r="T61" s="20">
        <f>SUMPRODUCT(Oxides_typical!$C61:$BB61,Factors!$C$27:$BB$27)</f>
        <v>0</v>
      </c>
      <c r="U61" s="20">
        <f>SUMPRODUCT(Oxides_typical!$C61:$BB61,Factors!$C$28:$BB$28)</f>
        <v>0</v>
      </c>
      <c r="V61" s="20">
        <f>SUMPRODUCT(Oxides_typical!$C61:$BB61,Factors!$C$29:$BB$29)</f>
        <v>0</v>
      </c>
      <c r="W61" s="20">
        <f>SUMPRODUCT(Oxides_typical!$C61:$BB61,Factors!$C$30:$BB$30)</f>
        <v>0</v>
      </c>
      <c r="X61" s="20">
        <f>SUMPRODUCT(Oxides_typical!$C61:$BB61,Factors!$C$31:$BB$31)</f>
        <v>0</v>
      </c>
      <c r="Y61" s="20">
        <f>SUMPRODUCT(Oxides_typical!$C61:$BB61,Factors!$C$32:$BB$32)</f>
        <v>0</v>
      </c>
      <c r="Z61" s="20">
        <f>SUMPRODUCT(Oxides_typical!$C61:$BB61,Factors!$C$33:$BB$33)</f>
        <v>0</v>
      </c>
      <c r="AA61" s="20">
        <f>SUMPRODUCT(Oxides_typical!$C61:$BB61,Factors!$C$34:$BB$34)</f>
        <v>0</v>
      </c>
      <c r="AB61" s="20">
        <f>SUMPRODUCT(Oxides_typical!$C61:$BB61,Factors!$C$35:$BB$35)</f>
        <v>28.4</v>
      </c>
      <c r="AC61" s="20">
        <f>SUMPRODUCT(Oxides_typical!$C61:$BB61,Factors!$C$36:$BB$36)</f>
        <v>0</v>
      </c>
      <c r="AD61" s="20">
        <f>SUMPRODUCT(Oxides_typical!$C61:$BB61,Factors!$C$37:$BB$37)</f>
        <v>0</v>
      </c>
      <c r="AE61" s="20">
        <f>SUMPRODUCT(Oxides_typical!$C61:$BB61,Factors!$C$38:$BB$38)</f>
        <v>0</v>
      </c>
      <c r="AF61" s="20">
        <f>SUMPRODUCT(Oxides_typical!$C61:$BB61,Factors!$C$39:$BB$39)</f>
        <v>0</v>
      </c>
      <c r="AG61" s="20">
        <f>SUMPRODUCT(Oxides_typical!$C61:$BB61,Factors!$C$40:$BB$40)</f>
        <v>0</v>
      </c>
      <c r="AH61" s="20">
        <f>SUMPRODUCT(Oxides_typical!$C61:$BB61,Factors!$C$41:$BB$41)</f>
        <v>0</v>
      </c>
      <c r="AI61" s="20">
        <f>SUMPRODUCT(Oxides_typical!$C61:$BB61,Factors!$C$42:$BB$42)</f>
        <v>0</v>
      </c>
      <c r="AJ61" s="20">
        <f>SUMPRODUCT(Oxides_typical!$C61:$BB61,Factors!$C$43:$BB$43)</f>
        <v>0</v>
      </c>
      <c r="AK61" s="20">
        <f>SUMPRODUCT(Oxides_typical!$C61:$BB61,Factors!$C$44:$BB$44)</f>
        <v>0</v>
      </c>
      <c r="AL61" s="20">
        <f>SUMPRODUCT(Oxides_typical!$C61:$BB61,Factors!$C$45:$BB$45)</f>
        <v>0</v>
      </c>
      <c r="AM61" s="20">
        <f>SUMPRODUCT(Oxides_typical!$C61:$BB61,Factors!$C$46:$BB$46)</f>
        <v>0</v>
      </c>
      <c r="AN61" s="20">
        <f>SUMPRODUCT(Oxides_typical!$C61:$BB61,Factors!$C$47:$BB$47)</f>
        <v>0</v>
      </c>
      <c r="AO61" s="20">
        <f>SUMPRODUCT(Oxides_typical!$C61:$BB61,Factors!$C$48:$BB$48)</f>
        <v>0</v>
      </c>
      <c r="AP61" s="20">
        <f>SUMPRODUCT(Oxides_typical!$C61:$BB61,Factors!$C$49:$BB$49)</f>
        <v>0</v>
      </c>
      <c r="AQ61" s="20">
        <f>SUMPRODUCT(Oxides_typical!$C61:$BB61,Factors!$C$50:$BB$50)</f>
        <v>0</v>
      </c>
      <c r="AR61" s="20">
        <f>SUMPRODUCT(Oxides_typical!$C61:$BB61,Factors!$C$51:$BB$51)</f>
        <v>0</v>
      </c>
      <c r="AS61" s="20">
        <f>SUMPRODUCT(Oxides_typical!$C61:$BB61,Factors!$C$52:$BB$52)</f>
        <v>0</v>
      </c>
      <c r="AT61" s="20">
        <f>SUMPRODUCT(Oxides_typical!$C61:$BB61,Factors!$C$53:$BB$53)</f>
        <v>0</v>
      </c>
      <c r="AU61" s="20">
        <f>SUMPRODUCT(Oxides_typical!$C61:$BB61,Factors!$C$54:$BB$54)</f>
        <v>0</v>
      </c>
      <c r="AV61" s="20">
        <f>SUMPRODUCT(Oxides_typical!$C61:$BB61,Factors!$C$55:$BB$55)</f>
        <v>0</v>
      </c>
      <c r="AW61" s="20">
        <f>SUMPRODUCT(Oxides_typical!$C61:$BB61,Factors!$C$56:$BB$56)</f>
        <v>0</v>
      </c>
      <c r="AX61" s="20">
        <f>SUMPRODUCT(Oxides_typical!$C61:$BB61,Factors!$C$57:$BB$57)</f>
        <v>0</v>
      </c>
      <c r="AY61" s="20">
        <f>SUMPRODUCT(Oxides_typical!$C61:$BB61,Factors!$C$58:$BB$58)</f>
        <v>0</v>
      </c>
      <c r="AZ61" s="18">
        <f t="shared" si="5"/>
        <v>96.747461010605122</v>
      </c>
    </row>
    <row r="62" spans="1:52" x14ac:dyDescent="0.35">
      <c r="A62" s="13" t="s">
        <v>531</v>
      </c>
      <c r="B62" s="20">
        <f>SUMPRODUCT(Oxides_typical!$C62:$BB62,Factors!$C$9:$BB$9)</f>
        <v>41.188868360091398</v>
      </c>
      <c r="C62" s="20">
        <f>SUMPRODUCT(Oxides_typical!$C62:$BB62,Factors!$C$10:$BB$10)</f>
        <v>4.2069304129287818E-2</v>
      </c>
      <c r="D62" s="20">
        <f>SUMPRODUCT(Oxides_typical!$C62:$BB62,Factors!$C$11:$BB$11)</f>
        <v>0</v>
      </c>
      <c r="E62" s="20">
        <f>SUMPRODUCT(Oxides_typical!$C62:$BB62,Factors!$C$12:$BB$12)</f>
        <v>0</v>
      </c>
      <c r="F62" s="20">
        <f>SUMPRODUCT(Oxides_typical!$C62:$BB62,Factors!$C$13:$BB$13)</f>
        <v>0</v>
      </c>
      <c r="G62" s="20">
        <f>SUMPRODUCT(Oxides_typical!$C62:$BB62,Factors!$C$14:$BB$14)</f>
        <v>0</v>
      </c>
      <c r="H62" s="20">
        <f>SUMPRODUCT(Oxides_typical!$C62:$BB62,Factors!$C$15:$BB$15)</f>
        <v>3.704798486960735E-2</v>
      </c>
      <c r="I62" s="20">
        <f>SUMPRODUCT(Oxides_typical!$C62:$BB62,Factors!$C$16:$BB$16)</f>
        <v>2.2852889594120596</v>
      </c>
      <c r="J62" s="20">
        <f>SUMPRODUCT(Oxides_typical!$C62:$BB62,Factors!$C$17:$BB$17)</f>
        <v>32.976591377560077</v>
      </c>
      <c r="K62" s="20">
        <f>SUMPRODUCT(Oxides_typical!$C62:$BB62,Factors!$C$18:$BB$18)</f>
        <v>0</v>
      </c>
      <c r="L62" s="20">
        <f>SUMPRODUCT(Oxides_typical!$C62:$BB62,Factors!$C$19:$BB$19)</f>
        <v>0</v>
      </c>
      <c r="M62" s="20">
        <f>SUMPRODUCT(Oxides_typical!$C62:$BB62,Factors!$C$20:$BB$20)</f>
        <v>0</v>
      </c>
      <c r="N62" s="20">
        <f>SUMPRODUCT(Oxides_typical!$C62:$BB62,Factors!$C$21:$BB$21)</f>
        <v>0</v>
      </c>
      <c r="O62" s="20">
        <f>SUMPRODUCT(Oxides_typical!$C62:$BB62,Factors!$C$22:$BB$22)</f>
        <v>0</v>
      </c>
      <c r="P62" s="20">
        <f>SUMPRODUCT(Oxides_typical!$C62:$BB62,Factors!$C$23:$BB$23)</f>
        <v>0</v>
      </c>
      <c r="Q62" s="20">
        <f>SUMPRODUCT(Oxides_typical!$C62:$BB62,Factors!$C$24:$BB$24)</f>
        <v>0</v>
      </c>
      <c r="R62" s="20">
        <f>SUMPRODUCT(Oxides_typical!$C62:$BB62,Factors!$C$25:$BB$25)</f>
        <v>0.17804694190582088</v>
      </c>
      <c r="S62" s="20">
        <f>SUMPRODUCT(Oxides_typical!$C62:$BB62,Factors!$C$26:$BB$26)</f>
        <v>0</v>
      </c>
      <c r="T62" s="20">
        <f>SUMPRODUCT(Oxides_typical!$C62:$BB62,Factors!$C$27:$BB$27)</f>
        <v>4.2319622477325209</v>
      </c>
      <c r="U62" s="20">
        <f>SUMPRODUCT(Oxides_typical!$C62:$BB62,Factors!$C$28:$BB$28)</f>
        <v>0</v>
      </c>
      <c r="V62" s="20">
        <f>SUMPRODUCT(Oxides_typical!$C62:$BB62,Factors!$C$29:$BB$29)</f>
        <v>0</v>
      </c>
      <c r="W62" s="20">
        <f>SUMPRODUCT(Oxides_typical!$C62:$BB62,Factors!$C$30:$BB$30)</f>
        <v>0</v>
      </c>
      <c r="X62" s="20">
        <f>SUMPRODUCT(Oxides_typical!$C62:$BB62,Factors!$C$31:$BB$31)</f>
        <v>0</v>
      </c>
      <c r="Y62" s="20">
        <f>SUMPRODUCT(Oxides_typical!$C62:$BB62,Factors!$C$32:$BB$32)</f>
        <v>0</v>
      </c>
      <c r="Z62" s="20">
        <f>SUMPRODUCT(Oxides_typical!$C62:$BB62,Factors!$C$33:$BB$33)</f>
        <v>19.617385440452431</v>
      </c>
      <c r="AA62" s="20">
        <f>SUMPRODUCT(Oxides_typical!$C62:$BB62,Factors!$C$34:$BB$34)</f>
        <v>0</v>
      </c>
      <c r="AB62" s="20">
        <f>SUMPRODUCT(Oxides_typical!$C62:$BB62,Factors!$C$35:$BB$35)</f>
        <v>0</v>
      </c>
      <c r="AC62" s="20">
        <f>SUMPRODUCT(Oxides_typical!$C62:$BB62,Factors!$C$36:$BB$36)</f>
        <v>0</v>
      </c>
      <c r="AD62" s="20">
        <f>SUMPRODUCT(Oxides_typical!$C62:$BB62,Factors!$C$37:$BB$37)</f>
        <v>7.2739383846794334E-2</v>
      </c>
      <c r="AE62" s="20">
        <f>SUMPRODUCT(Oxides_typical!$C62:$BB62,Factors!$C$38:$BB$38)</f>
        <v>0</v>
      </c>
      <c r="AF62" s="20">
        <f>SUMPRODUCT(Oxides_typical!$C62:$BB62,Factors!$C$39:$BB$39)</f>
        <v>0</v>
      </c>
      <c r="AG62" s="20">
        <f>SUMPRODUCT(Oxides_typical!$C62:$BB62,Factors!$C$40:$BB$40)</f>
        <v>0</v>
      </c>
      <c r="AH62" s="20">
        <f>SUMPRODUCT(Oxides_typical!$C62:$BB62,Factors!$C$41:$BB$41)</f>
        <v>0</v>
      </c>
      <c r="AI62" s="20">
        <f>SUMPRODUCT(Oxides_typical!$C62:$BB62,Factors!$C$42:$BB$42)</f>
        <v>0</v>
      </c>
      <c r="AJ62" s="20">
        <f>SUMPRODUCT(Oxides_typical!$C62:$BB62,Factors!$C$43:$BB$43)</f>
        <v>0</v>
      </c>
      <c r="AK62" s="20">
        <f>SUMPRODUCT(Oxides_typical!$C62:$BB62,Factors!$C$44:$BB$44)</f>
        <v>0</v>
      </c>
      <c r="AL62" s="20">
        <f>SUMPRODUCT(Oxides_typical!$C62:$BB62,Factors!$C$45:$BB$45)</f>
        <v>0</v>
      </c>
      <c r="AM62" s="20">
        <f>SUMPRODUCT(Oxides_typical!$C62:$BB62,Factors!$C$46:$BB$46)</f>
        <v>0</v>
      </c>
      <c r="AN62" s="20">
        <f>SUMPRODUCT(Oxides_typical!$C62:$BB62,Factors!$C$47:$BB$47)</f>
        <v>0</v>
      </c>
      <c r="AO62" s="20">
        <f>SUMPRODUCT(Oxides_typical!$C62:$BB62,Factors!$C$48:$BB$48)</f>
        <v>0</v>
      </c>
      <c r="AP62" s="20">
        <f>SUMPRODUCT(Oxides_typical!$C62:$BB62,Factors!$C$49:$BB$49)</f>
        <v>0</v>
      </c>
      <c r="AQ62" s="20">
        <f>SUMPRODUCT(Oxides_typical!$C62:$BB62,Factors!$C$50:$BB$50)</f>
        <v>0</v>
      </c>
      <c r="AR62" s="20">
        <f>SUMPRODUCT(Oxides_typical!$C62:$BB62,Factors!$C$51:$BB$51)</f>
        <v>0</v>
      </c>
      <c r="AS62" s="20">
        <f>SUMPRODUCT(Oxides_typical!$C62:$BB62,Factors!$C$52:$BB$52)</f>
        <v>0</v>
      </c>
      <c r="AT62" s="20">
        <f>SUMPRODUCT(Oxides_typical!$C62:$BB62,Factors!$C$53:$BB$53)</f>
        <v>0</v>
      </c>
      <c r="AU62" s="20">
        <f>SUMPRODUCT(Oxides_typical!$C62:$BB62,Factors!$C$54:$BB$54)</f>
        <v>0</v>
      </c>
      <c r="AV62" s="20">
        <f>SUMPRODUCT(Oxides_typical!$C62:$BB62,Factors!$C$55:$BB$55)</f>
        <v>0</v>
      </c>
      <c r="AW62" s="20">
        <f>SUMPRODUCT(Oxides_typical!$C62:$BB62,Factors!$C$56:$BB$56)</f>
        <v>0</v>
      </c>
      <c r="AX62" s="20">
        <f>SUMPRODUCT(Oxides_typical!$C62:$BB62,Factors!$C$57:$BB$57)</f>
        <v>0</v>
      </c>
      <c r="AY62" s="20">
        <f>SUMPRODUCT(Oxides_typical!$C62:$BB62,Factors!$C$58:$BB$58)</f>
        <v>0</v>
      </c>
      <c r="AZ62" s="18">
        <f t="shared" ref="AZ62:AZ63" si="6">SUM(B62:AY62)</f>
        <v>100.63</v>
      </c>
    </row>
    <row r="63" spans="1:52" x14ac:dyDescent="0.35">
      <c r="A63" s="13" t="s">
        <v>533</v>
      </c>
      <c r="B63" s="20">
        <f>SUMPRODUCT(Oxides_typical!$C63:$BB63,Factors!$C$9:$BB$9)</f>
        <v>41.863501344766469</v>
      </c>
      <c r="C63" s="20">
        <f>SUMPRODUCT(Oxides_typical!$C63:$BB63,Factors!$C$10:$BB$10)</f>
        <v>0</v>
      </c>
      <c r="D63" s="20">
        <f>SUMPRODUCT(Oxides_typical!$C63:$BB63,Factors!$C$11:$BB$11)</f>
        <v>0</v>
      </c>
      <c r="E63" s="20">
        <f>SUMPRODUCT(Oxides_typical!$C63:$BB63,Factors!$C$12:$BB$12)</f>
        <v>0</v>
      </c>
      <c r="F63" s="20">
        <f>SUMPRODUCT(Oxides_typical!$C63:$BB63,Factors!$C$13:$BB$13)</f>
        <v>0</v>
      </c>
      <c r="G63" s="20">
        <f>SUMPRODUCT(Oxides_typical!$C63:$BB63,Factors!$C$14:$BB$14)</f>
        <v>0</v>
      </c>
      <c r="H63" s="20">
        <f>SUMPRODUCT(Oxides_typical!$C63:$BB63,Factors!$C$15:$BB$15)</f>
        <v>0</v>
      </c>
      <c r="I63" s="20">
        <f>SUMPRODUCT(Oxides_typical!$C63:$BB63,Factors!$C$16:$BB$16)</f>
        <v>0.59852806079839649</v>
      </c>
      <c r="J63" s="20">
        <f>SUMPRODUCT(Oxides_typical!$C63:$BB63,Factors!$C$17:$BB$17)</f>
        <v>47.141501107376278</v>
      </c>
      <c r="K63" s="20">
        <f>SUMPRODUCT(Oxides_typical!$C63:$BB63,Factors!$C$18:$BB$18)</f>
        <v>0</v>
      </c>
      <c r="L63" s="20">
        <f>SUMPRODUCT(Oxides_typical!$C63:$BB63,Factors!$C$19:$BB$19)</f>
        <v>0</v>
      </c>
      <c r="M63" s="20">
        <f>SUMPRODUCT(Oxides_typical!$C63:$BB63,Factors!$C$20:$BB$20)</f>
        <v>0</v>
      </c>
      <c r="N63" s="20">
        <f>SUMPRODUCT(Oxides_typical!$C63:$BB63,Factors!$C$21:$BB$21)</f>
        <v>0.36449489095351034</v>
      </c>
      <c r="O63" s="20">
        <f>SUMPRODUCT(Oxides_typical!$C63:$BB63,Factors!$C$22:$BB$22)</f>
        <v>0</v>
      </c>
      <c r="P63" s="20">
        <f>SUMPRODUCT(Oxides_typical!$C63:$BB63,Factors!$C$23:$BB$23)</f>
        <v>0</v>
      </c>
      <c r="Q63" s="20">
        <f>SUMPRODUCT(Oxides_typical!$C63:$BB63,Factors!$C$24:$BB$24)</f>
        <v>0</v>
      </c>
      <c r="R63" s="20">
        <f>SUMPRODUCT(Oxides_typical!$C63:$BB63,Factors!$C$25:$BB$25)</f>
        <v>0</v>
      </c>
      <c r="S63" s="20">
        <f>SUMPRODUCT(Oxides_typical!$C63:$BB63,Factors!$C$26:$BB$26)</f>
        <v>0</v>
      </c>
      <c r="T63" s="20">
        <f>SUMPRODUCT(Oxides_typical!$C63:$BB63,Factors!$C$27:$BB$27)</f>
        <v>0</v>
      </c>
      <c r="U63" s="20">
        <f>SUMPRODUCT(Oxides_typical!$C63:$BB63,Factors!$C$28:$BB$28)</f>
        <v>0</v>
      </c>
      <c r="V63" s="20">
        <f>SUMPRODUCT(Oxides_typical!$C63:$BB63,Factors!$C$29:$BB$29)</f>
        <v>0</v>
      </c>
      <c r="W63" s="20">
        <f>SUMPRODUCT(Oxides_typical!$C63:$BB63,Factors!$C$30:$BB$30)</f>
        <v>0</v>
      </c>
      <c r="X63" s="20">
        <f>SUMPRODUCT(Oxides_typical!$C63:$BB63,Factors!$C$31:$BB$31)</f>
        <v>0</v>
      </c>
      <c r="Y63" s="20">
        <f>SUMPRODUCT(Oxides_typical!$C63:$BB63,Factors!$C$32:$BB$32)</f>
        <v>0</v>
      </c>
      <c r="Z63" s="20">
        <f>SUMPRODUCT(Oxides_typical!$C63:$BB63,Factors!$C$33:$BB$33)</f>
        <v>0</v>
      </c>
      <c r="AA63" s="20">
        <f>SUMPRODUCT(Oxides_typical!$C63:$BB63,Factors!$C$34:$BB$34)</f>
        <v>0</v>
      </c>
      <c r="AB63" s="20">
        <f>SUMPRODUCT(Oxides_typical!$C63:$BB63,Factors!$C$35:$BB$35)</f>
        <v>0</v>
      </c>
      <c r="AC63" s="20">
        <f>SUMPRODUCT(Oxides_typical!$C63:$BB63,Factors!$C$36:$BB$36)</f>
        <v>10.441974596105341</v>
      </c>
      <c r="AD63" s="20">
        <f>SUMPRODUCT(Oxides_typical!$C63:$BB63,Factors!$C$37:$BB$37)</f>
        <v>0</v>
      </c>
      <c r="AE63" s="20">
        <f>SUMPRODUCT(Oxides_typical!$C63:$BB63,Factors!$C$38:$BB$38)</f>
        <v>0</v>
      </c>
      <c r="AF63" s="20">
        <f>SUMPRODUCT(Oxides_typical!$C63:$BB63,Factors!$C$39:$BB$39)</f>
        <v>0</v>
      </c>
      <c r="AG63" s="20">
        <f>SUMPRODUCT(Oxides_typical!$C63:$BB63,Factors!$C$40:$BB$40)</f>
        <v>0</v>
      </c>
      <c r="AH63" s="20">
        <f>SUMPRODUCT(Oxides_typical!$C63:$BB63,Factors!$C$41:$BB$41)</f>
        <v>0</v>
      </c>
      <c r="AI63" s="20">
        <f>SUMPRODUCT(Oxides_typical!$C63:$BB63,Factors!$C$42:$BB$42)</f>
        <v>0</v>
      </c>
      <c r="AJ63" s="20">
        <f>SUMPRODUCT(Oxides_typical!$C63:$BB63,Factors!$C$43:$BB$43)</f>
        <v>0</v>
      </c>
      <c r="AK63" s="20">
        <f>SUMPRODUCT(Oxides_typical!$C63:$BB63,Factors!$C$44:$BB$44)</f>
        <v>0</v>
      </c>
      <c r="AL63" s="20">
        <f>SUMPRODUCT(Oxides_typical!$C63:$BB63,Factors!$C$45:$BB$45)</f>
        <v>0</v>
      </c>
      <c r="AM63" s="20">
        <f>SUMPRODUCT(Oxides_typical!$C63:$BB63,Factors!$C$46:$BB$46)</f>
        <v>0</v>
      </c>
      <c r="AN63" s="20">
        <f>SUMPRODUCT(Oxides_typical!$C63:$BB63,Factors!$C$47:$BB$47)</f>
        <v>0</v>
      </c>
      <c r="AO63" s="20">
        <f>SUMPRODUCT(Oxides_typical!$C63:$BB63,Factors!$C$48:$BB$48)</f>
        <v>0</v>
      </c>
      <c r="AP63" s="20">
        <f>SUMPRODUCT(Oxides_typical!$C63:$BB63,Factors!$C$49:$BB$49)</f>
        <v>0</v>
      </c>
      <c r="AQ63" s="20">
        <f>SUMPRODUCT(Oxides_typical!$C63:$BB63,Factors!$C$50:$BB$50)</f>
        <v>0</v>
      </c>
      <c r="AR63" s="20">
        <f>SUMPRODUCT(Oxides_typical!$C63:$BB63,Factors!$C$51:$BB$51)</f>
        <v>0</v>
      </c>
      <c r="AS63" s="20">
        <f>SUMPRODUCT(Oxides_typical!$C63:$BB63,Factors!$C$52:$BB$52)</f>
        <v>0</v>
      </c>
      <c r="AT63" s="20">
        <f>SUMPRODUCT(Oxides_typical!$C63:$BB63,Factors!$C$53:$BB$53)</f>
        <v>0</v>
      </c>
      <c r="AU63" s="20">
        <f>SUMPRODUCT(Oxides_typical!$C63:$BB63,Factors!$C$54:$BB$54)</f>
        <v>0</v>
      </c>
      <c r="AV63" s="20">
        <f>SUMPRODUCT(Oxides_typical!$C63:$BB63,Factors!$C$55:$BB$55)</f>
        <v>0</v>
      </c>
      <c r="AW63" s="20">
        <f>SUMPRODUCT(Oxides_typical!$C63:$BB63,Factors!$C$56:$BB$56)</f>
        <v>0</v>
      </c>
      <c r="AX63" s="20">
        <f>SUMPRODUCT(Oxides_typical!$C63:$BB63,Factors!$C$57:$BB$57)</f>
        <v>0</v>
      </c>
      <c r="AY63" s="20">
        <f>SUMPRODUCT(Oxides_typical!$C63:$BB63,Factors!$C$58:$BB$58)</f>
        <v>0</v>
      </c>
      <c r="AZ63" s="18">
        <f t="shared" si="6"/>
        <v>100.41</v>
      </c>
    </row>
  </sheetData>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3"/>
  <sheetViews>
    <sheetView workbookViewId="0">
      <pane xSplit="1" ySplit="1" topLeftCell="B51" activePane="bottomRight" state="frozen"/>
      <selection pane="topRight"/>
      <selection pane="bottomLeft"/>
      <selection pane="bottomRight"/>
    </sheetView>
  </sheetViews>
  <sheetFormatPr defaultRowHeight="14.5" x14ac:dyDescent="0.35"/>
  <cols>
    <col min="1" max="1" width="26" customWidth="1"/>
    <col min="2" max="2" width="14" customWidth="1"/>
    <col min="3" max="3" width="30" customWidth="1"/>
    <col min="4" max="4" width="50" customWidth="1"/>
    <col min="5" max="5" width="60" customWidth="1"/>
    <col min="6" max="6" width="12" customWidth="1"/>
    <col min="7" max="7" width="60" customWidth="1"/>
  </cols>
  <sheetData>
    <row r="1" spans="1:7" ht="39" x14ac:dyDescent="0.35">
      <c r="A1" s="4" t="s">
        <v>121</v>
      </c>
      <c r="B1" s="4" t="s">
        <v>181</v>
      </c>
      <c r="C1" s="4" t="s">
        <v>122</v>
      </c>
      <c r="D1" s="4" t="s">
        <v>182</v>
      </c>
      <c r="E1" s="4" t="s">
        <v>183</v>
      </c>
      <c r="F1" s="4" t="s">
        <v>184</v>
      </c>
      <c r="G1" s="4" t="s">
        <v>185</v>
      </c>
    </row>
    <row r="2" spans="1:7" ht="62.5" x14ac:dyDescent="0.35">
      <c r="A2" s="2" t="s">
        <v>125</v>
      </c>
      <c r="B2" s="2" t="s">
        <v>186</v>
      </c>
      <c r="C2" s="2" t="s">
        <v>126</v>
      </c>
      <c r="D2" s="2" t="s">
        <v>187</v>
      </c>
      <c r="E2" s="2" t="s">
        <v>188</v>
      </c>
      <c r="F2" s="2">
        <v>100.08</v>
      </c>
      <c r="G2" s="2" t="s">
        <v>189</v>
      </c>
    </row>
    <row r="3" spans="1:7" ht="50" x14ac:dyDescent="0.35">
      <c r="A3" s="2" t="s">
        <v>127</v>
      </c>
      <c r="B3" s="2" t="s">
        <v>190</v>
      </c>
      <c r="C3" s="2" t="s">
        <v>128</v>
      </c>
      <c r="D3" s="2" t="s">
        <v>191</v>
      </c>
      <c r="E3" s="2" t="s">
        <v>192</v>
      </c>
      <c r="F3" s="2">
        <v>100.44</v>
      </c>
      <c r="G3" s="2" t="s">
        <v>193</v>
      </c>
    </row>
    <row r="4" spans="1:7" ht="50" x14ac:dyDescent="0.35">
      <c r="A4" s="2" t="s">
        <v>129</v>
      </c>
      <c r="B4" s="2" t="s">
        <v>186</v>
      </c>
      <c r="C4" s="2" t="s">
        <v>130</v>
      </c>
      <c r="D4" s="2" t="s">
        <v>194</v>
      </c>
      <c r="E4" s="2" t="s">
        <v>195</v>
      </c>
      <c r="F4" s="2">
        <v>99.11</v>
      </c>
      <c r="G4" s="2" t="s">
        <v>196</v>
      </c>
    </row>
    <row r="5" spans="1:7" ht="37.5" x14ac:dyDescent="0.35">
      <c r="A5" s="2" t="s">
        <v>131</v>
      </c>
      <c r="B5" s="2" t="s">
        <v>190</v>
      </c>
      <c r="C5" s="2" t="s">
        <v>132</v>
      </c>
      <c r="D5" s="2" t="s">
        <v>197</v>
      </c>
      <c r="E5" s="2" t="s">
        <v>198</v>
      </c>
      <c r="F5" s="2">
        <v>98.66</v>
      </c>
      <c r="G5" s="2" t="s">
        <v>199</v>
      </c>
    </row>
    <row r="6" spans="1:7" ht="37.5" x14ac:dyDescent="0.35">
      <c r="A6" s="2" t="s">
        <v>133</v>
      </c>
      <c r="B6" s="2" t="s">
        <v>190</v>
      </c>
      <c r="C6" s="2" t="s">
        <v>134</v>
      </c>
      <c r="D6" s="2" t="s">
        <v>200</v>
      </c>
      <c r="E6" s="2" t="s">
        <v>201</v>
      </c>
      <c r="F6" s="2">
        <v>100.36</v>
      </c>
      <c r="G6" s="2" t="s">
        <v>202</v>
      </c>
    </row>
    <row r="7" spans="1:7" ht="50" x14ac:dyDescent="0.35">
      <c r="A7" s="2" t="s">
        <v>135</v>
      </c>
      <c r="B7" s="2" t="s">
        <v>203</v>
      </c>
      <c r="C7" s="2" t="s">
        <v>136</v>
      </c>
      <c r="D7" s="2" t="s">
        <v>204</v>
      </c>
      <c r="E7" s="2" t="s">
        <v>205</v>
      </c>
      <c r="F7" s="2">
        <v>100.37</v>
      </c>
      <c r="G7" s="2" t="s">
        <v>206</v>
      </c>
    </row>
    <row r="8" spans="1:7" ht="62.5" x14ac:dyDescent="0.35">
      <c r="A8" s="2" t="s">
        <v>137</v>
      </c>
      <c r="B8" s="2" t="s">
        <v>186</v>
      </c>
      <c r="C8" s="2" t="s">
        <v>138</v>
      </c>
      <c r="D8" s="2" t="s">
        <v>207</v>
      </c>
      <c r="E8" s="2" t="s">
        <v>208</v>
      </c>
      <c r="F8" s="2">
        <v>100</v>
      </c>
      <c r="G8" s="2" t="s">
        <v>209</v>
      </c>
    </row>
    <row r="9" spans="1:7" ht="50" x14ac:dyDescent="0.35">
      <c r="A9" s="2" t="s">
        <v>139</v>
      </c>
      <c r="B9" s="2" t="s">
        <v>186</v>
      </c>
      <c r="C9" s="2" t="s">
        <v>140</v>
      </c>
      <c r="D9" s="2" t="s">
        <v>210</v>
      </c>
      <c r="E9" s="2" t="s">
        <v>211</v>
      </c>
      <c r="F9" s="2">
        <v>99.66</v>
      </c>
      <c r="G9" s="2" t="s">
        <v>212</v>
      </c>
    </row>
    <row r="10" spans="1:7" ht="50" x14ac:dyDescent="0.35">
      <c r="A10" s="2" t="s">
        <v>141</v>
      </c>
      <c r="B10" s="2" t="s">
        <v>190</v>
      </c>
      <c r="C10" s="2" t="s">
        <v>142</v>
      </c>
      <c r="D10" s="2" t="s">
        <v>213</v>
      </c>
      <c r="E10" s="2" t="s">
        <v>214</v>
      </c>
      <c r="F10" s="2">
        <v>99.8</v>
      </c>
      <c r="G10" s="2" t="s">
        <v>215</v>
      </c>
    </row>
    <row r="11" spans="1:7" ht="62.5" x14ac:dyDescent="0.35">
      <c r="A11" s="2" t="s">
        <v>143</v>
      </c>
      <c r="B11" s="2" t="s">
        <v>216</v>
      </c>
      <c r="C11" s="2" t="s">
        <v>144</v>
      </c>
      <c r="D11" s="2" t="s">
        <v>217</v>
      </c>
      <c r="E11" s="2" t="s">
        <v>218</v>
      </c>
      <c r="F11" s="2">
        <v>98.19</v>
      </c>
      <c r="G11" s="2" t="s">
        <v>219</v>
      </c>
    </row>
    <row r="12" spans="1:7" ht="50" x14ac:dyDescent="0.35">
      <c r="A12" s="2" t="s">
        <v>145</v>
      </c>
      <c r="B12" s="2" t="s">
        <v>190</v>
      </c>
      <c r="C12" s="2" t="s">
        <v>146</v>
      </c>
      <c r="D12" s="2" t="s">
        <v>220</v>
      </c>
      <c r="E12" s="2" t="s">
        <v>221</v>
      </c>
      <c r="F12" s="2">
        <v>100.74</v>
      </c>
      <c r="G12" s="2" t="s">
        <v>222</v>
      </c>
    </row>
    <row r="13" spans="1:7" ht="75" x14ac:dyDescent="0.35">
      <c r="A13" s="2" t="s">
        <v>147</v>
      </c>
      <c r="B13" s="2" t="s">
        <v>203</v>
      </c>
      <c r="C13" s="2" t="s">
        <v>148</v>
      </c>
      <c r="D13" s="2" t="s">
        <v>223</v>
      </c>
      <c r="E13" s="2" t="s">
        <v>224</v>
      </c>
      <c r="F13" s="2">
        <v>99.77</v>
      </c>
      <c r="G13" s="2" t="s">
        <v>225</v>
      </c>
    </row>
    <row r="14" spans="1:7" ht="62.5" x14ac:dyDescent="0.35">
      <c r="A14" s="2" t="s">
        <v>149</v>
      </c>
      <c r="B14" s="2" t="s">
        <v>226</v>
      </c>
      <c r="C14" s="2" t="s">
        <v>150</v>
      </c>
      <c r="D14" s="2" t="s">
        <v>227</v>
      </c>
      <c r="E14" s="2" t="s">
        <v>228</v>
      </c>
      <c r="F14" s="2">
        <v>100</v>
      </c>
      <c r="G14" s="2" t="s">
        <v>229</v>
      </c>
    </row>
    <row r="15" spans="1:7" ht="62.5" x14ac:dyDescent="0.35">
      <c r="A15" s="2" t="s">
        <v>151</v>
      </c>
      <c r="B15" s="2" t="s">
        <v>226</v>
      </c>
      <c r="C15" s="2" t="s">
        <v>152</v>
      </c>
      <c r="D15" s="2" t="s">
        <v>230</v>
      </c>
      <c r="E15" s="2" t="s">
        <v>231</v>
      </c>
      <c r="F15" s="2">
        <v>100</v>
      </c>
      <c r="G15" s="2" t="s">
        <v>232</v>
      </c>
    </row>
    <row r="16" spans="1:7" ht="62.5" x14ac:dyDescent="0.35">
      <c r="A16" s="2" t="s">
        <v>153</v>
      </c>
      <c r="B16" s="2" t="s">
        <v>226</v>
      </c>
      <c r="C16" s="2" t="s">
        <v>154</v>
      </c>
      <c r="D16" s="2" t="s">
        <v>233</v>
      </c>
      <c r="E16" s="2" t="s">
        <v>234</v>
      </c>
      <c r="F16" s="2">
        <v>100</v>
      </c>
      <c r="G16" s="2" t="s">
        <v>235</v>
      </c>
    </row>
    <row r="17" spans="1:7" ht="62.5" x14ac:dyDescent="0.35">
      <c r="A17" s="2" t="s">
        <v>155</v>
      </c>
      <c r="B17" s="2" t="s">
        <v>236</v>
      </c>
      <c r="C17" s="2" t="s">
        <v>156</v>
      </c>
      <c r="D17" s="2" t="s">
        <v>237</v>
      </c>
      <c r="E17" s="2" t="s">
        <v>238</v>
      </c>
      <c r="F17" s="2">
        <v>100</v>
      </c>
      <c r="G17" s="2" t="s">
        <v>239</v>
      </c>
    </row>
    <row r="18" spans="1:7" ht="62.5" x14ac:dyDescent="0.35">
      <c r="A18" s="2" t="s">
        <v>157</v>
      </c>
      <c r="B18" s="2" t="s">
        <v>240</v>
      </c>
      <c r="C18" s="2" t="s">
        <v>158</v>
      </c>
      <c r="D18" s="2" t="s">
        <v>241</v>
      </c>
      <c r="E18" s="2" t="s">
        <v>242</v>
      </c>
      <c r="F18" s="2">
        <v>99.97</v>
      </c>
      <c r="G18" s="2" t="s">
        <v>243</v>
      </c>
    </row>
    <row r="19" spans="1:7" ht="75" x14ac:dyDescent="0.35">
      <c r="A19" s="2" t="s">
        <v>159</v>
      </c>
      <c r="B19" s="2" t="s">
        <v>240</v>
      </c>
      <c r="C19" s="2" t="s">
        <v>160</v>
      </c>
      <c r="D19" s="2" t="s">
        <v>244</v>
      </c>
      <c r="E19" s="2" t="s">
        <v>245</v>
      </c>
      <c r="F19" s="2">
        <v>101.18</v>
      </c>
      <c r="G19" s="2" t="s">
        <v>246</v>
      </c>
    </row>
    <row r="20" spans="1:7" ht="62.5" x14ac:dyDescent="0.35">
      <c r="A20" s="2" t="s">
        <v>161</v>
      </c>
      <c r="B20" s="2" t="s">
        <v>240</v>
      </c>
      <c r="C20" s="2" t="s">
        <v>162</v>
      </c>
      <c r="D20" s="2" t="s">
        <v>247</v>
      </c>
      <c r="E20" s="2" t="s">
        <v>248</v>
      </c>
      <c r="F20" s="2">
        <v>98.5</v>
      </c>
      <c r="G20" s="2" t="s">
        <v>249</v>
      </c>
    </row>
    <row r="21" spans="1:7" ht="50" x14ac:dyDescent="0.35">
      <c r="A21" s="2" t="s">
        <v>163</v>
      </c>
      <c r="B21" s="2" t="s">
        <v>240</v>
      </c>
      <c r="C21" s="2" t="s">
        <v>164</v>
      </c>
      <c r="D21" s="2" t="s">
        <v>250</v>
      </c>
      <c r="E21" s="2" t="s">
        <v>251</v>
      </c>
      <c r="F21" s="2">
        <v>98.21</v>
      </c>
      <c r="G21" s="2" t="s">
        <v>252</v>
      </c>
    </row>
    <row r="22" spans="1:7" ht="62.5" x14ac:dyDescent="0.35">
      <c r="A22" s="2" t="s">
        <v>165</v>
      </c>
      <c r="B22" s="2" t="s">
        <v>253</v>
      </c>
      <c r="C22" s="2" t="s">
        <v>166</v>
      </c>
      <c r="D22" s="2" t="s">
        <v>254</v>
      </c>
      <c r="E22" s="2" t="s">
        <v>255</v>
      </c>
      <c r="F22" s="2">
        <v>98.18</v>
      </c>
      <c r="G22" s="2" t="s">
        <v>256</v>
      </c>
    </row>
    <row r="23" spans="1:7" ht="62.5" x14ac:dyDescent="0.35">
      <c r="A23" s="2" t="s">
        <v>167</v>
      </c>
      <c r="B23" s="2" t="s">
        <v>253</v>
      </c>
      <c r="C23" s="2" t="s">
        <v>168</v>
      </c>
      <c r="D23" s="2" t="s">
        <v>257</v>
      </c>
      <c r="E23" s="2" t="s">
        <v>258</v>
      </c>
      <c r="F23" s="2">
        <v>98.82</v>
      </c>
      <c r="G23" s="2" t="s">
        <v>259</v>
      </c>
    </row>
    <row r="24" spans="1:7" ht="62.5" x14ac:dyDescent="0.35">
      <c r="A24" s="2" t="s">
        <v>169</v>
      </c>
      <c r="B24" s="2" t="s">
        <v>253</v>
      </c>
      <c r="C24" s="2" t="s">
        <v>170</v>
      </c>
      <c r="D24" s="2" t="s">
        <v>260</v>
      </c>
      <c r="E24" s="2" t="s">
        <v>261</v>
      </c>
      <c r="F24" s="2">
        <v>100.18</v>
      </c>
      <c r="G24" s="2" t="s">
        <v>262</v>
      </c>
    </row>
    <row r="25" spans="1:7" ht="37.5" x14ac:dyDescent="0.35">
      <c r="A25" s="2" t="s">
        <v>171</v>
      </c>
      <c r="B25" s="2" t="s">
        <v>253</v>
      </c>
      <c r="C25" s="2" t="s">
        <v>172</v>
      </c>
      <c r="D25" s="2" t="s">
        <v>263</v>
      </c>
      <c r="E25" s="2" t="s">
        <v>264</v>
      </c>
      <c r="F25" s="2">
        <v>98.95</v>
      </c>
      <c r="G25" s="2" t="s">
        <v>265</v>
      </c>
    </row>
    <row r="26" spans="1:7" ht="62.5" x14ac:dyDescent="0.35">
      <c r="A26" s="2" t="s">
        <v>173</v>
      </c>
      <c r="B26" s="2" t="s">
        <v>253</v>
      </c>
      <c r="C26" s="2" t="s">
        <v>174</v>
      </c>
      <c r="D26" s="2" t="s">
        <v>266</v>
      </c>
      <c r="E26" s="2" t="s">
        <v>267</v>
      </c>
      <c r="F26" s="2">
        <v>99.33</v>
      </c>
      <c r="G26" s="2" t="s">
        <v>268</v>
      </c>
    </row>
    <row r="27" spans="1:7" ht="50" x14ac:dyDescent="0.35">
      <c r="A27" s="2" t="s">
        <v>322</v>
      </c>
      <c r="B27" s="2" t="s">
        <v>324</v>
      </c>
      <c r="C27" s="2" t="s">
        <v>323</v>
      </c>
      <c r="D27" s="2" t="s">
        <v>325</v>
      </c>
      <c r="E27" s="2" t="s">
        <v>326</v>
      </c>
      <c r="F27" s="2">
        <v>100.31</v>
      </c>
      <c r="G27" s="2" t="s">
        <v>327</v>
      </c>
    </row>
    <row r="28" spans="1:7" ht="50" x14ac:dyDescent="0.35">
      <c r="A28" s="2" t="s">
        <v>331</v>
      </c>
      <c r="B28" s="2" t="s">
        <v>363</v>
      </c>
      <c r="C28" s="2" t="s">
        <v>332</v>
      </c>
      <c r="D28" s="2" t="s">
        <v>364</v>
      </c>
      <c r="E28" s="2" t="s">
        <v>365</v>
      </c>
      <c r="F28" s="2">
        <v>100.77</v>
      </c>
      <c r="G28" s="2" t="s">
        <v>366</v>
      </c>
    </row>
    <row r="29" spans="1:7" ht="37.5" x14ac:dyDescent="0.35">
      <c r="A29" s="2" t="s">
        <v>333</v>
      </c>
      <c r="B29" s="2" t="s">
        <v>367</v>
      </c>
      <c r="C29" s="2" t="s">
        <v>334</v>
      </c>
      <c r="D29" s="2" t="s">
        <v>368</v>
      </c>
      <c r="E29" s="2" t="s">
        <v>369</v>
      </c>
      <c r="F29" s="2">
        <v>100.05</v>
      </c>
      <c r="G29" s="2" t="s">
        <v>370</v>
      </c>
    </row>
    <row r="30" spans="1:7" ht="50" x14ac:dyDescent="0.35">
      <c r="A30" s="2" t="s">
        <v>335</v>
      </c>
      <c r="B30" s="2" t="s">
        <v>371</v>
      </c>
      <c r="C30" s="2" t="s">
        <v>70</v>
      </c>
      <c r="D30" s="2" t="s">
        <v>372</v>
      </c>
      <c r="E30" s="2" t="s">
        <v>373</v>
      </c>
      <c r="F30" s="2">
        <v>100</v>
      </c>
      <c r="G30" s="2" t="s">
        <v>374</v>
      </c>
    </row>
    <row r="31" spans="1:7" ht="50" x14ac:dyDescent="0.35">
      <c r="A31" s="2" t="s">
        <v>336</v>
      </c>
      <c r="B31" s="2" t="s">
        <v>375</v>
      </c>
      <c r="C31" s="2" t="s">
        <v>337</v>
      </c>
      <c r="D31" s="2" t="s">
        <v>376</v>
      </c>
      <c r="E31" s="2" t="s">
        <v>377</v>
      </c>
      <c r="F31" s="2">
        <v>99.95</v>
      </c>
      <c r="G31" s="2" t="s">
        <v>378</v>
      </c>
    </row>
    <row r="32" spans="1:7" ht="87.5" x14ac:dyDescent="0.35">
      <c r="A32" s="2" t="s">
        <v>338</v>
      </c>
      <c r="B32" s="2" t="s">
        <v>379</v>
      </c>
      <c r="C32" s="2" t="s">
        <v>339</v>
      </c>
      <c r="D32" s="2" t="s">
        <v>380</v>
      </c>
      <c r="E32" s="2" t="s">
        <v>381</v>
      </c>
      <c r="F32" s="2">
        <v>100</v>
      </c>
      <c r="G32" s="2" t="s">
        <v>382</v>
      </c>
    </row>
    <row r="33" spans="1:7" ht="50" x14ac:dyDescent="0.35">
      <c r="A33" s="2" t="s">
        <v>340</v>
      </c>
      <c r="B33" s="2" t="s">
        <v>383</v>
      </c>
      <c r="C33" s="2" t="s">
        <v>341</v>
      </c>
      <c r="D33" s="2" t="s">
        <v>384</v>
      </c>
      <c r="E33" s="2" t="s">
        <v>385</v>
      </c>
      <c r="F33" s="2">
        <v>100.19</v>
      </c>
      <c r="G33" s="2" t="s">
        <v>386</v>
      </c>
    </row>
    <row r="34" spans="1:7" ht="37.5" x14ac:dyDescent="0.35">
      <c r="A34" s="2" t="s">
        <v>342</v>
      </c>
      <c r="B34" s="2" t="s">
        <v>387</v>
      </c>
      <c r="C34" s="2" t="s">
        <v>343</v>
      </c>
      <c r="D34" s="2" t="s">
        <v>388</v>
      </c>
      <c r="E34" s="2" t="s">
        <v>389</v>
      </c>
      <c r="F34" s="2">
        <v>100.35</v>
      </c>
      <c r="G34" s="2" t="s">
        <v>390</v>
      </c>
    </row>
    <row r="35" spans="1:7" ht="37.5" x14ac:dyDescent="0.35">
      <c r="A35" s="2" t="s">
        <v>344</v>
      </c>
      <c r="B35" s="2" t="s">
        <v>391</v>
      </c>
      <c r="C35" s="2" t="s">
        <v>345</v>
      </c>
      <c r="D35" s="2" t="s">
        <v>425</v>
      </c>
      <c r="E35" s="2" t="s">
        <v>392</v>
      </c>
      <c r="F35" s="2">
        <v>100.11</v>
      </c>
      <c r="G35" s="2" t="s">
        <v>426</v>
      </c>
    </row>
    <row r="36" spans="1:7" ht="50" x14ac:dyDescent="0.35">
      <c r="A36" s="2" t="s">
        <v>346</v>
      </c>
      <c r="B36" s="2" t="s">
        <v>393</v>
      </c>
      <c r="C36" s="2" t="s">
        <v>347</v>
      </c>
      <c r="D36" s="2" t="s">
        <v>394</v>
      </c>
      <c r="E36" s="2" t="s">
        <v>395</v>
      </c>
      <c r="F36" s="2">
        <v>100</v>
      </c>
      <c r="G36" s="2" t="s">
        <v>396</v>
      </c>
    </row>
    <row r="37" spans="1:7" ht="50" x14ac:dyDescent="0.35">
      <c r="A37" s="2" t="s">
        <v>348</v>
      </c>
      <c r="B37" s="2" t="s">
        <v>379</v>
      </c>
      <c r="C37" s="2" t="s">
        <v>349</v>
      </c>
      <c r="D37" s="2" t="s">
        <v>397</v>
      </c>
      <c r="E37" s="2" t="s">
        <v>398</v>
      </c>
      <c r="F37" s="2">
        <v>99.7</v>
      </c>
      <c r="G37" s="2" t="s">
        <v>399</v>
      </c>
    </row>
    <row r="38" spans="1:7" ht="50" x14ac:dyDescent="0.35">
      <c r="A38" s="2" t="s">
        <v>350</v>
      </c>
      <c r="B38" s="2" t="s">
        <v>400</v>
      </c>
      <c r="C38" s="2" t="s">
        <v>74</v>
      </c>
      <c r="D38" s="2" t="s">
        <v>401</v>
      </c>
      <c r="E38" s="2" t="s">
        <v>402</v>
      </c>
      <c r="F38" s="2">
        <v>99.66</v>
      </c>
      <c r="G38" s="2" t="s">
        <v>403</v>
      </c>
    </row>
    <row r="39" spans="1:7" ht="50" x14ac:dyDescent="0.35">
      <c r="A39" s="2" t="s">
        <v>351</v>
      </c>
      <c r="B39" s="2" t="s">
        <v>404</v>
      </c>
      <c r="C39" s="2" t="s">
        <v>352</v>
      </c>
      <c r="D39" s="2" t="s">
        <v>405</v>
      </c>
      <c r="E39" s="2" t="s">
        <v>406</v>
      </c>
      <c r="F39" s="2">
        <v>100.16</v>
      </c>
      <c r="G39" s="2" t="s">
        <v>407</v>
      </c>
    </row>
    <row r="40" spans="1:7" ht="50" x14ac:dyDescent="0.35">
      <c r="A40" s="2" t="s">
        <v>353</v>
      </c>
      <c r="B40" s="2" t="s">
        <v>408</v>
      </c>
      <c r="C40" s="2" t="s">
        <v>354</v>
      </c>
      <c r="D40" s="2" t="s">
        <v>409</v>
      </c>
      <c r="E40" s="2" t="s">
        <v>410</v>
      </c>
      <c r="F40" s="2">
        <v>99.86</v>
      </c>
      <c r="G40" s="2" t="s">
        <v>411</v>
      </c>
    </row>
    <row r="41" spans="1:7" ht="62.5" x14ac:dyDescent="0.35">
      <c r="A41" s="2" t="s">
        <v>355</v>
      </c>
      <c r="B41" s="2" t="s">
        <v>412</v>
      </c>
      <c r="C41" s="2" t="s">
        <v>356</v>
      </c>
      <c r="D41" s="2" t="s">
        <v>413</v>
      </c>
      <c r="E41" s="2" t="s">
        <v>414</v>
      </c>
      <c r="F41" s="2">
        <v>99.9</v>
      </c>
      <c r="G41" s="21" t="s">
        <v>415</v>
      </c>
    </row>
    <row r="42" spans="1:7" ht="75" x14ac:dyDescent="0.35">
      <c r="A42" s="2" t="s">
        <v>357</v>
      </c>
      <c r="B42" s="2" t="s">
        <v>367</v>
      </c>
      <c r="C42" s="2" t="s">
        <v>358</v>
      </c>
      <c r="D42" s="2" t="s">
        <v>416</v>
      </c>
      <c r="E42" s="2" t="s">
        <v>417</v>
      </c>
      <c r="F42" s="2">
        <v>97.87</v>
      </c>
      <c r="G42" s="2" t="s">
        <v>427</v>
      </c>
    </row>
    <row r="43" spans="1:7" ht="50" x14ac:dyDescent="0.35">
      <c r="A43" s="2" t="s">
        <v>359</v>
      </c>
      <c r="B43" s="2" t="s">
        <v>418</v>
      </c>
      <c r="C43" s="2" t="s">
        <v>360</v>
      </c>
      <c r="D43" s="2" t="s">
        <v>419</v>
      </c>
      <c r="E43" s="2" t="s">
        <v>420</v>
      </c>
      <c r="F43" s="2">
        <v>99.89</v>
      </c>
      <c r="G43" s="2" t="s">
        <v>421</v>
      </c>
    </row>
    <row r="44" spans="1:7" ht="62.5" x14ac:dyDescent="0.35">
      <c r="A44" s="2" t="s">
        <v>361</v>
      </c>
      <c r="B44" s="2" t="s">
        <v>418</v>
      </c>
      <c r="C44" s="2" t="s">
        <v>362</v>
      </c>
      <c r="D44" s="2" t="s">
        <v>422</v>
      </c>
      <c r="E44" s="2" t="s">
        <v>423</v>
      </c>
      <c r="F44" s="2">
        <v>99.53</v>
      </c>
      <c r="G44" s="2" t="s">
        <v>424</v>
      </c>
    </row>
    <row r="45" spans="1:7" ht="37.5" x14ac:dyDescent="0.35">
      <c r="A45" s="2" t="s">
        <v>432</v>
      </c>
      <c r="B45" s="2" t="s">
        <v>453</v>
      </c>
      <c r="C45" s="2" t="s">
        <v>433</v>
      </c>
      <c r="D45" s="2" t="s">
        <v>454</v>
      </c>
      <c r="E45" s="2" t="s">
        <v>455</v>
      </c>
      <c r="F45" s="2">
        <v>99.77</v>
      </c>
      <c r="G45" s="2" t="s">
        <v>456</v>
      </c>
    </row>
    <row r="46" spans="1:7" ht="50" x14ac:dyDescent="0.35">
      <c r="A46" s="2" t="s">
        <v>434</v>
      </c>
      <c r="B46" s="2" t="s">
        <v>457</v>
      </c>
      <c r="C46" s="2" t="s">
        <v>435</v>
      </c>
      <c r="D46" s="2" t="s">
        <v>458</v>
      </c>
      <c r="E46" s="2" t="s">
        <v>459</v>
      </c>
      <c r="F46" s="2">
        <v>99.74</v>
      </c>
      <c r="G46" s="2" t="s">
        <v>460</v>
      </c>
    </row>
    <row r="47" spans="1:7" ht="37.5" x14ac:dyDescent="0.35">
      <c r="A47" s="2" t="s">
        <v>436</v>
      </c>
      <c r="B47" s="2" t="s">
        <v>461</v>
      </c>
      <c r="C47" s="2" t="s">
        <v>437</v>
      </c>
      <c r="D47" s="2" t="s">
        <v>462</v>
      </c>
      <c r="E47" s="2" t="s">
        <v>463</v>
      </c>
      <c r="F47" s="2">
        <v>100.77</v>
      </c>
      <c r="G47" s="2" t="s">
        <v>464</v>
      </c>
    </row>
    <row r="48" spans="1:7" ht="37.5" x14ac:dyDescent="0.35">
      <c r="A48" s="2" t="s">
        <v>438</v>
      </c>
      <c r="B48" s="2" t="s">
        <v>465</v>
      </c>
      <c r="C48" s="2" t="s">
        <v>439</v>
      </c>
      <c r="D48" s="2" t="s">
        <v>466</v>
      </c>
      <c r="E48" s="2" t="s">
        <v>467</v>
      </c>
      <c r="F48" s="2">
        <v>99.97</v>
      </c>
      <c r="G48" s="2" t="s">
        <v>468</v>
      </c>
    </row>
    <row r="49" spans="1:7" ht="37.5" x14ac:dyDescent="0.35">
      <c r="A49" s="2" t="s">
        <v>440</v>
      </c>
      <c r="B49" s="2" t="s">
        <v>469</v>
      </c>
      <c r="C49" s="2" t="s">
        <v>441</v>
      </c>
      <c r="D49" s="2" t="s">
        <v>470</v>
      </c>
      <c r="E49" s="2" t="s">
        <v>471</v>
      </c>
      <c r="F49" s="2">
        <v>100.1</v>
      </c>
      <c r="G49" s="2" t="s">
        <v>472</v>
      </c>
    </row>
    <row r="50" spans="1:7" ht="37.5" x14ac:dyDescent="0.35">
      <c r="A50" s="2" t="s">
        <v>442</v>
      </c>
      <c r="B50" s="2" t="s">
        <v>469</v>
      </c>
      <c r="C50" s="2" t="s">
        <v>443</v>
      </c>
      <c r="D50" s="2" t="s">
        <v>473</v>
      </c>
      <c r="E50" s="2" t="s">
        <v>474</v>
      </c>
      <c r="F50" s="2">
        <v>100</v>
      </c>
      <c r="G50" s="2" t="s">
        <v>475</v>
      </c>
    </row>
    <row r="51" spans="1:7" ht="50" x14ac:dyDescent="0.35">
      <c r="A51" s="2" t="s">
        <v>444</v>
      </c>
      <c r="B51" s="2" t="s">
        <v>408</v>
      </c>
      <c r="C51" s="2" t="s">
        <v>445</v>
      </c>
      <c r="D51" s="2" t="s">
        <v>476</v>
      </c>
      <c r="E51" s="2" t="s">
        <v>477</v>
      </c>
      <c r="F51" s="2">
        <v>100.08</v>
      </c>
      <c r="G51" s="2" t="s">
        <v>478</v>
      </c>
    </row>
    <row r="52" spans="1:7" ht="50" x14ac:dyDescent="0.35">
      <c r="A52" s="2" t="s">
        <v>446</v>
      </c>
      <c r="B52" s="2" t="s">
        <v>479</v>
      </c>
      <c r="C52" s="2" t="s">
        <v>138</v>
      </c>
      <c r="D52" s="2" t="s">
        <v>480</v>
      </c>
      <c r="E52" s="2" t="s">
        <v>481</v>
      </c>
      <c r="F52" s="2">
        <v>100.07</v>
      </c>
      <c r="G52" s="2" t="s">
        <v>482</v>
      </c>
    </row>
    <row r="53" spans="1:7" ht="37.5" x14ac:dyDescent="0.35">
      <c r="A53" s="2" t="s">
        <v>447</v>
      </c>
      <c r="B53" s="2" t="s">
        <v>483</v>
      </c>
      <c r="C53" s="2" t="s">
        <v>448</v>
      </c>
      <c r="D53" s="2" t="s">
        <v>484</v>
      </c>
      <c r="E53" s="2" t="s">
        <v>485</v>
      </c>
      <c r="F53" s="2">
        <v>99.42</v>
      </c>
      <c r="G53" s="2" t="s">
        <v>486</v>
      </c>
    </row>
    <row r="54" spans="1:7" ht="50" x14ac:dyDescent="0.35">
      <c r="A54" s="2" t="s">
        <v>449</v>
      </c>
      <c r="B54" s="2" t="s">
        <v>226</v>
      </c>
      <c r="C54" s="2" t="s">
        <v>450</v>
      </c>
      <c r="D54" s="2" t="s">
        <v>487</v>
      </c>
      <c r="E54" s="2" t="s">
        <v>488</v>
      </c>
      <c r="F54" s="2">
        <v>100.09</v>
      </c>
      <c r="G54" s="2" t="s">
        <v>489</v>
      </c>
    </row>
    <row r="55" spans="1:7" ht="50" x14ac:dyDescent="0.35">
      <c r="A55" s="2" t="s">
        <v>451</v>
      </c>
      <c r="B55" s="2" t="s">
        <v>383</v>
      </c>
      <c r="C55" s="2" t="s">
        <v>452</v>
      </c>
      <c r="D55" s="2" t="s">
        <v>490</v>
      </c>
      <c r="E55" s="2" t="s">
        <v>491</v>
      </c>
      <c r="F55" s="2">
        <v>100.25</v>
      </c>
      <c r="G55" s="2" t="s">
        <v>492</v>
      </c>
    </row>
    <row r="56" spans="1:7" ht="37.5" x14ac:dyDescent="0.35">
      <c r="A56" s="2" t="s">
        <v>495</v>
      </c>
      <c r="B56" s="2" t="s">
        <v>387</v>
      </c>
      <c r="C56" s="2" t="s">
        <v>75</v>
      </c>
      <c r="D56" s="2" t="s">
        <v>502</v>
      </c>
      <c r="E56" s="2" t="s">
        <v>503</v>
      </c>
      <c r="F56" s="2">
        <v>100</v>
      </c>
      <c r="G56" s="2" t="s">
        <v>504</v>
      </c>
    </row>
    <row r="57" spans="1:7" ht="37.5" x14ac:dyDescent="0.35">
      <c r="A57" s="2" t="s">
        <v>496</v>
      </c>
      <c r="B57" s="2" t="s">
        <v>505</v>
      </c>
      <c r="C57" s="2" t="s">
        <v>497</v>
      </c>
      <c r="D57" s="2" t="s">
        <v>506</v>
      </c>
      <c r="E57" s="2" t="s">
        <v>507</v>
      </c>
      <c r="F57" s="2">
        <v>99.44</v>
      </c>
      <c r="G57" s="2" t="s">
        <v>508</v>
      </c>
    </row>
    <row r="58" spans="1:7" ht="37.5" x14ac:dyDescent="0.35">
      <c r="A58" s="2" t="s">
        <v>498</v>
      </c>
      <c r="B58" s="2" t="s">
        <v>509</v>
      </c>
      <c r="C58" s="2" t="s">
        <v>499</v>
      </c>
      <c r="D58" s="2" t="s">
        <v>510</v>
      </c>
      <c r="E58" s="2" t="s">
        <v>511</v>
      </c>
      <c r="F58" s="2">
        <v>99.99</v>
      </c>
      <c r="G58" s="2" t="s">
        <v>512</v>
      </c>
    </row>
    <row r="59" spans="1:7" ht="62.5" x14ac:dyDescent="0.35">
      <c r="A59" s="2" t="s">
        <v>500</v>
      </c>
      <c r="B59" s="2" t="s">
        <v>513</v>
      </c>
      <c r="C59" s="2" t="s">
        <v>501</v>
      </c>
      <c r="D59" s="2" t="s">
        <v>514</v>
      </c>
      <c r="E59" s="2" t="s">
        <v>515</v>
      </c>
      <c r="F59" s="2">
        <v>99.91</v>
      </c>
      <c r="G59" s="2" t="s">
        <v>516</v>
      </c>
    </row>
    <row r="60" spans="1:7" ht="50" x14ac:dyDescent="0.35">
      <c r="A60" s="2" t="s">
        <v>519</v>
      </c>
      <c r="B60" s="2" t="s">
        <v>523</v>
      </c>
      <c r="C60" s="2" t="s">
        <v>520</v>
      </c>
      <c r="D60" s="2" t="s">
        <v>524</v>
      </c>
      <c r="E60" s="2" t="s">
        <v>525</v>
      </c>
      <c r="F60" s="2">
        <v>100.4</v>
      </c>
      <c r="G60" s="2" t="s">
        <v>526</v>
      </c>
    </row>
    <row r="61" spans="1:7" ht="62.5" x14ac:dyDescent="0.35">
      <c r="A61" s="2" t="s">
        <v>521</v>
      </c>
      <c r="B61" s="2" t="s">
        <v>527</v>
      </c>
      <c r="C61" s="2" t="s">
        <v>522</v>
      </c>
      <c r="D61" s="2" t="s">
        <v>528</v>
      </c>
      <c r="E61" s="2" t="s">
        <v>529</v>
      </c>
      <c r="F61" s="2">
        <v>98.03</v>
      </c>
      <c r="G61" s="2" t="s">
        <v>530</v>
      </c>
    </row>
    <row r="62" spans="1:7" ht="37.5" x14ac:dyDescent="0.35">
      <c r="A62" s="2" t="s">
        <v>531</v>
      </c>
      <c r="B62" s="2" t="s">
        <v>535</v>
      </c>
      <c r="C62" s="2" t="s">
        <v>532</v>
      </c>
      <c r="D62" s="2" t="s">
        <v>536</v>
      </c>
      <c r="E62" s="2" t="s">
        <v>537</v>
      </c>
      <c r="F62" s="2">
        <v>100.63</v>
      </c>
      <c r="G62" s="2" t="s">
        <v>538</v>
      </c>
    </row>
    <row r="63" spans="1:7" ht="50" x14ac:dyDescent="0.35">
      <c r="A63" s="2" t="s">
        <v>533</v>
      </c>
      <c r="B63" s="2" t="s">
        <v>509</v>
      </c>
      <c r="C63" s="2" t="s">
        <v>534</v>
      </c>
      <c r="D63" s="2" t="s">
        <v>539</v>
      </c>
      <c r="E63" s="2" t="s">
        <v>540</v>
      </c>
      <c r="F63" s="2">
        <v>100.41</v>
      </c>
      <c r="G63" s="2" t="s">
        <v>541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
  <sheetViews>
    <sheetView workbookViewId="0"/>
  </sheetViews>
  <sheetFormatPr defaultRowHeight="14.5" x14ac:dyDescent="0.35"/>
  <cols>
    <col min="1" max="5" width="32" customWidth="1"/>
  </cols>
  <sheetData>
    <row r="1" spans="1:5" x14ac:dyDescent="0.35">
      <c r="A1" s="4" t="s">
        <v>121</v>
      </c>
      <c r="B1" s="4" t="s">
        <v>269</v>
      </c>
      <c r="C1" s="4" t="s">
        <v>270</v>
      </c>
      <c r="D1" s="4" t="s">
        <v>271</v>
      </c>
      <c r="E1" s="4" t="s">
        <v>272</v>
      </c>
    </row>
    <row r="2" spans="1:5" ht="37.5" x14ac:dyDescent="0.35">
      <c r="A2" s="2" t="s">
        <v>273</v>
      </c>
      <c r="B2" s="2" t="s">
        <v>126</v>
      </c>
      <c r="C2" s="2" t="s">
        <v>274</v>
      </c>
      <c r="D2" s="2" t="s">
        <v>275</v>
      </c>
      <c r="E2" s="2" t="s">
        <v>276</v>
      </c>
    </row>
    <row r="3" spans="1:5" ht="25" x14ac:dyDescent="0.35">
      <c r="A3" s="2" t="s">
        <v>277</v>
      </c>
      <c r="B3" s="2" t="s">
        <v>128</v>
      </c>
      <c r="C3" s="2" t="s">
        <v>278</v>
      </c>
      <c r="D3" s="2" t="s">
        <v>279</v>
      </c>
      <c r="E3" s="2" t="s">
        <v>280</v>
      </c>
    </row>
    <row r="4" spans="1:5" ht="25" x14ac:dyDescent="0.35">
      <c r="A4" s="2" t="s">
        <v>281</v>
      </c>
      <c r="B4" s="2" t="s">
        <v>130</v>
      </c>
      <c r="C4" s="2" t="s">
        <v>282</v>
      </c>
      <c r="D4" s="2" t="s">
        <v>283</v>
      </c>
      <c r="E4" s="2" t="s">
        <v>284</v>
      </c>
    </row>
    <row r="5" spans="1:5" ht="25" x14ac:dyDescent="0.35">
      <c r="A5" s="2" t="s">
        <v>285</v>
      </c>
      <c r="B5" s="2" t="s">
        <v>286</v>
      </c>
      <c r="C5" s="2" t="s">
        <v>287</v>
      </c>
      <c r="D5" s="2" t="s">
        <v>288</v>
      </c>
      <c r="E5" s="2" t="s">
        <v>289</v>
      </c>
    </row>
    <row r="6" spans="1:5" ht="25" x14ac:dyDescent="0.35">
      <c r="A6" s="2" t="s">
        <v>290</v>
      </c>
      <c r="B6" s="2" t="s">
        <v>291</v>
      </c>
      <c r="C6" s="2" t="s">
        <v>287</v>
      </c>
      <c r="D6" s="2" t="s">
        <v>292</v>
      </c>
      <c r="E6" s="2" t="s">
        <v>293</v>
      </c>
    </row>
    <row r="7" spans="1:5" ht="25" x14ac:dyDescent="0.35">
      <c r="A7" s="2" t="s">
        <v>294</v>
      </c>
      <c r="B7" s="2" t="s">
        <v>295</v>
      </c>
      <c r="C7" s="2" t="s">
        <v>296</v>
      </c>
      <c r="D7" s="2" t="s">
        <v>297</v>
      </c>
      <c r="E7" s="2" t="s">
        <v>298</v>
      </c>
    </row>
    <row r="8" spans="1:5" ht="25" x14ac:dyDescent="0.35">
      <c r="A8" s="2" t="s">
        <v>299</v>
      </c>
      <c r="B8" s="2" t="s">
        <v>300</v>
      </c>
      <c r="C8" s="2" t="s">
        <v>301</v>
      </c>
      <c r="D8" s="2" t="s">
        <v>302</v>
      </c>
      <c r="E8" s="2" t="s">
        <v>303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6"/>
  <sheetViews>
    <sheetView workbookViewId="0"/>
  </sheetViews>
  <sheetFormatPr defaultRowHeight="14.5" x14ac:dyDescent="0.35"/>
  <cols>
    <col min="1" max="5" width="32" customWidth="1"/>
  </cols>
  <sheetData>
    <row r="1" spans="1:4" x14ac:dyDescent="0.35">
      <c r="A1" s="4" t="s">
        <v>121</v>
      </c>
      <c r="B1" s="4" t="s">
        <v>269</v>
      </c>
      <c r="C1" s="4" t="s">
        <v>304</v>
      </c>
      <c r="D1" s="4" t="s">
        <v>185</v>
      </c>
    </row>
    <row r="2" spans="1:4" x14ac:dyDescent="0.35">
      <c r="A2" s="2" t="s">
        <v>305</v>
      </c>
      <c r="B2" s="2" t="s">
        <v>306</v>
      </c>
      <c r="C2" s="2" t="s">
        <v>307</v>
      </c>
      <c r="D2" s="2" t="s">
        <v>308</v>
      </c>
    </row>
    <row r="3" spans="1:4" x14ac:dyDescent="0.35">
      <c r="A3" s="2" t="s">
        <v>309</v>
      </c>
      <c r="B3" s="2" t="s">
        <v>101</v>
      </c>
      <c r="C3" s="2" t="s">
        <v>310</v>
      </c>
      <c r="D3" s="2" t="s">
        <v>311</v>
      </c>
    </row>
    <row r="4" spans="1:4" x14ac:dyDescent="0.35">
      <c r="A4" s="2" t="s">
        <v>312</v>
      </c>
      <c r="B4" s="2" t="s">
        <v>144</v>
      </c>
      <c r="C4" s="2" t="s">
        <v>313</v>
      </c>
      <c r="D4" s="2" t="s">
        <v>314</v>
      </c>
    </row>
    <row r="5" spans="1:4" x14ac:dyDescent="0.35">
      <c r="A5" s="2" t="s">
        <v>315</v>
      </c>
      <c r="B5" s="2" t="s">
        <v>316</v>
      </c>
      <c r="C5" s="2" t="s">
        <v>307</v>
      </c>
      <c r="D5" s="2" t="s">
        <v>317</v>
      </c>
    </row>
    <row r="6" spans="1:4" x14ac:dyDescent="0.35">
      <c r="A6" s="2" t="s">
        <v>318</v>
      </c>
      <c r="B6" s="2" t="s">
        <v>319</v>
      </c>
      <c r="C6" s="2" t="s">
        <v>320</v>
      </c>
      <c r="D6" s="2" t="s">
        <v>321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AtomicWeights</vt:lpstr>
      <vt:lpstr>Factors</vt:lpstr>
      <vt:lpstr>Oxides_typical</vt:lpstr>
      <vt:lpstr>Oxides_min</vt:lpstr>
      <vt:lpstr>Oxides_max</vt:lpstr>
      <vt:lpstr>Concentrations</vt:lpstr>
      <vt:lpstr>Uncertainties</vt:lpstr>
      <vt:lpstr>Elements_typical</vt:lpstr>
      <vt:lpstr>Sources</vt:lpstr>
      <vt:lpstr>Orig_Main REE Minerals</vt:lpstr>
      <vt:lpstr>Orig_Additional Minerals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Prochazka David (53466)</cp:lastModifiedBy>
  <dcterms:created xsi:type="dcterms:W3CDTF">2026-09-23T14:58:10Z</dcterms:created>
  <dcterms:modified xsi:type="dcterms:W3CDTF">2026-10-01T10:41:06Z</dcterms:modified>
</cp:coreProperties>
</file>